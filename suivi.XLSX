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houcine\Downloads\"/>
    </mc:Choice>
  </mc:AlternateContent>
  <xr:revisionPtr revIDLastSave="0" documentId="13_ncr:1_{1029C357-13E3-4CA6-81A3-E60CDECD23C8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Base de données Mono" sheetId="2" r:id="rId1"/>
    <sheet name="Suivi des alertes Monoprix" sheetId="1" r:id="rId2"/>
    <sheet name="Feuil1" sheetId="7" r:id="rId3"/>
    <sheet name="Feuil2" sheetId="8" r:id="rId4"/>
    <sheet name="Index" sheetId="6" r:id="rId5"/>
  </sheets>
  <externalReferences>
    <externalReference r:id="rId6"/>
  </externalReferences>
  <definedNames>
    <definedName name="_xlnm._FilterDatabase" localSheetId="0" hidden="1">'Base de données Mono'!$A$2:$Q$256</definedName>
    <definedName name="_xlnm._FilterDatabase" localSheetId="1" hidden="1">'Suivi des alertes Monoprix'!$A$1:$AC$1678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667" i="1" l="1"/>
  <c r="N1667" i="1"/>
  <c r="R1667" i="1" s="1"/>
  <c r="G1667" i="1"/>
  <c r="F1667" i="1"/>
  <c r="D1667" i="1"/>
  <c r="C1667" i="1"/>
  <c r="A1667" i="1"/>
  <c r="T1172" i="1"/>
  <c r="T1171" i="1"/>
  <c r="T1295" i="1"/>
  <c r="N1295" i="1"/>
  <c r="R1295" i="1" s="1"/>
  <c r="W1295" i="1" s="1"/>
  <c r="G1295" i="1"/>
  <c r="F1295" i="1"/>
  <c r="D1295" i="1"/>
  <c r="C1295" i="1"/>
  <c r="A1295" i="1"/>
  <c r="T1642" i="1"/>
  <c r="N1642" i="1"/>
  <c r="R1642" i="1" s="1"/>
  <c r="G1642" i="1"/>
  <c r="F1642" i="1"/>
  <c r="D1642" i="1"/>
  <c r="C1642" i="1"/>
  <c r="A1642" i="1"/>
  <c r="T1232" i="1"/>
  <c r="N1232" i="1"/>
  <c r="R1232" i="1" s="1"/>
  <c r="G1232" i="1"/>
  <c r="F1232" i="1"/>
  <c r="D1232" i="1"/>
  <c r="C1232" i="1"/>
  <c r="A1232" i="1"/>
  <c r="T1416" i="1"/>
  <c r="N1416" i="1"/>
  <c r="R1416" i="1" s="1"/>
  <c r="G1416" i="1"/>
  <c r="F1416" i="1"/>
  <c r="D1416" i="1"/>
  <c r="C1416" i="1"/>
  <c r="A1416" i="1"/>
  <c r="T1189" i="1"/>
  <c r="T1188" i="1"/>
  <c r="N1188" i="1"/>
  <c r="R1188" i="1" s="1"/>
  <c r="W1188" i="1" s="1"/>
  <c r="G1188" i="1"/>
  <c r="F1188" i="1"/>
  <c r="D1188" i="1"/>
  <c r="C1188" i="1"/>
  <c r="A1188" i="1"/>
  <c r="T1186" i="1"/>
  <c r="N1186" i="1"/>
  <c r="R1186" i="1" s="1"/>
  <c r="G1186" i="1"/>
  <c r="F1186" i="1"/>
  <c r="D1186" i="1"/>
  <c r="C1186" i="1"/>
  <c r="A1186" i="1"/>
  <c r="T1587" i="1"/>
  <c r="T1586" i="1"/>
  <c r="T1364" i="1"/>
  <c r="T1363" i="1"/>
  <c r="T1362" i="1"/>
  <c r="T1361" i="1"/>
  <c r="A1300" i="1"/>
  <c r="C1300" i="1"/>
  <c r="D1300" i="1"/>
  <c r="F1300" i="1"/>
  <c r="G1300" i="1"/>
  <c r="N1300" i="1"/>
  <c r="R1300" i="1" s="1"/>
  <c r="U1300" i="1" s="1"/>
  <c r="T1381" i="1"/>
  <c r="T1380" i="1"/>
  <c r="T1379" i="1"/>
  <c r="T1378" i="1"/>
  <c r="T1377" i="1"/>
  <c r="A1305" i="1"/>
  <c r="C1305" i="1"/>
  <c r="D1305" i="1"/>
  <c r="F1305" i="1"/>
  <c r="G1305" i="1"/>
  <c r="N1305" i="1"/>
  <c r="R1305" i="1" s="1"/>
  <c r="T1448" i="1"/>
  <c r="T1225" i="1"/>
  <c r="T1224" i="1"/>
  <c r="T1277" i="1"/>
  <c r="N1277" i="1"/>
  <c r="R1277" i="1" s="1"/>
  <c r="G1277" i="1"/>
  <c r="F1277" i="1"/>
  <c r="D1277" i="1"/>
  <c r="C1277" i="1"/>
  <c r="A1277" i="1"/>
  <c r="T1276" i="1"/>
  <c r="N1276" i="1"/>
  <c r="R1276" i="1" s="1"/>
  <c r="G1276" i="1"/>
  <c r="F1276" i="1"/>
  <c r="D1276" i="1"/>
  <c r="C1276" i="1"/>
  <c r="A1276" i="1"/>
  <c r="T1182" i="1"/>
  <c r="T1220" i="1"/>
  <c r="T1219" i="1"/>
  <c r="N1220" i="1"/>
  <c r="R1220" i="1" s="1"/>
  <c r="W1220" i="1" s="1"/>
  <c r="G1220" i="1"/>
  <c r="F1220" i="1"/>
  <c r="D1220" i="1"/>
  <c r="C1220" i="1"/>
  <c r="A1220" i="1"/>
  <c r="N1219" i="1"/>
  <c r="R1219" i="1" s="1"/>
  <c r="G1219" i="1"/>
  <c r="F1219" i="1"/>
  <c r="D1219" i="1"/>
  <c r="C1219" i="1"/>
  <c r="A1219" i="1"/>
  <c r="A1421" i="1"/>
  <c r="C1421" i="1"/>
  <c r="D1421" i="1"/>
  <c r="F1421" i="1"/>
  <c r="G1421" i="1"/>
  <c r="N1421" i="1"/>
  <c r="R1421" i="1" s="1"/>
  <c r="T1151" i="1"/>
  <c r="N1151" i="1"/>
  <c r="R1151" i="1" s="1"/>
  <c r="G1151" i="1"/>
  <c r="F1151" i="1"/>
  <c r="D1151" i="1"/>
  <c r="C1151" i="1"/>
  <c r="A1151" i="1"/>
  <c r="W1667" i="1" l="1"/>
  <c r="U1667" i="1"/>
  <c r="U1295" i="1"/>
  <c r="W1642" i="1"/>
  <c r="U1642" i="1"/>
  <c r="W1232" i="1"/>
  <c r="U1232" i="1"/>
  <c r="W1416" i="1"/>
  <c r="U1416" i="1"/>
  <c r="U1188" i="1"/>
  <c r="W1186" i="1"/>
  <c r="U1186" i="1"/>
  <c r="W1300" i="1"/>
  <c r="U1305" i="1"/>
  <c r="W1305" i="1"/>
  <c r="U1219" i="1"/>
  <c r="W1277" i="1"/>
  <c r="U1277" i="1"/>
  <c r="W1276" i="1"/>
  <c r="U1276" i="1"/>
  <c r="W1219" i="1"/>
  <c r="U1220" i="1"/>
  <c r="W1421" i="1"/>
  <c r="U1421" i="1"/>
  <c r="W1151" i="1"/>
  <c r="U1151" i="1"/>
  <c r="T1633" i="1"/>
  <c r="T1632" i="1"/>
  <c r="T1435" i="1"/>
  <c r="T1434" i="1"/>
  <c r="T1210" i="1"/>
  <c r="T1209" i="1"/>
  <c r="T1474" i="1" l="1"/>
  <c r="T1473" i="1"/>
  <c r="T1480" i="1"/>
  <c r="T1479" i="1"/>
  <c r="T1478" i="1"/>
  <c r="N1479" i="1"/>
  <c r="R1479" i="1" s="1"/>
  <c r="W1479" i="1" s="1"/>
  <c r="G1479" i="1"/>
  <c r="F1479" i="1"/>
  <c r="D1479" i="1"/>
  <c r="C1479" i="1"/>
  <c r="A1479" i="1"/>
  <c r="N1480" i="1"/>
  <c r="R1480" i="1" s="1"/>
  <c r="W1480" i="1" s="1"/>
  <c r="G1480" i="1"/>
  <c r="F1480" i="1"/>
  <c r="D1480" i="1"/>
  <c r="C1480" i="1"/>
  <c r="A1480" i="1"/>
  <c r="T1593" i="1"/>
  <c r="T1592" i="1"/>
  <c r="N1592" i="1"/>
  <c r="R1592" i="1" s="1"/>
  <c r="G1592" i="1"/>
  <c r="F1592" i="1"/>
  <c r="D1592" i="1"/>
  <c r="C1592" i="1"/>
  <c r="A1592" i="1"/>
  <c r="U1480" i="1" l="1"/>
  <c r="U1479" i="1"/>
  <c r="W1592" i="1"/>
  <c r="U1592" i="1"/>
  <c r="T1153" i="1"/>
  <c r="N1153" i="1"/>
  <c r="R1153" i="1" s="1"/>
  <c r="G1153" i="1"/>
  <c r="F1153" i="1"/>
  <c r="D1153" i="1"/>
  <c r="C1153" i="1"/>
  <c r="A1153" i="1"/>
  <c r="T1154" i="1"/>
  <c r="N1154" i="1"/>
  <c r="R1154" i="1" s="1"/>
  <c r="G1154" i="1"/>
  <c r="F1154" i="1"/>
  <c r="D1154" i="1"/>
  <c r="C1154" i="1"/>
  <c r="A1154" i="1"/>
  <c r="T1159" i="1"/>
  <c r="N1159" i="1"/>
  <c r="R1159" i="1" s="1"/>
  <c r="G1159" i="1"/>
  <c r="F1159" i="1"/>
  <c r="D1159" i="1"/>
  <c r="C1159" i="1"/>
  <c r="A1159" i="1"/>
  <c r="T1595" i="1"/>
  <c r="T1594" i="1"/>
  <c r="T1374" i="1"/>
  <c r="T1373" i="1"/>
  <c r="T1140" i="1"/>
  <c r="T1139" i="1"/>
  <c r="T1205" i="1"/>
  <c r="N1205" i="1"/>
  <c r="R1205" i="1" s="1"/>
  <c r="G1205" i="1"/>
  <c r="F1205" i="1"/>
  <c r="D1205" i="1"/>
  <c r="C1205" i="1"/>
  <c r="A1205" i="1"/>
  <c r="T1657" i="1"/>
  <c r="T1659" i="1"/>
  <c r="T1658" i="1"/>
  <c r="T1258" i="1"/>
  <c r="N1258" i="1"/>
  <c r="R1258" i="1" s="1"/>
  <c r="G1258" i="1"/>
  <c r="F1258" i="1"/>
  <c r="D1258" i="1"/>
  <c r="C1258" i="1"/>
  <c r="A1258" i="1"/>
  <c r="T1486" i="1"/>
  <c r="T1485" i="1"/>
  <c r="N1485" i="1"/>
  <c r="R1485" i="1" s="1"/>
  <c r="G1485" i="1"/>
  <c r="F1485" i="1"/>
  <c r="D1485" i="1"/>
  <c r="C1485" i="1"/>
  <c r="A1485" i="1"/>
  <c r="T1470" i="1"/>
  <c r="T1469" i="1"/>
  <c r="N1469" i="1"/>
  <c r="R1469" i="1" s="1"/>
  <c r="W1469" i="1" s="1"/>
  <c r="G1469" i="1"/>
  <c r="F1469" i="1"/>
  <c r="D1469" i="1"/>
  <c r="C1469" i="1"/>
  <c r="A1469" i="1"/>
  <c r="T1241" i="1"/>
  <c r="T1660" i="1"/>
  <c r="N1660" i="1"/>
  <c r="R1660" i="1" s="1"/>
  <c r="G1660" i="1"/>
  <c r="F1660" i="1"/>
  <c r="D1660" i="1"/>
  <c r="C1660" i="1"/>
  <c r="A1660" i="1"/>
  <c r="T1488" i="1"/>
  <c r="N1488" i="1"/>
  <c r="R1488" i="1" s="1"/>
  <c r="G1488" i="1"/>
  <c r="F1488" i="1"/>
  <c r="D1488" i="1"/>
  <c r="C1488" i="1"/>
  <c r="A1488" i="1"/>
  <c r="T1489" i="1"/>
  <c r="N1489" i="1"/>
  <c r="R1489" i="1" s="1"/>
  <c r="G1489" i="1"/>
  <c r="F1489" i="1"/>
  <c r="D1489" i="1"/>
  <c r="C1489" i="1"/>
  <c r="A1489" i="1"/>
  <c r="T1261" i="1"/>
  <c r="N1261" i="1"/>
  <c r="R1261" i="1" s="1"/>
  <c r="G1261" i="1"/>
  <c r="F1261" i="1"/>
  <c r="D1261" i="1"/>
  <c r="C1261" i="1"/>
  <c r="A1261" i="1"/>
  <c r="T1262" i="1"/>
  <c r="N1262" i="1"/>
  <c r="R1262" i="1" s="1"/>
  <c r="G1262" i="1"/>
  <c r="F1262" i="1"/>
  <c r="D1262" i="1"/>
  <c r="C1262" i="1"/>
  <c r="A1262" i="1"/>
  <c r="W1153" i="1" l="1"/>
  <c r="U1153" i="1"/>
  <c r="W1154" i="1"/>
  <c r="U1154" i="1"/>
  <c r="W1159" i="1"/>
  <c r="U1159" i="1"/>
  <c r="W1205" i="1"/>
  <c r="U1205" i="1"/>
  <c r="U1485" i="1"/>
  <c r="W1258" i="1"/>
  <c r="U1258" i="1"/>
  <c r="W1485" i="1"/>
  <c r="U1469" i="1"/>
  <c r="W1660" i="1"/>
  <c r="U1660" i="1"/>
  <c r="W1488" i="1"/>
  <c r="U1488" i="1"/>
  <c r="W1489" i="1"/>
  <c r="U1489" i="1"/>
  <c r="W1261" i="1"/>
  <c r="U1261" i="1"/>
  <c r="W1262" i="1"/>
  <c r="U1262" i="1"/>
  <c r="T1260" i="1"/>
  <c r="N1260" i="1"/>
  <c r="R1260" i="1" s="1"/>
  <c r="G1260" i="1"/>
  <c r="F1260" i="1"/>
  <c r="D1260" i="1"/>
  <c r="C1260" i="1"/>
  <c r="A1260" i="1"/>
  <c r="T1493" i="1"/>
  <c r="T1492" i="1"/>
  <c r="T1491" i="1"/>
  <c r="N1492" i="1"/>
  <c r="R1492" i="1" s="1"/>
  <c r="W1492" i="1" s="1"/>
  <c r="G1492" i="1"/>
  <c r="F1492" i="1"/>
  <c r="D1492" i="1"/>
  <c r="C1492" i="1"/>
  <c r="A1492" i="1"/>
  <c r="T1270" i="1"/>
  <c r="N1270" i="1"/>
  <c r="R1270" i="1" s="1"/>
  <c r="G1270" i="1"/>
  <c r="F1270" i="1"/>
  <c r="D1270" i="1"/>
  <c r="C1270" i="1"/>
  <c r="A1270" i="1"/>
  <c r="T1640" i="1"/>
  <c r="T1639" i="1"/>
  <c r="N1639" i="1"/>
  <c r="R1639" i="1" s="1"/>
  <c r="G1639" i="1"/>
  <c r="F1639" i="1"/>
  <c r="D1639" i="1"/>
  <c r="C1639" i="1"/>
  <c r="A1639" i="1"/>
  <c r="U1639" i="1" l="1"/>
  <c r="W1260" i="1"/>
  <c r="U1260" i="1"/>
  <c r="U1492" i="1"/>
  <c r="W1270" i="1"/>
  <c r="U1270" i="1"/>
  <c r="W1639" i="1"/>
  <c r="T1454" i="1"/>
  <c r="T1453" i="1"/>
  <c r="T1452" i="1"/>
  <c r="T1451" i="1"/>
  <c r="N1451" i="1"/>
  <c r="R1451" i="1" s="1"/>
  <c r="W1451" i="1" s="1"/>
  <c r="G1451" i="1"/>
  <c r="F1451" i="1"/>
  <c r="D1451" i="1"/>
  <c r="C1451" i="1"/>
  <c r="A1451" i="1"/>
  <c r="N1452" i="1"/>
  <c r="R1452" i="1" s="1"/>
  <c r="W1452" i="1" s="1"/>
  <c r="G1452" i="1"/>
  <c r="F1452" i="1"/>
  <c r="D1452" i="1"/>
  <c r="C1452" i="1"/>
  <c r="A1452" i="1"/>
  <c r="N1453" i="1"/>
  <c r="R1453" i="1" s="1"/>
  <c r="W1453" i="1" s="1"/>
  <c r="G1453" i="1"/>
  <c r="F1453" i="1"/>
  <c r="D1453" i="1"/>
  <c r="C1453" i="1"/>
  <c r="A1453" i="1"/>
  <c r="T1227" i="1"/>
  <c r="T1226" i="1"/>
  <c r="N1226" i="1"/>
  <c r="R1226" i="1" s="1"/>
  <c r="G1226" i="1"/>
  <c r="F1226" i="1"/>
  <c r="D1226" i="1"/>
  <c r="C1226" i="1"/>
  <c r="A1226" i="1"/>
  <c r="N1227" i="1"/>
  <c r="R1227" i="1" s="1"/>
  <c r="W1227" i="1" s="1"/>
  <c r="G1227" i="1"/>
  <c r="F1227" i="1"/>
  <c r="D1227" i="1"/>
  <c r="C1227" i="1"/>
  <c r="A1227" i="1"/>
  <c r="T1228" i="1"/>
  <c r="N1228" i="1"/>
  <c r="R1228" i="1" s="1"/>
  <c r="G1228" i="1"/>
  <c r="F1228" i="1"/>
  <c r="D1228" i="1"/>
  <c r="C1228" i="1"/>
  <c r="A1228" i="1"/>
  <c r="A1437" i="1"/>
  <c r="C1437" i="1"/>
  <c r="D1437" i="1"/>
  <c r="F1437" i="1"/>
  <c r="G1437" i="1"/>
  <c r="N1437" i="1"/>
  <c r="R1437" i="1" s="1"/>
  <c r="T1437" i="1"/>
  <c r="T1504" i="1"/>
  <c r="N1504" i="1"/>
  <c r="R1504" i="1" s="1"/>
  <c r="G1504" i="1"/>
  <c r="F1504" i="1"/>
  <c r="D1504" i="1"/>
  <c r="C1504" i="1"/>
  <c r="A1504" i="1"/>
  <c r="T1505" i="1"/>
  <c r="N1505" i="1"/>
  <c r="R1505" i="1" s="1"/>
  <c r="G1505" i="1"/>
  <c r="F1505" i="1"/>
  <c r="D1505" i="1"/>
  <c r="C1505" i="1"/>
  <c r="A1505" i="1"/>
  <c r="T1503" i="1"/>
  <c r="N1503" i="1"/>
  <c r="R1503" i="1" s="1"/>
  <c r="G1503" i="1"/>
  <c r="F1503" i="1"/>
  <c r="D1503" i="1"/>
  <c r="C1503" i="1"/>
  <c r="A1503" i="1"/>
  <c r="T1402" i="1"/>
  <c r="N1402" i="1"/>
  <c r="R1402" i="1" s="1"/>
  <c r="G1402" i="1"/>
  <c r="F1402" i="1"/>
  <c r="D1402" i="1"/>
  <c r="C1402" i="1"/>
  <c r="A1402" i="1"/>
  <c r="T1403" i="1"/>
  <c r="N1403" i="1"/>
  <c r="R1403" i="1" s="1"/>
  <c r="G1403" i="1"/>
  <c r="F1403" i="1"/>
  <c r="D1403" i="1"/>
  <c r="C1403" i="1"/>
  <c r="A1403" i="1"/>
  <c r="T1288" i="1"/>
  <c r="N1288" i="1"/>
  <c r="R1288" i="1" s="1"/>
  <c r="G1288" i="1"/>
  <c r="F1288" i="1"/>
  <c r="D1288" i="1"/>
  <c r="C1288" i="1"/>
  <c r="A1288" i="1"/>
  <c r="T1289" i="1"/>
  <c r="N1289" i="1"/>
  <c r="R1289" i="1" s="1"/>
  <c r="G1289" i="1"/>
  <c r="F1289" i="1"/>
  <c r="D1289" i="1"/>
  <c r="C1289" i="1"/>
  <c r="A1289" i="1"/>
  <c r="U1453" i="1" l="1"/>
  <c r="U1451" i="1"/>
  <c r="U1452" i="1"/>
  <c r="U1227" i="1"/>
  <c r="W1226" i="1"/>
  <c r="U1226" i="1"/>
  <c r="U1228" i="1"/>
  <c r="W1228" i="1"/>
  <c r="U1437" i="1"/>
  <c r="W1437" i="1"/>
  <c r="U1504" i="1"/>
  <c r="W1504" i="1"/>
  <c r="W1505" i="1"/>
  <c r="U1505" i="1"/>
  <c r="W1503" i="1"/>
  <c r="U1503" i="1"/>
  <c r="U1402" i="1"/>
  <c r="W1402" i="1"/>
  <c r="W1403" i="1"/>
  <c r="U1403" i="1"/>
  <c r="W1288" i="1"/>
  <c r="U1288" i="1"/>
  <c r="W1289" i="1"/>
  <c r="U1289" i="1"/>
  <c r="T1673" i="1"/>
  <c r="T1672" i="1"/>
  <c r="N1672" i="1"/>
  <c r="R1672" i="1" s="1"/>
  <c r="W1672" i="1" s="1"/>
  <c r="G1672" i="1"/>
  <c r="F1672" i="1"/>
  <c r="D1672" i="1"/>
  <c r="C1672" i="1"/>
  <c r="A1672" i="1"/>
  <c r="T1512" i="1"/>
  <c r="T1510" i="1"/>
  <c r="T1511" i="1"/>
  <c r="N1510" i="1"/>
  <c r="R1510" i="1" s="1"/>
  <c r="G1510" i="1"/>
  <c r="F1510" i="1"/>
  <c r="D1510" i="1"/>
  <c r="C1510" i="1"/>
  <c r="A1510" i="1"/>
  <c r="N1511" i="1"/>
  <c r="R1511" i="1" s="1"/>
  <c r="W1511" i="1" s="1"/>
  <c r="G1511" i="1"/>
  <c r="F1511" i="1"/>
  <c r="D1511" i="1"/>
  <c r="C1511" i="1"/>
  <c r="A1511" i="1"/>
  <c r="N1512" i="1"/>
  <c r="R1512" i="1" s="1"/>
  <c r="G1512" i="1"/>
  <c r="F1512" i="1"/>
  <c r="D1512" i="1"/>
  <c r="C1512" i="1"/>
  <c r="A1512" i="1"/>
  <c r="T1447" i="1"/>
  <c r="A1483" i="1"/>
  <c r="C1483" i="1"/>
  <c r="D1483" i="1"/>
  <c r="F1483" i="1"/>
  <c r="G1483" i="1"/>
  <c r="N1483" i="1"/>
  <c r="R1483" i="1" s="1"/>
  <c r="T1483" i="1"/>
  <c r="T1653" i="1"/>
  <c r="T1477" i="1"/>
  <c r="T1476" i="1"/>
  <c r="U1510" i="1" l="1"/>
  <c r="U1672" i="1"/>
  <c r="U1512" i="1"/>
  <c r="W1512" i="1"/>
  <c r="U1511" i="1"/>
  <c r="W1510" i="1"/>
  <c r="W1483" i="1"/>
  <c r="U1483" i="1"/>
  <c r="T1676" i="1"/>
  <c r="T1514" i="1"/>
  <c r="T1294" i="1"/>
  <c r="T1422" i="1" l="1"/>
  <c r="T1195" i="1"/>
  <c r="T1194" i="1"/>
  <c r="N1194" i="1"/>
  <c r="R1194" i="1" s="1"/>
  <c r="G1194" i="1"/>
  <c r="F1194" i="1"/>
  <c r="D1194" i="1"/>
  <c r="C1194" i="1"/>
  <c r="A1194" i="1"/>
  <c r="A1613" i="1"/>
  <c r="C1613" i="1"/>
  <c r="D1613" i="1"/>
  <c r="F1613" i="1"/>
  <c r="G1613" i="1"/>
  <c r="N1613" i="1"/>
  <c r="R1613" i="1" s="1"/>
  <c r="T1613" i="1"/>
  <c r="T1624" i="1"/>
  <c r="T1623" i="1"/>
  <c r="T1198" i="1"/>
  <c r="T1197" i="1"/>
  <c r="T1148" i="1"/>
  <c r="N1148" i="1"/>
  <c r="R1148" i="1" s="1"/>
  <c r="G1148" i="1"/>
  <c r="F1148" i="1"/>
  <c r="D1148" i="1"/>
  <c r="C1148" i="1"/>
  <c r="A1148" i="1"/>
  <c r="T1149" i="1"/>
  <c r="N1149" i="1"/>
  <c r="R1149" i="1" s="1"/>
  <c r="G1149" i="1"/>
  <c r="F1149" i="1"/>
  <c r="D1149" i="1"/>
  <c r="C1149" i="1"/>
  <c r="A1149" i="1"/>
  <c r="T1150" i="1"/>
  <c r="N1150" i="1"/>
  <c r="R1150" i="1" s="1"/>
  <c r="G1150" i="1"/>
  <c r="F1150" i="1"/>
  <c r="D1150" i="1"/>
  <c r="C1150" i="1"/>
  <c r="A1150" i="1"/>
  <c r="T1674" i="1"/>
  <c r="N1674" i="1"/>
  <c r="R1674" i="1" s="1"/>
  <c r="W1674" i="1" s="1"/>
  <c r="G1674" i="1"/>
  <c r="F1674" i="1"/>
  <c r="D1674" i="1"/>
  <c r="C1674" i="1"/>
  <c r="A1674" i="1"/>
  <c r="T1513" i="1"/>
  <c r="T1292" i="1"/>
  <c r="T1291" i="1"/>
  <c r="N1291" i="1"/>
  <c r="R1291" i="1" s="1"/>
  <c r="W1291" i="1" s="1"/>
  <c r="G1291" i="1"/>
  <c r="F1291" i="1"/>
  <c r="D1291" i="1"/>
  <c r="C1291" i="1"/>
  <c r="A1291" i="1"/>
  <c r="N1292" i="1"/>
  <c r="R1292" i="1" s="1"/>
  <c r="W1292" i="1" s="1"/>
  <c r="G1292" i="1"/>
  <c r="F1292" i="1"/>
  <c r="D1292" i="1"/>
  <c r="C1292" i="1"/>
  <c r="A1292" i="1"/>
  <c r="T1616" i="1"/>
  <c r="T1190" i="1"/>
  <c r="N1190" i="1"/>
  <c r="R1190" i="1" s="1"/>
  <c r="W1190" i="1" s="1"/>
  <c r="G1190" i="1"/>
  <c r="F1190" i="1"/>
  <c r="D1190" i="1"/>
  <c r="C1190" i="1"/>
  <c r="A1190" i="1"/>
  <c r="T1584" i="1"/>
  <c r="T1360" i="1"/>
  <c r="T1358" i="1"/>
  <c r="N1358" i="1"/>
  <c r="R1358" i="1" s="1"/>
  <c r="W1358" i="1" s="1"/>
  <c r="G1358" i="1"/>
  <c r="F1358" i="1"/>
  <c r="D1358" i="1"/>
  <c r="C1358" i="1"/>
  <c r="A1358" i="1"/>
  <c r="T1359" i="1"/>
  <c r="N1359" i="1"/>
  <c r="R1359" i="1" s="1"/>
  <c r="G1359" i="1"/>
  <c r="F1359" i="1"/>
  <c r="D1359" i="1"/>
  <c r="C1359" i="1"/>
  <c r="A1359" i="1"/>
  <c r="T1357" i="1"/>
  <c r="N1357" i="1"/>
  <c r="R1357" i="1" s="1"/>
  <c r="G1357" i="1"/>
  <c r="F1357" i="1"/>
  <c r="D1357" i="1"/>
  <c r="C1357" i="1"/>
  <c r="A1357" i="1"/>
  <c r="T1428" i="1"/>
  <c r="N1428" i="1"/>
  <c r="R1428" i="1" s="1"/>
  <c r="G1428" i="1"/>
  <c r="F1428" i="1"/>
  <c r="D1428" i="1"/>
  <c r="C1428" i="1"/>
  <c r="A1428" i="1"/>
  <c r="U1194" i="1" l="1"/>
  <c r="W1194" i="1"/>
  <c r="U1613" i="1"/>
  <c r="W1613" i="1"/>
  <c r="W1148" i="1"/>
  <c r="U1148" i="1"/>
  <c r="W1149" i="1"/>
  <c r="U1149" i="1"/>
  <c r="W1150" i="1"/>
  <c r="U1150" i="1"/>
  <c r="U1292" i="1"/>
  <c r="U1674" i="1"/>
  <c r="U1291" i="1"/>
  <c r="U1190" i="1"/>
  <c r="U1358" i="1"/>
  <c r="W1359" i="1"/>
  <c r="U1359" i="1"/>
  <c r="W1357" i="1"/>
  <c r="U1357" i="1"/>
  <c r="W1428" i="1"/>
  <c r="U1428" i="1"/>
  <c r="T1591" i="1"/>
  <c r="T1590" i="1"/>
  <c r="T1589" i="1"/>
  <c r="N1590" i="1"/>
  <c r="R1590" i="1" s="1"/>
  <c r="W1590" i="1" s="1"/>
  <c r="G1590" i="1"/>
  <c r="F1590" i="1"/>
  <c r="D1590" i="1"/>
  <c r="C1590" i="1"/>
  <c r="A1590" i="1"/>
  <c r="T1371" i="1"/>
  <c r="T1370" i="1"/>
  <c r="T1369" i="1"/>
  <c r="T1368" i="1"/>
  <c r="A1134" i="1"/>
  <c r="C1134" i="1"/>
  <c r="D1134" i="1"/>
  <c r="F1134" i="1"/>
  <c r="G1134" i="1"/>
  <c r="N1134" i="1"/>
  <c r="R1134" i="1" s="1"/>
  <c r="T1134" i="1"/>
  <c r="A1135" i="1"/>
  <c r="C1135" i="1"/>
  <c r="D1135" i="1"/>
  <c r="F1135" i="1"/>
  <c r="G1135" i="1"/>
  <c r="N1135" i="1"/>
  <c r="R1135" i="1" s="1"/>
  <c r="T1135" i="1"/>
  <c r="T1671" i="1"/>
  <c r="T1670" i="1"/>
  <c r="T1509" i="1"/>
  <c r="T1508" i="1"/>
  <c r="T1507" i="1"/>
  <c r="T1167" i="1"/>
  <c r="N1167" i="1"/>
  <c r="R1167" i="1" s="1"/>
  <c r="G1167" i="1"/>
  <c r="F1167" i="1"/>
  <c r="D1167" i="1"/>
  <c r="C1167" i="1"/>
  <c r="A1167" i="1"/>
  <c r="T1166" i="1"/>
  <c r="N1166" i="1"/>
  <c r="R1166" i="1" s="1"/>
  <c r="G1166" i="1"/>
  <c r="F1166" i="1"/>
  <c r="D1166" i="1"/>
  <c r="C1166" i="1"/>
  <c r="A1166" i="1"/>
  <c r="T1678" i="1"/>
  <c r="T1677" i="1"/>
  <c r="T1675" i="1"/>
  <c r="T1669" i="1"/>
  <c r="T1668" i="1"/>
  <c r="T1666" i="1"/>
  <c r="T1665" i="1"/>
  <c r="T1664" i="1"/>
  <c r="T1663" i="1"/>
  <c r="T1662" i="1"/>
  <c r="T1661" i="1"/>
  <c r="T1656" i="1"/>
  <c r="T1655" i="1"/>
  <c r="T1654" i="1"/>
  <c r="T1652" i="1"/>
  <c r="T1651" i="1"/>
  <c r="T1650" i="1"/>
  <c r="T1649" i="1"/>
  <c r="T1648" i="1"/>
  <c r="T1647" i="1"/>
  <c r="T1646" i="1"/>
  <c r="T1645" i="1"/>
  <c r="T1644" i="1"/>
  <c r="T1643" i="1"/>
  <c r="T1641" i="1"/>
  <c r="T1638" i="1"/>
  <c r="T1637" i="1"/>
  <c r="T1636" i="1"/>
  <c r="T1635" i="1"/>
  <c r="T1634" i="1"/>
  <c r="T1631" i="1"/>
  <c r="T1630" i="1"/>
  <c r="T1629" i="1"/>
  <c r="T1628" i="1"/>
  <c r="T1627" i="1"/>
  <c r="T1626" i="1"/>
  <c r="T1625" i="1"/>
  <c r="T1622" i="1"/>
  <c r="T1621" i="1"/>
  <c r="T1620" i="1"/>
  <c r="T1619" i="1"/>
  <c r="T1618" i="1"/>
  <c r="T1617" i="1"/>
  <c r="T1615" i="1"/>
  <c r="T1614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88" i="1"/>
  <c r="T1585" i="1"/>
  <c r="T1583" i="1"/>
  <c r="T1582" i="1"/>
  <c r="T1581" i="1"/>
  <c r="T1580" i="1"/>
  <c r="T1515" i="1"/>
  <c r="T1506" i="1"/>
  <c r="T1502" i="1"/>
  <c r="T1501" i="1"/>
  <c r="T1500" i="1"/>
  <c r="T1499" i="1"/>
  <c r="T1498" i="1"/>
  <c r="T1497" i="1"/>
  <c r="T1496" i="1"/>
  <c r="T1495" i="1"/>
  <c r="T1494" i="1"/>
  <c r="T1490" i="1"/>
  <c r="T1487" i="1"/>
  <c r="T1484" i="1"/>
  <c r="T1482" i="1"/>
  <c r="T1481" i="1"/>
  <c r="T1475" i="1"/>
  <c r="T1472" i="1"/>
  <c r="T1471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0" i="1"/>
  <c r="T1449" i="1"/>
  <c r="T1446" i="1"/>
  <c r="T1445" i="1"/>
  <c r="T1444" i="1"/>
  <c r="T1443" i="1"/>
  <c r="T1442" i="1"/>
  <c r="T1441" i="1"/>
  <c r="T1440" i="1"/>
  <c r="T1439" i="1"/>
  <c r="T1438" i="1"/>
  <c r="T1436" i="1"/>
  <c r="T1433" i="1"/>
  <c r="T1432" i="1"/>
  <c r="T1431" i="1"/>
  <c r="T1430" i="1"/>
  <c r="T1429" i="1"/>
  <c r="T1427" i="1"/>
  <c r="T1426" i="1"/>
  <c r="T1425" i="1"/>
  <c r="T1424" i="1"/>
  <c r="T1423" i="1"/>
  <c r="T1420" i="1"/>
  <c r="T1419" i="1"/>
  <c r="T1418" i="1"/>
  <c r="T1417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76" i="1"/>
  <c r="T1375" i="1"/>
  <c r="T1372" i="1"/>
  <c r="T1367" i="1"/>
  <c r="T1366" i="1"/>
  <c r="T1365" i="1"/>
  <c r="T1356" i="1"/>
  <c r="T1355" i="1"/>
  <c r="T1354" i="1"/>
  <c r="T1293" i="1"/>
  <c r="T1290" i="1"/>
  <c r="T1287" i="1"/>
  <c r="T1286" i="1"/>
  <c r="T1285" i="1"/>
  <c r="T1284" i="1"/>
  <c r="T1283" i="1"/>
  <c r="T1282" i="1"/>
  <c r="T1281" i="1"/>
  <c r="T1280" i="1"/>
  <c r="T1279" i="1"/>
  <c r="T1278" i="1"/>
  <c r="T1275" i="1"/>
  <c r="T1274" i="1"/>
  <c r="T1273" i="1"/>
  <c r="T1272" i="1"/>
  <c r="T1271" i="1"/>
  <c r="T1269" i="1"/>
  <c r="T1268" i="1"/>
  <c r="T1267" i="1"/>
  <c r="T1266" i="1"/>
  <c r="T1265" i="1"/>
  <c r="T1264" i="1"/>
  <c r="T1263" i="1"/>
  <c r="T1259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0" i="1"/>
  <c r="T1239" i="1"/>
  <c r="T1238" i="1"/>
  <c r="T1237" i="1"/>
  <c r="T1236" i="1"/>
  <c r="T1235" i="1"/>
  <c r="T1234" i="1"/>
  <c r="T1233" i="1"/>
  <c r="T1231" i="1"/>
  <c r="T1230" i="1"/>
  <c r="T1229" i="1"/>
  <c r="T1223" i="1"/>
  <c r="T1222" i="1"/>
  <c r="T1221" i="1"/>
  <c r="T1218" i="1"/>
  <c r="T1217" i="1"/>
  <c r="T1216" i="1"/>
  <c r="T1215" i="1"/>
  <c r="T1214" i="1"/>
  <c r="T1213" i="1"/>
  <c r="T1212" i="1"/>
  <c r="T1211" i="1"/>
  <c r="T1208" i="1"/>
  <c r="T1207" i="1"/>
  <c r="T1204" i="1"/>
  <c r="T1203" i="1"/>
  <c r="T1202" i="1"/>
  <c r="T1201" i="1"/>
  <c r="T1200" i="1"/>
  <c r="T1199" i="1"/>
  <c r="T1196" i="1"/>
  <c r="T1193" i="1"/>
  <c r="T1192" i="1"/>
  <c r="T1191" i="1"/>
  <c r="T1187" i="1"/>
  <c r="T1185" i="1"/>
  <c r="T1184" i="1"/>
  <c r="T1183" i="1"/>
  <c r="T1181" i="1"/>
  <c r="T1180" i="1"/>
  <c r="T1179" i="1"/>
  <c r="T1177" i="1"/>
  <c r="T1176" i="1"/>
  <c r="T1175" i="1"/>
  <c r="T1174" i="1"/>
  <c r="T1173" i="1"/>
  <c r="T1170" i="1"/>
  <c r="T1169" i="1"/>
  <c r="T1168" i="1"/>
  <c r="T1165" i="1"/>
  <c r="T1164" i="1"/>
  <c r="T1163" i="1"/>
  <c r="T1162" i="1"/>
  <c r="T1161" i="1"/>
  <c r="T1160" i="1"/>
  <c r="T1158" i="1"/>
  <c r="T1157" i="1"/>
  <c r="T1156" i="1"/>
  <c r="T1155" i="1"/>
  <c r="T1152" i="1"/>
  <c r="T1147" i="1"/>
  <c r="T1146" i="1"/>
  <c r="T1145" i="1"/>
  <c r="T1144" i="1"/>
  <c r="T1143" i="1"/>
  <c r="T1142" i="1"/>
  <c r="T1141" i="1"/>
  <c r="T1138" i="1"/>
  <c r="T1137" i="1"/>
  <c r="T1136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053" i="1"/>
  <c r="T1052" i="1"/>
  <c r="T1051" i="1"/>
  <c r="T1050" i="1"/>
  <c r="T1049" i="1"/>
  <c r="T1048" i="1"/>
  <c r="T1046" i="1"/>
  <c r="T1045" i="1"/>
  <c r="T1043" i="1"/>
  <c r="T1042" i="1"/>
  <c r="T1041" i="1"/>
  <c r="T1040" i="1"/>
  <c r="T1039" i="1"/>
  <c r="T1038" i="1"/>
  <c r="T1037" i="1"/>
  <c r="T1036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7" i="1"/>
  <c r="T1006" i="1"/>
  <c r="T1005" i="1"/>
  <c r="T1004" i="1"/>
  <c r="T1003" i="1"/>
  <c r="T1002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7" i="1"/>
  <c r="T926" i="1"/>
  <c r="T925" i="1"/>
  <c r="T924" i="1"/>
  <c r="T923" i="1"/>
  <c r="T922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N1161" i="1"/>
  <c r="R1161" i="1" s="1"/>
  <c r="G1161" i="1"/>
  <c r="F1161" i="1"/>
  <c r="D1161" i="1"/>
  <c r="C1161" i="1"/>
  <c r="A1161" i="1"/>
  <c r="N1162" i="1"/>
  <c r="R1162" i="1" s="1"/>
  <c r="G1162" i="1"/>
  <c r="F1162" i="1"/>
  <c r="D1162" i="1"/>
  <c r="C1162" i="1"/>
  <c r="A1162" i="1"/>
  <c r="N1163" i="1"/>
  <c r="R1163" i="1" s="1"/>
  <c r="G1163" i="1"/>
  <c r="F1163" i="1"/>
  <c r="D1163" i="1"/>
  <c r="C1163" i="1"/>
  <c r="A1163" i="1"/>
  <c r="N1164" i="1"/>
  <c r="R1164" i="1" s="1"/>
  <c r="G1164" i="1"/>
  <c r="F1164" i="1"/>
  <c r="D1164" i="1"/>
  <c r="C1164" i="1"/>
  <c r="A1164" i="1"/>
  <c r="N1165" i="1"/>
  <c r="R1165" i="1" s="1"/>
  <c r="G1165" i="1"/>
  <c r="F1165" i="1"/>
  <c r="D1165" i="1"/>
  <c r="C1165" i="1"/>
  <c r="A1165" i="1"/>
  <c r="C1580" i="1"/>
  <c r="D1580" i="1"/>
  <c r="F1580" i="1"/>
  <c r="G1580" i="1"/>
  <c r="N1580" i="1"/>
  <c r="R1580" i="1" s="1"/>
  <c r="C1581" i="1"/>
  <c r="D1581" i="1"/>
  <c r="F1581" i="1"/>
  <c r="G1581" i="1"/>
  <c r="N1581" i="1"/>
  <c r="R1581" i="1" s="1"/>
  <c r="C1582" i="1"/>
  <c r="D1582" i="1"/>
  <c r="F1582" i="1"/>
  <c r="G1582" i="1"/>
  <c r="N1582" i="1"/>
  <c r="R1582" i="1" s="1"/>
  <c r="C1583" i="1"/>
  <c r="D1583" i="1"/>
  <c r="F1583" i="1"/>
  <c r="G1583" i="1"/>
  <c r="N1583" i="1"/>
  <c r="R1583" i="1" s="1"/>
  <c r="W1583" i="1" s="1"/>
  <c r="C1584" i="1"/>
  <c r="D1584" i="1"/>
  <c r="F1584" i="1"/>
  <c r="G1584" i="1"/>
  <c r="N1584" i="1"/>
  <c r="R1584" i="1" s="1"/>
  <c r="C1585" i="1"/>
  <c r="D1585" i="1"/>
  <c r="F1585" i="1"/>
  <c r="G1585" i="1"/>
  <c r="N1585" i="1"/>
  <c r="R1585" i="1" s="1"/>
  <c r="C1586" i="1"/>
  <c r="D1586" i="1"/>
  <c r="F1586" i="1"/>
  <c r="G1586" i="1"/>
  <c r="N1586" i="1"/>
  <c r="R1586" i="1" s="1"/>
  <c r="C1587" i="1"/>
  <c r="D1587" i="1"/>
  <c r="F1587" i="1"/>
  <c r="G1587" i="1"/>
  <c r="N1587" i="1"/>
  <c r="R1587" i="1" s="1"/>
  <c r="C1588" i="1"/>
  <c r="D1588" i="1"/>
  <c r="F1588" i="1"/>
  <c r="G1588" i="1"/>
  <c r="N1588" i="1"/>
  <c r="R1588" i="1" s="1"/>
  <c r="C1589" i="1"/>
  <c r="D1589" i="1"/>
  <c r="F1589" i="1"/>
  <c r="G1589" i="1"/>
  <c r="N1589" i="1"/>
  <c r="R1589" i="1" s="1"/>
  <c r="W1589" i="1" s="1"/>
  <c r="C1591" i="1"/>
  <c r="D1591" i="1"/>
  <c r="F1591" i="1"/>
  <c r="G1591" i="1"/>
  <c r="N1591" i="1"/>
  <c r="R1591" i="1" s="1"/>
  <c r="W1591" i="1" s="1"/>
  <c r="C1593" i="1"/>
  <c r="D1593" i="1"/>
  <c r="F1593" i="1"/>
  <c r="G1593" i="1"/>
  <c r="N1593" i="1"/>
  <c r="R1593" i="1" s="1"/>
  <c r="C1594" i="1"/>
  <c r="D1594" i="1"/>
  <c r="F1594" i="1"/>
  <c r="G1594" i="1"/>
  <c r="N1594" i="1"/>
  <c r="R1594" i="1" s="1"/>
  <c r="C1595" i="1"/>
  <c r="D1595" i="1"/>
  <c r="F1595" i="1"/>
  <c r="G1595" i="1"/>
  <c r="N1595" i="1"/>
  <c r="R1595" i="1" s="1"/>
  <c r="C1596" i="1"/>
  <c r="D1596" i="1"/>
  <c r="F1596" i="1"/>
  <c r="G1596" i="1"/>
  <c r="N1596" i="1"/>
  <c r="R1596" i="1" s="1"/>
  <c r="C1597" i="1"/>
  <c r="D1597" i="1"/>
  <c r="F1597" i="1"/>
  <c r="G1597" i="1"/>
  <c r="N1597" i="1"/>
  <c r="R1597" i="1" s="1"/>
  <c r="C1598" i="1"/>
  <c r="D1598" i="1"/>
  <c r="F1598" i="1"/>
  <c r="G1598" i="1"/>
  <c r="N1598" i="1"/>
  <c r="R1598" i="1" s="1"/>
  <c r="C1599" i="1"/>
  <c r="D1599" i="1"/>
  <c r="F1599" i="1"/>
  <c r="G1599" i="1"/>
  <c r="N1599" i="1"/>
  <c r="R1599" i="1" s="1"/>
  <c r="C1600" i="1"/>
  <c r="D1600" i="1"/>
  <c r="F1600" i="1"/>
  <c r="G1600" i="1"/>
  <c r="N1600" i="1"/>
  <c r="R1600" i="1" s="1"/>
  <c r="W1600" i="1" s="1"/>
  <c r="C1601" i="1"/>
  <c r="D1601" i="1"/>
  <c r="F1601" i="1"/>
  <c r="G1601" i="1"/>
  <c r="N1601" i="1"/>
  <c r="R1601" i="1" s="1"/>
  <c r="C1602" i="1"/>
  <c r="D1602" i="1"/>
  <c r="F1602" i="1"/>
  <c r="G1602" i="1"/>
  <c r="N1602" i="1"/>
  <c r="R1602" i="1" s="1"/>
  <c r="C1603" i="1"/>
  <c r="D1603" i="1"/>
  <c r="F1603" i="1"/>
  <c r="G1603" i="1"/>
  <c r="N1603" i="1"/>
  <c r="R1603" i="1" s="1"/>
  <c r="C1604" i="1"/>
  <c r="D1604" i="1"/>
  <c r="F1604" i="1"/>
  <c r="G1604" i="1"/>
  <c r="N1604" i="1"/>
  <c r="R1604" i="1" s="1"/>
  <c r="C1605" i="1"/>
  <c r="D1605" i="1"/>
  <c r="F1605" i="1"/>
  <c r="G1605" i="1"/>
  <c r="N1605" i="1"/>
  <c r="R1605" i="1" s="1"/>
  <c r="C1606" i="1"/>
  <c r="D1606" i="1"/>
  <c r="F1606" i="1"/>
  <c r="G1606" i="1"/>
  <c r="N1606" i="1"/>
  <c r="R1606" i="1" s="1"/>
  <c r="C1607" i="1"/>
  <c r="D1607" i="1"/>
  <c r="F1607" i="1"/>
  <c r="G1607" i="1"/>
  <c r="N1607" i="1"/>
  <c r="R1607" i="1" s="1"/>
  <c r="C1608" i="1"/>
  <c r="D1608" i="1"/>
  <c r="F1608" i="1"/>
  <c r="G1608" i="1"/>
  <c r="N1608" i="1"/>
  <c r="R1608" i="1" s="1"/>
  <c r="C1609" i="1"/>
  <c r="D1609" i="1"/>
  <c r="F1609" i="1"/>
  <c r="G1609" i="1"/>
  <c r="N1609" i="1"/>
  <c r="R1609" i="1" s="1"/>
  <c r="C1610" i="1"/>
  <c r="D1610" i="1"/>
  <c r="F1610" i="1"/>
  <c r="G1610" i="1"/>
  <c r="N1610" i="1"/>
  <c r="R1610" i="1" s="1"/>
  <c r="W1610" i="1" s="1"/>
  <c r="C1611" i="1"/>
  <c r="D1611" i="1"/>
  <c r="F1611" i="1"/>
  <c r="G1611" i="1"/>
  <c r="N1611" i="1"/>
  <c r="R1611" i="1" s="1"/>
  <c r="C1612" i="1"/>
  <c r="D1612" i="1"/>
  <c r="F1612" i="1"/>
  <c r="G1612" i="1"/>
  <c r="N1612" i="1"/>
  <c r="R1612" i="1" s="1"/>
  <c r="C1614" i="1"/>
  <c r="D1614" i="1"/>
  <c r="F1614" i="1"/>
  <c r="G1614" i="1"/>
  <c r="N1614" i="1"/>
  <c r="R1614" i="1" s="1"/>
  <c r="C1615" i="1"/>
  <c r="D1615" i="1"/>
  <c r="F1615" i="1"/>
  <c r="G1615" i="1"/>
  <c r="N1615" i="1"/>
  <c r="R1615" i="1" s="1"/>
  <c r="C1616" i="1"/>
  <c r="D1616" i="1"/>
  <c r="F1616" i="1"/>
  <c r="G1616" i="1"/>
  <c r="N1616" i="1"/>
  <c r="R1616" i="1" s="1"/>
  <c r="W1616" i="1" s="1"/>
  <c r="C1617" i="1"/>
  <c r="D1617" i="1"/>
  <c r="F1617" i="1"/>
  <c r="G1617" i="1"/>
  <c r="N1617" i="1"/>
  <c r="R1617" i="1" s="1"/>
  <c r="C1618" i="1"/>
  <c r="D1618" i="1"/>
  <c r="F1618" i="1"/>
  <c r="G1618" i="1"/>
  <c r="N1618" i="1"/>
  <c r="R1618" i="1" s="1"/>
  <c r="C1619" i="1"/>
  <c r="D1619" i="1"/>
  <c r="F1619" i="1"/>
  <c r="G1619" i="1"/>
  <c r="N1619" i="1"/>
  <c r="R1619" i="1" s="1"/>
  <c r="C1620" i="1"/>
  <c r="D1620" i="1"/>
  <c r="F1620" i="1"/>
  <c r="G1620" i="1"/>
  <c r="N1620" i="1"/>
  <c r="R1620" i="1" s="1"/>
  <c r="C1621" i="1"/>
  <c r="D1621" i="1"/>
  <c r="F1621" i="1"/>
  <c r="G1621" i="1"/>
  <c r="N1621" i="1"/>
  <c r="R1621" i="1" s="1"/>
  <c r="W1621" i="1" s="1"/>
  <c r="C1622" i="1"/>
  <c r="D1622" i="1"/>
  <c r="F1622" i="1"/>
  <c r="G1622" i="1"/>
  <c r="N1622" i="1"/>
  <c r="R1622" i="1" s="1"/>
  <c r="C1623" i="1"/>
  <c r="D1623" i="1"/>
  <c r="F1623" i="1"/>
  <c r="G1623" i="1"/>
  <c r="N1623" i="1"/>
  <c r="R1623" i="1" s="1"/>
  <c r="W1623" i="1" s="1"/>
  <c r="C1624" i="1"/>
  <c r="D1624" i="1"/>
  <c r="F1624" i="1"/>
  <c r="G1624" i="1"/>
  <c r="N1624" i="1"/>
  <c r="R1624" i="1" s="1"/>
  <c r="W1624" i="1" s="1"/>
  <c r="C1625" i="1"/>
  <c r="D1625" i="1"/>
  <c r="F1625" i="1"/>
  <c r="G1625" i="1"/>
  <c r="N1625" i="1"/>
  <c r="R1625" i="1" s="1"/>
  <c r="C1626" i="1"/>
  <c r="D1626" i="1"/>
  <c r="F1626" i="1"/>
  <c r="G1626" i="1"/>
  <c r="N1626" i="1"/>
  <c r="R1626" i="1" s="1"/>
  <c r="C1627" i="1"/>
  <c r="D1627" i="1"/>
  <c r="F1627" i="1"/>
  <c r="G1627" i="1"/>
  <c r="N1627" i="1"/>
  <c r="R1627" i="1" s="1"/>
  <c r="C1628" i="1"/>
  <c r="D1628" i="1"/>
  <c r="F1628" i="1"/>
  <c r="G1628" i="1"/>
  <c r="N1628" i="1"/>
  <c r="R1628" i="1" s="1"/>
  <c r="C1629" i="1"/>
  <c r="D1629" i="1"/>
  <c r="F1629" i="1"/>
  <c r="G1629" i="1"/>
  <c r="N1629" i="1"/>
  <c r="R1629" i="1" s="1"/>
  <c r="C1630" i="1"/>
  <c r="D1630" i="1"/>
  <c r="F1630" i="1"/>
  <c r="G1630" i="1"/>
  <c r="N1630" i="1"/>
  <c r="R1630" i="1" s="1"/>
  <c r="W1630" i="1" s="1"/>
  <c r="C1631" i="1"/>
  <c r="D1631" i="1"/>
  <c r="F1631" i="1"/>
  <c r="G1631" i="1"/>
  <c r="N1631" i="1"/>
  <c r="R1631" i="1" s="1"/>
  <c r="W1631" i="1" s="1"/>
  <c r="C1632" i="1"/>
  <c r="D1632" i="1"/>
  <c r="F1632" i="1"/>
  <c r="G1632" i="1"/>
  <c r="N1632" i="1"/>
  <c r="R1632" i="1" s="1"/>
  <c r="C1633" i="1"/>
  <c r="D1633" i="1"/>
  <c r="F1633" i="1"/>
  <c r="G1633" i="1"/>
  <c r="N1633" i="1"/>
  <c r="R1633" i="1" s="1"/>
  <c r="C1634" i="1"/>
  <c r="D1634" i="1"/>
  <c r="F1634" i="1"/>
  <c r="G1634" i="1"/>
  <c r="N1634" i="1"/>
  <c r="R1634" i="1" s="1"/>
  <c r="C1635" i="1"/>
  <c r="D1635" i="1"/>
  <c r="F1635" i="1"/>
  <c r="G1635" i="1"/>
  <c r="N1635" i="1"/>
  <c r="R1635" i="1" s="1"/>
  <c r="C1636" i="1"/>
  <c r="D1636" i="1"/>
  <c r="F1636" i="1"/>
  <c r="G1636" i="1"/>
  <c r="N1636" i="1"/>
  <c r="R1636" i="1" s="1"/>
  <c r="C1637" i="1"/>
  <c r="D1637" i="1"/>
  <c r="F1637" i="1"/>
  <c r="G1637" i="1"/>
  <c r="N1637" i="1"/>
  <c r="R1637" i="1" s="1"/>
  <c r="C1638" i="1"/>
  <c r="D1638" i="1"/>
  <c r="F1638" i="1"/>
  <c r="G1638" i="1"/>
  <c r="N1638" i="1"/>
  <c r="R1638" i="1" s="1"/>
  <c r="C1640" i="1"/>
  <c r="D1640" i="1"/>
  <c r="F1640" i="1"/>
  <c r="G1640" i="1"/>
  <c r="N1640" i="1"/>
  <c r="R1640" i="1" s="1"/>
  <c r="C1641" i="1"/>
  <c r="D1641" i="1"/>
  <c r="F1641" i="1"/>
  <c r="G1641" i="1"/>
  <c r="N1641" i="1"/>
  <c r="R1641" i="1" s="1"/>
  <c r="C1643" i="1"/>
  <c r="D1643" i="1"/>
  <c r="F1643" i="1"/>
  <c r="G1643" i="1"/>
  <c r="N1643" i="1"/>
  <c r="R1643" i="1" s="1"/>
  <c r="C1644" i="1"/>
  <c r="D1644" i="1"/>
  <c r="F1644" i="1"/>
  <c r="G1644" i="1"/>
  <c r="N1644" i="1"/>
  <c r="R1644" i="1" s="1"/>
  <c r="C1645" i="1"/>
  <c r="D1645" i="1"/>
  <c r="F1645" i="1"/>
  <c r="G1645" i="1"/>
  <c r="N1645" i="1"/>
  <c r="R1645" i="1" s="1"/>
  <c r="C1646" i="1"/>
  <c r="D1646" i="1"/>
  <c r="F1646" i="1"/>
  <c r="G1646" i="1"/>
  <c r="N1646" i="1"/>
  <c r="R1646" i="1" s="1"/>
  <c r="C1647" i="1"/>
  <c r="D1647" i="1"/>
  <c r="F1647" i="1"/>
  <c r="G1647" i="1"/>
  <c r="N1647" i="1"/>
  <c r="R1647" i="1" s="1"/>
  <c r="C1648" i="1"/>
  <c r="D1648" i="1"/>
  <c r="F1648" i="1"/>
  <c r="G1648" i="1"/>
  <c r="N1648" i="1"/>
  <c r="R1648" i="1" s="1"/>
  <c r="C1649" i="1"/>
  <c r="D1649" i="1"/>
  <c r="F1649" i="1"/>
  <c r="G1649" i="1"/>
  <c r="N1649" i="1"/>
  <c r="R1649" i="1" s="1"/>
  <c r="W1649" i="1" s="1"/>
  <c r="C1650" i="1"/>
  <c r="D1650" i="1"/>
  <c r="F1650" i="1"/>
  <c r="G1650" i="1"/>
  <c r="N1650" i="1"/>
  <c r="R1650" i="1" s="1"/>
  <c r="C1651" i="1"/>
  <c r="D1651" i="1"/>
  <c r="F1651" i="1"/>
  <c r="G1651" i="1"/>
  <c r="N1651" i="1"/>
  <c r="R1651" i="1" s="1"/>
  <c r="C1652" i="1"/>
  <c r="D1652" i="1"/>
  <c r="F1652" i="1"/>
  <c r="G1652" i="1"/>
  <c r="N1652" i="1"/>
  <c r="R1652" i="1" s="1"/>
  <c r="C1653" i="1"/>
  <c r="D1653" i="1"/>
  <c r="F1653" i="1"/>
  <c r="G1653" i="1"/>
  <c r="N1653" i="1"/>
  <c r="R1653" i="1" s="1"/>
  <c r="C1654" i="1"/>
  <c r="D1654" i="1"/>
  <c r="F1654" i="1"/>
  <c r="G1654" i="1"/>
  <c r="N1654" i="1"/>
  <c r="R1654" i="1" s="1"/>
  <c r="C1655" i="1"/>
  <c r="D1655" i="1"/>
  <c r="F1655" i="1"/>
  <c r="G1655" i="1"/>
  <c r="N1655" i="1"/>
  <c r="R1655" i="1" s="1"/>
  <c r="C1656" i="1"/>
  <c r="D1656" i="1"/>
  <c r="F1656" i="1"/>
  <c r="G1656" i="1"/>
  <c r="N1656" i="1"/>
  <c r="R1656" i="1" s="1"/>
  <c r="C1657" i="1"/>
  <c r="D1657" i="1"/>
  <c r="F1657" i="1"/>
  <c r="G1657" i="1"/>
  <c r="N1657" i="1"/>
  <c r="R1657" i="1" s="1"/>
  <c r="C1658" i="1"/>
  <c r="D1658" i="1"/>
  <c r="F1658" i="1"/>
  <c r="G1658" i="1"/>
  <c r="N1658" i="1"/>
  <c r="R1658" i="1" s="1"/>
  <c r="C1659" i="1"/>
  <c r="D1659" i="1"/>
  <c r="F1659" i="1"/>
  <c r="G1659" i="1"/>
  <c r="N1659" i="1"/>
  <c r="R1659" i="1" s="1"/>
  <c r="C1661" i="1"/>
  <c r="D1661" i="1"/>
  <c r="F1661" i="1"/>
  <c r="G1661" i="1"/>
  <c r="N1661" i="1"/>
  <c r="R1661" i="1" s="1"/>
  <c r="C1662" i="1"/>
  <c r="D1662" i="1"/>
  <c r="F1662" i="1"/>
  <c r="G1662" i="1"/>
  <c r="N1662" i="1"/>
  <c r="R1662" i="1" s="1"/>
  <c r="C1663" i="1"/>
  <c r="D1663" i="1"/>
  <c r="F1663" i="1"/>
  <c r="G1663" i="1"/>
  <c r="N1663" i="1"/>
  <c r="R1663" i="1" s="1"/>
  <c r="C1664" i="1"/>
  <c r="D1664" i="1"/>
  <c r="F1664" i="1"/>
  <c r="G1664" i="1"/>
  <c r="N1664" i="1"/>
  <c r="R1664" i="1" s="1"/>
  <c r="C1665" i="1"/>
  <c r="D1665" i="1"/>
  <c r="F1665" i="1"/>
  <c r="G1665" i="1"/>
  <c r="N1665" i="1"/>
  <c r="R1665" i="1" s="1"/>
  <c r="C1666" i="1"/>
  <c r="D1666" i="1"/>
  <c r="F1666" i="1"/>
  <c r="G1666" i="1"/>
  <c r="N1666" i="1"/>
  <c r="R1666" i="1" s="1"/>
  <c r="C1668" i="1"/>
  <c r="D1668" i="1"/>
  <c r="F1668" i="1"/>
  <c r="G1668" i="1"/>
  <c r="N1668" i="1"/>
  <c r="R1668" i="1" s="1"/>
  <c r="C1669" i="1"/>
  <c r="D1669" i="1"/>
  <c r="F1669" i="1"/>
  <c r="G1669" i="1"/>
  <c r="N1669" i="1"/>
  <c r="R1669" i="1" s="1"/>
  <c r="C1670" i="1"/>
  <c r="D1670" i="1"/>
  <c r="F1670" i="1"/>
  <c r="G1670" i="1"/>
  <c r="N1670" i="1"/>
  <c r="R1670" i="1" s="1"/>
  <c r="W1670" i="1" s="1"/>
  <c r="C1671" i="1"/>
  <c r="D1671" i="1"/>
  <c r="F1671" i="1"/>
  <c r="G1671" i="1"/>
  <c r="N1671" i="1"/>
  <c r="R1671" i="1" s="1"/>
  <c r="C1673" i="1"/>
  <c r="D1673" i="1"/>
  <c r="F1673" i="1"/>
  <c r="G1673" i="1"/>
  <c r="N1673" i="1"/>
  <c r="R1673" i="1" s="1"/>
  <c r="C1675" i="1"/>
  <c r="D1675" i="1"/>
  <c r="F1675" i="1"/>
  <c r="G1675" i="1"/>
  <c r="N1675" i="1"/>
  <c r="R1675" i="1" s="1"/>
  <c r="C1676" i="1"/>
  <c r="D1676" i="1"/>
  <c r="F1676" i="1"/>
  <c r="G1676" i="1"/>
  <c r="N1676" i="1"/>
  <c r="R1676" i="1" s="1"/>
  <c r="C1677" i="1"/>
  <c r="D1677" i="1"/>
  <c r="F1677" i="1"/>
  <c r="G1677" i="1"/>
  <c r="N1677" i="1"/>
  <c r="R1677" i="1" s="1"/>
  <c r="C1678" i="1"/>
  <c r="D1678" i="1"/>
  <c r="F1678" i="1"/>
  <c r="G1678" i="1"/>
  <c r="N1678" i="1"/>
  <c r="R1678" i="1" s="1"/>
  <c r="A1580" i="1"/>
  <c r="A1581" i="1"/>
  <c r="A1582" i="1"/>
  <c r="A1583" i="1"/>
  <c r="A1584" i="1"/>
  <c r="A1585" i="1"/>
  <c r="A1586" i="1"/>
  <c r="A1587" i="1"/>
  <c r="A1588" i="1"/>
  <c r="A1589" i="1"/>
  <c r="A1591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40" i="1"/>
  <c r="A1641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1" i="1"/>
  <c r="A1662" i="1"/>
  <c r="A1663" i="1"/>
  <c r="A1664" i="1"/>
  <c r="A1665" i="1"/>
  <c r="A1666" i="1"/>
  <c r="A1668" i="1"/>
  <c r="A1669" i="1"/>
  <c r="A1670" i="1"/>
  <c r="A1671" i="1"/>
  <c r="A1673" i="1"/>
  <c r="A1675" i="1"/>
  <c r="A1676" i="1"/>
  <c r="A1677" i="1"/>
  <c r="A1678" i="1"/>
  <c r="C1516" i="1"/>
  <c r="D1516" i="1"/>
  <c r="F1516" i="1"/>
  <c r="G1516" i="1"/>
  <c r="N1516" i="1"/>
  <c r="R1516" i="1" s="1"/>
  <c r="C1517" i="1"/>
  <c r="D1517" i="1"/>
  <c r="F1517" i="1"/>
  <c r="G1517" i="1"/>
  <c r="N1517" i="1"/>
  <c r="R1517" i="1" s="1"/>
  <c r="U1517" i="1" s="1"/>
  <c r="C1518" i="1"/>
  <c r="D1518" i="1"/>
  <c r="F1518" i="1"/>
  <c r="G1518" i="1"/>
  <c r="N1518" i="1"/>
  <c r="R1518" i="1" s="1"/>
  <c r="U1518" i="1" s="1"/>
  <c r="C1519" i="1"/>
  <c r="D1519" i="1"/>
  <c r="F1519" i="1"/>
  <c r="G1519" i="1"/>
  <c r="I1519" i="1"/>
  <c r="J1519" i="1"/>
  <c r="K1519" i="1"/>
  <c r="L1519" i="1"/>
  <c r="N1519" i="1"/>
  <c r="C1520" i="1"/>
  <c r="D1520" i="1"/>
  <c r="F1520" i="1"/>
  <c r="G1520" i="1"/>
  <c r="N1520" i="1"/>
  <c r="C1521" i="1"/>
  <c r="D1521" i="1"/>
  <c r="F1521" i="1"/>
  <c r="G1521" i="1"/>
  <c r="N1521" i="1"/>
  <c r="C1522" i="1"/>
  <c r="D1522" i="1"/>
  <c r="F1522" i="1"/>
  <c r="G1522" i="1"/>
  <c r="N1522" i="1"/>
  <c r="R1522" i="1" s="1"/>
  <c r="U1522" i="1" s="1"/>
  <c r="C1523" i="1"/>
  <c r="D1523" i="1"/>
  <c r="F1523" i="1"/>
  <c r="G1523" i="1"/>
  <c r="N1523" i="1"/>
  <c r="R1523" i="1" s="1"/>
  <c r="C1524" i="1"/>
  <c r="D1524" i="1"/>
  <c r="F1524" i="1"/>
  <c r="G1524" i="1"/>
  <c r="N1524" i="1"/>
  <c r="R1524" i="1" s="1"/>
  <c r="U1524" i="1" s="1"/>
  <c r="C1525" i="1"/>
  <c r="D1525" i="1"/>
  <c r="F1525" i="1"/>
  <c r="G1525" i="1"/>
  <c r="N1525" i="1"/>
  <c r="R1525" i="1" s="1"/>
  <c r="U1525" i="1" s="1"/>
  <c r="C1526" i="1"/>
  <c r="D1526" i="1"/>
  <c r="F1526" i="1"/>
  <c r="G1526" i="1"/>
  <c r="N1526" i="1"/>
  <c r="R1526" i="1" s="1"/>
  <c r="U1526" i="1" s="1"/>
  <c r="C1527" i="1"/>
  <c r="D1527" i="1"/>
  <c r="F1527" i="1"/>
  <c r="G1527" i="1"/>
  <c r="N1527" i="1"/>
  <c r="R1527" i="1" s="1"/>
  <c r="U1527" i="1" s="1"/>
  <c r="C1528" i="1"/>
  <c r="D1528" i="1"/>
  <c r="F1528" i="1"/>
  <c r="G1528" i="1"/>
  <c r="N1528" i="1"/>
  <c r="R1528" i="1" s="1"/>
  <c r="C1529" i="1"/>
  <c r="D1529" i="1"/>
  <c r="F1529" i="1"/>
  <c r="G1529" i="1"/>
  <c r="N1529" i="1"/>
  <c r="R1529" i="1" s="1"/>
  <c r="C1530" i="1"/>
  <c r="D1530" i="1"/>
  <c r="F1530" i="1"/>
  <c r="G1530" i="1"/>
  <c r="N1530" i="1"/>
  <c r="R1530" i="1" s="1"/>
  <c r="U1530" i="1" s="1"/>
  <c r="C1531" i="1"/>
  <c r="D1531" i="1"/>
  <c r="F1531" i="1"/>
  <c r="G1531" i="1"/>
  <c r="N1531" i="1"/>
  <c r="R1531" i="1" s="1"/>
  <c r="U1531" i="1" s="1"/>
  <c r="C1532" i="1"/>
  <c r="D1532" i="1"/>
  <c r="F1532" i="1"/>
  <c r="G1532" i="1"/>
  <c r="N1532" i="1"/>
  <c r="R1532" i="1" s="1"/>
  <c r="C1533" i="1"/>
  <c r="D1533" i="1"/>
  <c r="F1533" i="1"/>
  <c r="G1533" i="1"/>
  <c r="N1533" i="1"/>
  <c r="R1533" i="1" s="1"/>
  <c r="U1533" i="1" s="1"/>
  <c r="C1534" i="1"/>
  <c r="D1534" i="1"/>
  <c r="F1534" i="1"/>
  <c r="G1534" i="1"/>
  <c r="N1534" i="1"/>
  <c r="R1534" i="1" s="1"/>
  <c r="C1535" i="1"/>
  <c r="D1535" i="1"/>
  <c r="F1535" i="1"/>
  <c r="G1535" i="1"/>
  <c r="N1535" i="1"/>
  <c r="R1535" i="1" s="1"/>
  <c r="C1536" i="1"/>
  <c r="D1536" i="1"/>
  <c r="F1536" i="1"/>
  <c r="G1536" i="1"/>
  <c r="N1536" i="1"/>
  <c r="R1536" i="1" s="1"/>
  <c r="C1537" i="1"/>
  <c r="D1537" i="1"/>
  <c r="F1537" i="1"/>
  <c r="G1537" i="1"/>
  <c r="N1537" i="1"/>
  <c r="R1537" i="1" s="1"/>
  <c r="C1538" i="1"/>
  <c r="D1538" i="1"/>
  <c r="F1538" i="1"/>
  <c r="G1538" i="1"/>
  <c r="N1538" i="1"/>
  <c r="R1538" i="1" s="1"/>
  <c r="U1538" i="1" s="1"/>
  <c r="C1539" i="1"/>
  <c r="D1539" i="1"/>
  <c r="F1539" i="1"/>
  <c r="G1539" i="1"/>
  <c r="N1539" i="1"/>
  <c r="R1539" i="1" s="1"/>
  <c r="C1540" i="1"/>
  <c r="D1540" i="1"/>
  <c r="F1540" i="1"/>
  <c r="G1540" i="1"/>
  <c r="N1540" i="1"/>
  <c r="R1540" i="1" s="1"/>
  <c r="U1540" i="1" s="1"/>
  <c r="C1541" i="1"/>
  <c r="D1541" i="1"/>
  <c r="F1541" i="1"/>
  <c r="G1541" i="1"/>
  <c r="N1541" i="1"/>
  <c r="R1541" i="1" s="1"/>
  <c r="C1542" i="1"/>
  <c r="D1542" i="1"/>
  <c r="F1542" i="1"/>
  <c r="G1542" i="1"/>
  <c r="N1542" i="1"/>
  <c r="R1542" i="1" s="1"/>
  <c r="U1542" i="1" s="1"/>
  <c r="C1543" i="1"/>
  <c r="D1543" i="1"/>
  <c r="F1543" i="1"/>
  <c r="G1543" i="1"/>
  <c r="N1543" i="1"/>
  <c r="R1543" i="1" s="1"/>
  <c r="C1544" i="1"/>
  <c r="D1544" i="1"/>
  <c r="F1544" i="1"/>
  <c r="G1544" i="1"/>
  <c r="N1544" i="1"/>
  <c r="R1544" i="1" s="1"/>
  <c r="C1545" i="1"/>
  <c r="D1545" i="1"/>
  <c r="F1545" i="1"/>
  <c r="G1545" i="1"/>
  <c r="N1545" i="1"/>
  <c r="R1545" i="1" s="1"/>
  <c r="C1546" i="1"/>
  <c r="D1546" i="1"/>
  <c r="F1546" i="1"/>
  <c r="G1546" i="1"/>
  <c r="N1546" i="1"/>
  <c r="R1546" i="1" s="1"/>
  <c r="C1547" i="1"/>
  <c r="D1547" i="1"/>
  <c r="F1547" i="1"/>
  <c r="G1547" i="1"/>
  <c r="N1547" i="1"/>
  <c r="R1547" i="1" s="1"/>
  <c r="U1547" i="1" s="1"/>
  <c r="C1548" i="1"/>
  <c r="D1548" i="1"/>
  <c r="F1548" i="1"/>
  <c r="G1548" i="1"/>
  <c r="N1548" i="1"/>
  <c r="R1548" i="1" s="1"/>
  <c r="C1549" i="1"/>
  <c r="D1549" i="1"/>
  <c r="F1549" i="1"/>
  <c r="G1549" i="1"/>
  <c r="N1549" i="1"/>
  <c r="R1549" i="1" s="1"/>
  <c r="U1549" i="1" s="1"/>
  <c r="C1550" i="1"/>
  <c r="D1550" i="1"/>
  <c r="F1550" i="1"/>
  <c r="G1550" i="1"/>
  <c r="N1550" i="1"/>
  <c r="R1550" i="1" s="1"/>
  <c r="U1550" i="1" s="1"/>
  <c r="C1551" i="1"/>
  <c r="D1551" i="1"/>
  <c r="F1551" i="1"/>
  <c r="G1551" i="1"/>
  <c r="N1551" i="1"/>
  <c r="R1551" i="1" s="1"/>
  <c r="C1552" i="1"/>
  <c r="D1552" i="1"/>
  <c r="F1552" i="1"/>
  <c r="G1552" i="1"/>
  <c r="N1552" i="1"/>
  <c r="R1552" i="1" s="1"/>
  <c r="C1553" i="1"/>
  <c r="D1553" i="1"/>
  <c r="F1553" i="1"/>
  <c r="G1553" i="1"/>
  <c r="N1553" i="1"/>
  <c r="R1553" i="1" s="1"/>
  <c r="C1554" i="1"/>
  <c r="D1554" i="1"/>
  <c r="F1554" i="1"/>
  <c r="G1554" i="1"/>
  <c r="N1554" i="1"/>
  <c r="R1554" i="1" s="1"/>
  <c r="U1554" i="1" s="1"/>
  <c r="C1555" i="1"/>
  <c r="D1555" i="1"/>
  <c r="F1555" i="1"/>
  <c r="G1555" i="1"/>
  <c r="N1555" i="1"/>
  <c r="R1555" i="1" s="1"/>
  <c r="C1556" i="1"/>
  <c r="D1556" i="1"/>
  <c r="F1556" i="1"/>
  <c r="G1556" i="1"/>
  <c r="N1556" i="1"/>
  <c r="R1556" i="1" s="1"/>
  <c r="U1556" i="1" s="1"/>
  <c r="C1557" i="1"/>
  <c r="D1557" i="1"/>
  <c r="F1557" i="1"/>
  <c r="G1557" i="1"/>
  <c r="N1557" i="1"/>
  <c r="R1557" i="1" s="1"/>
  <c r="U1557" i="1" s="1"/>
  <c r="C1558" i="1"/>
  <c r="D1558" i="1"/>
  <c r="F1558" i="1"/>
  <c r="G1558" i="1"/>
  <c r="N1558" i="1"/>
  <c r="R1558" i="1" s="1"/>
  <c r="C1559" i="1"/>
  <c r="D1559" i="1"/>
  <c r="F1559" i="1"/>
  <c r="G1559" i="1"/>
  <c r="N1559" i="1"/>
  <c r="R1559" i="1" s="1"/>
  <c r="U1559" i="1" s="1"/>
  <c r="C1560" i="1"/>
  <c r="D1560" i="1"/>
  <c r="F1560" i="1"/>
  <c r="G1560" i="1"/>
  <c r="N1560" i="1"/>
  <c r="R1560" i="1" s="1"/>
  <c r="C1561" i="1"/>
  <c r="D1561" i="1"/>
  <c r="F1561" i="1"/>
  <c r="G1561" i="1"/>
  <c r="N1561" i="1"/>
  <c r="R1561" i="1" s="1"/>
  <c r="C1562" i="1"/>
  <c r="D1562" i="1"/>
  <c r="F1562" i="1"/>
  <c r="G1562" i="1"/>
  <c r="N1562" i="1"/>
  <c r="R1562" i="1" s="1"/>
  <c r="U1562" i="1" s="1"/>
  <c r="C1563" i="1"/>
  <c r="D1563" i="1"/>
  <c r="F1563" i="1"/>
  <c r="G1563" i="1"/>
  <c r="N1563" i="1"/>
  <c r="R1563" i="1" s="1"/>
  <c r="C1564" i="1"/>
  <c r="D1564" i="1"/>
  <c r="F1564" i="1"/>
  <c r="G1564" i="1"/>
  <c r="N1564" i="1"/>
  <c r="R1564" i="1" s="1"/>
  <c r="U1564" i="1" s="1"/>
  <c r="C1565" i="1"/>
  <c r="D1565" i="1"/>
  <c r="F1565" i="1"/>
  <c r="G1565" i="1"/>
  <c r="N1565" i="1"/>
  <c r="R1565" i="1" s="1"/>
  <c r="C1566" i="1"/>
  <c r="D1566" i="1"/>
  <c r="F1566" i="1"/>
  <c r="G1566" i="1"/>
  <c r="N1566" i="1"/>
  <c r="R1566" i="1" s="1"/>
  <c r="C1567" i="1"/>
  <c r="D1567" i="1"/>
  <c r="F1567" i="1"/>
  <c r="G1567" i="1"/>
  <c r="N1567" i="1"/>
  <c r="R1567" i="1" s="1"/>
  <c r="C1568" i="1"/>
  <c r="D1568" i="1"/>
  <c r="F1568" i="1"/>
  <c r="G1568" i="1"/>
  <c r="N1568" i="1"/>
  <c r="R1568" i="1" s="1"/>
  <c r="C1569" i="1"/>
  <c r="D1569" i="1"/>
  <c r="F1569" i="1"/>
  <c r="G1569" i="1"/>
  <c r="N1569" i="1"/>
  <c r="R1569" i="1" s="1"/>
  <c r="U1569" i="1" s="1"/>
  <c r="C1570" i="1"/>
  <c r="D1570" i="1"/>
  <c r="F1570" i="1"/>
  <c r="G1570" i="1"/>
  <c r="N1570" i="1"/>
  <c r="R1570" i="1" s="1"/>
  <c r="U1570" i="1" s="1"/>
  <c r="C1571" i="1"/>
  <c r="D1571" i="1"/>
  <c r="F1571" i="1"/>
  <c r="G1571" i="1"/>
  <c r="N1571" i="1"/>
  <c r="R1571" i="1" s="1"/>
  <c r="U1571" i="1" s="1"/>
  <c r="C1572" i="1"/>
  <c r="D1572" i="1"/>
  <c r="F1572" i="1"/>
  <c r="G1572" i="1"/>
  <c r="N1572" i="1"/>
  <c r="R1572" i="1" s="1"/>
  <c r="C1573" i="1"/>
  <c r="D1573" i="1"/>
  <c r="F1573" i="1"/>
  <c r="G1573" i="1"/>
  <c r="N1573" i="1"/>
  <c r="R1573" i="1" s="1"/>
  <c r="C1574" i="1"/>
  <c r="D1574" i="1"/>
  <c r="F1574" i="1"/>
  <c r="G1574" i="1"/>
  <c r="N1574" i="1"/>
  <c r="R1574" i="1" s="1"/>
  <c r="C1575" i="1"/>
  <c r="D1575" i="1"/>
  <c r="F1575" i="1"/>
  <c r="G1575" i="1"/>
  <c r="N1575" i="1"/>
  <c r="R1575" i="1" s="1"/>
  <c r="C1576" i="1"/>
  <c r="D1576" i="1"/>
  <c r="F1576" i="1"/>
  <c r="G1576" i="1"/>
  <c r="N1576" i="1"/>
  <c r="R1576" i="1" s="1"/>
  <c r="W1576" i="1" s="1"/>
  <c r="C1577" i="1"/>
  <c r="D1577" i="1"/>
  <c r="F1577" i="1"/>
  <c r="G1577" i="1"/>
  <c r="N1577" i="1"/>
  <c r="R1577" i="1" s="1"/>
  <c r="C1578" i="1"/>
  <c r="D1578" i="1"/>
  <c r="F1578" i="1"/>
  <c r="G1578" i="1"/>
  <c r="N1578" i="1"/>
  <c r="R1578" i="1" s="1"/>
  <c r="C1579" i="1"/>
  <c r="D1579" i="1"/>
  <c r="F1579" i="1"/>
  <c r="G1579" i="1"/>
  <c r="N1579" i="1"/>
  <c r="R1579" i="1" s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C1354" i="1"/>
  <c r="D1354" i="1"/>
  <c r="F1354" i="1"/>
  <c r="G1354" i="1"/>
  <c r="N1354" i="1"/>
  <c r="R1354" i="1" s="1"/>
  <c r="C1355" i="1"/>
  <c r="D1355" i="1"/>
  <c r="F1355" i="1"/>
  <c r="G1355" i="1"/>
  <c r="N1355" i="1"/>
  <c r="R1355" i="1" s="1"/>
  <c r="C1356" i="1"/>
  <c r="D1356" i="1"/>
  <c r="F1356" i="1"/>
  <c r="G1356" i="1"/>
  <c r="N1356" i="1"/>
  <c r="R1356" i="1" s="1"/>
  <c r="C1360" i="1"/>
  <c r="D1360" i="1"/>
  <c r="F1360" i="1"/>
  <c r="G1360" i="1"/>
  <c r="N1360" i="1"/>
  <c r="R1360" i="1" s="1"/>
  <c r="W1360" i="1" s="1"/>
  <c r="C1361" i="1"/>
  <c r="D1361" i="1"/>
  <c r="F1361" i="1"/>
  <c r="G1361" i="1"/>
  <c r="N1361" i="1"/>
  <c r="R1361" i="1" s="1"/>
  <c r="C1362" i="1"/>
  <c r="D1362" i="1"/>
  <c r="F1362" i="1"/>
  <c r="G1362" i="1"/>
  <c r="N1362" i="1"/>
  <c r="R1362" i="1" s="1"/>
  <c r="C1363" i="1"/>
  <c r="D1363" i="1"/>
  <c r="F1363" i="1"/>
  <c r="G1363" i="1"/>
  <c r="N1363" i="1"/>
  <c r="R1363" i="1" s="1"/>
  <c r="C1364" i="1"/>
  <c r="D1364" i="1"/>
  <c r="F1364" i="1"/>
  <c r="G1364" i="1"/>
  <c r="N1364" i="1"/>
  <c r="R1364" i="1" s="1"/>
  <c r="C1365" i="1"/>
  <c r="D1365" i="1"/>
  <c r="F1365" i="1"/>
  <c r="G1365" i="1"/>
  <c r="N1365" i="1"/>
  <c r="R1365" i="1" s="1"/>
  <c r="C1366" i="1"/>
  <c r="D1366" i="1"/>
  <c r="F1366" i="1"/>
  <c r="G1366" i="1"/>
  <c r="N1366" i="1"/>
  <c r="R1366" i="1" s="1"/>
  <c r="C1367" i="1"/>
  <c r="D1367" i="1"/>
  <c r="F1367" i="1"/>
  <c r="G1367" i="1"/>
  <c r="N1367" i="1"/>
  <c r="R1367" i="1" s="1"/>
  <c r="C1368" i="1"/>
  <c r="D1368" i="1"/>
  <c r="F1368" i="1"/>
  <c r="G1368" i="1"/>
  <c r="N1368" i="1"/>
  <c r="R1368" i="1" s="1"/>
  <c r="C1369" i="1"/>
  <c r="D1369" i="1"/>
  <c r="F1369" i="1"/>
  <c r="G1369" i="1"/>
  <c r="N1369" i="1"/>
  <c r="R1369" i="1" s="1"/>
  <c r="W1369" i="1" s="1"/>
  <c r="C1370" i="1"/>
  <c r="D1370" i="1"/>
  <c r="F1370" i="1"/>
  <c r="G1370" i="1"/>
  <c r="N1370" i="1"/>
  <c r="R1370" i="1" s="1"/>
  <c r="W1370" i="1" s="1"/>
  <c r="C1371" i="1"/>
  <c r="D1371" i="1"/>
  <c r="F1371" i="1"/>
  <c r="G1371" i="1"/>
  <c r="N1371" i="1"/>
  <c r="R1371" i="1" s="1"/>
  <c r="W1371" i="1" s="1"/>
  <c r="C1372" i="1"/>
  <c r="D1372" i="1"/>
  <c r="F1372" i="1"/>
  <c r="G1372" i="1"/>
  <c r="N1372" i="1"/>
  <c r="R1372" i="1" s="1"/>
  <c r="C1373" i="1"/>
  <c r="D1373" i="1"/>
  <c r="F1373" i="1"/>
  <c r="G1373" i="1"/>
  <c r="N1373" i="1"/>
  <c r="R1373" i="1" s="1"/>
  <c r="C1374" i="1"/>
  <c r="D1374" i="1"/>
  <c r="F1374" i="1"/>
  <c r="G1374" i="1"/>
  <c r="N1374" i="1"/>
  <c r="R1374" i="1" s="1"/>
  <c r="C1375" i="1"/>
  <c r="D1375" i="1"/>
  <c r="F1375" i="1"/>
  <c r="G1375" i="1"/>
  <c r="N1375" i="1"/>
  <c r="R1375" i="1" s="1"/>
  <c r="C1376" i="1"/>
  <c r="D1376" i="1"/>
  <c r="F1376" i="1"/>
  <c r="G1376" i="1"/>
  <c r="N1376" i="1"/>
  <c r="R1376" i="1" s="1"/>
  <c r="C1377" i="1"/>
  <c r="D1377" i="1"/>
  <c r="F1377" i="1"/>
  <c r="G1377" i="1"/>
  <c r="N1377" i="1"/>
  <c r="R1377" i="1" s="1"/>
  <c r="C1378" i="1"/>
  <c r="D1378" i="1"/>
  <c r="F1378" i="1"/>
  <c r="G1378" i="1"/>
  <c r="N1378" i="1"/>
  <c r="R1378" i="1" s="1"/>
  <c r="C1379" i="1"/>
  <c r="D1379" i="1"/>
  <c r="F1379" i="1"/>
  <c r="G1379" i="1"/>
  <c r="N1379" i="1"/>
  <c r="R1379" i="1" s="1"/>
  <c r="C1380" i="1"/>
  <c r="D1380" i="1"/>
  <c r="F1380" i="1"/>
  <c r="G1380" i="1"/>
  <c r="N1380" i="1"/>
  <c r="R1380" i="1" s="1"/>
  <c r="C1381" i="1"/>
  <c r="D1381" i="1"/>
  <c r="F1381" i="1"/>
  <c r="G1381" i="1"/>
  <c r="N1381" i="1"/>
  <c r="R1381" i="1" s="1"/>
  <c r="C1382" i="1"/>
  <c r="D1382" i="1"/>
  <c r="F1382" i="1"/>
  <c r="G1382" i="1"/>
  <c r="N1382" i="1"/>
  <c r="R1382" i="1" s="1"/>
  <c r="C1383" i="1"/>
  <c r="D1383" i="1"/>
  <c r="F1383" i="1"/>
  <c r="G1383" i="1"/>
  <c r="N1383" i="1"/>
  <c r="R1383" i="1" s="1"/>
  <c r="C1384" i="1"/>
  <c r="D1384" i="1"/>
  <c r="F1384" i="1"/>
  <c r="G1384" i="1"/>
  <c r="N1384" i="1"/>
  <c r="R1384" i="1" s="1"/>
  <c r="C1385" i="1"/>
  <c r="D1385" i="1"/>
  <c r="F1385" i="1"/>
  <c r="G1385" i="1"/>
  <c r="N1385" i="1"/>
  <c r="R1385" i="1" s="1"/>
  <c r="C1386" i="1"/>
  <c r="D1386" i="1"/>
  <c r="F1386" i="1"/>
  <c r="G1386" i="1"/>
  <c r="N1386" i="1"/>
  <c r="R1386" i="1" s="1"/>
  <c r="C1387" i="1"/>
  <c r="D1387" i="1"/>
  <c r="F1387" i="1"/>
  <c r="G1387" i="1"/>
  <c r="N1387" i="1"/>
  <c r="R1387" i="1" s="1"/>
  <c r="C1388" i="1"/>
  <c r="D1388" i="1"/>
  <c r="F1388" i="1"/>
  <c r="G1388" i="1"/>
  <c r="N1388" i="1"/>
  <c r="R1388" i="1" s="1"/>
  <c r="C1389" i="1"/>
  <c r="D1389" i="1"/>
  <c r="F1389" i="1"/>
  <c r="G1389" i="1"/>
  <c r="N1389" i="1"/>
  <c r="R1389" i="1" s="1"/>
  <c r="C1390" i="1"/>
  <c r="D1390" i="1"/>
  <c r="F1390" i="1"/>
  <c r="G1390" i="1"/>
  <c r="N1390" i="1"/>
  <c r="R1390" i="1" s="1"/>
  <c r="C1391" i="1"/>
  <c r="D1391" i="1"/>
  <c r="F1391" i="1"/>
  <c r="G1391" i="1"/>
  <c r="N1391" i="1"/>
  <c r="R1391" i="1" s="1"/>
  <c r="C1392" i="1"/>
  <c r="D1392" i="1"/>
  <c r="F1392" i="1"/>
  <c r="G1392" i="1"/>
  <c r="N1392" i="1"/>
  <c r="R1392" i="1" s="1"/>
  <c r="C1393" i="1"/>
  <c r="D1393" i="1"/>
  <c r="F1393" i="1"/>
  <c r="G1393" i="1"/>
  <c r="N1393" i="1"/>
  <c r="R1393" i="1" s="1"/>
  <c r="C1394" i="1"/>
  <c r="D1394" i="1"/>
  <c r="F1394" i="1"/>
  <c r="G1394" i="1"/>
  <c r="N1394" i="1"/>
  <c r="R1394" i="1" s="1"/>
  <c r="C1395" i="1"/>
  <c r="D1395" i="1"/>
  <c r="F1395" i="1"/>
  <c r="G1395" i="1"/>
  <c r="N1395" i="1"/>
  <c r="R1395" i="1" s="1"/>
  <c r="C1396" i="1"/>
  <c r="D1396" i="1"/>
  <c r="F1396" i="1"/>
  <c r="G1396" i="1"/>
  <c r="N1396" i="1"/>
  <c r="R1396" i="1" s="1"/>
  <c r="C1397" i="1"/>
  <c r="D1397" i="1"/>
  <c r="F1397" i="1"/>
  <c r="G1397" i="1"/>
  <c r="N1397" i="1"/>
  <c r="R1397" i="1" s="1"/>
  <c r="C1398" i="1"/>
  <c r="D1398" i="1"/>
  <c r="F1398" i="1"/>
  <c r="G1398" i="1"/>
  <c r="N1398" i="1"/>
  <c r="R1398" i="1" s="1"/>
  <c r="C1399" i="1"/>
  <c r="D1399" i="1"/>
  <c r="F1399" i="1"/>
  <c r="G1399" i="1"/>
  <c r="N1399" i="1"/>
  <c r="R1399" i="1" s="1"/>
  <c r="C1400" i="1"/>
  <c r="D1400" i="1"/>
  <c r="F1400" i="1"/>
  <c r="G1400" i="1"/>
  <c r="N1400" i="1"/>
  <c r="R1400" i="1" s="1"/>
  <c r="C1401" i="1"/>
  <c r="D1401" i="1"/>
  <c r="F1401" i="1"/>
  <c r="G1401" i="1"/>
  <c r="N1401" i="1"/>
  <c r="R1401" i="1" s="1"/>
  <c r="C1404" i="1"/>
  <c r="D1404" i="1"/>
  <c r="F1404" i="1"/>
  <c r="G1404" i="1"/>
  <c r="N1404" i="1"/>
  <c r="R1404" i="1" s="1"/>
  <c r="C1405" i="1"/>
  <c r="D1405" i="1"/>
  <c r="F1405" i="1"/>
  <c r="G1405" i="1"/>
  <c r="N1405" i="1"/>
  <c r="R1405" i="1" s="1"/>
  <c r="C1406" i="1"/>
  <c r="D1406" i="1"/>
  <c r="F1406" i="1"/>
  <c r="G1406" i="1"/>
  <c r="N1406" i="1"/>
  <c r="R1406" i="1" s="1"/>
  <c r="C1407" i="1"/>
  <c r="D1407" i="1"/>
  <c r="F1407" i="1"/>
  <c r="G1407" i="1"/>
  <c r="N1407" i="1"/>
  <c r="R1407" i="1" s="1"/>
  <c r="C1408" i="1"/>
  <c r="D1408" i="1"/>
  <c r="F1408" i="1"/>
  <c r="G1408" i="1"/>
  <c r="N1408" i="1"/>
  <c r="R1408" i="1" s="1"/>
  <c r="C1409" i="1"/>
  <c r="D1409" i="1"/>
  <c r="F1409" i="1"/>
  <c r="G1409" i="1"/>
  <c r="N1409" i="1"/>
  <c r="R1409" i="1" s="1"/>
  <c r="C1410" i="1"/>
  <c r="D1410" i="1"/>
  <c r="F1410" i="1"/>
  <c r="G1410" i="1"/>
  <c r="N1410" i="1"/>
  <c r="R1410" i="1" s="1"/>
  <c r="C1411" i="1"/>
  <c r="D1411" i="1"/>
  <c r="F1411" i="1"/>
  <c r="G1411" i="1"/>
  <c r="N1411" i="1"/>
  <c r="R1411" i="1" s="1"/>
  <c r="C1412" i="1"/>
  <c r="D1412" i="1"/>
  <c r="F1412" i="1"/>
  <c r="G1412" i="1"/>
  <c r="N1412" i="1"/>
  <c r="R1412" i="1" s="1"/>
  <c r="C1413" i="1"/>
  <c r="D1413" i="1"/>
  <c r="F1413" i="1"/>
  <c r="G1413" i="1"/>
  <c r="N1413" i="1"/>
  <c r="R1413" i="1" s="1"/>
  <c r="C1414" i="1"/>
  <c r="D1414" i="1"/>
  <c r="F1414" i="1"/>
  <c r="G1414" i="1"/>
  <c r="N1414" i="1"/>
  <c r="R1414" i="1" s="1"/>
  <c r="C1415" i="1"/>
  <c r="D1415" i="1"/>
  <c r="F1415" i="1"/>
  <c r="G1415" i="1"/>
  <c r="N1415" i="1"/>
  <c r="R1415" i="1" s="1"/>
  <c r="C1417" i="1"/>
  <c r="D1417" i="1"/>
  <c r="F1417" i="1"/>
  <c r="G1417" i="1"/>
  <c r="N1417" i="1"/>
  <c r="R1417" i="1" s="1"/>
  <c r="C1418" i="1"/>
  <c r="D1418" i="1"/>
  <c r="F1418" i="1"/>
  <c r="G1418" i="1"/>
  <c r="N1418" i="1"/>
  <c r="R1418" i="1" s="1"/>
  <c r="C1419" i="1"/>
  <c r="D1419" i="1"/>
  <c r="F1419" i="1"/>
  <c r="G1419" i="1"/>
  <c r="N1419" i="1"/>
  <c r="R1419" i="1" s="1"/>
  <c r="C1420" i="1"/>
  <c r="D1420" i="1"/>
  <c r="F1420" i="1"/>
  <c r="G1420" i="1"/>
  <c r="N1420" i="1"/>
  <c r="R1420" i="1" s="1"/>
  <c r="C1422" i="1"/>
  <c r="D1422" i="1"/>
  <c r="F1422" i="1"/>
  <c r="G1422" i="1"/>
  <c r="N1422" i="1"/>
  <c r="R1422" i="1" s="1"/>
  <c r="W1422" i="1" s="1"/>
  <c r="C1423" i="1"/>
  <c r="D1423" i="1"/>
  <c r="F1423" i="1"/>
  <c r="G1423" i="1"/>
  <c r="N1423" i="1"/>
  <c r="R1423" i="1" s="1"/>
  <c r="C1424" i="1"/>
  <c r="D1424" i="1"/>
  <c r="F1424" i="1"/>
  <c r="G1424" i="1"/>
  <c r="N1424" i="1"/>
  <c r="R1424" i="1" s="1"/>
  <c r="C1425" i="1"/>
  <c r="D1425" i="1"/>
  <c r="F1425" i="1"/>
  <c r="G1425" i="1"/>
  <c r="N1425" i="1"/>
  <c r="R1425" i="1" s="1"/>
  <c r="C1426" i="1"/>
  <c r="D1426" i="1"/>
  <c r="F1426" i="1"/>
  <c r="G1426" i="1"/>
  <c r="N1426" i="1"/>
  <c r="R1426" i="1" s="1"/>
  <c r="C1427" i="1"/>
  <c r="D1427" i="1"/>
  <c r="F1427" i="1"/>
  <c r="G1427" i="1"/>
  <c r="N1427" i="1"/>
  <c r="R1427" i="1" s="1"/>
  <c r="C1429" i="1"/>
  <c r="D1429" i="1"/>
  <c r="F1429" i="1"/>
  <c r="G1429" i="1"/>
  <c r="N1429" i="1"/>
  <c r="R1429" i="1" s="1"/>
  <c r="C1430" i="1"/>
  <c r="D1430" i="1"/>
  <c r="F1430" i="1"/>
  <c r="G1430" i="1"/>
  <c r="N1430" i="1"/>
  <c r="R1430" i="1" s="1"/>
  <c r="C1431" i="1"/>
  <c r="D1431" i="1"/>
  <c r="F1431" i="1"/>
  <c r="G1431" i="1"/>
  <c r="N1431" i="1"/>
  <c r="R1431" i="1" s="1"/>
  <c r="C1432" i="1"/>
  <c r="D1432" i="1"/>
  <c r="F1432" i="1"/>
  <c r="G1432" i="1"/>
  <c r="N1432" i="1"/>
  <c r="R1432" i="1" s="1"/>
  <c r="C1433" i="1"/>
  <c r="D1433" i="1"/>
  <c r="F1433" i="1"/>
  <c r="G1433" i="1"/>
  <c r="N1433" i="1"/>
  <c r="R1433" i="1" s="1"/>
  <c r="C1434" i="1"/>
  <c r="D1434" i="1"/>
  <c r="F1434" i="1"/>
  <c r="G1434" i="1"/>
  <c r="N1434" i="1"/>
  <c r="C1435" i="1"/>
  <c r="D1435" i="1"/>
  <c r="F1435" i="1"/>
  <c r="G1435" i="1"/>
  <c r="N1435" i="1"/>
  <c r="C1436" i="1"/>
  <c r="D1436" i="1"/>
  <c r="F1436" i="1"/>
  <c r="G1436" i="1"/>
  <c r="N1436" i="1"/>
  <c r="R1436" i="1" s="1"/>
  <c r="C1438" i="1"/>
  <c r="D1438" i="1"/>
  <c r="F1438" i="1"/>
  <c r="G1438" i="1"/>
  <c r="N1438" i="1"/>
  <c r="R1438" i="1" s="1"/>
  <c r="C1439" i="1"/>
  <c r="D1439" i="1"/>
  <c r="F1439" i="1"/>
  <c r="G1439" i="1"/>
  <c r="N1439" i="1"/>
  <c r="R1439" i="1" s="1"/>
  <c r="C1440" i="1"/>
  <c r="D1440" i="1"/>
  <c r="F1440" i="1"/>
  <c r="G1440" i="1"/>
  <c r="N1440" i="1"/>
  <c r="R1440" i="1" s="1"/>
  <c r="W1440" i="1" s="1"/>
  <c r="C1441" i="1"/>
  <c r="D1441" i="1"/>
  <c r="F1441" i="1"/>
  <c r="G1441" i="1"/>
  <c r="N1441" i="1"/>
  <c r="R1441" i="1" s="1"/>
  <c r="C1442" i="1"/>
  <c r="D1442" i="1"/>
  <c r="F1442" i="1"/>
  <c r="G1442" i="1"/>
  <c r="N1442" i="1"/>
  <c r="R1442" i="1" s="1"/>
  <c r="W1442" i="1" s="1"/>
  <c r="C1443" i="1"/>
  <c r="D1443" i="1"/>
  <c r="F1443" i="1"/>
  <c r="G1443" i="1"/>
  <c r="N1443" i="1"/>
  <c r="R1443" i="1" s="1"/>
  <c r="C1444" i="1"/>
  <c r="D1444" i="1"/>
  <c r="F1444" i="1"/>
  <c r="G1444" i="1"/>
  <c r="N1444" i="1"/>
  <c r="R1444" i="1" s="1"/>
  <c r="C1445" i="1"/>
  <c r="D1445" i="1"/>
  <c r="F1445" i="1"/>
  <c r="G1445" i="1"/>
  <c r="N1445" i="1"/>
  <c r="R1445" i="1" s="1"/>
  <c r="C1446" i="1"/>
  <c r="D1446" i="1"/>
  <c r="F1446" i="1"/>
  <c r="G1446" i="1"/>
  <c r="N1446" i="1"/>
  <c r="R1446" i="1" s="1"/>
  <c r="C1447" i="1"/>
  <c r="D1447" i="1"/>
  <c r="F1447" i="1"/>
  <c r="G1447" i="1"/>
  <c r="N1447" i="1"/>
  <c r="R1447" i="1" s="1"/>
  <c r="C1448" i="1"/>
  <c r="D1448" i="1"/>
  <c r="F1448" i="1"/>
  <c r="G1448" i="1"/>
  <c r="N1448" i="1"/>
  <c r="R1448" i="1" s="1"/>
  <c r="C1449" i="1"/>
  <c r="D1449" i="1"/>
  <c r="F1449" i="1"/>
  <c r="G1449" i="1"/>
  <c r="N1449" i="1"/>
  <c r="R1449" i="1" s="1"/>
  <c r="C1450" i="1"/>
  <c r="D1450" i="1"/>
  <c r="F1450" i="1"/>
  <c r="G1450" i="1"/>
  <c r="N1450" i="1"/>
  <c r="R1450" i="1" s="1"/>
  <c r="C1454" i="1"/>
  <c r="D1454" i="1"/>
  <c r="F1454" i="1"/>
  <c r="G1454" i="1"/>
  <c r="N1454" i="1"/>
  <c r="R1454" i="1" s="1"/>
  <c r="C1455" i="1"/>
  <c r="D1455" i="1"/>
  <c r="F1455" i="1"/>
  <c r="G1455" i="1"/>
  <c r="N1455" i="1"/>
  <c r="R1455" i="1" s="1"/>
  <c r="C1456" i="1"/>
  <c r="D1456" i="1"/>
  <c r="F1456" i="1"/>
  <c r="G1456" i="1"/>
  <c r="N1456" i="1"/>
  <c r="R1456" i="1" s="1"/>
  <c r="C1457" i="1"/>
  <c r="D1457" i="1"/>
  <c r="F1457" i="1"/>
  <c r="G1457" i="1"/>
  <c r="N1457" i="1"/>
  <c r="R1457" i="1" s="1"/>
  <c r="C1458" i="1"/>
  <c r="D1458" i="1"/>
  <c r="F1458" i="1"/>
  <c r="G1458" i="1"/>
  <c r="N1458" i="1"/>
  <c r="R1458" i="1" s="1"/>
  <c r="C1459" i="1"/>
  <c r="D1459" i="1"/>
  <c r="F1459" i="1"/>
  <c r="G1459" i="1"/>
  <c r="N1459" i="1"/>
  <c r="R1459" i="1" s="1"/>
  <c r="C1460" i="1"/>
  <c r="D1460" i="1"/>
  <c r="F1460" i="1"/>
  <c r="G1460" i="1"/>
  <c r="N1460" i="1"/>
  <c r="R1460" i="1" s="1"/>
  <c r="C1461" i="1"/>
  <c r="D1461" i="1"/>
  <c r="F1461" i="1"/>
  <c r="G1461" i="1"/>
  <c r="N1461" i="1"/>
  <c r="R1461" i="1" s="1"/>
  <c r="C1462" i="1"/>
  <c r="D1462" i="1"/>
  <c r="F1462" i="1"/>
  <c r="G1462" i="1"/>
  <c r="N1462" i="1"/>
  <c r="R1462" i="1" s="1"/>
  <c r="C1463" i="1"/>
  <c r="D1463" i="1"/>
  <c r="F1463" i="1"/>
  <c r="G1463" i="1"/>
  <c r="N1463" i="1"/>
  <c r="R1463" i="1" s="1"/>
  <c r="C1464" i="1"/>
  <c r="D1464" i="1"/>
  <c r="F1464" i="1"/>
  <c r="G1464" i="1"/>
  <c r="N1464" i="1"/>
  <c r="R1464" i="1" s="1"/>
  <c r="C1465" i="1"/>
  <c r="D1465" i="1"/>
  <c r="F1465" i="1"/>
  <c r="G1465" i="1"/>
  <c r="N1465" i="1"/>
  <c r="R1465" i="1" s="1"/>
  <c r="C1466" i="1"/>
  <c r="D1466" i="1"/>
  <c r="F1466" i="1"/>
  <c r="G1466" i="1"/>
  <c r="N1466" i="1"/>
  <c r="R1466" i="1" s="1"/>
  <c r="C1467" i="1"/>
  <c r="D1467" i="1"/>
  <c r="F1467" i="1"/>
  <c r="G1467" i="1"/>
  <c r="N1467" i="1"/>
  <c r="R1467" i="1" s="1"/>
  <c r="C1468" i="1"/>
  <c r="D1468" i="1"/>
  <c r="F1468" i="1"/>
  <c r="G1468" i="1"/>
  <c r="N1468" i="1"/>
  <c r="R1468" i="1" s="1"/>
  <c r="C1470" i="1"/>
  <c r="D1470" i="1"/>
  <c r="F1470" i="1"/>
  <c r="G1470" i="1"/>
  <c r="N1470" i="1"/>
  <c r="R1470" i="1" s="1"/>
  <c r="C1471" i="1"/>
  <c r="D1471" i="1"/>
  <c r="F1471" i="1"/>
  <c r="G1471" i="1"/>
  <c r="N1471" i="1"/>
  <c r="R1471" i="1" s="1"/>
  <c r="C1472" i="1"/>
  <c r="D1472" i="1"/>
  <c r="F1472" i="1"/>
  <c r="G1472" i="1"/>
  <c r="N1472" i="1"/>
  <c r="R1472" i="1" s="1"/>
  <c r="C1473" i="1"/>
  <c r="D1473" i="1"/>
  <c r="F1473" i="1"/>
  <c r="G1473" i="1"/>
  <c r="N1473" i="1"/>
  <c r="R1473" i="1" s="1"/>
  <c r="C1474" i="1"/>
  <c r="D1474" i="1"/>
  <c r="F1474" i="1"/>
  <c r="G1474" i="1"/>
  <c r="N1474" i="1"/>
  <c r="R1474" i="1" s="1"/>
  <c r="C1475" i="1"/>
  <c r="D1475" i="1"/>
  <c r="F1475" i="1"/>
  <c r="G1475" i="1"/>
  <c r="N1475" i="1"/>
  <c r="R1475" i="1" s="1"/>
  <c r="C1476" i="1"/>
  <c r="D1476" i="1"/>
  <c r="F1476" i="1"/>
  <c r="G1476" i="1"/>
  <c r="N1476" i="1"/>
  <c r="R1476" i="1" s="1"/>
  <c r="C1477" i="1"/>
  <c r="D1477" i="1"/>
  <c r="F1477" i="1"/>
  <c r="G1477" i="1"/>
  <c r="N1477" i="1"/>
  <c r="R1477" i="1" s="1"/>
  <c r="C1478" i="1"/>
  <c r="D1478" i="1"/>
  <c r="F1478" i="1"/>
  <c r="G1478" i="1"/>
  <c r="N1478" i="1"/>
  <c r="R1478" i="1" s="1"/>
  <c r="C1481" i="1"/>
  <c r="D1481" i="1"/>
  <c r="F1481" i="1"/>
  <c r="G1481" i="1"/>
  <c r="N1481" i="1"/>
  <c r="R1481" i="1" s="1"/>
  <c r="C1482" i="1"/>
  <c r="D1482" i="1"/>
  <c r="F1482" i="1"/>
  <c r="G1482" i="1"/>
  <c r="N1482" i="1"/>
  <c r="R1482" i="1" s="1"/>
  <c r="W1482" i="1" s="1"/>
  <c r="C1484" i="1"/>
  <c r="D1484" i="1"/>
  <c r="F1484" i="1"/>
  <c r="G1484" i="1"/>
  <c r="N1484" i="1"/>
  <c r="R1484" i="1" s="1"/>
  <c r="C1486" i="1"/>
  <c r="D1486" i="1"/>
  <c r="F1486" i="1"/>
  <c r="G1486" i="1"/>
  <c r="N1486" i="1"/>
  <c r="R1486" i="1" s="1"/>
  <c r="C1487" i="1"/>
  <c r="D1487" i="1"/>
  <c r="F1487" i="1"/>
  <c r="G1487" i="1"/>
  <c r="N1487" i="1"/>
  <c r="R1487" i="1" s="1"/>
  <c r="C1490" i="1"/>
  <c r="D1490" i="1"/>
  <c r="F1490" i="1"/>
  <c r="G1490" i="1"/>
  <c r="N1490" i="1"/>
  <c r="R1490" i="1" s="1"/>
  <c r="C1491" i="1"/>
  <c r="D1491" i="1"/>
  <c r="F1491" i="1"/>
  <c r="G1491" i="1"/>
  <c r="N1491" i="1"/>
  <c r="R1491" i="1" s="1"/>
  <c r="C1493" i="1"/>
  <c r="D1493" i="1"/>
  <c r="F1493" i="1"/>
  <c r="G1493" i="1"/>
  <c r="N1493" i="1"/>
  <c r="R1493" i="1" s="1"/>
  <c r="C1494" i="1"/>
  <c r="D1494" i="1"/>
  <c r="F1494" i="1"/>
  <c r="G1494" i="1"/>
  <c r="N1494" i="1"/>
  <c r="R1494" i="1" s="1"/>
  <c r="C1495" i="1"/>
  <c r="D1495" i="1"/>
  <c r="F1495" i="1"/>
  <c r="G1495" i="1"/>
  <c r="N1495" i="1"/>
  <c r="R1495" i="1" s="1"/>
  <c r="C1496" i="1"/>
  <c r="D1496" i="1"/>
  <c r="F1496" i="1"/>
  <c r="G1496" i="1"/>
  <c r="N1496" i="1"/>
  <c r="R1496" i="1" s="1"/>
  <c r="C1497" i="1"/>
  <c r="D1497" i="1"/>
  <c r="F1497" i="1"/>
  <c r="G1497" i="1"/>
  <c r="N1497" i="1"/>
  <c r="R1497" i="1" s="1"/>
  <c r="C1498" i="1"/>
  <c r="D1498" i="1"/>
  <c r="F1498" i="1"/>
  <c r="G1498" i="1"/>
  <c r="N1498" i="1"/>
  <c r="R1498" i="1" s="1"/>
  <c r="C1499" i="1"/>
  <c r="D1499" i="1"/>
  <c r="F1499" i="1"/>
  <c r="G1499" i="1"/>
  <c r="N1499" i="1"/>
  <c r="R1499" i="1" s="1"/>
  <c r="C1500" i="1"/>
  <c r="D1500" i="1"/>
  <c r="F1500" i="1"/>
  <c r="G1500" i="1"/>
  <c r="N1500" i="1"/>
  <c r="R1500" i="1" s="1"/>
  <c r="W1500" i="1" s="1"/>
  <c r="C1501" i="1"/>
  <c r="D1501" i="1"/>
  <c r="F1501" i="1"/>
  <c r="G1501" i="1"/>
  <c r="N1501" i="1"/>
  <c r="R1501" i="1" s="1"/>
  <c r="W1501" i="1" s="1"/>
  <c r="C1502" i="1"/>
  <c r="D1502" i="1"/>
  <c r="F1502" i="1"/>
  <c r="G1502" i="1"/>
  <c r="N1502" i="1"/>
  <c r="R1502" i="1" s="1"/>
  <c r="C1506" i="1"/>
  <c r="D1506" i="1"/>
  <c r="F1506" i="1"/>
  <c r="G1506" i="1"/>
  <c r="N1506" i="1"/>
  <c r="R1506" i="1" s="1"/>
  <c r="W1506" i="1" s="1"/>
  <c r="C1507" i="1"/>
  <c r="D1507" i="1"/>
  <c r="F1507" i="1"/>
  <c r="G1507" i="1"/>
  <c r="N1507" i="1"/>
  <c r="R1507" i="1" s="1"/>
  <c r="W1507" i="1" s="1"/>
  <c r="C1508" i="1"/>
  <c r="D1508" i="1"/>
  <c r="F1508" i="1"/>
  <c r="G1508" i="1"/>
  <c r="N1508" i="1"/>
  <c r="R1508" i="1" s="1"/>
  <c r="W1508" i="1" s="1"/>
  <c r="C1509" i="1"/>
  <c r="D1509" i="1"/>
  <c r="F1509" i="1"/>
  <c r="G1509" i="1"/>
  <c r="N1509" i="1"/>
  <c r="R1509" i="1" s="1"/>
  <c r="W1509" i="1" s="1"/>
  <c r="C1513" i="1"/>
  <c r="D1513" i="1"/>
  <c r="F1513" i="1"/>
  <c r="G1513" i="1"/>
  <c r="N1513" i="1"/>
  <c r="R1513" i="1" s="1"/>
  <c r="W1513" i="1" s="1"/>
  <c r="C1514" i="1"/>
  <c r="D1514" i="1"/>
  <c r="F1514" i="1"/>
  <c r="G1514" i="1"/>
  <c r="N1514" i="1"/>
  <c r="R1514" i="1" s="1"/>
  <c r="C1515" i="1"/>
  <c r="D1515" i="1"/>
  <c r="F1515" i="1"/>
  <c r="G1515" i="1"/>
  <c r="N1515" i="1"/>
  <c r="R1515" i="1" s="1"/>
  <c r="A1354" i="1"/>
  <c r="A1355" i="1"/>
  <c r="A1356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7" i="1"/>
  <c r="A1418" i="1"/>
  <c r="A1419" i="1"/>
  <c r="A1420" i="1"/>
  <c r="A1422" i="1"/>
  <c r="A1423" i="1"/>
  <c r="A1424" i="1"/>
  <c r="A1425" i="1"/>
  <c r="A1426" i="1"/>
  <c r="A1427" i="1"/>
  <c r="A1429" i="1"/>
  <c r="A1430" i="1"/>
  <c r="A1431" i="1"/>
  <c r="A1432" i="1"/>
  <c r="A1433" i="1"/>
  <c r="A1434" i="1"/>
  <c r="A1435" i="1"/>
  <c r="A1436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70" i="1"/>
  <c r="A1471" i="1"/>
  <c r="A1472" i="1"/>
  <c r="A1473" i="1"/>
  <c r="A1474" i="1"/>
  <c r="A1475" i="1"/>
  <c r="A1476" i="1"/>
  <c r="A1477" i="1"/>
  <c r="A1478" i="1"/>
  <c r="A1481" i="1"/>
  <c r="A1482" i="1"/>
  <c r="A1484" i="1"/>
  <c r="A1486" i="1"/>
  <c r="A1487" i="1"/>
  <c r="A1490" i="1"/>
  <c r="A1491" i="1"/>
  <c r="A1493" i="1"/>
  <c r="A1494" i="1"/>
  <c r="A1495" i="1"/>
  <c r="A1496" i="1"/>
  <c r="A1497" i="1"/>
  <c r="A1498" i="1"/>
  <c r="A1499" i="1"/>
  <c r="A1500" i="1"/>
  <c r="A1501" i="1"/>
  <c r="A1502" i="1"/>
  <c r="A1506" i="1"/>
  <c r="A1507" i="1"/>
  <c r="A1508" i="1"/>
  <c r="A1509" i="1"/>
  <c r="A1513" i="1"/>
  <c r="A1514" i="1"/>
  <c r="A1515" i="1"/>
  <c r="C1296" i="1"/>
  <c r="D1296" i="1"/>
  <c r="F1296" i="1"/>
  <c r="G1296" i="1"/>
  <c r="N1296" i="1"/>
  <c r="R1296" i="1" s="1"/>
  <c r="W1296" i="1" s="1"/>
  <c r="C1297" i="1"/>
  <c r="D1297" i="1"/>
  <c r="F1297" i="1"/>
  <c r="G1297" i="1"/>
  <c r="N1297" i="1"/>
  <c r="R1297" i="1" s="1"/>
  <c r="C1298" i="1"/>
  <c r="D1298" i="1"/>
  <c r="F1298" i="1"/>
  <c r="G1298" i="1"/>
  <c r="I1298" i="1"/>
  <c r="J1298" i="1"/>
  <c r="K1298" i="1"/>
  <c r="L1298" i="1"/>
  <c r="N1298" i="1"/>
  <c r="R1298" i="1" s="1"/>
  <c r="W1298" i="1" s="1"/>
  <c r="C1299" i="1"/>
  <c r="D1299" i="1"/>
  <c r="F1299" i="1"/>
  <c r="G1299" i="1"/>
  <c r="N1299" i="1"/>
  <c r="R1299" i="1" s="1"/>
  <c r="C1301" i="1"/>
  <c r="D1301" i="1"/>
  <c r="F1301" i="1"/>
  <c r="G1301" i="1"/>
  <c r="N1301" i="1"/>
  <c r="R1301" i="1" s="1"/>
  <c r="C1302" i="1"/>
  <c r="D1302" i="1"/>
  <c r="F1302" i="1"/>
  <c r="G1302" i="1"/>
  <c r="N1302" i="1"/>
  <c r="R1302" i="1" s="1"/>
  <c r="W1302" i="1" s="1"/>
  <c r="C1303" i="1"/>
  <c r="D1303" i="1"/>
  <c r="F1303" i="1"/>
  <c r="G1303" i="1"/>
  <c r="N1303" i="1"/>
  <c r="R1303" i="1" s="1"/>
  <c r="C1304" i="1"/>
  <c r="D1304" i="1"/>
  <c r="F1304" i="1"/>
  <c r="G1304" i="1"/>
  <c r="N1304" i="1"/>
  <c r="R1304" i="1" s="1"/>
  <c r="C1306" i="1"/>
  <c r="D1306" i="1"/>
  <c r="F1306" i="1"/>
  <c r="G1306" i="1"/>
  <c r="N1306" i="1"/>
  <c r="R1306" i="1" s="1"/>
  <c r="U1306" i="1" s="1"/>
  <c r="C1307" i="1"/>
  <c r="D1307" i="1"/>
  <c r="F1307" i="1"/>
  <c r="G1307" i="1"/>
  <c r="N1307" i="1"/>
  <c r="R1307" i="1" s="1"/>
  <c r="C1308" i="1"/>
  <c r="D1308" i="1"/>
  <c r="F1308" i="1"/>
  <c r="G1308" i="1"/>
  <c r="N1308" i="1"/>
  <c r="R1308" i="1" s="1"/>
  <c r="C1309" i="1"/>
  <c r="D1309" i="1"/>
  <c r="F1309" i="1"/>
  <c r="G1309" i="1"/>
  <c r="N1309" i="1"/>
  <c r="R1309" i="1" s="1"/>
  <c r="W1309" i="1" s="1"/>
  <c r="C1310" i="1"/>
  <c r="D1310" i="1"/>
  <c r="F1310" i="1"/>
  <c r="G1310" i="1"/>
  <c r="N1310" i="1"/>
  <c r="R1310" i="1" s="1"/>
  <c r="C1311" i="1"/>
  <c r="D1311" i="1"/>
  <c r="F1311" i="1"/>
  <c r="G1311" i="1"/>
  <c r="N1311" i="1"/>
  <c r="R1311" i="1" s="1"/>
  <c r="C1312" i="1"/>
  <c r="D1312" i="1"/>
  <c r="F1312" i="1"/>
  <c r="G1312" i="1"/>
  <c r="N1312" i="1"/>
  <c r="R1312" i="1" s="1"/>
  <c r="C1313" i="1"/>
  <c r="D1313" i="1"/>
  <c r="F1313" i="1"/>
  <c r="G1313" i="1"/>
  <c r="N1313" i="1"/>
  <c r="R1313" i="1" s="1"/>
  <c r="W1313" i="1" s="1"/>
  <c r="C1314" i="1"/>
  <c r="D1314" i="1"/>
  <c r="F1314" i="1"/>
  <c r="G1314" i="1"/>
  <c r="N1314" i="1"/>
  <c r="R1314" i="1" s="1"/>
  <c r="U1314" i="1" s="1"/>
  <c r="C1315" i="1"/>
  <c r="D1315" i="1"/>
  <c r="F1315" i="1"/>
  <c r="G1315" i="1"/>
  <c r="N1315" i="1"/>
  <c r="R1315" i="1" s="1"/>
  <c r="C1316" i="1"/>
  <c r="D1316" i="1"/>
  <c r="F1316" i="1"/>
  <c r="G1316" i="1"/>
  <c r="N1316" i="1"/>
  <c r="R1316" i="1" s="1"/>
  <c r="C1317" i="1"/>
  <c r="D1317" i="1"/>
  <c r="F1317" i="1"/>
  <c r="G1317" i="1"/>
  <c r="N1317" i="1"/>
  <c r="R1317" i="1" s="1"/>
  <c r="C1318" i="1"/>
  <c r="D1318" i="1"/>
  <c r="F1318" i="1"/>
  <c r="G1318" i="1"/>
  <c r="N1318" i="1"/>
  <c r="R1318" i="1" s="1"/>
  <c r="C1319" i="1"/>
  <c r="D1319" i="1"/>
  <c r="F1319" i="1"/>
  <c r="G1319" i="1"/>
  <c r="N1319" i="1"/>
  <c r="R1319" i="1" s="1"/>
  <c r="C1320" i="1"/>
  <c r="D1320" i="1"/>
  <c r="F1320" i="1"/>
  <c r="G1320" i="1"/>
  <c r="N1320" i="1"/>
  <c r="R1320" i="1" s="1"/>
  <c r="C1321" i="1"/>
  <c r="D1321" i="1"/>
  <c r="F1321" i="1"/>
  <c r="G1321" i="1"/>
  <c r="N1321" i="1"/>
  <c r="R1321" i="1" s="1"/>
  <c r="C1322" i="1"/>
  <c r="D1322" i="1"/>
  <c r="F1322" i="1"/>
  <c r="G1322" i="1"/>
  <c r="N1322" i="1"/>
  <c r="R1322" i="1" s="1"/>
  <c r="C1323" i="1"/>
  <c r="D1323" i="1"/>
  <c r="F1323" i="1"/>
  <c r="G1323" i="1"/>
  <c r="N1323" i="1"/>
  <c r="R1323" i="1" s="1"/>
  <c r="U1323" i="1" s="1"/>
  <c r="C1324" i="1"/>
  <c r="D1324" i="1"/>
  <c r="F1324" i="1"/>
  <c r="G1324" i="1"/>
  <c r="N1324" i="1"/>
  <c r="R1324" i="1" s="1"/>
  <c r="C1325" i="1"/>
  <c r="D1325" i="1"/>
  <c r="F1325" i="1"/>
  <c r="G1325" i="1"/>
  <c r="N1325" i="1"/>
  <c r="R1325" i="1" s="1"/>
  <c r="C1326" i="1"/>
  <c r="D1326" i="1"/>
  <c r="F1326" i="1"/>
  <c r="G1326" i="1"/>
  <c r="N1326" i="1"/>
  <c r="R1326" i="1" s="1"/>
  <c r="C1327" i="1"/>
  <c r="D1327" i="1"/>
  <c r="F1327" i="1"/>
  <c r="G1327" i="1"/>
  <c r="N1327" i="1"/>
  <c r="R1327" i="1" s="1"/>
  <c r="C1328" i="1"/>
  <c r="D1328" i="1"/>
  <c r="F1328" i="1"/>
  <c r="G1328" i="1"/>
  <c r="N1328" i="1"/>
  <c r="R1328" i="1" s="1"/>
  <c r="C1329" i="1"/>
  <c r="D1329" i="1"/>
  <c r="F1329" i="1"/>
  <c r="G1329" i="1"/>
  <c r="N1329" i="1"/>
  <c r="R1329" i="1" s="1"/>
  <c r="W1329" i="1" s="1"/>
  <c r="C1330" i="1"/>
  <c r="D1330" i="1"/>
  <c r="F1330" i="1"/>
  <c r="G1330" i="1"/>
  <c r="N1330" i="1"/>
  <c r="R1330" i="1" s="1"/>
  <c r="C1331" i="1"/>
  <c r="D1331" i="1"/>
  <c r="F1331" i="1"/>
  <c r="G1331" i="1"/>
  <c r="N1331" i="1"/>
  <c r="R1331" i="1" s="1"/>
  <c r="C1332" i="1"/>
  <c r="D1332" i="1"/>
  <c r="F1332" i="1"/>
  <c r="G1332" i="1"/>
  <c r="N1332" i="1"/>
  <c r="R1332" i="1" s="1"/>
  <c r="C1333" i="1"/>
  <c r="D1333" i="1"/>
  <c r="F1333" i="1"/>
  <c r="G1333" i="1"/>
  <c r="N1333" i="1"/>
  <c r="R1333" i="1" s="1"/>
  <c r="C1334" i="1"/>
  <c r="D1334" i="1"/>
  <c r="F1334" i="1"/>
  <c r="G1334" i="1"/>
  <c r="N1334" i="1"/>
  <c r="R1334" i="1" s="1"/>
  <c r="C1335" i="1"/>
  <c r="D1335" i="1"/>
  <c r="F1335" i="1"/>
  <c r="G1335" i="1"/>
  <c r="N1335" i="1"/>
  <c r="R1335" i="1" s="1"/>
  <c r="C1336" i="1"/>
  <c r="D1336" i="1"/>
  <c r="F1336" i="1"/>
  <c r="G1336" i="1"/>
  <c r="N1336" i="1"/>
  <c r="R1336" i="1" s="1"/>
  <c r="C1337" i="1"/>
  <c r="D1337" i="1"/>
  <c r="F1337" i="1"/>
  <c r="G1337" i="1"/>
  <c r="N1337" i="1"/>
  <c r="R1337" i="1" s="1"/>
  <c r="C1338" i="1"/>
  <c r="D1338" i="1"/>
  <c r="F1338" i="1"/>
  <c r="G1338" i="1"/>
  <c r="N1338" i="1"/>
  <c r="R1338" i="1" s="1"/>
  <c r="C1339" i="1"/>
  <c r="D1339" i="1"/>
  <c r="F1339" i="1"/>
  <c r="G1339" i="1"/>
  <c r="N1339" i="1"/>
  <c r="R1339" i="1" s="1"/>
  <c r="C1340" i="1"/>
  <c r="D1340" i="1"/>
  <c r="F1340" i="1"/>
  <c r="G1340" i="1"/>
  <c r="N1340" i="1"/>
  <c r="R1340" i="1" s="1"/>
  <c r="C1341" i="1"/>
  <c r="D1341" i="1"/>
  <c r="F1341" i="1"/>
  <c r="G1341" i="1"/>
  <c r="N1341" i="1"/>
  <c r="R1341" i="1" s="1"/>
  <c r="C1342" i="1"/>
  <c r="D1342" i="1"/>
  <c r="F1342" i="1"/>
  <c r="G1342" i="1"/>
  <c r="N1342" i="1"/>
  <c r="R1342" i="1" s="1"/>
  <c r="C1343" i="1"/>
  <c r="D1343" i="1"/>
  <c r="F1343" i="1"/>
  <c r="G1343" i="1"/>
  <c r="N1343" i="1"/>
  <c r="R1343" i="1" s="1"/>
  <c r="C1344" i="1"/>
  <c r="D1344" i="1"/>
  <c r="F1344" i="1"/>
  <c r="G1344" i="1"/>
  <c r="N1344" i="1"/>
  <c r="R1344" i="1" s="1"/>
  <c r="W1344" i="1" s="1"/>
  <c r="C1345" i="1"/>
  <c r="D1345" i="1"/>
  <c r="F1345" i="1"/>
  <c r="G1345" i="1"/>
  <c r="N1345" i="1"/>
  <c r="R1345" i="1" s="1"/>
  <c r="C1346" i="1"/>
  <c r="D1346" i="1"/>
  <c r="F1346" i="1"/>
  <c r="G1346" i="1"/>
  <c r="N1346" i="1"/>
  <c r="R1346" i="1" s="1"/>
  <c r="C1347" i="1"/>
  <c r="D1347" i="1"/>
  <c r="F1347" i="1"/>
  <c r="G1347" i="1"/>
  <c r="N1347" i="1"/>
  <c r="R1347" i="1" s="1"/>
  <c r="U1347" i="1" s="1"/>
  <c r="C1348" i="1"/>
  <c r="D1348" i="1"/>
  <c r="F1348" i="1"/>
  <c r="G1348" i="1"/>
  <c r="N1348" i="1"/>
  <c r="R1348" i="1" s="1"/>
  <c r="U1348" i="1" s="1"/>
  <c r="C1349" i="1"/>
  <c r="D1349" i="1"/>
  <c r="F1349" i="1"/>
  <c r="G1349" i="1"/>
  <c r="N1349" i="1"/>
  <c r="R1349" i="1" s="1"/>
  <c r="C1350" i="1"/>
  <c r="D1350" i="1"/>
  <c r="F1350" i="1"/>
  <c r="G1350" i="1"/>
  <c r="N1350" i="1"/>
  <c r="R1350" i="1" s="1"/>
  <c r="U1350" i="1" s="1"/>
  <c r="C1351" i="1"/>
  <c r="D1351" i="1"/>
  <c r="F1351" i="1"/>
  <c r="G1351" i="1"/>
  <c r="N1351" i="1"/>
  <c r="R1351" i="1" s="1"/>
  <c r="C1352" i="1"/>
  <c r="D1352" i="1"/>
  <c r="F1352" i="1"/>
  <c r="G1352" i="1"/>
  <c r="N1352" i="1"/>
  <c r="R1352" i="1" s="1"/>
  <c r="U1352" i="1" s="1"/>
  <c r="C1353" i="1"/>
  <c r="D1353" i="1"/>
  <c r="F1353" i="1"/>
  <c r="G1353" i="1"/>
  <c r="N1353" i="1"/>
  <c r="R1353" i="1" s="1"/>
  <c r="A1296" i="1"/>
  <c r="A1297" i="1"/>
  <c r="A1298" i="1"/>
  <c r="A1299" i="1"/>
  <c r="A1301" i="1"/>
  <c r="A1302" i="1"/>
  <c r="A1303" i="1"/>
  <c r="A1304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C1120" i="1"/>
  <c r="D1120" i="1"/>
  <c r="F1120" i="1"/>
  <c r="G1120" i="1"/>
  <c r="N1120" i="1"/>
  <c r="R1120" i="1" s="1"/>
  <c r="C1121" i="1"/>
  <c r="D1121" i="1"/>
  <c r="F1121" i="1"/>
  <c r="G1121" i="1"/>
  <c r="N1121" i="1"/>
  <c r="R1121" i="1" s="1"/>
  <c r="C1122" i="1"/>
  <c r="D1122" i="1"/>
  <c r="F1122" i="1"/>
  <c r="G1122" i="1"/>
  <c r="N1122" i="1"/>
  <c r="R1122" i="1" s="1"/>
  <c r="C1123" i="1"/>
  <c r="D1123" i="1"/>
  <c r="F1123" i="1"/>
  <c r="G1123" i="1"/>
  <c r="N1123" i="1"/>
  <c r="R1123" i="1" s="1"/>
  <c r="C1124" i="1"/>
  <c r="D1124" i="1"/>
  <c r="F1124" i="1"/>
  <c r="G1124" i="1"/>
  <c r="N1124" i="1"/>
  <c r="R1124" i="1" s="1"/>
  <c r="C1125" i="1"/>
  <c r="D1125" i="1"/>
  <c r="F1125" i="1"/>
  <c r="G1125" i="1"/>
  <c r="N1125" i="1"/>
  <c r="R1125" i="1" s="1"/>
  <c r="C1126" i="1"/>
  <c r="D1126" i="1"/>
  <c r="F1126" i="1"/>
  <c r="G1126" i="1"/>
  <c r="N1126" i="1"/>
  <c r="R1126" i="1" s="1"/>
  <c r="C1127" i="1"/>
  <c r="D1127" i="1"/>
  <c r="F1127" i="1"/>
  <c r="G1127" i="1"/>
  <c r="N1127" i="1"/>
  <c r="R1127" i="1" s="1"/>
  <c r="C1128" i="1"/>
  <c r="D1128" i="1"/>
  <c r="F1128" i="1"/>
  <c r="G1128" i="1"/>
  <c r="N1128" i="1"/>
  <c r="R1128" i="1" s="1"/>
  <c r="C1129" i="1"/>
  <c r="D1129" i="1"/>
  <c r="F1129" i="1"/>
  <c r="G1129" i="1"/>
  <c r="N1129" i="1"/>
  <c r="R1129" i="1" s="1"/>
  <c r="C1130" i="1"/>
  <c r="D1130" i="1"/>
  <c r="F1130" i="1"/>
  <c r="G1130" i="1"/>
  <c r="N1130" i="1"/>
  <c r="R1130" i="1" s="1"/>
  <c r="C1131" i="1"/>
  <c r="D1131" i="1"/>
  <c r="F1131" i="1"/>
  <c r="G1131" i="1"/>
  <c r="N1131" i="1"/>
  <c r="R1131" i="1" s="1"/>
  <c r="C1132" i="1"/>
  <c r="D1132" i="1"/>
  <c r="F1132" i="1"/>
  <c r="G1132" i="1"/>
  <c r="N1132" i="1"/>
  <c r="R1132" i="1" s="1"/>
  <c r="C1133" i="1"/>
  <c r="D1133" i="1"/>
  <c r="F1133" i="1"/>
  <c r="G1133" i="1"/>
  <c r="N1133" i="1"/>
  <c r="R1133" i="1" s="1"/>
  <c r="C1136" i="1"/>
  <c r="D1136" i="1"/>
  <c r="F1136" i="1"/>
  <c r="G1136" i="1"/>
  <c r="N1136" i="1"/>
  <c r="R1136" i="1" s="1"/>
  <c r="W1136" i="1" s="1"/>
  <c r="C1137" i="1"/>
  <c r="D1137" i="1"/>
  <c r="F1137" i="1"/>
  <c r="G1137" i="1"/>
  <c r="N1137" i="1"/>
  <c r="R1137" i="1" s="1"/>
  <c r="C1138" i="1"/>
  <c r="D1138" i="1"/>
  <c r="F1138" i="1"/>
  <c r="G1138" i="1"/>
  <c r="N1138" i="1"/>
  <c r="R1138" i="1" s="1"/>
  <c r="C1139" i="1"/>
  <c r="D1139" i="1"/>
  <c r="F1139" i="1"/>
  <c r="G1139" i="1"/>
  <c r="N1139" i="1"/>
  <c r="R1139" i="1" s="1"/>
  <c r="C1140" i="1"/>
  <c r="D1140" i="1"/>
  <c r="F1140" i="1"/>
  <c r="G1140" i="1"/>
  <c r="N1140" i="1"/>
  <c r="R1140" i="1" s="1"/>
  <c r="C1141" i="1"/>
  <c r="D1141" i="1"/>
  <c r="F1141" i="1"/>
  <c r="G1141" i="1"/>
  <c r="N1141" i="1"/>
  <c r="R1141" i="1" s="1"/>
  <c r="C1142" i="1"/>
  <c r="D1142" i="1"/>
  <c r="F1142" i="1"/>
  <c r="G1142" i="1"/>
  <c r="N1142" i="1"/>
  <c r="R1142" i="1" s="1"/>
  <c r="W1142" i="1" s="1"/>
  <c r="C1143" i="1"/>
  <c r="D1143" i="1"/>
  <c r="F1143" i="1"/>
  <c r="G1143" i="1"/>
  <c r="N1143" i="1"/>
  <c r="R1143" i="1" s="1"/>
  <c r="C1144" i="1"/>
  <c r="D1144" i="1"/>
  <c r="F1144" i="1"/>
  <c r="G1144" i="1"/>
  <c r="N1144" i="1"/>
  <c r="R1144" i="1" s="1"/>
  <c r="C1145" i="1"/>
  <c r="D1145" i="1"/>
  <c r="F1145" i="1"/>
  <c r="G1145" i="1"/>
  <c r="N1145" i="1"/>
  <c r="R1145" i="1" s="1"/>
  <c r="W1145" i="1" s="1"/>
  <c r="C1146" i="1"/>
  <c r="D1146" i="1"/>
  <c r="F1146" i="1"/>
  <c r="G1146" i="1"/>
  <c r="N1146" i="1"/>
  <c r="R1146" i="1" s="1"/>
  <c r="W1146" i="1" s="1"/>
  <c r="C1147" i="1"/>
  <c r="D1147" i="1"/>
  <c r="F1147" i="1"/>
  <c r="G1147" i="1"/>
  <c r="N1147" i="1"/>
  <c r="R1147" i="1" s="1"/>
  <c r="C1152" i="1"/>
  <c r="D1152" i="1"/>
  <c r="F1152" i="1"/>
  <c r="G1152" i="1"/>
  <c r="N1152" i="1"/>
  <c r="R1152" i="1" s="1"/>
  <c r="C1155" i="1"/>
  <c r="D1155" i="1"/>
  <c r="F1155" i="1"/>
  <c r="G1155" i="1"/>
  <c r="N1155" i="1"/>
  <c r="R1155" i="1" s="1"/>
  <c r="C1156" i="1"/>
  <c r="D1156" i="1"/>
  <c r="F1156" i="1"/>
  <c r="G1156" i="1"/>
  <c r="N1156" i="1"/>
  <c r="R1156" i="1" s="1"/>
  <c r="W1156" i="1" s="1"/>
  <c r="C1157" i="1"/>
  <c r="D1157" i="1"/>
  <c r="F1157" i="1"/>
  <c r="G1157" i="1"/>
  <c r="N1157" i="1"/>
  <c r="R1157" i="1" s="1"/>
  <c r="C1158" i="1"/>
  <c r="D1158" i="1"/>
  <c r="F1158" i="1"/>
  <c r="G1158" i="1"/>
  <c r="N1158" i="1"/>
  <c r="R1158" i="1" s="1"/>
  <c r="C1160" i="1"/>
  <c r="D1160" i="1"/>
  <c r="F1160" i="1"/>
  <c r="G1160" i="1"/>
  <c r="N1160" i="1"/>
  <c r="R1160" i="1" s="1"/>
  <c r="C1168" i="1"/>
  <c r="D1168" i="1"/>
  <c r="F1168" i="1"/>
  <c r="G1168" i="1"/>
  <c r="N1168" i="1"/>
  <c r="R1168" i="1" s="1"/>
  <c r="C1169" i="1"/>
  <c r="D1169" i="1"/>
  <c r="F1169" i="1"/>
  <c r="G1169" i="1"/>
  <c r="N1169" i="1"/>
  <c r="R1169" i="1" s="1"/>
  <c r="W1169" i="1" s="1"/>
  <c r="C1170" i="1"/>
  <c r="D1170" i="1"/>
  <c r="F1170" i="1"/>
  <c r="G1170" i="1"/>
  <c r="N1170" i="1"/>
  <c r="R1170" i="1" s="1"/>
  <c r="C1171" i="1"/>
  <c r="D1171" i="1"/>
  <c r="F1171" i="1"/>
  <c r="G1171" i="1"/>
  <c r="N1171" i="1"/>
  <c r="R1171" i="1" s="1"/>
  <c r="C1172" i="1"/>
  <c r="D1172" i="1"/>
  <c r="F1172" i="1"/>
  <c r="G1172" i="1"/>
  <c r="N1172" i="1"/>
  <c r="R1172" i="1" s="1"/>
  <c r="C1173" i="1"/>
  <c r="D1173" i="1"/>
  <c r="F1173" i="1"/>
  <c r="G1173" i="1"/>
  <c r="N1173" i="1"/>
  <c r="R1173" i="1" s="1"/>
  <c r="C1174" i="1"/>
  <c r="D1174" i="1"/>
  <c r="F1174" i="1"/>
  <c r="G1174" i="1"/>
  <c r="N1174" i="1"/>
  <c r="R1174" i="1" s="1"/>
  <c r="C1175" i="1"/>
  <c r="D1175" i="1"/>
  <c r="F1175" i="1"/>
  <c r="G1175" i="1"/>
  <c r="N1175" i="1"/>
  <c r="R1175" i="1" s="1"/>
  <c r="C1176" i="1"/>
  <c r="D1176" i="1"/>
  <c r="F1176" i="1"/>
  <c r="G1176" i="1"/>
  <c r="N1176" i="1"/>
  <c r="R1176" i="1" s="1"/>
  <c r="C1177" i="1"/>
  <c r="D1177" i="1"/>
  <c r="F1177" i="1"/>
  <c r="G1177" i="1"/>
  <c r="N1177" i="1"/>
  <c r="R1177" i="1" s="1"/>
  <c r="C1178" i="1"/>
  <c r="D1178" i="1"/>
  <c r="F1178" i="1"/>
  <c r="G1178" i="1"/>
  <c r="N1178" i="1"/>
  <c r="R1178" i="1" s="1"/>
  <c r="C1179" i="1"/>
  <c r="D1179" i="1"/>
  <c r="F1179" i="1"/>
  <c r="G1179" i="1"/>
  <c r="N1179" i="1"/>
  <c r="R1179" i="1" s="1"/>
  <c r="C1180" i="1"/>
  <c r="D1180" i="1"/>
  <c r="F1180" i="1"/>
  <c r="G1180" i="1"/>
  <c r="N1180" i="1"/>
  <c r="R1180" i="1" s="1"/>
  <c r="C1181" i="1"/>
  <c r="D1181" i="1"/>
  <c r="F1181" i="1"/>
  <c r="G1181" i="1"/>
  <c r="N1181" i="1"/>
  <c r="R1181" i="1" s="1"/>
  <c r="C1182" i="1"/>
  <c r="D1182" i="1"/>
  <c r="F1182" i="1"/>
  <c r="G1182" i="1"/>
  <c r="N1182" i="1"/>
  <c r="R1182" i="1" s="1"/>
  <c r="C1183" i="1"/>
  <c r="D1183" i="1"/>
  <c r="F1183" i="1"/>
  <c r="G1183" i="1"/>
  <c r="N1183" i="1"/>
  <c r="R1183" i="1" s="1"/>
  <c r="C1184" i="1"/>
  <c r="D1184" i="1"/>
  <c r="F1184" i="1"/>
  <c r="G1184" i="1"/>
  <c r="N1184" i="1"/>
  <c r="R1184" i="1" s="1"/>
  <c r="C1185" i="1"/>
  <c r="D1185" i="1"/>
  <c r="F1185" i="1"/>
  <c r="G1185" i="1"/>
  <c r="N1185" i="1"/>
  <c r="R1185" i="1" s="1"/>
  <c r="C1187" i="1"/>
  <c r="D1187" i="1"/>
  <c r="F1187" i="1"/>
  <c r="G1187" i="1"/>
  <c r="N1187" i="1"/>
  <c r="R1187" i="1" s="1"/>
  <c r="C1189" i="1"/>
  <c r="D1189" i="1"/>
  <c r="F1189" i="1"/>
  <c r="G1189" i="1"/>
  <c r="N1189" i="1"/>
  <c r="R1189" i="1" s="1"/>
  <c r="C1191" i="1"/>
  <c r="D1191" i="1"/>
  <c r="F1191" i="1"/>
  <c r="G1191" i="1"/>
  <c r="N1191" i="1"/>
  <c r="R1191" i="1" s="1"/>
  <c r="C1192" i="1"/>
  <c r="D1192" i="1"/>
  <c r="F1192" i="1"/>
  <c r="G1192" i="1"/>
  <c r="N1192" i="1"/>
  <c r="R1192" i="1" s="1"/>
  <c r="C1193" i="1"/>
  <c r="D1193" i="1"/>
  <c r="F1193" i="1"/>
  <c r="G1193" i="1"/>
  <c r="N1193" i="1"/>
  <c r="R1193" i="1" s="1"/>
  <c r="C1195" i="1"/>
  <c r="D1195" i="1"/>
  <c r="F1195" i="1"/>
  <c r="G1195" i="1"/>
  <c r="N1195" i="1"/>
  <c r="R1195" i="1" s="1"/>
  <c r="C1196" i="1"/>
  <c r="D1196" i="1"/>
  <c r="F1196" i="1"/>
  <c r="G1196" i="1"/>
  <c r="N1196" i="1"/>
  <c r="R1196" i="1" s="1"/>
  <c r="C1197" i="1"/>
  <c r="D1197" i="1"/>
  <c r="F1197" i="1"/>
  <c r="G1197" i="1"/>
  <c r="N1197" i="1"/>
  <c r="R1197" i="1" s="1"/>
  <c r="U1197" i="1" s="1"/>
  <c r="C1198" i="1"/>
  <c r="D1198" i="1"/>
  <c r="F1198" i="1"/>
  <c r="G1198" i="1"/>
  <c r="N1198" i="1"/>
  <c r="R1198" i="1" s="1"/>
  <c r="W1198" i="1" s="1"/>
  <c r="C1199" i="1"/>
  <c r="D1199" i="1"/>
  <c r="F1199" i="1"/>
  <c r="G1199" i="1"/>
  <c r="N1199" i="1"/>
  <c r="R1199" i="1" s="1"/>
  <c r="C1200" i="1"/>
  <c r="D1200" i="1"/>
  <c r="F1200" i="1"/>
  <c r="G1200" i="1"/>
  <c r="N1200" i="1"/>
  <c r="R1200" i="1" s="1"/>
  <c r="C1201" i="1"/>
  <c r="D1201" i="1"/>
  <c r="F1201" i="1"/>
  <c r="G1201" i="1"/>
  <c r="N1201" i="1"/>
  <c r="R1201" i="1" s="1"/>
  <c r="C1202" i="1"/>
  <c r="D1202" i="1"/>
  <c r="F1202" i="1"/>
  <c r="G1202" i="1"/>
  <c r="N1202" i="1"/>
  <c r="R1202" i="1" s="1"/>
  <c r="C1203" i="1"/>
  <c r="D1203" i="1"/>
  <c r="F1203" i="1"/>
  <c r="G1203" i="1"/>
  <c r="N1203" i="1"/>
  <c r="R1203" i="1" s="1"/>
  <c r="C1204" i="1"/>
  <c r="D1204" i="1"/>
  <c r="F1204" i="1"/>
  <c r="G1204" i="1"/>
  <c r="N1204" i="1"/>
  <c r="R1204" i="1" s="1"/>
  <c r="W1204" i="1" s="1"/>
  <c r="C1206" i="1"/>
  <c r="D1206" i="1"/>
  <c r="F1206" i="1"/>
  <c r="G1206" i="1"/>
  <c r="N1206" i="1"/>
  <c r="R1206" i="1" s="1"/>
  <c r="C1207" i="1"/>
  <c r="D1207" i="1"/>
  <c r="F1207" i="1"/>
  <c r="G1207" i="1"/>
  <c r="N1207" i="1"/>
  <c r="R1207" i="1" s="1"/>
  <c r="C1208" i="1"/>
  <c r="D1208" i="1"/>
  <c r="F1208" i="1"/>
  <c r="G1208" i="1"/>
  <c r="N1208" i="1"/>
  <c r="R1208" i="1" s="1"/>
  <c r="C1209" i="1"/>
  <c r="D1209" i="1"/>
  <c r="F1209" i="1"/>
  <c r="G1209" i="1"/>
  <c r="N1209" i="1"/>
  <c r="C1210" i="1"/>
  <c r="D1210" i="1"/>
  <c r="F1210" i="1"/>
  <c r="G1210" i="1"/>
  <c r="N1210" i="1"/>
  <c r="C1211" i="1"/>
  <c r="D1211" i="1"/>
  <c r="F1211" i="1"/>
  <c r="G1211" i="1"/>
  <c r="N1211" i="1"/>
  <c r="R1211" i="1" s="1"/>
  <c r="W1211" i="1" s="1"/>
  <c r="C1212" i="1"/>
  <c r="D1212" i="1"/>
  <c r="F1212" i="1"/>
  <c r="G1212" i="1"/>
  <c r="N1212" i="1"/>
  <c r="R1212" i="1" s="1"/>
  <c r="C1213" i="1"/>
  <c r="D1213" i="1"/>
  <c r="F1213" i="1"/>
  <c r="G1213" i="1"/>
  <c r="N1213" i="1"/>
  <c r="R1213" i="1" s="1"/>
  <c r="C1214" i="1"/>
  <c r="D1214" i="1"/>
  <c r="F1214" i="1"/>
  <c r="G1214" i="1"/>
  <c r="N1214" i="1"/>
  <c r="R1214" i="1" s="1"/>
  <c r="C1215" i="1"/>
  <c r="D1215" i="1"/>
  <c r="F1215" i="1"/>
  <c r="G1215" i="1"/>
  <c r="N1215" i="1"/>
  <c r="R1215" i="1" s="1"/>
  <c r="W1215" i="1" s="1"/>
  <c r="C1216" i="1"/>
  <c r="D1216" i="1"/>
  <c r="F1216" i="1"/>
  <c r="G1216" i="1"/>
  <c r="N1216" i="1"/>
  <c r="R1216" i="1" s="1"/>
  <c r="C1217" i="1"/>
  <c r="D1217" i="1"/>
  <c r="F1217" i="1"/>
  <c r="G1217" i="1"/>
  <c r="N1217" i="1"/>
  <c r="R1217" i="1" s="1"/>
  <c r="W1217" i="1" s="1"/>
  <c r="C1218" i="1"/>
  <c r="D1218" i="1"/>
  <c r="F1218" i="1"/>
  <c r="G1218" i="1"/>
  <c r="N1218" i="1"/>
  <c r="R1218" i="1" s="1"/>
  <c r="C1221" i="1"/>
  <c r="D1221" i="1"/>
  <c r="F1221" i="1"/>
  <c r="G1221" i="1"/>
  <c r="N1221" i="1"/>
  <c r="R1221" i="1" s="1"/>
  <c r="W1221" i="1" s="1"/>
  <c r="C1222" i="1"/>
  <c r="D1222" i="1"/>
  <c r="F1222" i="1"/>
  <c r="G1222" i="1"/>
  <c r="N1222" i="1"/>
  <c r="R1222" i="1" s="1"/>
  <c r="C1223" i="1"/>
  <c r="D1223" i="1"/>
  <c r="F1223" i="1"/>
  <c r="G1223" i="1"/>
  <c r="N1223" i="1"/>
  <c r="R1223" i="1" s="1"/>
  <c r="W1223" i="1" s="1"/>
  <c r="C1224" i="1"/>
  <c r="D1224" i="1"/>
  <c r="F1224" i="1"/>
  <c r="G1224" i="1"/>
  <c r="N1224" i="1"/>
  <c r="R1224" i="1" s="1"/>
  <c r="C1225" i="1"/>
  <c r="D1225" i="1"/>
  <c r="F1225" i="1"/>
  <c r="G1225" i="1"/>
  <c r="N1225" i="1"/>
  <c r="R1225" i="1" s="1"/>
  <c r="C1229" i="1"/>
  <c r="D1229" i="1"/>
  <c r="F1229" i="1"/>
  <c r="G1229" i="1"/>
  <c r="N1229" i="1"/>
  <c r="R1229" i="1" s="1"/>
  <c r="C1230" i="1"/>
  <c r="D1230" i="1"/>
  <c r="F1230" i="1"/>
  <c r="G1230" i="1"/>
  <c r="N1230" i="1"/>
  <c r="R1230" i="1" s="1"/>
  <c r="C1231" i="1"/>
  <c r="D1231" i="1"/>
  <c r="F1231" i="1"/>
  <c r="G1231" i="1"/>
  <c r="N1231" i="1"/>
  <c r="R1231" i="1" s="1"/>
  <c r="C1233" i="1"/>
  <c r="D1233" i="1"/>
  <c r="F1233" i="1"/>
  <c r="G1233" i="1"/>
  <c r="N1233" i="1"/>
  <c r="R1233" i="1" s="1"/>
  <c r="C1234" i="1"/>
  <c r="D1234" i="1"/>
  <c r="F1234" i="1"/>
  <c r="G1234" i="1"/>
  <c r="N1234" i="1"/>
  <c r="R1234" i="1" s="1"/>
  <c r="C1235" i="1"/>
  <c r="D1235" i="1"/>
  <c r="F1235" i="1"/>
  <c r="G1235" i="1"/>
  <c r="N1235" i="1"/>
  <c r="R1235" i="1" s="1"/>
  <c r="C1236" i="1"/>
  <c r="D1236" i="1"/>
  <c r="F1236" i="1"/>
  <c r="G1236" i="1"/>
  <c r="N1236" i="1"/>
  <c r="R1236" i="1" s="1"/>
  <c r="C1237" i="1"/>
  <c r="D1237" i="1"/>
  <c r="F1237" i="1"/>
  <c r="G1237" i="1"/>
  <c r="N1237" i="1"/>
  <c r="R1237" i="1" s="1"/>
  <c r="C1238" i="1"/>
  <c r="D1238" i="1"/>
  <c r="F1238" i="1"/>
  <c r="G1238" i="1"/>
  <c r="N1238" i="1"/>
  <c r="R1238" i="1" s="1"/>
  <c r="C1239" i="1"/>
  <c r="D1239" i="1"/>
  <c r="F1239" i="1"/>
  <c r="G1239" i="1"/>
  <c r="N1239" i="1"/>
  <c r="R1239" i="1" s="1"/>
  <c r="C1240" i="1"/>
  <c r="D1240" i="1"/>
  <c r="F1240" i="1"/>
  <c r="G1240" i="1"/>
  <c r="N1240" i="1"/>
  <c r="R1240" i="1" s="1"/>
  <c r="C1241" i="1"/>
  <c r="D1241" i="1"/>
  <c r="F1241" i="1"/>
  <c r="G1241" i="1"/>
  <c r="N1241" i="1"/>
  <c r="R1241" i="1" s="1"/>
  <c r="C1242" i="1"/>
  <c r="D1242" i="1"/>
  <c r="F1242" i="1"/>
  <c r="G1242" i="1"/>
  <c r="N1242" i="1"/>
  <c r="R1242" i="1" s="1"/>
  <c r="C1243" i="1"/>
  <c r="D1243" i="1"/>
  <c r="F1243" i="1"/>
  <c r="G1243" i="1"/>
  <c r="N1243" i="1"/>
  <c r="R1243" i="1" s="1"/>
  <c r="C1244" i="1"/>
  <c r="D1244" i="1"/>
  <c r="F1244" i="1"/>
  <c r="G1244" i="1"/>
  <c r="N1244" i="1"/>
  <c r="R1244" i="1" s="1"/>
  <c r="C1245" i="1"/>
  <c r="D1245" i="1"/>
  <c r="F1245" i="1"/>
  <c r="G1245" i="1"/>
  <c r="N1245" i="1"/>
  <c r="R1245" i="1" s="1"/>
  <c r="C1246" i="1"/>
  <c r="D1246" i="1"/>
  <c r="F1246" i="1"/>
  <c r="G1246" i="1"/>
  <c r="N1246" i="1"/>
  <c r="R1246" i="1" s="1"/>
  <c r="C1247" i="1"/>
  <c r="D1247" i="1"/>
  <c r="F1247" i="1"/>
  <c r="G1247" i="1"/>
  <c r="N1247" i="1"/>
  <c r="R1247" i="1" s="1"/>
  <c r="C1248" i="1"/>
  <c r="D1248" i="1"/>
  <c r="F1248" i="1"/>
  <c r="G1248" i="1"/>
  <c r="N1248" i="1"/>
  <c r="R1248" i="1" s="1"/>
  <c r="C1249" i="1"/>
  <c r="D1249" i="1"/>
  <c r="F1249" i="1"/>
  <c r="G1249" i="1"/>
  <c r="N1249" i="1"/>
  <c r="R1249" i="1" s="1"/>
  <c r="C1250" i="1"/>
  <c r="D1250" i="1"/>
  <c r="F1250" i="1"/>
  <c r="G1250" i="1"/>
  <c r="N1250" i="1"/>
  <c r="R1250" i="1" s="1"/>
  <c r="W1250" i="1" s="1"/>
  <c r="C1251" i="1"/>
  <c r="D1251" i="1"/>
  <c r="F1251" i="1"/>
  <c r="G1251" i="1"/>
  <c r="N1251" i="1"/>
  <c r="R1251" i="1" s="1"/>
  <c r="C1252" i="1"/>
  <c r="D1252" i="1"/>
  <c r="F1252" i="1"/>
  <c r="G1252" i="1"/>
  <c r="N1252" i="1"/>
  <c r="R1252" i="1" s="1"/>
  <c r="C1253" i="1"/>
  <c r="D1253" i="1"/>
  <c r="F1253" i="1"/>
  <c r="G1253" i="1"/>
  <c r="N1253" i="1"/>
  <c r="R1253" i="1" s="1"/>
  <c r="C1254" i="1"/>
  <c r="D1254" i="1"/>
  <c r="F1254" i="1"/>
  <c r="G1254" i="1"/>
  <c r="N1254" i="1"/>
  <c r="R1254" i="1" s="1"/>
  <c r="W1254" i="1" s="1"/>
  <c r="C1255" i="1"/>
  <c r="D1255" i="1"/>
  <c r="F1255" i="1"/>
  <c r="G1255" i="1"/>
  <c r="N1255" i="1"/>
  <c r="R1255" i="1" s="1"/>
  <c r="C1256" i="1"/>
  <c r="D1256" i="1"/>
  <c r="F1256" i="1"/>
  <c r="G1256" i="1"/>
  <c r="N1256" i="1"/>
  <c r="R1256" i="1" s="1"/>
  <c r="C1257" i="1"/>
  <c r="D1257" i="1"/>
  <c r="F1257" i="1"/>
  <c r="G1257" i="1"/>
  <c r="N1257" i="1"/>
  <c r="R1257" i="1" s="1"/>
  <c r="C1259" i="1"/>
  <c r="D1259" i="1"/>
  <c r="F1259" i="1"/>
  <c r="G1259" i="1"/>
  <c r="N1259" i="1"/>
  <c r="R1259" i="1" s="1"/>
  <c r="C1263" i="1"/>
  <c r="D1263" i="1"/>
  <c r="F1263" i="1"/>
  <c r="G1263" i="1"/>
  <c r="N1263" i="1"/>
  <c r="R1263" i="1" s="1"/>
  <c r="C1264" i="1"/>
  <c r="D1264" i="1"/>
  <c r="F1264" i="1"/>
  <c r="G1264" i="1"/>
  <c r="N1264" i="1"/>
  <c r="R1264" i="1" s="1"/>
  <c r="C1265" i="1"/>
  <c r="D1265" i="1"/>
  <c r="F1265" i="1"/>
  <c r="G1265" i="1"/>
  <c r="N1265" i="1"/>
  <c r="R1265" i="1" s="1"/>
  <c r="C1266" i="1"/>
  <c r="D1266" i="1"/>
  <c r="F1266" i="1"/>
  <c r="G1266" i="1"/>
  <c r="N1266" i="1"/>
  <c r="R1266" i="1" s="1"/>
  <c r="W1266" i="1" s="1"/>
  <c r="C1267" i="1"/>
  <c r="D1267" i="1"/>
  <c r="F1267" i="1"/>
  <c r="G1267" i="1"/>
  <c r="N1267" i="1"/>
  <c r="R1267" i="1" s="1"/>
  <c r="C1268" i="1"/>
  <c r="D1268" i="1"/>
  <c r="F1268" i="1"/>
  <c r="G1268" i="1"/>
  <c r="N1268" i="1"/>
  <c r="R1268" i="1" s="1"/>
  <c r="C1269" i="1"/>
  <c r="D1269" i="1"/>
  <c r="F1269" i="1"/>
  <c r="G1269" i="1"/>
  <c r="N1269" i="1"/>
  <c r="R1269" i="1" s="1"/>
  <c r="C1271" i="1"/>
  <c r="D1271" i="1"/>
  <c r="F1271" i="1"/>
  <c r="G1271" i="1"/>
  <c r="N1271" i="1"/>
  <c r="R1271" i="1" s="1"/>
  <c r="C1272" i="1"/>
  <c r="D1272" i="1"/>
  <c r="F1272" i="1"/>
  <c r="G1272" i="1"/>
  <c r="N1272" i="1"/>
  <c r="R1272" i="1" s="1"/>
  <c r="C1273" i="1"/>
  <c r="D1273" i="1"/>
  <c r="F1273" i="1"/>
  <c r="G1273" i="1"/>
  <c r="N1273" i="1"/>
  <c r="R1273" i="1" s="1"/>
  <c r="C1274" i="1"/>
  <c r="D1274" i="1"/>
  <c r="F1274" i="1"/>
  <c r="G1274" i="1"/>
  <c r="N1274" i="1"/>
  <c r="R1274" i="1" s="1"/>
  <c r="C1275" i="1"/>
  <c r="D1275" i="1"/>
  <c r="F1275" i="1"/>
  <c r="G1275" i="1"/>
  <c r="N1275" i="1"/>
  <c r="R1275" i="1" s="1"/>
  <c r="C1278" i="1"/>
  <c r="D1278" i="1"/>
  <c r="F1278" i="1"/>
  <c r="G1278" i="1"/>
  <c r="N1278" i="1"/>
  <c r="R1278" i="1" s="1"/>
  <c r="C1279" i="1"/>
  <c r="D1279" i="1"/>
  <c r="F1279" i="1"/>
  <c r="G1279" i="1"/>
  <c r="N1279" i="1"/>
  <c r="R1279" i="1" s="1"/>
  <c r="W1279" i="1" s="1"/>
  <c r="C1280" i="1"/>
  <c r="D1280" i="1"/>
  <c r="F1280" i="1"/>
  <c r="G1280" i="1"/>
  <c r="N1280" i="1"/>
  <c r="R1280" i="1" s="1"/>
  <c r="C1281" i="1"/>
  <c r="D1281" i="1"/>
  <c r="F1281" i="1"/>
  <c r="G1281" i="1"/>
  <c r="N1281" i="1"/>
  <c r="R1281" i="1" s="1"/>
  <c r="C1282" i="1"/>
  <c r="D1282" i="1"/>
  <c r="F1282" i="1"/>
  <c r="G1282" i="1"/>
  <c r="N1282" i="1"/>
  <c r="R1282" i="1" s="1"/>
  <c r="W1282" i="1" s="1"/>
  <c r="C1283" i="1"/>
  <c r="D1283" i="1"/>
  <c r="F1283" i="1"/>
  <c r="G1283" i="1"/>
  <c r="N1283" i="1"/>
  <c r="R1283" i="1" s="1"/>
  <c r="C1284" i="1"/>
  <c r="D1284" i="1"/>
  <c r="F1284" i="1"/>
  <c r="G1284" i="1"/>
  <c r="N1284" i="1"/>
  <c r="R1284" i="1" s="1"/>
  <c r="C1285" i="1"/>
  <c r="D1285" i="1"/>
  <c r="F1285" i="1"/>
  <c r="G1285" i="1"/>
  <c r="N1285" i="1"/>
  <c r="R1285" i="1" s="1"/>
  <c r="C1286" i="1"/>
  <c r="D1286" i="1"/>
  <c r="F1286" i="1"/>
  <c r="G1286" i="1"/>
  <c r="N1286" i="1"/>
  <c r="R1286" i="1" s="1"/>
  <c r="C1287" i="1"/>
  <c r="D1287" i="1"/>
  <c r="F1287" i="1"/>
  <c r="G1287" i="1"/>
  <c r="N1287" i="1"/>
  <c r="R1287" i="1" s="1"/>
  <c r="C1290" i="1"/>
  <c r="D1290" i="1"/>
  <c r="F1290" i="1"/>
  <c r="G1290" i="1"/>
  <c r="N1290" i="1"/>
  <c r="R1290" i="1" s="1"/>
  <c r="C1293" i="1"/>
  <c r="D1293" i="1"/>
  <c r="F1293" i="1"/>
  <c r="G1293" i="1"/>
  <c r="N1293" i="1"/>
  <c r="R1293" i="1" s="1"/>
  <c r="C1294" i="1"/>
  <c r="D1294" i="1"/>
  <c r="F1294" i="1"/>
  <c r="G1294" i="1"/>
  <c r="N1294" i="1"/>
  <c r="R1294" i="1" s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52" i="1"/>
  <c r="A1155" i="1"/>
  <c r="A1156" i="1"/>
  <c r="A1157" i="1"/>
  <c r="A1158" i="1"/>
  <c r="A1160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7" i="1"/>
  <c r="A1189" i="1"/>
  <c r="A1191" i="1"/>
  <c r="A1192" i="1"/>
  <c r="A1193" i="1"/>
  <c r="A1195" i="1"/>
  <c r="A1196" i="1"/>
  <c r="A1197" i="1"/>
  <c r="A1198" i="1"/>
  <c r="A1199" i="1"/>
  <c r="A1200" i="1"/>
  <c r="A1201" i="1"/>
  <c r="A1202" i="1"/>
  <c r="A1203" i="1"/>
  <c r="A1204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21" i="1"/>
  <c r="A1222" i="1"/>
  <c r="A1223" i="1"/>
  <c r="A1224" i="1"/>
  <c r="A1225" i="1"/>
  <c r="A1229" i="1"/>
  <c r="A1230" i="1"/>
  <c r="A1231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9" i="1"/>
  <c r="A1263" i="1"/>
  <c r="A1264" i="1"/>
  <c r="A1265" i="1"/>
  <c r="A1266" i="1"/>
  <c r="A1267" i="1"/>
  <c r="A1268" i="1"/>
  <c r="A1269" i="1"/>
  <c r="A1271" i="1"/>
  <c r="A1272" i="1"/>
  <c r="A1273" i="1"/>
  <c r="A1274" i="1"/>
  <c r="A1275" i="1"/>
  <c r="A1278" i="1"/>
  <c r="A1279" i="1"/>
  <c r="A1280" i="1"/>
  <c r="A1281" i="1"/>
  <c r="A1282" i="1"/>
  <c r="A1283" i="1"/>
  <c r="A1284" i="1"/>
  <c r="A1285" i="1"/>
  <c r="A1286" i="1"/>
  <c r="A1287" i="1"/>
  <c r="A1290" i="1"/>
  <c r="A1293" i="1"/>
  <c r="A1294" i="1"/>
  <c r="W1172" i="1" l="1"/>
  <c r="U1172" i="1"/>
  <c r="W1189" i="1"/>
  <c r="U1189" i="1"/>
  <c r="R1521" i="1"/>
  <c r="U1521" i="1" s="1"/>
  <c r="R1520" i="1"/>
  <c r="U1520" i="1" s="1"/>
  <c r="W1587" i="1"/>
  <c r="U1587" i="1"/>
  <c r="U1586" i="1"/>
  <c r="W1586" i="1"/>
  <c r="U1363" i="1"/>
  <c r="W1363" i="1"/>
  <c r="W1362" i="1"/>
  <c r="U1362" i="1"/>
  <c r="W1361" i="1"/>
  <c r="U1361" i="1"/>
  <c r="W1364" i="1"/>
  <c r="U1364" i="1"/>
  <c r="W1380" i="1"/>
  <c r="U1380" i="1"/>
  <c r="W1379" i="1"/>
  <c r="U1379" i="1"/>
  <c r="U1378" i="1"/>
  <c r="W1378" i="1"/>
  <c r="W1377" i="1"/>
  <c r="U1377" i="1"/>
  <c r="W1381" i="1"/>
  <c r="U1381" i="1"/>
  <c r="W1225" i="1"/>
  <c r="U1225" i="1"/>
  <c r="W1448" i="1"/>
  <c r="U1448" i="1"/>
  <c r="W1224" i="1"/>
  <c r="U1224" i="1"/>
  <c r="U1543" i="1"/>
  <c r="W1543" i="1"/>
  <c r="W1317" i="1"/>
  <c r="U1317" i="1"/>
  <c r="W1182" i="1"/>
  <c r="U1182" i="1"/>
  <c r="U1553" i="1"/>
  <c r="W1553" i="1"/>
  <c r="U1252" i="1"/>
  <c r="U1474" i="1"/>
  <c r="W1474" i="1"/>
  <c r="W1473" i="1"/>
  <c r="U1473" i="1"/>
  <c r="W1478" i="1"/>
  <c r="U1478" i="1"/>
  <c r="W1534" i="1"/>
  <c r="U1534" i="1"/>
  <c r="W1535" i="1"/>
  <c r="U1535" i="1"/>
  <c r="U1312" i="1"/>
  <c r="W1312" i="1"/>
  <c r="U1129" i="1"/>
  <c r="W1595" i="1"/>
  <c r="U1595" i="1"/>
  <c r="W1594" i="1"/>
  <c r="U1594" i="1"/>
  <c r="W1374" i="1"/>
  <c r="U1374" i="1"/>
  <c r="U1373" i="1"/>
  <c r="W1373" i="1"/>
  <c r="W1139" i="1"/>
  <c r="U1139" i="1"/>
  <c r="U1140" i="1"/>
  <c r="W1140" i="1"/>
  <c r="W1206" i="1"/>
  <c r="U1206" i="1"/>
  <c r="W1657" i="1"/>
  <c r="U1657" i="1"/>
  <c r="W1659" i="1"/>
  <c r="U1659" i="1"/>
  <c r="U1658" i="1"/>
  <c r="W1658" i="1"/>
  <c r="W1568" i="1"/>
  <c r="U1568" i="1"/>
  <c r="W1486" i="1"/>
  <c r="U1486" i="1"/>
  <c r="W1470" i="1"/>
  <c r="U1470" i="1"/>
  <c r="W1241" i="1"/>
  <c r="U1241" i="1"/>
  <c r="W1493" i="1"/>
  <c r="U1493" i="1"/>
  <c r="W1491" i="1"/>
  <c r="U1491" i="1"/>
  <c r="W1640" i="1"/>
  <c r="U1640" i="1"/>
  <c r="W1454" i="1"/>
  <c r="U1454" i="1"/>
  <c r="W1552" i="1"/>
  <c r="U1552" i="1"/>
  <c r="W1574" i="1"/>
  <c r="U1574" i="1"/>
  <c r="W1575" i="1"/>
  <c r="U1575" i="1"/>
  <c r="U1178" i="1"/>
  <c r="W1178" i="1"/>
  <c r="U1673" i="1"/>
  <c r="W1673" i="1"/>
  <c r="U1447" i="1"/>
  <c r="W1447" i="1"/>
  <c r="R1519" i="1"/>
  <c r="U1519" i="1" s="1"/>
  <c r="U1653" i="1"/>
  <c r="W1653" i="1"/>
  <c r="U1477" i="1"/>
  <c r="W1477" i="1"/>
  <c r="U1476" i="1"/>
  <c r="W1476" i="1"/>
  <c r="W1676" i="1"/>
  <c r="U1676" i="1"/>
  <c r="W1294" i="1"/>
  <c r="U1294" i="1"/>
  <c r="W1514" i="1"/>
  <c r="U1514" i="1"/>
  <c r="W1578" i="1"/>
  <c r="U1578" i="1"/>
  <c r="U1242" i="1"/>
  <c r="U1231" i="1"/>
  <c r="W1195" i="1"/>
  <c r="U1195" i="1"/>
  <c r="U1422" i="1"/>
  <c r="U1264" i="1"/>
  <c r="U1229" i="1"/>
  <c r="U1273" i="1"/>
  <c r="U1624" i="1"/>
  <c r="U1623" i="1"/>
  <c r="U1198" i="1"/>
  <c r="W1197" i="1"/>
  <c r="U1513" i="1"/>
  <c r="U1616" i="1"/>
  <c r="U1368" i="1"/>
  <c r="W1584" i="1"/>
  <c r="U1584" i="1"/>
  <c r="U1360" i="1"/>
  <c r="U1484" i="1"/>
  <c r="U1466" i="1"/>
  <c r="U1590" i="1"/>
  <c r="U1589" i="1"/>
  <c r="U1591" i="1"/>
  <c r="U1471" i="1"/>
  <c r="U1430" i="1"/>
  <c r="U1415" i="1"/>
  <c r="U1407" i="1"/>
  <c r="U1138" i="1"/>
  <c r="U1423" i="1"/>
  <c r="U1370" i="1"/>
  <c r="W1368" i="1"/>
  <c r="U1369" i="1"/>
  <c r="U1371" i="1"/>
  <c r="U1134" i="1"/>
  <c r="W1134" i="1"/>
  <c r="U1135" i="1"/>
  <c r="W1135" i="1"/>
  <c r="U1671" i="1"/>
  <c r="U1271" i="1"/>
  <c r="U1174" i="1"/>
  <c r="U1643" i="1"/>
  <c r="U1283" i="1"/>
  <c r="U1638" i="1"/>
  <c r="U1634" i="1"/>
  <c r="U1606" i="1"/>
  <c r="U1598" i="1"/>
  <c r="W1671" i="1"/>
  <c r="U1670" i="1"/>
  <c r="U1576" i="1"/>
  <c r="U1184" i="1"/>
  <c r="U1508" i="1"/>
  <c r="U1507" i="1"/>
  <c r="U1509" i="1"/>
  <c r="U1662" i="1"/>
  <c r="U1652" i="1"/>
  <c r="U1588" i="1"/>
  <c r="U1424" i="1"/>
  <c r="U1382" i="1"/>
  <c r="U1419" i="1"/>
  <c r="W1167" i="1"/>
  <c r="U1167" i="1"/>
  <c r="W1166" i="1"/>
  <c r="U1166" i="1"/>
  <c r="U1152" i="1"/>
  <c r="U1127" i="1"/>
  <c r="U1637" i="1"/>
  <c r="U1625" i="1"/>
  <c r="U1618" i="1"/>
  <c r="U1601" i="1"/>
  <c r="U1580" i="1"/>
  <c r="U1490" i="1"/>
  <c r="U1394" i="1"/>
  <c r="U1628" i="1"/>
  <c r="U1656" i="1"/>
  <c r="U1608" i="1"/>
  <c r="U1384" i="1"/>
  <c r="U1356" i="1"/>
  <c r="U1487" i="1"/>
  <c r="U1433" i="1"/>
  <c r="U1427" i="1"/>
  <c r="U1426" i="1"/>
  <c r="U1355" i="1"/>
  <c r="U1620" i="1"/>
  <c r="U1602" i="1"/>
  <c r="U1664" i="1"/>
  <c r="U1654" i="1"/>
  <c r="U1290" i="1"/>
  <c r="U1171" i="1"/>
  <c r="U1475" i="1"/>
  <c r="U1396" i="1"/>
  <c r="U1386" i="1"/>
  <c r="U1366" i="1"/>
  <c r="W1161" i="1"/>
  <c r="U1161" i="1"/>
  <c r="W1162" i="1"/>
  <c r="U1162" i="1"/>
  <c r="W1163" i="1"/>
  <c r="U1163" i="1"/>
  <c r="W1164" i="1"/>
  <c r="U1164" i="1"/>
  <c r="W1165" i="1"/>
  <c r="U1165" i="1"/>
  <c r="U1583" i="1"/>
  <c r="W1655" i="1"/>
  <c r="U1655" i="1"/>
  <c r="W1433" i="1"/>
  <c r="U1346" i="1"/>
  <c r="W1346" i="1"/>
  <c r="W1629" i="1"/>
  <c r="U1629" i="1"/>
  <c r="U1136" i="1"/>
  <c r="W1348" i="1"/>
  <c r="W1484" i="1"/>
  <c r="W1157" i="1"/>
  <c r="U1157" i="1"/>
  <c r="U1123" i="1"/>
  <c r="W1123" i="1"/>
  <c r="U1413" i="1"/>
  <c r="W1413" i="1"/>
  <c r="U1515" i="1"/>
  <c r="W1515" i="1"/>
  <c r="U1528" i="1"/>
  <c r="W1528" i="1"/>
  <c r="W1339" i="1"/>
  <c r="U1339" i="1"/>
  <c r="W1496" i="1"/>
  <c r="U1496" i="1"/>
  <c r="U1429" i="1"/>
  <c r="W1429" i="1"/>
  <c r="W1565" i="1"/>
  <c r="U1565" i="1"/>
  <c r="U1367" i="1"/>
  <c r="W1367" i="1"/>
  <c r="U1495" i="1"/>
  <c r="W1495" i="1"/>
  <c r="W1268" i="1"/>
  <c r="U1268" i="1"/>
  <c r="U1567" i="1"/>
  <c r="W1567" i="1"/>
  <c r="U1146" i="1"/>
  <c r="W1424" i="1"/>
  <c r="W1314" i="1"/>
  <c r="W1580" i="1"/>
  <c r="U1169" i="1"/>
  <c r="W1347" i="1"/>
  <c r="W1490" i="1"/>
  <c r="W1471" i="1"/>
  <c r="W1430" i="1"/>
  <c r="W1394" i="1"/>
  <c r="U1600" i="1"/>
  <c r="U1500" i="1"/>
  <c r="W1570" i="1"/>
  <c r="W1625" i="1"/>
  <c r="U1285" i="1"/>
  <c r="W1285" i="1"/>
  <c r="U1192" i="1"/>
  <c r="W1192" i="1"/>
  <c r="U1340" i="1"/>
  <c r="W1340" i="1"/>
  <c r="U1326" i="1"/>
  <c r="W1326" i="1"/>
  <c r="U1248" i="1"/>
  <c r="W1248" i="1"/>
  <c r="U1176" i="1"/>
  <c r="W1176" i="1"/>
  <c r="U1144" i="1"/>
  <c r="W1144" i="1"/>
  <c r="W1324" i="1"/>
  <c r="U1324" i="1"/>
  <c r="W1297" i="1"/>
  <c r="U1297" i="1"/>
  <c r="U1286" i="1"/>
  <c r="W1286" i="1"/>
  <c r="U1250" i="1"/>
  <c r="W1138" i="1"/>
  <c r="U1256" i="1"/>
  <c r="W1256" i="1"/>
  <c r="U1463" i="1"/>
  <c r="W1463" i="1"/>
  <c r="U1299" i="1"/>
  <c r="W1299" i="1"/>
  <c r="U1249" i="1"/>
  <c r="W1249" i="1"/>
  <c r="W1160" i="1"/>
  <c r="U1160" i="1"/>
  <c r="U1132" i="1"/>
  <c r="W1132" i="1"/>
  <c r="U1498" i="1"/>
  <c r="W1498" i="1"/>
  <c r="U1406" i="1"/>
  <c r="W1406" i="1"/>
  <c r="W1332" i="1"/>
  <c r="U1332" i="1"/>
  <c r="U1409" i="1"/>
  <c r="W1409" i="1"/>
  <c r="W1365" i="1"/>
  <c r="U1365" i="1"/>
  <c r="U1573" i="1"/>
  <c r="W1573" i="1"/>
  <c r="U1619" i="1"/>
  <c r="W1619" i="1"/>
  <c r="U1611" i="1"/>
  <c r="W1611" i="1"/>
  <c r="U1279" i="1"/>
  <c r="W1408" i="1"/>
  <c r="U1408" i="1"/>
  <c r="U1614" i="1"/>
  <c r="W1614" i="1"/>
  <c r="W1252" i="1"/>
  <c r="U1440" i="1"/>
  <c r="U1388" i="1"/>
  <c r="W1388" i="1"/>
  <c r="W1647" i="1"/>
  <c r="U1647" i="1"/>
  <c r="W1323" i="1"/>
  <c r="W1443" i="1"/>
  <c r="U1443" i="1"/>
  <c r="W1644" i="1"/>
  <c r="U1644" i="1"/>
  <c r="W1352" i="1"/>
  <c r="U1393" i="1"/>
  <c r="W1393" i="1"/>
  <c r="U1482" i="1"/>
  <c r="U1410" i="1"/>
  <c r="W1410" i="1"/>
  <c r="W1392" i="1"/>
  <c r="U1392" i="1"/>
  <c r="U1389" i="1"/>
  <c r="W1389" i="1"/>
  <c r="U1354" i="1"/>
  <c r="W1354" i="1"/>
  <c r="U1398" i="1"/>
  <c r="W1398" i="1"/>
  <c r="U1516" i="1"/>
  <c r="W1516" i="1"/>
  <c r="W1652" i="1"/>
  <c r="W1524" i="1"/>
  <c r="W1620" i="1"/>
  <c r="W1382" i="1"/>
  <c r="W1601" i="1"/>
  <c r="W1638" i="1"/>
  <c r="W1628" i="1"/>
  <c r="U1610" i="1"/>
  <c r="W1606" i="1"/>
  <c r="U1649" i="1"/>
  <c r="U1675" i="1"/>
  <c r="W1675" i="1"/>
  <c r="U1666" i="1"/>
  <c r="W1666" i="1"/>
  <c r="W1626" i="1"/>
  <c r="U1626" i="1"/>
  <c r="U1604" i="1"/>
  <c r="W1604" i="1"/>
  <c r="U1669" i="1"/>
  <c r="W1669" i="1"/>
  <c r="U1677" i="1"/>
  <c r="W1677" i="1"/>
  <c r="U1663" i="1"/>
  <c r="W1663" i="1"/>
  <c r="W1636" i="1"/>
  <c r="U1636" i="1"/>
  <c r="W1635" i="1"/>
  <c r="U1635" i="1"/>
  <c r="U1678" i="1"/>
  <c r="W1678" i="1"/>
  <c r="U1668" i="1"/>
  <c r="W1668" i="1"/>
  <c r="W1645" i="1"/>
  <c r="U1645" i="1"/>
  <c r="U1665" i="1"/>
  <c r="W1665" i="1"/>
  <c r="W1650" i="1"/>
  <c r="U1650" i="1"/>
  <c r="W1648" i="1"/>
  <c r="U1648" i="1"/>
  <c r="W1582" i="1"/>
  <c r="U1582" i="1"/>
  <c r="W1593" i="1"/>
  <c r="U1593" i="1"/>
  <c r="U1641" i="1"/>
  <c r="W1641" i="1"/>
  <c r="U1630" i="1"/>
  <c r="U1603" i="1"/>
  <c r="W1603" i="1"/>
  <c r="W1617" i="1"/>
  <c r="U1617" i="1"/>
  <c r="W1664" i="1"/>
  <c r="U1612" i="1"/>
  <c r="W1612" i="1"/>
  <c r="W1662" i="1"/>
  <c r="W1646" i="1"/>
  <c r="U1646" i="1"/>
  <c r="U1605" i="1"/>
  <c r="W1605" i="1"/>
  <c r="W1654" i="1"/>
  <c r="W1651" i="1"/>
  <c r="U1651" i="1"/>
  <c r="W1608" i="1"/>
  <c r="W1637" i="1"/>
  <c r="U1622" i="1"/>
  <c r="W1622" i="1"/>
  <c r="W1615" i="1"/>
  <c r="U1615" i="1"/>
  <c r="U1661" i="1"/>
  <c r="W1661" i="1"/>
  <c r="U1621" i="1"/>
  <c r="W1618" i="1"/>
  <c r="W1599" i="1"/>
  <c r="U1599" i="1"/>
  <c r="U1596" i="1"/>
  <c r="W1596" i="1"/>
  <c r="U1585" i="1"/>
  <c r="W1585" i="1"/>
  <c r="U1609" i="1"/>
  <c r="W1609" i="1"/>
  <c r="W1656" i="1"/>
  <c r="W1643" i="1"/>
  <c r="W1634" i="1"/>
  <c r="U1597" i="1"/>
  <c r="W1597" i="1"/>
  <c r="U1581" i="1"/>
  <c r="W1581" i="1"/>
  <c r="U1631" i="1"/>
  <c r="U1627" i="1"/>
  <c r="W1627" i="1"/>
  <c r="W1602" i="1"/>
  <c r="U1607" i="1"/>
  <c r="W1607" i="1"/>
  <c r="W1598" i="1"/>
  <c r="W1588" i="1"/>
  <c r="W1562" i="1"/>
  <c r="W1522" i="1"/>
  <c r="W1559" i="1"/>
  <c r="W1525" i="1"/>
  <c r="U1566" i="1"/>
  <c r="W1566" i="1"/>
  <c r="U1544" i="1"/>
  <c r="W1544" i="1"/>
  <c r="U1539" i="1"/>
  <c r="W1539" i="1"/>
  <c r="U1572" i="1"/>
  <c r="W1572" i="1"/>
  <c r="U1546" i="1"/>
  <c r="W1546" i="1"/>
  <c r="U1537" i="1"/>
  <c r="W1537" i="1"/>
  <c r="U1577" i="1"/>
  <c r="W1577" i="1"/>
  <c r="U1558" i="1"/>
  <c r="W1558" i="1"/>
  <c r="U1555" i="1"/>
  <c r="W1555" i="1"/>
  <c r="U1529" i="1"/>
  <c r="W1529" i="1"/>
  <c r="U1545" i="1"/>
  <c r="W1545" i="1"/>
  <c r="U1536" i="1"/>
  <c r="W1536" i="1"/>
  <c r="U1532" i="1"/>
  <c r="W1532" i="1"/>
  <c r="U1523" i="1"/>
  <c r="W1523" i="1"/>
  <c r="U1563" i="1"/>
  <c r="W1563" i="1"/>
  <c r="U1561" i="1"/>
  <c r="W1561" i="1"/>
  <c r="W1579" i="1"/>
  <c r="U1579" i="1"/>
  <c r="U1560" i="1"/>
  <c r="W1560" i="1"/>
  <c r="U1548" i="1"/>
  <c r="W1548" i="1"/>
  <c r="U1541" i="1"/>
  <c r="W1541" i="1"/>
  <c r="U1551" i="1"/>
  <c r="W1551" i="1"/>
  <c r="W1542" i="1"/>
  <c r="W1527" i="1"/>
  <c r="W1517" i="1"/>
  <c r="W1556" i="1"/>
  <c r="W1531" i="1"/>
  <c r="W1526" i="1"/>
  <c r="W1518" i="1"/>
  <c r="W1571" i="1"/>
  <c r="W1550" i="1"/>
  <c r="W1538" i="1"/>
  <c r="W1564" i="1"/>
  <c r="W1557" i="1"/>
  <c r="W1554" i="1"/>
  <c r="W1549" i="1"/>
  <c r="W1547" i="1"/>
  <c r="W1540" i="1"/>
  <c r="W1533" i="1"/>
  <c r="W1530" i="1"/>
  <c r="W1569" i="1"/>
  <c r="U1501" i="1"/>
  <c r="W1415" i="1"/>
  <c r="W1466" i="1"/>
  <c r="U1442" i="1"/>
  <c r="W1423" i="1"/>
  <c r="U1481" i="1"/>
  <c r="W1481" i="1"/>
  <c r="U1499" i="1"/>
  <c r="W1499" i="1"/>
  <c r="W1449" i="1"/>
  <c r="U1449" i="1"/>
  <c r="U1494" i="1"/>
  <c r="W1494" i="1"/>
  <c r="U1506" i="1"/>
  <c r="U1497" i="1"/>
  <c r="W1497" i="1"/>
  <c r="U1464" i="1"/>
  <c r="W1464" i="1"/>
  <c r="U1502" i="1"/>
  <c r="W1502" i="1"/>
  <c r="U1460" i="1"/>
  <c r="W1460" i="1"/>
  <c r="U1468" i="1"/>
  <c r="W1468" i="1"/>
  <c r="W1472" i="1"/>
  <c r="U1472" i="1"/>
  <c r="W1467" i="1"/>
  <c r="U1467" i="1"/>
  <c r="W1455" i="1"/>
  <c r="U1455" i="1"/>
  <c r="W1446" i="1"/>
  <c r="U1446" i="1"/>
  <c r="U1441" i="1"/>
  <c r="W1441" i="1"/>
  <c r="W1405" i="1"/>
  <c r="U1405" i="1"/>
  <c r="U1401" i="1"/>
  <c r="W1401" i="1"/>
  <c r="W1461" i="1"/>
  <c r="U1461" i="1"/>
  <c r="U1438" i="1"/>
  <c r="W1438" i="1"/>
  <c r="U1420" i="1"/>
  <c r="W1420" i="1"/>
  <c r="W1487" i="1"/>
  <c r="W1475" i="1"/>
  <c r="W1445" i="1"/>
  <c r="U1445" i="1"/>
  <c r="W1439" i="1"/>
  <c r="U1439" i="1"/>
  <c r="U1431" i="1"/>
  <c r="W1431" i="1"/>
  <c r="W1419" i="1"/>
  <c r="W1465" i="1"/>
  <c r="U1465" i="1"/>
  <c r="U1444" i="1"/>
  <c r="W1444" i="1"/>
  <c r="W1412" i="1"/>
  <c r="U1412" i="1"/>
  <c r="W1456" i="1"/>
  <c r="U1456" i="1"/>
  <c r="W1459" i="1"/>
  <c r="U1459" i="1"/>
  <c r="W1462" i="1"/>
  <c r="U1462" i="1"/>
  <c r="U1458" i="1"/>
  <c r="W1458" i="1"/>
  <c r="W1457" i="1"/>
  <c r="U1457" i="1"/>
  <c r="U1450" i="1"/>
  <c r="W1450" i="1"/>
  <c r="U1436" i="1"/>
  <c r="W1436" i="1"/>
  <c r="U1432" i="1"/>
  <c r="W1432" i="1"/>
  <c r="U1425" i="1"/>
  <c r="W1425" i="1"/>
  <c r="U1418" i="1"/>
  <c r="W1418" i="1"/>
  <c r="U1383" i="1"/>
  <c r="W1383" i="1"/>
  <c r="W1404" i="1"/>
  <c r="U1404" i="1"/>
  <c r="U1387" i="1"/>
  <c r="W1387" i="1"/>
  <c r="W1427" i="1"/>
  <c r="W1372" i="1"/>
  <c r="U1372" i="1"/>
  <c r="U1414" i="1"/>
  <c r="W1414" i="1"/>
  <c r="U1397" i="1"/>
  <c r="W1397" i="1"/>
  <c r="U1385" i="1"/>
  <c r="W1385" i="1"/>
  <c r="W1384" i="1"/>
  <c r="U1376" i="1"/>
  <c r="W1376" i="1"/>
  <c r="W1426" i="1"/>
  <c r="U1400" i="1"/>
  <c r="W1400" i="1"/>
  <c r="U1391" i="1"/>
  <c r="W1391" i="1"/>
  <c r="U1375" i="1"/>
  <c r="W1375" i="1"/>
  <c r="U1417" i="1"/>
  <c r="W1417" i="1"/>
  <c r="U1411" i="1"/>
  <c r="W1411" i="1"/>
  <c r="U1399" i="1"/>
  <c r="W1399" i="1"/>
  <c r="U1395" i="1"/>
  <c r="W1395" i="1"/>
  <c r="U1390" i="1"/>
  <c r="W1390" i="1"/>
  <c r="W1407" i="1"/>
  <c r="W1396" i="1"/>
  <c r="W1386" i="1"/>
  <c r="W1366" i="1"/>
  <c r="W1355" i="1"/>
  <c r="W1356" i="1"/>
  <c r="W1306" i="1"/>
  <c r="U1344" i="1"/>
  <c r="U1302" i="1"/>
  <c r="U1296" i="1"/>
  <c r="U1353" i="1"/>
  <c r="W1353" i="1"/>
  <c r="U1310" i="1"/>
  <c r="W1310" i="1"/>
  <c r="U1351" i="1"/>
  <c r="W1351" i="1"/>
  <c r="U1334" i="1"/>
  <c r="W1334" i="1"/>
  <c r="U1315" i="1"/>
  <c r="W1315" i="1"/>
  <c r="U1301" i="1"/>
  <c r="W1301" i="1"/>
  <c r="U1307" i="1"/>
  <c r="W1307" i="1"/>
  <c r="U1345" i="1"/>
  <c r="W1345" i="1"/>
  <c r="U1337" i="1"/>
  <c r="W1337" i="1"/>
  <c r="U1304" i="1"/>
  <c r="W1304" i="1"/>
  <c r="U1349" i="1"/>
  <c r="W1349" i="1"/>
  <c r="U1341" i="1"/>
  <c r="W1341" i="1"/>
  <c r="U1319" i="1"/>
  <c r="W1319" i="1"/>
  <c r="U1336" i="1"/>
  <c r="W1336" i="1"/>
  <c r="U1329" i="1"/>
  <c r="U1320" i="1"/>
  <c r="W1320" i="1"/>
  <c r="U1313" i="1"/>
  <c r="U1309" i="1"/>
  <c r="U1298" i="1"/>
  <c r="U1327" i="1"/>
  <c r="W1327" i="1"/>
  <c r="W1350" i="1"/>
  <c r="U1328" i="1"/>
  <c r="W1328" i="1"/>
  <c r="U1321" i="1"/>
  <c r="W1321" i="1"/>
  <c r="U1308" i="1"/>
  <c r="W1308" i="1"/>
  <c r="U1318" i="1"/>
  <c r="W1318" i="1"/>
  <c r="U1343" i="1"/>
  <c r="W1343" i="1"/>
  <c r="U1338" i="1"/>
  <c r="W1338" i="1"/>
  <c r="U1316" i="1"/>
  <c r="W1316" i="1"/>
  <c r="U1331" i="1"/>
  <c r="W1331" i="1"/>
  <c r="U1335" i="1"/>
  <c r="W1335" i="1"/>
  <c r="U1342" i="1"/>
  <c r="W1342" i="1"/>
  <c r="U1330" i="1"/>
  <c r="W1330" i="1"/>
  <c r="U1322" i="1"/>
  <c r="W1322" i="1"/>
  <c r="U1333" i="1"/>
  <c r="W1333" i="1"/>
  <c r="U1325" i="1"/>
  <c r="W1325" i="1"/>
  <c r="U1311" i="1"/>
  <c r="W1311" i="1"/>
  <c r="U1303" i="1"/>
  <c r="W1303" i="1"/>
  <c r="W1127" i="1"/>
  <c r="U1266" i="1"/>
  <c r="W1264" i="1"/>
  <c r="W1129" i="1"/>
  <c r="U1293" i="1"/>
  <c r="W1293" i="1"/>
  <c r="U1284" i="1"/>
  <c r="W1284" i="1"/>
  <c r="W1290" i="1"/>
  <c r="U1265" i="1"/>
  <c r="W1265" i="1"/>
  <c r="U1238" i="1"/>
  <c r="W1238" i="1"/>
  <c r="U1263" i="1"/>
  <c r="W1263" i="1"/>
  <c r="U1257" i="1"/>
  <c r="W1257" i="1"/>
  <c r="U1287" i="1"/>
  <c r="W1287" i="1"/>
  <c r="U1274" i="1"/>
  <c r="W1274" i="1"/>
  <c r="W1283" i="1"/>
  <c r="U1281" i="1"/>
  <c r="W1281" i="1"/>
  <c r="W1280" i="1"/>
  <c r="U1280" i="1"/>
  <c r="U1267" i="1"/>
  <c r="W1267" i="1"/>
  <c r="U1272" i="1"/>
  <c r="W1272" i="1"/>
  <c r="U1278" i="1"/>
  <c r="W1278" i="1"/>
  <c r="U1275" i="1"/>
  <c r="W1275" i="1"/>
  <c r="U1255" i="1"/>
  <c r="W1255" i="1"/>
  <c r="U1244" i="1"/>
  <c r="W1244" i="1"/>
  <c r="U1282" i="1"/>
  <c r="U1236" i="1"/>
  <c r="W1236" i="1"/>
  <c r="U1253" i="1"/>
  <c r="W1253" i="1"/>
  <c r="U1246" i="1"/>
  <c r="W1246" i="1"/>
  <c r="U1240" i="1"/>
  <c r="W1240" i="1"/>
  <c r="U1237" i="1"/>
  <c r="W1237" i="1"/>
  <c r="U1235" i="1"/>
  <c r="W1235" i="1"/>
  <c r="W1208" i="1"/>
  <c r="U1208" i="1"/>
  <c r="U1269" i="1"/>
  <c r="W1269" i="1"/>
  <c r="U1239" i="1"/>
  <c r="W1239" i="1"/>
  <c r="U1234" i="1"/>
  <c r="W1234" i="1"/>
  <c r="U1251" i="1"/>
  <c r="W1251" i="1"/>
  <c r="U1247" i="1"/>
  <c r="W1247" i="1"/>
  <c r="U1259" i="1"/>
  <c r="W1259" i="1"/>
  <c r="U1245" i="1"/>
  <c r="W1245" i="1"/>
  <c r="U1243" i="1"/>
  <c r="W1243" i="1"/>
  <c r="W1273" i="1"/>
  <c r="W1271" i="1"/>
  <c r="U1254" i="1"/>
  <c r="W1242" i="1"/>
  <c r="W1200" i="1"/>
  <c r="U1200" i="1"/>
  <c r="U1179" i="1"/>
  <c r="W1179" i="1"/>
  <c r="U1170" i="1"/>
  <c r="W1170" i="1"/>
  <c r="U1230" i="1"/>
  <c r="W1230" i="1"/>
  <c r="U1222" i="1"/>
  <c r="W1222" i="1"/>
  <c r="U1216" i="1"/>
  <c r="W1216" i="1"/>
  <c r="U1213" i="1"/>
  <c r="W1213" i="1"/>
  <c r="W1187" i="1"/>
  <c r="U1187" i="1"/>
  <c r="U1125" i="1"/>
  <c r="W1125" i="1"/>
  <c r="W1229" i="1"/>
  <c r="U1221" i="1"/>
  <c r="U1215" i="1"/>
  <c r="W1212" i="1"/>
  <c r="U1212" i="1"/>
  <c r="W1203" i="1"/>
  <c r="U1203" i="1"/>
  <c r="U1199" i="1"/>
  <c r="W1199" i="1"/>
  <c r="U1202" i="1"/>
  <c r="W1202" i="1"/>
  <c r="U1196" i="1"/>
  <c r="W1196" i="1"/>
  <c r="U1191" i="1"/>
  <c r="W1191" i="1"/>
  <c r="U1185" i="1"/>
  <c r="W1185" i="1"/>
  <c r="U1183" i="1"/>
  <c r="W1183" i="1"/>
  <c r="U1147" i="1"/>
  <c r="W1147" i="1"/>
  <c r="U1233" i="1"/>
  <c r="W1233" i="1"/>
  <c r="U1177" i="1"/>
  <c r="W1177" i="1"/>
  <c r="W1231" i="1"/>
  <c r="U1218" i="1"/>
  <c r="W1218" i="1"/>
  <c r="U1214" i="1"/>
  <c r="W1214" i="1"/>
  <c r="W1207" i="1"/>
  <c r="U1207" i="1"/>
  <c r="W1193" i="1"/>
  <c r="U1193" i="1"/>
  <c r="U1223" i="1"/>
  <c r="U1217" i="1"/>
  <c r="U1181" i="1"/>
  <c r="W1181" i="1"/>
  <c r="U1201" i="1"/>
  <c r="W1201" i="1"/>
  <c r="U1180" i="1"/>
  <c r="W1180" i="1"/>
  <c r="U1168" i="1"/>
  <c r="W1168" i="1"/>
  <c r="W1158" i="1"/>
  <c r="U1158" i="1"/>
  <c r="U1137" i="1"/>
  <c r="W1137" i="1"/>
  <c r="U1133" i="1"/>
  <c r="W1133" i="1"/>
  <c r="U1126" i="1"/>
  <c r="W1126" i="1"/>
  <c r="U1175" i="1"/>
  <c r="W1175" i="1"/>
  <c r="W1131" i="1"/>
  <c r="U1131" i="1"/>
  <c r="U1128" i="1"/>
  <c r="W1128" i="1"/>
  <c r="U1211" i="1"/>
  <c r="U1204" i="1"/>
  <c r="W1184" i="1"/>
  <c r="W1143" i="1"/>
  <c r="U1143" i="1"/>
  <c r="W1122" i="1"/>
  <c r="U1122" i="1"/>
  <c r="W1174" i="1"/>
  <c r="U1155" i="1"/>
  <c r="W1155" i="1"/>
  <c r="U1142" i="1"/>
  <c r="U1124" i="1"/>
  <c r="W1124" i="1"/>
  <c r="U1130" i="1"/>
  <c r="W1130" i="1"/>
  <c r="W1171" i="1"/>
  <c r="U1120" i="1"/>
  <c r="W1120" i="1"/>
  <c r="U1173" i="1"/>
  <c r="W1173" i="1"/>
  <c r="U1156" i="1"/>
  <c r="U1121" i="1"/>
  <c r="W1121" i="1"/>
  <c r="U1141" i="1"/>
  <c r="W1141" i="1"/>
  <c r="W1152" i="1"/>
  <c r="U1145" i="1"/>
  <c r="T687" i="1"/>
  <c r="N687" i="1"/>
  <c r="R687" i="1" s="1"/>
  <c r="G687" i="1"/>
  <c r="F687" i="1"/>
  <c r="D687" i="1"/>
  <c r="C687" i="1"/>
  <c r="A687" i="1"/>
  <c r="N985" i="1"/>
  <c r="R985" i="1" s="1"/>
  <c r="G985" i="1"/>
  <c r="F985" i="1"/>
  <c r="D985" i="1"/>
  <c r="C985" i="1"/>
  <c r="A985" i="1"/>
  <c r="T533" i="1"/>
  <c r="N533" i="1"/>
  <c r="R533" i="1" s="1"/>
  <c r="G533" i="1"/>
  <c r="F533" i="1"/>
  <c r="D533" i="1"/>
  <c r="C533" i="1"/>
  <c r="A533" i="1"/>
  <c r="N939" i="1"/>
  <c r="R939" i="1" s="1"/>
  <c r="G939" i="1"/>
  <c r="F939" i="1"/>
  <c r="D939" i="1"/>
  <c r="C939" i="1"/>
  <c r="A939" i="1"/>
  <c r="N973" i="1"/>
  <c r="R973" i="1" s="1"/>
  <c r="U973" i="1" s="1"/>
  <c r="G973" i="1"/>
  <c r="F973" i="1"/>
  <c r="D973" i="1"/>
  <c r="C973" i="1"/>
  <c r="A973" i="1"/>
  <c r="N909" i="1"/>
  <c r="R909" i="1" s="1"/>
  <c r="G909" i="1"/>
  <c r="F909" i="1"/>
  <c r="D909" i="1"/>
  <c r="C909" i="1"/>
  <c r="A909" i="1"/>
  <c r="N906" i="1"/>
  <c r="R906" i="1" s="1"/>
  <c r="G906" i="1"/>
  <c r="F906" i="1"/>
  <c r="D906" i="1"/>
  <c r="C906" i="1"/>
  <c r="A906" i="1"/>
  <c r="N387" i="1"/>
  <c r="R387" i="1" s="1"/>
  <c r="G387" i="1"/>
  <c r="F387" i="1"/>
  <c r="D387" i="1"/>
  <c r="C387" i="1"/>
  <c r="A387" i="1"/>
  <c r="T520" i="1"/>
  <c r="N520" i="1"/>
  <c r="R520" i="1" s="1"/>
  <c r="G520" i="1"/>
  <c r="F520" i="1"/>
  <c r="D520" i="1"/>
  <c r="C520" i="1"/>
  <c r="A520" i="1"/>
  <c r="T651" i="1"/>
  <c r="N651" i="1"/>
  <c r="R651" i="1" s="1"/>
  <c r="G651" i="1"/>
  <c r="F651" i="1"/>
  <c r="D651" i="1"/>
  <c r="C651" i="1"/>
  <c r="A651" i="1"/>
  <c r="T652" i="1"/>
  <c r="N652" i="1"/>
  <c r="R652" i="1" s="1"/>
  <c r="G652" i="1"/>
  <c r="F652" i="1"/>
  <c r="D652" i="1"/>
  <c r="C652" i="1"/>
  <c r="A652" i="1"/>
  <c r="W1521" i="1" l="1"/>
  <c r="W1520" i="1"/>
  <c r="W1519" i="1"/>
  <c r="W687" i="1"/>
  <c r="U687" i="1"/>
  <c r="W985" i="1"/>
  <c r="U985" i="1"/>
  <c r="W533" i="1"/>
  <c r="U533" i="1"/>
  <c r="W939" i="1"/>
  <c r="U939" i="1"/>
  <c r="W973" i="1"/>
  <c r="W909" i="1"/>
  <c r="U909" i="1"/>
  <c r="W906" i="1"/>
  <c r="U906" i="1"/>
  <c r="W387" i="1"/>
  <c r="U387" i="1"/>
  <c r="W520" i="1"/>
  <c r="U520" i="1"/>
  <c r="W651" i="1"/>
  <c r="U651" i="1"/>
  <c r="W652" i="1"/>
  <c r="U652" i="1"/>
  <c r="T536" i="1"/>
  <c r="N536" i="1"/>
  <c r="R536" i="1" s="1"/>
  <c r="G536" i="1"/>
  <c r="F536" i="1"/>
  <c r="D536" i="1"/>
  <c r="C536" i="1"/>
  <c r="A536" i="1"/>
  <c r="T537" i="1"/>
  <c r="N537" i="1"/>
  <c r="R537" i="1" s="1"/>
  <c r="G537" i="1"/>
  <c r="F537" i="1"/>
  <c r="D537" i="1"/>
  <c r="C537" i="1"/>
  <c r="A537" i="1"/>
  <c r="T429" i="1"/>
  <c r="N429" i="1"/>
  <c r="R429" i="1" s="1"/>
  <c r="G429" i="1"/>
  <c r="F429" i="1"/>
  <c r="D429" i="1"/>
  <c r="C429" i="1"/>
  <c r="A429" i="1"/>
  <c r="W536" i="1" l="1"/>
  <c r="U536" i="1"/>
  <c r="W537" i="1"/>
  <c r="U537" i="1"/>
  <c r="W429" i="1"/>
  <c r="U429" i="1"/>
  <c r="T514" i="1"/>
  <c r="T512" i="1"/>
  <c r="A514" i="1"/>
  <c r="C514" i="1"/>
  <c r="D514" i="1"/>
  <c r="F514" i="1"/>
  <c r="G514" i="1"/>
  <c r="N514" i="1"/>
  <c r="R514" i="1" s="1"/>
  <c r="W514" i="1" s="1"/>
  <c r="T397" i="1"/>
  <c r="N397" i="1"/>
  <c r="R397" i="1" s="1"/>
  <c r="G397" i="1"/>
  <c r="F397" i="1"/>
  <c r="D397" i="1"/>
  <c r="C397" i="1"/>
  <c r="A397" i="1"/>
  <c r="T392" i="1"/>
  <c r="T565" i="1"/>
  <c r="N565" i="1"/>
  <c r="R565" i="1" s="1"/>
  <c r="G565" i="1"/>
  <c r="F565" i="1"/>
  <c r="D565" i="1"/>
  <c r="C565" i="1"/>
  <c r="A565" i="1"/>
  <c r="T573" i="1"/>
  <c r="N573" i="1"/>
  <c r="R573" i="1" s="1"/>
  <c r="G573" i="1"/>
  <c r="F573" i="1"/>
  <c r="D573" i="1"/>
  <c r="C573" i="1"/>
  <c r="A573" i="1"/>
  <c r="T574" i="1"/>
  <c r="N574" i="1"/>
  <c r="R574" i="1" s="1"/>
  <c r="G574" i="1"/>
  <c r="F574" i="1"/>
  <c r="D574" i="1"/>
  <c r="C574" i="1"/>
  <c r="A574" i="1"/>
  <c r="T572" i="1"/>
  <c r="T375" i="1"/>
  <c r="N375" i="1"/>
  <c r="R375" i="1" s="1"/>
  <c r="G375" i="1"/>
  <c r="F375" i="1"/>
  <c r="D375" i="1"/>
  <c r="C375" i="1"/>
  <c r="A375" i="1"/>
  <c r="N962" i="1"/>
  <c r="R962" i="1" s="1"/>
  <c r="G962" i="1"/>
  <c r="F962" i="1"/>
  <c r="D962" i="1"/>
  <c r="C962" i="1"/>
  <c r="A962" i="1"/>
  <c r="N963" i="1"/>
  <c r="R963" i="1" s="1"/>
  <c r="W963" i="1" s="1"/>
  <c r="G963" i="1"/>
  <c r="F963" i="1"/>
  <c r="D963" i="1"/>
  <c r="C963" i="1"/>
  <c r="A963" i="1"/>
  <c r="T498" i="1"/>
  <c r="T497" i="1"/>
  <c r="N497" i="1"/>
  <c r="R497" i="1" s="1"/>
  <c r="G497" i="1"/>
  <c r="F497" i="1"/>
  <c r="D497" i="1"/>
  <c r="C497" i="1"/>
  <c r="A497" i="1"/>
  <c r="N498" i="1"/>
  <c r="R498" i="1" s="1"/>
  <c r="G498" i="1"/>
  <c r="F498" i="1"/>
  <c r="D498" i="1"/>
  <c r="C498" i="1"/>
  <c r="A498" i="1"/>
  <c r="T499" i="1"/>
  <c r="N499" i="1"/>
  <c r="R499" i="1" s="1"/>
  <c r="G499" i="1"/>
  <c r="F499" i="1"/>
  <c r="D499" i="1"/>
  <c r="C499" i="1"/>
  <c r="A499" i="1"/>
  <c r="T416" i="1"/>
  <c r="N416" i="1"/>
  <c r="R416" i="1" s="1"/>
  <c r="G416" i="1"/>
  <c r="F416" i="1"/>
  <c r="D416" i="1"/>
  <c r="C416" i="1"/>
  <c r="A416" i="1"/>
  <c r="T378" i="1"/>
  <c r="N378" i="1"/>
  <c r="R378" i="1" s="1"/>
  <c r="G378" i="1"/>
  <c r="F378" i="1"/>
  <c r="D378" i="1"/>
  <c r="C378" i="1"/>
  <c r="A378" i="1"/>
  <c r="T379" i="1"/>
  <c r="N379" i="1"/>
  <c r="R379" i="1" s="1"/>
  <c r="G379" i="1"/>
  <c r="F379" i="1"/>
  <c r="D379" i="1"/>
  <c r="C379" i="1"/>
  <c r="A379" i="1"/>
  <c r="T486" i="1"/>
  <c r="N485" i="1"/>
  <c r="R485" i="1" s="1"/>
  <c r="G485" i="1"/>
  <c r="F485" i="1"/>
  <c r="D485" i="1"/>
  <c r="C485" i="1"/>
  <c r="A485" i="1"/>
  <c r="T484" i="1"/>
  <c r="N484" i="1"/>
  <c r="R484" i="1" s="1"/>
  <c r="G484" i="1"/>
  <c r="F484" i="1"/>
  <c r="D484" i="1"/>
  <c r="C484" i="1"/>
  <c r="A484" i="1"/>
  <c r="T483" i="1"/>
  <c r="N483" i="1"/>
  <c r="R483" i="1" s="1"/>
  <c r="G483" i="1"/>
  <c r="F483" i="1"/>
  <c r="D483" i="1"/>
  <c r="C483" i="1"/>
  <c r="A483" i="1"/>
  <c r="N991" i="1"/>
  <c r="R991" i="1" s="1"/>
  <c r="G991" i="1"/>
  <c r="F991" i="1"/>
  <c r="D991" i="1"/>
  <c r="C991" i="1"/>
  <c r="A991" i="1"/>
  <c r="T550" i="1"/>
  <c r="N550" i="1"/>
  <c r="R550" i="1" s="1"/>
  <c r="G550" i="1"/>
  <c r="F550" i="1"/>
  <c r="D550" i="1"/>
  <c r="C550" i="1"/>
  <c r="A550" i="1"/>
  <c r="T551" i="1"/>
  <c r="N551" i="1"/>
  <c r="R551" i="1" s="1"/>
  <c r="G551" i="1"/>
  <c r="F551" i="1"/>
  <c r="D551" i="1"/>
  <c r="C551" i="1"/>
  <c r="A551" i="1"/>
  <c r="T552" i="1"/>
  <c r="N552" i="1"/>
  <c r="R552" i="1" s="1"/>
  <c r="G552" i="1"/>
  <c r="F552" i="1"/>
  <c r="D552" i="1"/>
  <c r="C552" i="1"/>
  <c r="A552" i="1"/>
  <c r="T549" i="1"/>
  <c r="N549" i="1"/>
  <c r="R549" i="1" s="1"/>
  <c r="G549" i="1"/>
  <c r="F549" i="1"/>
  <c r="D549" i="1"/>
  <c r="C549" i="1"/>
  <c r="A549" i="1"/>
  <c r="T587" i="1"/>
  <c r="N587" i="1"/>
  <c r="R587" i="1" s="1"/>
  <c r="G587" i="1"/>
  <c r="F587" i="1"/>
  <c r="D587" i="1"/>
  <c r="C587" i="1"/>
  <c r="A587" i="1"/>
  <c r="N1024" i="1"/>
  <c r="R1024" i="1" s="1"/>
  <c r="G1024" i="1"/>
  <c r="F1024" i="1"/>
  <c r="D1024" i="1"/>
  <c r="C1024" i="1"/>
  <c r="A1024" i="1"/>
  <c r="N1021" i="1"/>
  <c r="R1021" i="1" s="1"/>
  <c r="G1021" i="1"/>
  <c r="F1021" i="1"/>
  <c r="D1021" i="1"/>
  <c r="C1021" i="1"/>
  <c r="A1021" i="1"/>
  <c r="N980" i="1"/>
  <c r="R980" i="1" s="1"/>
  <c r="G980" i="1"/>
  <c r="F980" i="1"/>
  <c r="D980" i="1"/>
  <c r="C980" i="1"/>
  <c r="A980" i="1"/>
  <c r="T527" i="1"/>
  <c r="N527" i="1"/>
  <c r="R527" i="1" s="1"/>
  <c r="G527" i="1"/>
  <c r="F527" i="1"/>
  <c r="D527" i="1"/>
  <c r="C527" i="1"/>
  <c r="A527" i="1"/>
  <c r="T528" i="1"/>
  <c r="N528" i="1"/>
  <c r="R528" i="1" s="1"/>
  <c r="G528" i="1"/>
  <c r="F528" i="1"/>
  <c r="D528" i="1"/>
  <c r="C528" i="1"/>
  <c r="A528" i="1"/>
  <c r="T529" i="1"/>
  <c r="N529" i="1"/>
  <c r="R529" i="1" s="1"/>
  <c r="G529" i="1"/>
  <c r="F529" i="1"/>
  <c r="D529" i="1"/>
  <c r="C529" i="1"/>
  <c r="A529" i="1"/>
  <c r="T526" i="1"/>
  <c r="N526" i="1"/>
  <c r="R526" i="1" s="1"/>
  <c r="G526" i="1"/>
  <c r="F526" i="1"/>
  <c r="D526" i="1"/>
  <c r="C526" i="1"/>
  <c r="A526" i="1"/>
  <c r="N967" i="1"/>
  <c r="R967" i="1" s="1"/>
  <c r="G967" i="1"/>
  <c r="F967" i="1"/>
  <c r="D967" i="1"/>
  <c r="C967" i="1"/>
  <c r="A967" i="1"/>
  <c r="T505" i="1"/>
  <c r="N505" i="1"/>
  <c r="R505" i="1" s="1"/>
  <c r="G505" i="1"/>
  <c r="F505" i="1"/>
  <c r="D505" i="1"/>
  <c r="C505" i="1"/>
  <c r="A505" i="1"/>
  <c r="N1036" i="1"/>
  <c r="R1036" i="1" s="1"/>
  <c r="G1036" i="1"/>
  <c r="F1036" i="1"/>
  <c r="D1036" i="1"/>
  <c r="C1036" i="1"/>
  <c r="A1036" i="1"/>
  <c r="N1037" i="1"/>
  <c r="R1037" i="1" s="1"/>
  <c r="G1037" i="1"/>
  <c r="F1037" i="1"/>
  <c r="D1037" i="1"/>
  <c r="C1037" i="1"/>
  <c r="A1037" i="1"/>
  <c r="T706" i="1"/>
  <c r="N706" i="1"/>
  <c r="R706" i="1" s="1"/>
  <c r="G706" i="1"/>
  <c r="F706" i="1"/>
  <c r="D706" i="1"/>
  <c r="C706" i="1"/>
  <c r="A706" i="1"/>
  <c r="T707" i="1"/>
  <c r="N707" i="1"/>
  <c r="R707" i="1" s="1"/>
  <c r="G707" i="1"/>
  <c r="F707" i="1"/>
  <c r="D707" i="1"/>
  <c r="C707" i="1"/>
  <c r="A707" i="1"/>
  <c r="T708" i="1"/>
  <c r="N708" i="1"/>
  <c r="R708" i="1" s="1"/>
  <c r="G708" i="1"/>
  <c r="F708" i="1"/>
  <c r="D708" i="1"/>
  <c r="C708" i="1"/>
  <c r="A708" i="1"/>
  <c r="U514" i="1" l="1"/>
  <c r="W397" i="1"/>
  <c r="U397" i="1"/>
  <c r="W565" i="1"/>
  <c r="U565" i="1"/>
  <c r="W573" i="1"/>
  <c r="U573" i="1"/>
  <c r="W574" i="1"/>
  <c r="U574" i="1"/>
  <c r="U962" i="1"/>
  <c r="W375" i="1"/>
  <c r="U375" i="1"/>
  <c r="W962" i="1"/>
  <c r="U963" i="1"/>
  <c r="W497" i="1"/>
  <c r="U497" i="1"/>
  <c r="W498" i="1"/>
  <c r="U498" i="1"/>
  <c r="W499" i="1"/>
  <c r="U499" i="1"/>
  <c r="W416" i="1"/>
  <c r="U416" i="1"/>
  <c r="W378" i="1"/>
  <c r="U378" i="1"/>
  <c r="W379" i="1"/>
  <c r="U379" i="1"/>
  <c r="W485" i="1"/>
  <c r="U485" i="1"/>
  <c r="W484" i="1"/>
  <c r="U484" i="1"/>
  <c r="W483" i="1"/>
  <c r="U483" i="1"/>
  <c r="W991" i="1"/>
  <c r="U991" i="1"/>
  <c r="W550" i="1"/>
  <c r="U550" i="1"/>
  <c r="W551" i="1"/>
  <c r="U551" i="1"/>
  <c r="W552" i="1"/>
  <c r="U552" i="1"/>
  <c r="W549" i="1"/>
  <c r="U549" i="1"/>
  <c r="W587" i="1"/>
  <c r="U587" i="1"/>
  <c r="W1024" i="1"/>
  <c r="U1024" i="1"/>
  <c r="W1021" i="1"/>
  <c r="U1021" i="1"/>
  <c r="W980" i="1"/>
  <c r="U980" i="1"/>
  <c r="W527" i="1"/>
  <c r="U527" i="1"/>
  <c r="W528" i="1"/>
  <c r="U528" i="1"/>
  <c r="W529" i="1"/>
  <c r="U529" i="1"/>
  <c r="W526" i="1"/>
  <c r="U526" i="1"/>
  <c r="W967" i="1"/>
  <c r="U967" i="1"/>
  <c r="W505" i="1"/>
  <c r="U505" i="1"/>
  <c r="W1036" i="1"/>
  <c r="U1036" i="1"/>
  <c r="W1037" i="1"/>
  <c r="U1037" i="1"/>
  <c r="W706" i="1"/>
  <c r="U706" i="1"/>
  <c r="W707" i="1"/>
  <c r="U707" i="1"/>
  <c r="W708" i="1"/>
  <c r="U708" i="1"/>
  <c r="A428" i="1"/>
  <c r="C428" i="1"/>
  <c r="D428" i="1"/>
  <c r="F428" i="1"/>
  <c r="G428" i="1"/>
  <c r="N428" i="1"/>
  <c r="R428" i="1" s="1"/>
  <c r="N1042" i="1"/>
  <c r="R1042" i="1" s="1"/>
  <c r="G1042" i="1"/>
  <c r="F1042" i="1"/>
  <c r="D1042" i="1"/>
  <c r="C1042" i="1"/>
  <c r="A1042" i="1"/>
  <c r="T733" i="1"/>
  <c r="N733" i="1"/>
  <c r="R733" i="1" s="1"/>
  <c r="G733" i="1"/>
  <c r="F733" i="1"/>
  <c r="D733" i="1"/>
  <c r="C733" i="1"/>
  <c r="A733" i="1"/>
  <c r="T734" i="1"/>
  <c r="N734" i="1"/>
  <c r="R734" i="1" s="1"/>
  <c r="G734" i="1"/>
  <c r="F734" i="1"/>
  <c r="D734" i="1"/>
  <c r="C734" i="1"/>
  <c r="A734" i="1"/>
  <c r="T735" i="1"/>
  <c r="N735" i="1"/>
  <c r="R735" i="1" s="1"/>
  <c r="G735" i="1"/>
  <c r="F735" i="1"/>
  <c r="D735" i="1"/>
  <c r="C735" i="1"/>
  <c r="A735" i="1"/>
  <c r="N1096" i="1"/>
  <c r="R1096" i="1" s="1"/>
  <c r="G1096" i="1"/>
  <c r="F1096" i="1"/>
  <c r="D1096" i="1"/>
  <c r="C1096" i="1"/>
  <c r="A1096" i="1"/>
  <c r="T516" i="1"/>
  <c r="N516" i="1"/>
  <c r="R516" i="1" s="1"/>
  <c r="G516" i="1"/>
  <c r="F516" i="1"/>
  <c r="D516" i="1"/>
  <c r="C516" i="1"/>
  <c r="A516" i="1"/>
  <c r="U428" i="1" l="1"/>
  <c r="W428" i="1"/>
  <c r="W1042" i="1"/>
  <c r="U1042" i="1"/>
  <c r="W733" i="1"/>
  <c r="U733" i="1"/>
  <c r="W734" i="1"/>
  <c r="U734" i="1"/>
  <c r="W735" i="1"/>
  <c r="U735" i="1"/>
  <c r="W1096" i="1"/>
  <c r="U1096" i="1"/>
  <c r="W516" i="1"/>
  <c r="U516" i="1"/>
  <c r="N357" i="1"/>
  <c r="R357" i="1" s="1"/>
  <c r="L357" i="1"/>
  <c r="K357" i="1"/>
  <c r="J357" i="1"/>
  <c r="I357" i="1"/>
  <c r="G357" i="1"/>
  <c r="F357" i="1"/>
  <c r="D357" i="1"/>
  <c r="C357" i="1"/>
  <c r="A357" i="1"/>
  <c r="T309" i="1"/>
  <c r="N309" i="1"/>
  <c r="R309" i="1" s="1"/>
  <c r="G309" i="1"/>
  <c r="F309" i="1"/>
  <c r="D309" i="1"/>
  <c r="C309" i="1"/>
  <c r="A309" i="1"/>
  <c r="T305" i="1"/>
  <c r="T304" i="1"/>
  <c r="N1106" i="1"/>
  <c r="R1106" i="1" s="1"/>
  <c r="G1106" i="1"/>
  <c r="F1106" i="1"/>
  <c r="D1106" i="1"/>
  <c r="C1106" i="1"/>
  <c r="A1106" i="1"/>
  <c r="W357" i="1" l="1"/>
  <c r="U357" i="1"/>
  <c r="W309" i="1"/>
  <c r="U309" i="1"/>
  <c r="W1106" i="1"/>
  <c r="U1106" i="1"/>
  <c r="N1026" i="1"/>
  <c r="R1026" i="1" s="1"/>
  <c r="G1026" i="1"/>
  <c r="F1026" i="1"/>
  <c r="D1026" i="1"/>
  <c r="C1026" i="1"/>
  <c r="A1026" i="1"/>
  <c r="N1027" i="1"/>
  <c r="R1027" i="1" s="1"/>
  <c r="G1027" i="1"/>
  <c r="F1027" i="1"/>
  <c r="D1027" i="1"/>
  <c r="C1027" i="1"/>
  <c r="A1027" i="1"/>
  <c r="N1028" i="1"/>
  <c r="R1028" i="1" s="1"/>
  <c r="G1028" i="1"/>
  <c r="F1028" i="1"/>
  <c r="D1028" i="1"/>
  <c r="C1028" i="1"/>
  <c r="A1028" i="1"/>
  <c r="T642" i="1"/>
  <c r="N642" i="1"/>
  <c r="R642" i="1" s="1"/>
  <c r="G642" i="1"/>
  <c r="F642" i="1"/>
  <c r="D642" i="1"/>
  <c r="C642" i="1"/>
  <c r="A642" i="1"/>
  <c r="T641" i="1"/>
  <c r="N641" i="1"/>
  <c r="R641" i="1" s="1"/>
  <c r="G641" i="1"/>
  <c r="F641" i="1"/>
  <c r="D641" i="1"/>
  <c r="C641" i="1"/>
  <c r="A641" i="1"/>
  <c r="T639" i="1"/>
  <c r="N639" i="1"/>
  <c r="R639" i="1" s="1"/>
  <c r="G639" i="1"/>
  <c r="F639" i="1"/>
  <c r="D639" i="1"/>
  <c r="C639" i="1"/>
  <c r="A639" i="1"/>
  <c r="T414" i="1"/>
  <c r="N414" i="1"/>
  <c r="R414" i="1" s="1"/>
  <c r="G414" i="1"/>
  <c r="F414" i="1"/>
  <c r="D414" i="1"/>
  <c r="C414" i="1"/>
  <c r="A414" i="1"/>
  <c r="T567" i="1"/>
  <c r="N567" i="1"/>
  <c r="R567" i="1" s="1"/>
  <c r="G567" i="1"/>
  <c r="F567" i="1"/>
  <c r="D567" i="1"/>
  <c r="C567" i="1"/>
  <c r="A567" i="1"/>
  <c r="N1048" i="1"/>
  <c r="R1048" i="1" s="1"/>
  <c r="G1048" i="1"/>
  <c r="F1048" i="1"/>
  <c r="D1048" i="1"/>
  <c r="C1048" i="1"/>
  <c r="A1048" i="1"/>
  <c r="N1049" i="1"/>
  <c r="R1049" i="1" s="1"/>
  <c r="G1049" i="1"/>
  <c r="F1049" i="1"/>
  <c r="D1049" i="1"/>
  <c r="C1049" i="1"/>
  <c r="A1049" i="1"/>
  <c r="T470" i="1"/>
  <c r="N470" i="1"/>
  <c r="R470" i="1" s="1"/>
  <c r="G470" i="1"/>
  <c r="F470" i="1"/>
  <c r="D470" i="1"/>
  <c r="C470" i="1"/>
  <c r="A470" i="1"/>
  <c r="N948" i="1"/>
  <c r="R948" i="1" s="1"/>
  <c r="W948" i="1" s="1"/>
  <c r="G948" i="1"/>
  <c r="F948" i="1"/>
  <c r="D948" i="1"/>
  <c r="C948" i="1"/>
  <c r="A948" i="1"/>
  <c r="W1026" i="1" l="1"/>
  <c r="U1026" i="1"/>
  <c r="W1027" i="1"/>
  <c r="U1027" i="1"/>
  <c r="W1028" i="1"/>
  <c r="U1028" i="1"/>
  <c r="U642" i="1"/>
  <c r="W642" i="1"/>
  <c r="W641" i="1"/>
  <c r="U641" i="1"/>
  <c r="W639" i="1"/>
  <c r="U639" i="1"/>
  <c r="W414" i="1"/>
  <c r="U414" i="1"/>
  <c r="W567" i="1"/>
  <c r="U567" i="1"/>
  <c r="W1048" i="1"/>
  <c r="U1048" i="1"/>
  <c r="W1049" i="1"/>
  <c r="U1049" i="1"/>
  <c r="U948" i="1"/>
  <c r="W470" i="1"/>
  <c r="U470" i="1"/>
  <c r="N1001" i="1"/>
  <c r="R1001" i="1" s="1"/>
  <c r="G1001" i="1"/>
  <c r="F1001" i="1"/>
  <c r="D1001" i="1"/>
  <c r="C1001" i="1"/>
  <c r="A1001" i="1"/>
  <c r="T1000" i="1"/>
  <c r="N1000" i="1"/>
  <c r="R1000" i="1" s="1"/>
  <c r="G1000" i="1"/>
  <c r="F1000" i="1"/>
  <c r="D1000" i="1"/>
  <c r="C1000" i="1"/>
  <c r="A1000" i="1"/>
  <c r="T999" i="1"/>
  <c r="N999" i="1"/>
  <c r="R999" i="1" s="1"/>
  <c r="G999" i="1"/>
  <c r="F999" i="1"/>
  <c r="D999" i="1"/>
  <c r="C999" i="1"/>
  <c r="A999" i="1"/>
  <c r="T576" i="1"/>
  <c r="W1001" i="1" l="1"/>
  <c r="U1001" i="1"/>
  <c r="W1000" i="1"/>
  <c r="U1000" i="1"/>
  <c r="W999" i="1"/>
  <c r="U999" i="1"/>
  <c r="T390" i="1" l="1"/>
  <c r="N390" i="1"/>
  <c r="R390" i="1" s="1"/>
  <c r="G390" i="1"/>
  <c r="F390" i="1"/>
  <c r="D390" i="1"/>
  <c r="C390" i="1"/>
  <c r="A390" i="1"/>
  <c r="T389" i="1"/>
  <c r="N389" i="1"/>
  <c r="R389" i="1" s="1"/>
  <c r="W389" i="1" s="1"/>
  <c r="G389" i="1"/>
  <c r="F389" i="1"/>
  <c r="D389" i="1"/>
  <c r="C389" i="1"/>
  <c r="A389" i="1"/>
  <c r="N1045" i="1"/>
  <c r="R1045" i="1" s="1"/>
  <c r="G1045" i="1"/>
  <c r="F1045" i="1"/>
  <c r="D1045" i="1"/>
  <c r="C1045" i="1"/>
  <c r="A1045" i="1"/>
  <c r="T1044" i="1"/>
  <c r="T921" i="1"/>
  <c r="T832" i="1"/>
  <c r="T831" i="1"/>
  <c r="T776" i="1"/>
  <c r="T722" i="1"/>
  <c r="T721" i="1"/>
  <c r="T710" i="1"/>
  <c r="T709" i="1"/>
  <c r="T688" i="1"/>
  <c r="T640" i="1"/>
  <c r="T616" i="1"/>
  <c r="T615" i="1"/>
  <c r="T614" i="1"/>
  <c r="T588" i="1"/>
  <c r="T583" i="1"/>
  <c r="T582" i="1"/>
  <c r="T581" i="1"/>
  <c r="T579" i="1"/>
  <c r="T578" i="1"/>
  <c r="T577" i="1"/>
  <c r="T571" i="1"/>
  <c r="T568" i="1"/>
  <c r="T566" i="1"/>
  <c r="T564" i="1"/>
  <c r="T563" i="1"/>
  <c r="T548" i="1"/>
  <c r="T547" i="1"/>
  <c r="T546" i="1"/>
  <c r="T544" i="1"/>
  <c r="T543" i="1"/>
  <c r="T532" i="1"/>
  <c r="T531" i="1"/>
  <c r="T530" i="1"/>
  <c r="T525" i="1"/>
  <c r="T521" i="1"/>
  <c r="T513" i="1"/>
  <c r="T504" i="1"/>
  <c r="T503" i="1"/>
  <c r="T502" i="1"/>
  <c r="T501" i="1"/>
  <c r="T495" i="1"/>
  <c r="T491" i="1"/>
  <c r="T481" i="1"/>
  <c r="T480" i="1"/>
  <c r="T479" i="1"/>
  <c r="T478" i="1"/>
  <c r="T477" i="1"/>
  <c r="T474" i="1"/>
  <c r="T473" i="1"/>
  <c r="T472" i="1"/>
  <c r="T469" i="1"/>
  <c r="T468" i="1"/>
  <c r="T461" i="1"/>
  <c r="T460" i="1"/>
  <c r="T459" i="1"/>
  <c r="T458" i="1"/>
  <c r="T457" i="1"/>
  <c r="T456" i="1"/>
  <c r="T444" i="1"/>
  <c r="T438" i="1"/>
  <c r="T437" i="1"/>
  <c r="T436" i="1"/>
  <c r="T435" i="1"/>
  <c r="T434" i="1"/>
  <c r="T433" i="1"/>
  <c r="T431" i="1"/>
  <c r="T427" i="1"/>
  <c r="T426" i="1"/>
  <c r="T424" i="1"/>
  <c r="T423" i="1"/>
  <c r="T422" i="1"/>
  <c r="T420" i="1"/>
  <c r="T417" i="1"/>
  <c r="T402" i="1"/>
  <c r="T401" i="1"/>
  <c r="T384" i="1"/>
  <c r="T383" i="1"/>
  <c r="T382" i="1"/>
  <c r="T381" i="1"/>
  <c r="T380" i="1"/>
  <c r="T377" i="1"/>
  <c r="T372" i="1"/>
  <c r="T371" i="1"/>
  <c r="T370" i="1"/>
  <c r="T369" i="1"/>
  <c r="T367" i="1"/>
  <c r="T366" i="1"/>
  <c r="T365" i="1"/>
  <c r="T363" i="1"/>
  <c r="T362" i="1"/>
  <c r="T361" i="1"/>
  <c r="T360" i="1"/>
  <c r="T359" i="1"/>
  <c r="T356" i="1"/>
  <c r="T308" i="1"/>
  <c r="T307" i="1"/>
  <c r="T306" i="1"/>
  <c r="T302" i="1"/>
  <c r="T301" i="1"/>
  <c r="T299" i="1"/>
  <c r="T297" i="1"/>
  <c r="T296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N1044" i="1"/>
  <c r="R1044" i="1" s="1"/>
  <c r="W1044" i="1" s="1"/>
  <c r="G1044" i="1"/>
  <c r="F1044" i="1"/>
  <c r="D1044" i="1"/>
  <c r="C1044" i="1"/>
  <c r="A1044" i="1"/>
  <c r="N359" i="1"/>
  <c r="R359" i="1" s="1"/>
  <c r="G359" i="1"/>
  <c r="F359" i="1"/>
  <c r="D359" i="1"/>
  <c r="C359" i="1"/>
  <c r="A359" i="1"/>
  <c r="W390" i="1" l="1"/>
  <c r="U390" i="1"/>
  <c r="U389" i="1"/>
  <c r="W1045" i="1"/>
  <c r="U1045" i="1"/>
  <c r="U1044" i="1"/>
  <c r="W359" i="1"/>
  <c r="U359" i="1"/>
  <c r="A723" i="1"/>
  <c r="C723" i="1"/>
  <c r="D723" i="1"/>
  <c r="F723" i="1"/>
  <c r="G723" i="1"/>
  <c r="N723" i="1"/>
  <c r="R723" i="1" s="1"/>
  <c r="U723" i="1" s="1"/>
  <c r="N921" i="1"/>
  <c r="R921" i="1" s="1"/>
  <c r="G921" i="1"/>
  <c r="F921" i="1"/>
  <c r="D921" i="1"/>
  <c r="C921" i="1"/>
  <c r="A921" i="1"/>
  <c r="N922" i="1"/>
  <c r="R922" i="1" s="1"/>
  <c r="G922" i="1"/>
  <c r="F922" i="1"/>
  <c r="D922" i="1"/>
  <c r="C922" i="1"/>
  <c r="A922" i="1"/>
  <c r="W723" i="1" l="1"/>
  <c r="W921" i="1"/>
  <c r="U921" i="1"/>
  <c r="W922" i="1"/>
  <c r="U922" i="1"/>
  <c r="N245" i="2"/>
  <c r="M245" i="2"/>
  <c r="L245" i="2"/>
  <c r="K245" i="2"/>
  <c r="N244" i="2"/>
  <c r="M244" i="2"/>
  <c r="L244" i="2"/>
  <c r="K244" i="2"/>
  <c r="N243" i="2"/>
  <c r="M243" i="2"/>
  <c r="L243" i="2"/>
  <c r="K243" i="2"/>
  <c r="N242" i="2"/>
  <c r="M242" i="2"/>
  <c r="L242" i="2"/>
  <c r="K242" i="2"/>
  <c r="N241" i="2"/>
  <c r="M241" i="2"/>
  <c r="L241" i="2"/>
  <c r="K241" i="2"/>
  <c r="N240" i="2"/>
  <c r="M240" i="2"/>
  <c r="L240" i="2"/>
  <c r="K240" i="2"/>
  <c r="N239" i="2"/>
  <c r="M239" i="2"/>
  <c r="L239" i="2"/>
  <c r="K239" i="2"/>
  <c r="N238" i="2"/>
  <c r="M238" i="2"/>
  <c r="L238" i="2"/>
  <c r="K238" i="2"/>
  <c r="N237" i="2"/>
  <c r="M237" i="2"/>
  <c r="L237" i="2"/>
  <c r="K237" i="2"/>
  <c r="N236" i="2"/>
  <c r="M236" i="2"/>
  <c r="L236" i="2"/>
  <c r="K236" i="2"/>
  <c r="N235" i="2"/>
  <c r="M235" i="2"/>
  <c r="L235" i="2"/>
  <c r="K235" i="2"/>
  <c r="N234" i="2"/>
  <c r="M234" i="2"/>
  <c r="L234" i="2"/>
  <c r="K234" i="2"/>
  <c r="N233" i="2"/>
  <c r="M233" i="2"/>
  <c r="L233" i="2"/>
  <c r="K233" i="2"/>
  <c r="N232" i="2"/>
  <c r="M232" i="2"/>
  <c r="L232" i="2"/>
  <c r="K232" i="2"/>
  <c r="N231" i="2"/>
  <c r="M231" i="2"/>
  <c r="L231" i="2"/>
  <c r="K231" i="2"/>
  <c r="N230" i="2"/>
  <c r="M230" i="2"/>
  <c r="L230" i="2"/>
  <c r="K230" i="2"/>
  <c r="N229" i="2"/>
  <c r="M229" i="2"/>
  <c r="L229" i="2"/>
  <c r="K229" i="2"/>
  <c r="N228" i="2"/>
  <c r="M228" i="2"/>
  <c r="L228" i="2"/>
  <c r="K228" i="2"/>
  <c r="N227" i="2"/>
  <c r="M227" i="2"/>
  <c r="L227" i="2"/>
  <c r="K227" i="2"/>
  <c r="N226" i="2"/>
  <c r="M226" i="2"/>
  <c r="L226" i="2"/>
  <c r="K226" i="2"/>
  <c r="N225" i="2"/>
  <c r="M225" i="2"/>
  <c r="L225" i="2"/>
  <c r="K225" i="2"/>
  <c r="N224" i="2"/>
  <c r="M224" i="2"/>
  <c r="L224" i="2"/>
  <c r="K224" i="2"/>
  <c r="N223" i="2"/>
  <c r="M223" i="2"/>
  <c r="L223" i="2"/>
  <c r="K223" i="2"/>
  <c r="N222" i="2"/>
  <c r="M222" i="2"/>
  <c r="L222" i="2"/>
  <c r="K222" i="2"/>
  <c r="N221" i="2"/>
  <c r="M221" i="2"/>
  <c r="L221" i="2"/>
  <c r="K221" i="2"/>
  <c r="N220" i="2"/>
  <c r="M220" i="2"/>
  <c r="L220" i="2"/>
  <c r="K220" i="2"/>
  <c r="N219" i="2"/>
  <c r="M219" i="2"/>
  <c r="L219" i="2"/>
  <c r="K219" i="2"/>
  <c r="N218" i="2"/>
  <c r="M218" i="2"/>
  <c r="L218" i="2"/>
  <c r="K218" i="2"/>
  <c r="N217" i="2"/>
  <c r="M217" i="2"/>
  <c r="L217" i="2"/>
  <c r="K217" i="2"/>
  <c r="N216" i="2"/>
  <c r="M216" i="2"/>
  <c r="L216" i="2"/>
  <c r="K216" i="2"/>
  <c r="N215" i="2"/>
  <c r="M215" i="2"/>
  <c r="L215" i="2"/>
  <c r="K215" i="2"/>
  <c r="N214" i="2"/>
  <c r="M214" i="2"/>
  <c r="L214" i="2"/>
  <c r="K214" i="2"/>
  <c r="N213" i="2"/>
  <c r="M213" i="2"/>
  <c r="L213" i="2"/>
  <c r="K213" i="2"/>
  <c r="N212" i="2"/>
  <c r="M212" i="2"/>
  <c r="L212" i="2"/>
  <c r="K212" i="2"/>
  <c r="N211" i="2"/>
  <c r="M211" i="2"/>
  <c r="L211" i="2"/>
  <c r="K211" i="2"/>
  <c r="N210" i="2"/>
  <c r="M210" i="2"/>
  <c r="L210" i="2"/>
  <c r="K210" i="2"/>
  <c r="N209" i="2"/>
  <c r="M209" i="2"/>
  <c r="L209" i="2"/>
  <c r="K209" i="2"/>
  <c r="N208" i="2"/>
  <c r="M208" i="2"/>
  <c r="L208" i="2"/>
  <c r="K208" i="2"/>
  <c r="N207" i="2"/>
  <c r="M207" i="2"/>
  <c r="L207" i="2"/>
  <c r="K207" i="2"/>
  <c r="N206" i="2"/>
  <c r="M206" i="2"/>
  <c r="L206" i="2"/>
  <c r="K206" i="2"/>
  <c r="N205" i="2"/>
  <c r="M205" i="2"/>
  <c r="L205" i="2"/>
  <c r="K205" i="2"/>
  <c r="N203" i="2"/>
  <c r="M203" i="2"/>
  <c r="L203" i="2"/>
  <c r="K203" i="2"/>
  <c r="N202" i="2"/>
  <c r="M202" i="2"/>
  <c r="L202" i="2"/>
  <c r="K202" i="2"/>
  <c r="N199" i="2"/>
  <c r="M199" i="2"/>
  <c r="L199" i="2"/>
  <c r="K199" i="2"/>
  <c r="N198" i="2"/>
  <c r="M198" i="2"/>
  <c r="L198" i="2"/>
  <c r="K198" i="2"/>
  <c r="N197" i="2"/>
  <c r="M197" i="2"/>
  <c r="L197" i="2"/>
  <c r="K197" i="2"/>
  <c r="N196" i="2"/>
  <c r="M196" i="2"/>
  <c r="L196" i="2"/>
  <c r="K196" i="2"/>
  <c r="N195" i="2"/>
  <c r="M195" i="2"/>
  <c r="L195" i="2"/>
  <c r="K195" i="2"/>
  <c r="N193" i="2"/>
  <c r="M193" i="2"/>
  <c r="L193" i="2"/>
  <c r="K193" i="2"/>
  <c r="N192" i="2"/>
  <c r="M192" i="2"/>
  <c r="L192" i="2"/>
  <c r="K192" i="2"/>
  <c r="N191" i="2"/>
  <c r="M191" i="2"/>
  <c r="L191" i="2"/>
  <c r="K191" i="2"/>
  <c r="N190" i="2"/>
  <c r="M190" i="2"/>
  <c r="L190" i="2"/>
  <c r="K190" i="2"/>
  <c r="N189" i="2"/>
  <c r="M189" i="2"/>
  <c r="L189" i="2"/>
  <c r="K189" i="2"/>
  <c r="N188" i="2"/>
  <c r="M188" i="2"/>
  <c r="L188" i="2"/>
  <c r="K188" i="2"/>
  <c r="N187" i="2"/>
  <c r="M187" i="2"/>
  <c r="L187" i="2"/>
  <c r="K187" i="2"/>
  <c r="N186" i="2"/>
  <c r="M186" i="2"/>
  <c r="L186" i="2"/>
  <c r="K186" i="2"/>
  <c r="N185" i="2"/>
  <c r="M185" i="2"/>
  <c r="L185" i="2"/>
  <c r="K185" i="2"/>
  <c r="N184" i="2"/>
  <c r="M184" i="2"/>
  <c r="L184" i="2"/>
  <c r="K184" i="2"/>
  <c r="N183" i="2"/>
  <c r="M183" i="2"/>
  <c r="L183" i="2"/>
  <c r="K183" i="2"/>
  <c r="N182" i="2"/>
  <c r="M182" i="2"/>
  <c r="L182" i="2"/>
  <c r="K182" i="2"/>
  <c r="N180" i="2"/>
  <c r="M180" i="2"/>
  <c r="L180" i="2"/>
  <c r="K180" i="2"/>
  <c r="N179" i="2"/>
  <c r="M179" i="2"/>
  <c r="L179" i="2"/>
  <c r="K179" i="2"/>
  <c r="N178" i="2"/>
  <c r="M178" i="2"/>
  <c r="L178" i="2"/>
  <c r="K178" i="2"/>
  <c r="N177" i="2"/>
  <c r="M177" i="2"/>
  <c r="L177" i="2"/>
  <c r="K177" i="2"/>
  <c r="N176" i="2"/>
  <c r="M176" i="2"/>
  <c r="L176" i="2"/>
  <c r="K176" i="2"/>
  <c r="N175" i="2"/>
  <c r="M175" i="2"/>
  <c r="L175" i="2"/>
  <c r="K175" i="2"/>
  <c r="N174" i="2"/>
  <c r="M174" i="2"/>
  <c r="L174" i="2"/>
  <c r="K174" i="2"/>
  <c r="N173" i="2"/>
  <c r="M173" i="2"/>
  <c r="L173" i="2"/>
  <c r="K173" i="2"/>
  <c r="N172" i="2"/>
  <c r="M172" i="2"/>
  <c r="L172" i="2"/>
  <c r="K172" i="2"/>
  <c r="N171" i="2"/>
  <c r="M171" i="2"/>
  <c r="L171" i="2"/>
  <c r="K171" i="2"/>
  <c r="N170" i="2"/>
  <c r="M170" i="2"/>
  <c r="L170" i="2"/>
  <c r="K170" i="2"/>
  <c r="N169" i="2"/>
  <c r="M169" i="2"/>
  <c r="L169" i="2"/>
  <c r="K169" i="2"/>
  <c r="N168" i="2"/>
  <c r="M168" i="2"/>
  <c r="L168" i="2"/>
  <c r="K168" i="2"/>
  <c r="N167" i="2"/>
  <c r="M167" i="2"/>
  <c r="L167" i="2"/>
  <c r="K167" i="2"/>
  <c r="N166" i="2"/>
  <c r="M166" i="2"/>
  <c r="L166" i="2"/>
  <c r="K166" i="2"/>
  <c r="N165" i="2"/>
  <c r="M165" i="2"/>
  <c r="L165" i="2"/>
  <c r="K165" i="2"/>
  <c r="N164" i="2"/>
  <c r="M164" i="2"/>
  <c r="L164" i="2"/>
  <c r="K164" i="2"/>
  <c r="N163" i="2"/>
  <c r="M163" i="2"/>
  <c r="L163" i="2"/>
  <c r="K163" i="2"/>
  <c r="N162" i="2"/>
  <c r="M162" i="2"/>
  <c r="L162" i="2"/>
  <c r="K162" i="2"/>
  <c r="N161" i="2"/>
  <c r="M161" i="2"/>
  <c r="L161" i="2"/>
  <c r="K161" i="2"/>
  <c r="N160" i="2"/>
  <c r="M160" i="2"/>
  <c r="L160" i="2"/>
  <c r="K160" i="2"/>
  <c r="N159" i="2"/>
  <c r="M159" i="2"/>
  <c r="L159" i="2"/>
  <c r="K159" i="2"/>
  <c r="N158" i="2"/>
  <c r="M158" i="2"/>
  <c r="L158" i="2"/>
  <c r="K158" i="2"/>
  <c r="N157" i="2"/>
  <c r="M157" i="2"/>
  <c r="L157" i="2"/>
  <c r="K157" i="2"/>
  <c r="N156" i="2"/>
  <c r="M156" i="2"/>
  <c r="L156" i="2"/>
  <c r="K156" i="2"/>
  <c r="N155" i="2"/>
  <c r="M155" i="2"/>
  <c r="L155" i="2"/>
  <c r="K155" i="2"/>
  <c r="N154" i="2"/>
  <c r="M154" i="2"/>
  <c r="L154" i="2"/>
  <c r="K154" i="2"/>
  <c r="N153" i="2"/>
  <c r="M153" i="2"/>
  <c r="L153" i="2"/>
  <c r="K153" i="2"/>
  <c r="N152" i="2"/>
  <c r="M152" i="2"/>
  <c r="L152" i="2"/>
  <c r="K152" i="2"/>
  <c r="N151" i="2"/>
  <c r="M151" i="2"/>
  <c r="L151" i="2"/>
  <c r="K151" i="2"/>
  <c r="N150" i="2"/>
  <c r="M150" i="2"/>
  <c r="L150" i="2"/>
  <c r="K150" i="2"/>
  <c r="N149" i="2"/>
  <c r="M149" i="2"/>
  <c r="L149" i="2"/>
  <c r="K149" i="2"/>
  <c r="N148" i="2"/>
  <c r="M148" i="2"/>
  <c r="L148" i="2"/>
  <c r="K148" i="2"/>
  <c r="N147" i="2"/>
  <c r="M147" i="2"/>
  <c r="L147" i="2"/>
  <c r="K147" i="2"/>
  <c r="N146" i="2"/>
  <c r="M146" i="2"/>
  <c r="L146" i="2"/>
  <c r="K146" i="2"/>
  <c r="N145" i="2"/>
  <c r="M145" i="2"/>
  <c r="L145" i="2"/>
  <c r="K145" i="2"/>
  <c r="N144" i="2"/>
  <c r="M144" i="2"/>
  <c r="L144" i="2"/>
  <c r="K144" i="2"/>
  <c r="N143" i="2"/>
  <c r="M143" i="2"/>
  <c r="L143" i="2"/>
  <c r="K143" i="2"/>
  <c r="N142" i="2"/>
  <c r="M142" i="2"/>
  <c r="L142" i="2"/>
  <c r="K142" i="2"/>
  <c r="N141" i="2"/>
  <c r="M141" i="2"/>
  <c r="L141" i="2"/>
  <c r="K141" i="2"/>
  <c r="N140" i="2"/>
  <c r="M140" i="2"/>
  <c r="L140" i="2"/>
  <c r="K140" i="2"/>
  <c r="N139" i="2"/>
  <c r="M139" i="2"/>
  <c r="L139" i="2"/>
  <c r="K139" i="2"/>
  <c r="N138" i="2"/>
  <c r="M138" i="2"/>
  <c r="L138" i="2"/>
  <c r="K138" i="2"/>
  <c r="N136" i="2"/>
  <c r="M136" i="2"/>
  <c r="L136" i="2"/>
  <c r="K136" i="2"/>
  <c r="N135" i="2"/>
  <c r="M135" i="2"/>
  <c r="L135" i="2"/>
  <c r="K135" i="2"/>
  <c r="N134" i="2"/>
  <c r="M134" i="2"/>
  <c r="L134" i="2"/>
  <c r="K134" i="2"/>
  <c r="N133" i="2"/>
  <c r="M133" i="2"/>
  <c r="L133" i="2"/>
  <c r="K133" i="2"/>
  <c r="N132" i="2"/>
  <c r="M132" i="2"/>
  <c r="L132" i="2"/>
  <c r="K132" i="2"/>
  <c r="N131" i="2"/>
  <c r="M131" i="2"/>
  <c r="L131" i="2"/>
  <c r="K131" i="2"/>
  <c r="N130" i="2"/>
  <c r="M130" i="2"/>
  <c r="L130" i="2"/>
  <c r="K130" i="2"/>
  <c r="N129" i="2"/>
  <c r="M129" i="2"/>
  <c r="L129" i="2"/>
  <c r="K129" i="2"/>
  <c r="N128" i="2"/>
  <c r="M128" i="2"/>
  <c r="L128" i="2"/>
  <c r="K128" i="2"/>
  <c r="N127" i="2"/>
  <c r="M127" i="2"/>
  <c r="L127" i="2"/>
  <c r="K127" i="2"/>
  <c r="N126" i="2"/>
  <c r="M126" i="2"/>
  <c r="L126" i="2"/>
  <c r="K126" i="2"/>
  <c r="N125" i="2"/>
  <c r="M125" i="2"/>
  <c r="L125" i="2"/>
  <c r="K125" i="2"/>
  <c r="N124" i="2"/>
  <c r="M124" i="2"/>
  <c r="L124" i="2"/>
  <c r="K124" i="2"/>
  <c r="N123" i="2"/>
  <c r="M123" i="2"/>
  <c r="L123" i="2"/>
  <c r="K123" i="2"/>
  <c r="N122" i="2"/>
  <c r="M122" i="2"/>
  <c r="L122" i="2"/>
  <c r="K122" i="2"/>
  <c r="N121" i="2"/>
  <c r="M121" i="2"/>
  <c r="L121" i="2"/>
  <c r="K121" i="2"/>
  <c r="N120" i="2"/>
  <c r="M120" i="2"/>
  <c r="L120" i="2"/>
  <c r="K120" i="2"/>
  <c r="N119" i="2"/>
  <c r="M119" i="2"/>
  <c r="L119" i="2"/>
  <c r="K119" i="2"/>
  <c r="N118" i="2"/>
  <c r="M118" i="2"/>
  <c r="L118" i="2"/>
  <c r="K118" i="2"/>
  <c r="N117" i="2"/>
  <c r="M117" i="2"/>
  <c r="L117" i="2"/>
  <c r="K117" i="2"/>
  <c r="N116" i="2"/>
  <c r="M116" i="2"/>
  <c r="L116" i="2"/>
  <c r="K116" i="2"/>
  <c r="N115" i="2"/>
  <c r="M115" i="2"/>
  <c r="L115" i="2"/>
  <c r="K115" i="2"/>
  <c r="N114" i="2"/>
  <c r="M114" i="2"/>
  <c r="L114" i="2"/>
  <c r="K114" i="2"/>
  <c r="N113" i="2"/>
  <c r="M113" i="2"/>
  <c r="L113" i="2"/>
  <c r="K113" i="2"/>
  <c r="N112" i="2"/>
  <c r="M112" i="2"/>
  <c r="L112" i="2"/>
  <c r="K112" i="2"/>
  <c r="N111" i="2"/>
  <c r="M111" i="2"/>
  <c r="L111" i="2"/>
  <c r="K111" i="2"/>
  <c r="N110" i="2"/>
  <c r="M110" i="2"/>
  <c r="L110" i="2"/>
  <c r="K110" i="2"/>
  <c r="N109" i="2"/>
  <c r="M109" i="2"/>
  <c r="L109" i="2"/>
  <c r="K109" i="2"/>
  <c r="N108" i="2"/>
  <c r="M108" i="2"/>
  <c r="L108" i="2"/>
  <c r="K108" i="2"/>
  <c r="N107" i="2"/>
  <c r="M107" i="2"/>
  <c r="L107" i="2"/>
  <c r="K107" i="2"/>
  <c r="N106" i="2"/>
  <c r="M106" i="2"/>
  <c r="L106" i="2"/>
  <c r="K106" i="2"/>
  <c r="N105" i="2"/>
  <c r="M105" i="2"/>
  <c r="L105" i="2"/>
  <c r="K105" i="2"/>
  <c r="N104" i="2"/>
  <c r="M104" i="2"/>
  <c r="L104" i="2"/>
  <c r="K104" i="2"/>
  <c r="N103" i="2"/>
  <c r="M103" i="2"/>
  <c r="L103" i="2"/>
  <c r="K103" i="2"/>
  <c r="N102" i="2"/>
  <c r="M102" i="2"/>
  <c r="L102" i="2"/>
  <c r="K102" i="2"/>
  <c r="N101" i="2"/>
  <c r="M101" i="2"/>
  <c r="L101" i="2"/>
  <c r="K101" i="2"/>
  <c r="N99" i="2"/>
  <c r="M99" i="2"/>
  <c r="L99" i="2"/>
  <c r="K99" i="2"/>
  <c r="N98" i="2"/>
  <c r="M98" i="2"/>
  <c r="L98" i="2"/>
  <c r="K98" i="2"/>
  <c r="N97" i="2"/>
  <c r="M97" i="2"/>
  <c r="L97" i="2"/>
  <c r="K97" i="2"/>
  <c r="N96" i="2"/>
  <c r="M96" i="2"/>
  <c r="L96" i="2"/>
  <c r="K96" i="2"/>
  <c r="N95" i="2"/>
  <c r="M95" i="2"/>
  <c r="L95" i="2"/>
  <c r="K95" i="2"/>
  <c r="N94" i="2"/>
  <c r="M94" i="2"/>
  <c r="L94" i="2"/>
  <c r="K94" i="2"/>
  <c r="N93" i="2"/>
  <c r="M93" i="2"/>
  <c r="L93" i="2"/>
  <c r="K93" i="2"/>
  <c r="N92" i="2"/>
  <c r="M92" i="2"/>
  <c r="L92" i="2"/>
  <c r="K92" i="2"/>
  <c r="N91" i="2"/>
  <c r="M91" i="2"/>
  <c r="L91" i="2"/>
  <c r="K91" i="2"/>
  <c r="N90" i="2"/>
  <c r="M90" i="2"/>
  <c r="L90" i="2"/>
  <c r="K90" i="2"/>
  <c r="N89" i="2"/>
  <c r="M89" i="2"/>
  <c r="L89" i="2"/>
  <c r="K89" i="2"/>
  <c r="N88" i="2"/>
  <c r="M88" i="2"/>
  <c r="L88" i="2"/>
  <c r="K88" i="2"/>
  <c r="N87" i="2"/>
  <c r="M87" i="2"/>
  <c r="L87" i="2"/>
  <c r="K87" i="2"/>
  <c r="N86" i="2"/>
  <c r="M86" i="2"/>
  <c r="L86" i="2"/>
  <c r="K86" i="2"/>
  <c r="N85" i="2"/>
  <c r="M85" i="2"/>
  <c r="L85" i="2"/>
  <c r="K85" i="2"/>
  <c r="N84" i="2"/>
  <c r="M84" i="2"/>
  <c r="L84" i="2"/>
  <c r="K84" i="2"/>
  <c r="N83" i="2"/>
  <c r="M83" i="2"/>
  <c r="L83" i="2"/>
  <c r="K83" i="2"/>
  <c r="N82" i="2"/>
  <c r="M82" i="2"/>
  <c r="L82" i="2"/>
  <c r="K82" i="2"/>
  <c r="N81" i="2"/>
  <c r="M81" i="2"/>
  <c r="L81" i="2"/>
  <c r="K81" i="2"/>
  <c r="N80" i="2"/>
  <c r="M80" i="2"/>
  <c r="L80" i="2"/>
  <c r="K80" i="2"/>
  <c r="N79" i="2"/>
  <c r="M79" i="2"/>
  <c r="L79" i="2"/>
  <c r="K79" i="2"/>
  <c r="N78" i="2"/>
  <c r="M78" i="2"/>
  <c r="L78" i="2"/>
  <c r="K78" i="2"/>
  <c r="N76" i="2"/>
  <c r="M76" i="2"/>
  <c r="L76" i="2"/>
  <c r="K76" i="2"/>
  <c r="N75" i="2"/>
  <c r="M75" i="2"/>
  <c r="L75" i="2"/>
  <c r="K75" i="2"/>
  <c r="N74" i="2"/>
  <c r="M74" i="2"/>
  <c r="L74" i="2"/>
  <c r="K74" i="2"/>
  <c r="N73" i="2"/>
  <c r="M73" i="2"/>
  <c r="L73" i="2"/>
  <c r="K73" i="2"/>
  <c r="N72" i="2"/>
  <c r="M72" i="2"/>
  <c r="L72" i="2"/>
  <c r="K72" i="2"/>
  <c r="N71" i="2"/>
  <c r="M71" i="2"/>
  <c r="L71" i="2"/>
  <c r="K71" i="2"/>
  <c r="N70" i="2"/>
  <c r="M70" i="2"/>
  <c r="L70" i="2"/>
  <c r="K70" i="2"/>
  <c r="N69" i="2"/>
  <c r="M69" i="2"/>
  <c r="L69" i="2"/>
  <c r="K69" i="2"/>
  <c r="N67" i="2"/>
  <c r="M67" i="2"/>
  <c r="L67" i="2"/>
  <c r="K67" i="2"/>
  <c r="N66" i="2"/>
  <c r="M66" i="2"/>
  <c r="L66" i="2"/>
  <c r="K66" i="2"/>
  <c r="N65" i="2"/>
  <c r="M65" i="2"/>
  <c r="L65" i="2"/>
  <c r="K65" i="2"/>
  <c r="N64" i="2"/>
  <c r="M64" i="2"/>
  <c r="L64" i="2"/>
  <c r="K64" i="2"/>
  <c r="N63" i="2"/>
  <c r="M63" i="2"/>
  <c r="L63" i="2"/>
  <c r="K63" i="2"/>
  <c r="N62" i="2"/>
  <c r="M62" i="2"/>
  <c r="L62" i="2"/>
  <c r="K62" i="2"/>
  <c r="N60" i="2"/>
  <c r="M60" i="2"/>
  <c r="L60" i="2"/>
  <c r="K60" i="2"/>
  <c r="N59" i="2"/>
  <c r="M59" i="2"/>
  <c r="L59" i="2"/>
  <c r="K59" i="2"/>
  <c r="N58" i="2"/>
  <c r="M58" i="2"/>
  <c r="L58" i="2"/>
  <c r="K58" i="2"/>
  <c r="N57" i="2"/>
  <c r="M57" i="2"/>
  <c r="L57" i="2"/>
  <c r="K57" i="2"/>
  <c r="N56" i="2"/>
  <c r="M56" i="2"/>
  <c r="L56" i="2"/>
  <c r="K56" i="2"/>
  <c r="N55" i="2"/>
  <c r="M55" i="2"/>
  <c r="L55" i="2"/>
  <c r="K55" i="2"/>
  <c r="N54" i="2"/>
  <c r="M54" i="2"/>
  <c r="L54" i="2"/>
  <c r="K54" i="2"/>
  <c r="N53" i="2"/>
  <c r="M53" i="2"/>
  <c r="L53" i="2"/>
  <c r="K53" i="2"/>
  <c r="N50" i="2"/>
  <c r="M50" i="2"/>
  <c r="L50" i="2"/>
  <c r="K50" i="2"/>
  <c r="N49" i="2"/>
  <c r="M49" i="2"/>
  <c r="L49" i="2"/>
  <c r="K49" i="2"/>
  <c r="N48" i="2"/>
  <c r="M48" i="2"/>
  <c r="L48" i="2"/>
  <c r="K48" i="2"/>
  <c r="N47" i="2"/>
  <c r="M47" i="2"/>
  <c r="L47" i="2"/>
  <c r="K47" i="2"/>
  <c r="N46" i="2"/>
  <c r="M46" i="2"/>
  <c r="L46" i="2"/>
  <c r="K46" i="2"/>
  <c r="N45" i="2"/>
  <c r="M45" i="2"/>
  <c r="L45" i="2"/>
  <c r="K45" i="2"/>
  <c r="N44" i="2"/>
  <c r="M44" i="2"/>
  <c r="L44" i="2"/>
  <c r="K44" i="2"/>
  <c r="N43" i="2"/>
  <c r="M43" i="2"/>
  <c r="L43" i="2"/>
  <c r="K43" i="2"/>
  <c r="N42" i="2"/>
  <c r="M42" i="2"/>
  <c r="L42" i="2"/>
  <c r="K42" i="2"/>
  <c r="N41" i="2"/>
  <c r="M41" i="2"/>
  <c r="L41" i="2"/>
  <c r="K41" i="2"/>
  <c r="N40" i="2"/>
  <c r="M40" i="2"/>
  <c r="L40" i="2"/>
  <c r="K40" i="2"/>
  <c r="N39" i="2"/>
  <c r="M39" i="2"/>
  <c r="L39" i="2"/>
  <c r="K39" i="2"/>
  <c r="N38" i="2"/>
  <c r="M38" i="2"/>
  <c r="L38" i="2"/>
  <c r="K38" i="2"/>
  <c r="N37" i="2"/>
  <c r="M37" i="2"/>
  <c r="L37" i="2"/>
  <c r="K37" i="2"/>
  <c r="N36" i="2"/>
  <c r="M36" i="2"/>
  <c r="L36" i="2"/>
  <c r="K36" i="2"/>
  <c r="N34" i="2"/>
  <c r="M34" i="2"/>
  <c r="L34" i="2"/>
  <c r="K34" i="2"/>
  <c r="N33" i="2"/>
  <c r="M33" i="2"/>
  <c r="L33" i="2"/>
  <c r="K33" i="2"/>
  <c r="N32" i="2"/>
  <c r="M32" i="2"/>
  <c r="L32" i="2"/>
  <c r="K32" i="2"/>
  <c r="N31" i="2"/>
  <c r="M31" i="2"/>
  <c r="L31" i="2"/>
  <c r="K31" i="2"/>
  <c r="N30" i="2"/>
  <c r="M30" i="2"/>
  <c r="L30" i="2"/>
  <c r="K30" i="2"/>
  <c r="N29" i="2"/>
  <c r="M29" i="2"/>
  <c r="L29" i="2"/>
  <c r="K29" i="2"/>
  <c r="N28" i="2"/>
  <c r="M28" i="2"/>
  <c r="L28" i="2"/>
  <c r="K28" i="2"/>
  <c r="N27" i="2"/>
  <c r="M27" i="2"/>
  <c r="L27" i="2"/>
  <c r="K27" i="2"/>
  <c r="N26" i="2"/>
  <c r="M26" i="2"/>
  <c r="L26" i="2"/>
  <c r="K26" i="2"/>
  <c r="N25" i="2"/>
  <c r="M25" i="2"/>
  <c r="L25" i="2"/>
  <c r="K25" i="2"/>
  <c r="N24" i="2"/>
  <c r="M24" i="2"/>
  <c r="L24" i="2"/>
  <c r="K24" i="2"/>
  <c r="N23" i="2"/>
  <c r="M23" i="2"/>
  <c r="L23" i="2"/>
  <c r="K23" i="2"/>
  <c r="N22" i="2"/>
  <c r="M22" i="2"/>
  <c r="L22" i="2"/>
  <c r="K22" i="2"/>
  <c r="N21" i="2"/>
  <c r="M21" i="2"/>
  <c r="L21" i="2"/>
  <c r="K21" i="2"/>
  <c r="N20" i="2"/>
  <c r="M20" i="2"/>
  <c r="L20" i="2"/>
  <c r="K20" i="2"/>
  <c r="N19" i="2"/>
  <c r="M19" i="2"/>
  <c r="L19" i="2"/>
  <c r="K19" i="2"/>
  <c r="N18" i="2"/>
  <c r="M18" i="2"/>
  <c r="L18" i="2"/>
  <c r="K18" i="2"/>
  <c r="N17" i="2"/>
  <c r="M17" i="2"/>
  <c r="L17" i="2"/>
  <c r="K17" i="2"/>
  <c r="N16" i="2"/>
  <c r="M16" i="2"/>
  <c r="L16" i="2"/>
  <c r="K16" i="2"/>
  <c r="N15" i="2"/>
  <c r="M15" i="2"/>
  <c r="L15" i="2"/>
  <c r="K15" i="2"/>
  <c r="N14" i="2"/>
  <c r="M14" i="2"/>
  <c r="L14" i="2"/>
  <c r="K14" i="2"/>
  <c r="N13" i="2"/>
  <c r="M13" i="2"/>
  <c r="L13" i="2"/>
  <c r="K13" i="2"/>
  <c r="N12" i="2"/>
  <c r="M12" i="2"/>
  <c r="L12" i="2"/>
  <c r="K12" i="2"/>
  <c r="N11" i="2"/>
  <c r="M11" i="2"/>
  <c r="L11" i="2"/>
  <c r="K11" i="2"/>
  <c r="N10" i="2"/>
  <c r="M10" i="2"/>
  <c r="L10" i="2"/>
  <c r="K10" i="2"/>
  <c r="N9" i="2"/>
  <c r="M9" i="2"/>
  <c r="L9" i="2"/>
  <c r="K9" i="2"/>
  <c r="N8" i="2"/>
  <c r="M8" i="2"/>
  <c r="L8" i="2"/>
  <c r="K8" i="2"/>
  <c r="N7" i="2"/>
  <c r="M7" i="2"/>
  <c r="L7" i="2"/>
  <c r="K7" i="2"/>
  <c r="N6" i="2"/>
  <c r="M6" i="2"/>
  <c r="L6" i="2"/>
  <c r="K6" i="2"/>
  <c r="N5" i="2"/>
  <c r="M5" i="2"/>
  <c r="L5" i="2"/>
  <c r="K5" i="2"/>
  <c r="N4" i="2"/>
  <c r="M4" i="2"/>
  <c r="L4" i="2"/>
  <c r="K4" i="2"/>
  <c r="N3" i="2"/>
  <c r="M3" i="2"/>
  <c r="L3" i="2"/>
  <c r="K3" i="2"/>
  <c r="J1428" i="1" l="1"/>
  <c r="J1625" i="1"/>
  <c r="J1626" i="1"/>
  <c r="J1627" i="1"/>
  <c r="J1547" i="1"/>
  <c r="J1427" i="1"/>
  <c r="J1429" i="1"/>
  <c r="J1199" i="1"/>
  <c r="J1203" i="1"/>
  <c r="J1200" i="1"/>
  <c r="J1204" i="1"/>
  <c r="J1323" i="1"/>
  <c r="J1201" i="1"/>
  <c r="J1202" i="1"/>
  <c r="J1623" i="1"/>
  <c r="J1624" i="1"/>
  <c r="J1546" i="1"/>
  <c r="J1425" i="1"/>
  <c r="J1426" i="1"/>
  <c r="J1321" i="1"/>
  <c r="J1322" i="1"/>
  <c r="J1424" i="1"/>
  <c r="J1196" i="1"/>
  <c r="J1197" i="1"/>
  <c r="J1198" i="1"/>
  <c r="J1563" i="1"/>
  <c r="J1471" i="1"/>
  <c r="J1472" i="1"/>
  <c r="J1337" i="1"/>
  <c r="J1243" i="1"/>
  <c r="J1096" i="1"/>
  <c r="J1556" i="1"/>
  <c r="J1455" i="1"/>
  <c r="J1230" i="1"/>
  <c r="J1331" i="1"/>
  <c r="J428" i="1"/>
  <c r="J1403" i="1"/>
  <c r="J1402" i="1"/>
  <c r="J1608" i="1"/>
  <c r="J1607" i="1"/>
  <c r="J1540" i="1"/>
  <c r="J1401" i="1"/>
  <c r="J1177" i="1"/>
  <c r="J1178" i="1"/>
  <c r="J1505" i="1"/>
  <c r="J1504" i="1"/>
  <c r="J1503" i="1"/>
  <c r="J1669" i="1"/>
  <c r="J1574" i="1"/>
  <c r="J1575" i="1"/>
  <c r="J1502" i="1"/>
  <c r="J1506" i="1"/>
  <c r="J1349" i="1"/>
  <c r="J1348" i="1"/>
  <c r="J1282" i="1"/>
  <c r="J1283" i="1"/>
  <c r="J1281" i="1"/>
  <c r="J1288" i="1"/>
  <c r="J1289" i="1"/>
  <c r="J1511" i="1"/>
  <c r="J1672" i="1"/>
  <c r="J1510" i="1"/>
  <c r="J1512" i="1"/>
  <c r="J1673" i="1"/>
  <c r="J1577" i="1"/>
  <c r="J1351" i="1"/>
  <c r="J1287" i="1"/>
  <c r="J1290" i="1"/>
  <c r="J1437" i="1"/>
  <c r="J1634" i="1"/>
  <c r="J1552" i="1"/>
  <c r="J1436" i="1"/>
  <c r="J1438" i="1"/>
  <c r="J1212" i="1"/>
  <c r="J1327" i="1"/>
  <c r="J1211" i="1"/>
  <c r="J1639" i="1"/>
  <c r="J1452" i="1"/>
  <c r="J1227" i="1"/>
  <c r="J1451" i="1"/>
  <c r="J1453" i="1"/>
  <c r="J1226" i="1"/>
  <c r="J1228" i="1"/>
  <c r="J1640" i="1"/>
  <c r="J1638" i="1"/>
  <c r="J1454" i="1"/>
  <c r="J1229" i="1"/>
  <c r="J1492" i="1"/>
  <c r="J1270" i="1"/>
  <c r="J1663" i="1"/>
  <c r="J1664" i="1"/>
  <c r="J1493" i="1"/>
  <c r="J1491" i="1"/>
  <c r="J1267" i="1"/>
  <c r="J1268" i="1"/>
  <c r="J1265" i="1"/>
  <c r="J1269" i="1"/>
  <c r="J1266" i="1"/>
  <c r="J587" i="1"/>
  <c r="J1488" i="1"/>
  <c r="J1262" i="1"/>
  <c r="J1489" i="1"/>
  <c r="J1660" i="1"/>
  <c r="J1261" i="1"/>
  <c r="J1260" i="1"/>
  <c r="J1662" i="1"/>
  <c r="J1570" i="1"/>
  <c r="J1661" i="1"/>
  <c r="J1487" i="1"/>
  <c r="J1490" i="1"/>
  <c r="J1343" i="1"/>
  <c r="J1344" i="1"/>
  <c r="J1263" i="1"/>
  <c r="J1264" i="1"/>
  <c r="J1469" i="1"/>
  <c r="J1648" i="1"/>
  <c r="J1470" i="1"/>
  <c r="J1468" i="1"/>
  <c r="J1240" i="1"/>
  <c r="J1241" i="1"/>
  <c r="J1242" i="1"/>
  <c r="J1258" i="1"/>
  <c r="J1485" i="1"/>
  <c r="J1659" i="1"/>
  <c r="J1657" i="1"/>
  <c r="J1658" i="1"/>
  <c r="J1568" i="1"/>
  <c r="J1569" i="1"/>
  <c r="J1486" i="1"/>
  <c r="J1342" i="1"/>
  <c r="J1257" i="1"/>
  <c r="J1259" i="1"/>
  <c r="J991" i="1"/>
  <c r="J1647" i="1"/>
  <c r="J1466" i="1"/>
  <c r="J1467" i="1"/>
  <c r="J1239" i="1"/>
  <c r="J1205" i="1"/>
  <c r="J1548" i="1"/>
  <c r="J1206" i="1"/>
  <c r="J1596" i="1"/>
  <c r="J1594" i="1"/>
  <c r="J1595" i="1"/>
  <c r="J1375" i="1"/>
  <c r="J1376" i="1"/>
  <c r="J1373" i="1"/>
  <c r="J1374" i="1"/>
  <c r="J1139" i="1"/>
  <c r="J1140" i="1"/>
  <c r="J416" i="1"/>
  <c r="J1159" i="1"/>
  <c r="J1602" i="1"/>
  <c r="J1537" i="1"/>
  <c r="J1538" i="1"/>
  <c r="J1391" i="1"/>
  <c r="J1392" i="1"/>
  <c r="J1314" i="1"/>
  <c r="J1160" i="1"/>
  <c r="J1157" i="1"/>
  <c r="J1158" i="1"/>
  <c r="J1631" i="1"/>
  <c r="J1550" i="1"/>
  <c r="J1551" i="1"/>
  <c r="J1432" i="1"/>
  <c r="J1433" i="1"/>
  <c r="J1325" i="1"/>
  <c r="J1208" i="1"/>
  <c r="J1326" i="1"/>
  <c r="J1562" i="1"/>
  <c r="J1465" i="1"/>
  <c r="J1464" i="1"/>
  <c r="J1336" i="1"/>
  <c r="J1580" i="1"/>
  <c r="J1581" i="1"/>
  <c r="J1516" i="1"/>
  <c r="J1354" i="1"/>
  <c r="J1296" i="1"/>
  <c r="J1120" i="1"/>
  <c r="J1121" i="1"/>
  <c r="J1153" i="1"/>
  <c r="J1154" i="1"/>
  <c r="J1534" i="1"/>
  <c r="J1535" i="1"/>
  <c r="J1389" i="1"/>
  <c r="J1312" i="1"/>
  <c r="J375" i="1"/>
  <c r="J1592" i="1"/>
  <c r="J1593" i="1"/>
  <c r="J1525" i="1"/>
  <c r="J1372" i="1"/>
  <c r="J1304" i="1"/>
  <c r="J1137" i="1"/>
  <c r="J1138" i="1"/>
  <c r="J1136" i="1"/>
  <c r="J1479" i="1"/>
  <c r="J1480" i="1"/>
  <c r="J1566" i="1"/>
  <c r="J1654" i="1"/>
  <c r="J1478" i="1"/>
  <c r="J1340" i="1"/>
  <c r="J1249" i="1"/>
  <c r="J1250" i="1"/>
  <c r="J1251" i="1"/>
  <c r="J1252" i="1"/>
  <c r="J1253" i="1"/>
  <c r="J1565" i="1"/>
  <c r="J1339" i="1"/>
  <c r="J565" i="1"/>
  <c r="J1651" i="1"/>
  <c r="J1649" i="1"/>
  <c r="J1650" i="1"/>
  <c r="J1474" i="1"/>
  <c r="J1475" i="1"/>
  <c r="J1473" i="1"/>
  <c r="J1244" i="1"/>
  <c r="J1245" i="1"/>
  <c r="J1246" i="1"/>
  <c r="J1628" i="1"/>
  <c r="J1430" i="1"/>
  <c r="J1633" i="1"/>
  <c r="J1632" i="1"/>
  <c r="J1434" i="1"/>
  <c r="J1435" i="1"/>
  <c r="J1209" i="1"/>
  <c r="J1210" i="1"/>
  <c r="J1629" i="1"/>
  <c r="J1630" i="1"/>
  <c r="J1549" i="1"/>
  <c r="J1431" i="1"/>
  <c r="J1324" i="1"/>
  <c r="J1207" i="1"/>
  <c r="J1151" i="1"/>
  <c r="J1531" i="1"/>
  <c r="J1388" i="1"/>
  <c r="J1309" i="1"/>
  <c r="J1152" i="1"/>
  <c r="J1421" i="1"/>
  <c r="J1618" i="1"/>
  <c r="J1619" i="1"/>
  <c r="J1620" i="1"/>
  <c r="J1420" i="1"/>
  <c r="J1319" i="1"/>
  <c r="J1192" i="1"/>
  <c r="J1193" i="1"/>
  <c r="J397" i="1"/>
  <c r="J1532" i="1"/>
  <c r="J1310" i="1"/>
  <c r="J514" i="1"/>
  <c r="J1219" i="1"/>
  <c r="J1220" i="1"/>
  <c r="J1635" i="1"/>
  <c r="J1553" i="1"/>
  <c r="J1441" i="1"/>
  <c r="J1442" i="1"/>
  <c r="J1216" i="1"/>
  <c r="J1439" i="1"/>
  <c r="J1443" i="1"/>
  <c r="J1213" i="1"/>
  <c r="J1217" i="1"/>
  <c r="J1214" i="1"/>
  <c r="J1218" i="1"/>
  <c r="J1440" i="1"/>
  <c r="J1444" i="1"/>
  <c r="J1328" i="1"/>
  <c r="J1215" i="1"/>
  <c r="J1221" i="1"/>
  <c r="J1645" i="1"/>
  <c r="J1646" i="1"/>
  <c r="J1561" i="1"/>
  <c r="J1461" i="1"/>
  <c r="J1462" i="1"/>
  <c r="J1463" i="1"/>
  <c r="J1335" i="1"/>
  <c r="J1237" i="1"/>
  <c r="J1238" i="1"/>
  <c r="J429" i="1"/>
  <c r="J1609" i="1"/>
  <c r="J1541" i="1"/>
  <c r="J1542" i="1"/>
  <c r="J1405" i="1"/>
  <c r="J1406" i="1"/>
  <c r="J1404" i="1"/>
  <c r="J1179" i="1"/>
  <c r="J1315" i="1"/>
  <c r="J1316" i="1"/>
  <c r="J1180" i="1"/>
  <c r="J1181" i="1"/>
  <c r="J1644" i="1"/>
  <c r="J1560" i="1"/>
  <c r="J1559" i="1"/>
  <c r="J1458" i="1"/>
  <c r="J1459" i="1"/>
  <c r="J1333" i="1"/>
  <c r="J1460" i="1"/>
  <c r="J1334" i="1"/>
  <c r="J1235" i="1"/>
  <c r="J1236" i="1"/>
  <c r="J1234" i="1"/>
  <c r="J1277" i="1"/>
  <c r="J1276" i="1"/>
  <c r="J1666" i="1"/>
  <c r="J1572" i="1"/>
  <c r="J1499" i="1"/>
  <c r="J1346" i="1"/>
  <c r="J1278" i="1"/>
  <c r="J1275" i="1"/>
  <c r="J652" i="1"/>
  <c r="J651" i="1"/>
  <c r="J1533" i="1"/>
  <c r="J1311" i="1"/>
  <c r="J1612" i="1"/>
  <c r="J1610" i="1"/>
  <c r="J1611" i="1"/>
  <c r="J1543" i="1"/>
  <c r="J1409" i="1"/>
  <c r="J1410" i="1"/>
  <c r="J1407" i="1"/>
  <c r="J1408" i="1"/>
  <c r="J1317" i="1"/>
  <c r="J1182" i="1"/>
  <c r="J1637" i="1"/>
  <c r="J1636" i="1"/>
  <c r="J1450" i="1"/>
  <c r="J1448" i="1"/>
  <c r="J1449" i="1"/>
  <c r="J1224" i="1"/>
  <c r="J1225" i="1"/>
  <c r="J520" i="1"/>
  <c r="J1305" i="1"/>
  <c r="J1597" i="1"/>
  <c r="J1598" i="1"/>
  <c r="J1599" i="1"/>
  <c r="J1528" i="1"/>
  <c r="J1526" i="1"/>
  <c r="J1527" i="1"/>
  <c r="J1379" i="1"/>
  <c r="J1380" i="1"/>
  <c r="J1377" i="1"/>
  <c r="J1381" i="1"/>
  <c r="J1378" i="1"/>
  <c r="J1382" i="1"/>
  <c r="J1306" i="1"/>
  <c r="J1141" i="1"/>
  <c r="J1145" i="1"/>
  <c r="J1142" i="1"/>
  <c r="J1146" i="1"/>
  <c r="J1143" i="1"/>
  <c r="J1147" i="1"/>
  <c r="J1144" i="1"/>
  <c r="J387" i="1"/>
  <c r="J906" i="1"/>
  <c r="J909" i="1"/>
  <c r="J1300" i="1"/>
  <c r="J1586" i="1"/>
  <c r="J1587" i="1"/>
  <c r="J1520" i="1"/>
  <c r="J1521" i="1"/>
  <c r="J1363" i="1"/>
  <c r="J1364" i="1"/>
  <c r="J1361" i="1"/>
  <c r="J1362" i="1"/>
  <c r="J1299" i="1"/>
  <c r="J1127" i="1"/>
  <c r="J1128" i="1"/>
  <c r="J1129" i="1"/>
  <c r="J1130" i="1"/>
  <c r="J1554" i="1"/>
  <c r="J1329" i="1"/>
  <c r="J1222" i="1"/>
  <c r="J973" i="1"/>
  <c r="J1416" i="1"/>
  <c r="J1186" i="1"/>
  <c r="J1188" i="1"/>
  <c r="J1615" i="1"/>
  <c r="J1415" i="1"/>
  <c r="J1417" i="1"/>
  <c r="J1189" i="1"/>
  <c r="J1185" i="1"/>
  <c r="J1187" i="1"/>
  <c r="J939" i="1"/>
  <c r="J1642" i="1"/>
  <c r="J1232" i="1"/>
  <c r="J1643" i="1"/>
  <c r="J1641" i="1"/>
  <c r="J1558" i="1"/>
  <c r="J1557" i="1"/>
  <c r="J1457" i="1"/>
  <c r="J1456" i="1"/>
  <c r="J1231" i="1"/>
  <c r="J1332" i="1"/>
  <c r="J1233" i="1"/>
  <c r="J533" i="1"/>
  <c r="J985" i="1"/>
  <c r="J1295" i="1"/>
  <c r="J1677" i="1"/>
  <c r="J1678" i="1"/>
  <c r="J1579" i="1"/>
  <c r="J1515" i="1"/>
  <c r="J1353" i="1"/>
  <c r="J1582" i="1"/>
  <c r="J1517" i="1"/>
  <c r="J1355" i="1"/>
  <c r="J1123" i="1"/>
  <c r="J1124" i="1"/>
  <c r="J1122" i="1"/>
  <c r="J1604" i="1"/>
  <c r="J1603" i="1"/>
  <c r="J1539" i="1"/>
  <c r="J1395" i="1"/>
  <c r="J1393" i="1"/>
  <c r="J1394" i="1"/>
  <c r="J1171" i="1"/>
  <c r="J1172" i="1"/>
  <c r="J1169" i="1"/>
  <c r="J1170" i="1"/>
  <c r="J1667" i="1"/>
  <c r="J1668" i="1"/>
  <c r="J1573" i="1"/>
  <c r="J1501" i="1"/>
  <c r="J1500" i="1"/>
  <c r="J1347" i="1"/>
  <c r="J1279" i="1"/>
  <c r="J1280" i="1"/>
  <c r="J687" i="1"/>
  <c r="J1617" i="1"/>
  <c r="J1544" i="1"/>
  <c r="J1419" i="1"/>
  <c r="J1318" i="1"/>
  <c r="J1191" i="1"/>
  <c r="J1134" i="1"/>
  <c r="J1591" i="1"/>
  <c r="J1590" i="1"/>
  <c r="J1135" i="1"/>
  <c r="J1589" i="1"/>
  <c r="J1524" i="1"/>
  <c r="J1523" i="1"/>
  <c r="J1371" i="1"/>
  <c r="J1368" i="1"/>
  <c r="J1369" i="1"/>
  <c r="J1370" i="1"/>
  <c r="J1302" i="1"/>
  <c r="J1303" i="1"/>
  <c r="J1132" i="1"/>
  <c r="J1133" i="1"/>
  <c r="J359" i="1"/>
  <c r="J1359" i="1"/>
  <c r="J1358" i="1"/>
  <c r="J1357" i="1"/>
  <c r="J1584" i="1"/>
  <c r="J1585" i="1"/>
  <c r="J1360" i="1"/>
  <c r="J1605" i="1"/>
  <c r="J1606" i="1"/>
  <c r="J1396" i="1"/>
  <c r="J1397" i="1"/>
  <c r="J1398" i="1"/>
  <c r="J1175" i="1"/>
  <c r="J1173" i="1"/>
  <c r="J1174" i="1"/>
  <c r="J1399" i="1"/>
  <c r="J1400" i="1"/>
  <c r="J1176" i="1"/>
  <c r="J1655" i="1"/>
  <c r="J1481" i="1"/>
  <c r="J1255" i="1"/>
  <c r="J1254" i="1"/>
  <c r="J1676" i="1"/>
  <c r="J1578" i="1"/>
  <c r="J1514" i="1"/>
  <c r="J1352" i="1"/>
  <c r="J1294" i="1"/>
  <c r="J414" i="1"/>
  <c r="J1601" i="1"/>
  <c r="J1536" i="1"/>
  <c r="J1390" i="1"/>
  <c r="J1313" i="1"/>
  <c r="J1155" i="1"/>
  <c r="J1156" i="1"/>
  <c r="J516" i="1"/>
  <c r="J1555" i="1"/>
  <c r="J1446" i="1"/>
  <c r="J1447" i="1"/>
  <c r="J1445" i="1"/>
  <c r="J1330" i="1"/>
  <c r="J1223" i="1"/>
  <c r="K1167" i="1"/>
  <c r="K1161" i="1"/>
  <c r="K1163" i="1"/>
  <c r="K1165" i="1"/>
  <c r="K1166" i="1"/>
  <c r="K1162" i="1"/>
  <c r="K1164" i="1"/>
  <c r="K1168" i="1"/>
  <c r="K1135" i="1"/>
  <c r="K1589" i="1"/>
  <c r="K1134" i="1"/>
  <c r="K1591" i="1"/>
  <c r="K1590" i="1"/>
  <c r="K1523" i="1"/>
  <c r="K1524" i="1"/>
  <c r="K1370" i="1"/>
  <c r="K1371" i="1"/>
  <c r="K1368" i="1"/>
  <c r="K1369" i="1"/>
  <c r="K1303" i="1"/>
  <c r="K1302" i="1"/>
  <c r="K1132" i="1"/>
  <c r="K1133" i="1"/>
  <c r="K359" i="1"/>
  <c r="K1358" i="1"/>
  <c r="K1357" i="1"/>
  <c r="K1359" i="1"/>
  <c r="K1585" i="1"/>
  <c r="K1584" i="1"/>
  <c r="K1360" i="1"/>
  <c r="K1190" i="1"/>
  <c r="K1616" i="1"/>
  <c r="K1418" i="1"/>
  <c r="K1150" i="1"/>
  <c r="K1149" i="1"/>
  <c r="K1148" i="1"/>
  <c r="K1600" i="1"/>
  <c r="K1529" i="1"/>
  <c r="K1530" i="1"/>
  <c r="K1386" i="1"/>
  <c r="K1383" i="1"/>
  <c r="K1387" i="1"/>
  <c r="K1384" i="1"/>
  <c r="K1385" i="1"/>
  <c r="K1308" i="1"/>
  <c r="K1307" i="1"/>
  <c r="K1605" i="1"/>
  <c r="K1606" i="1"/>
  <c r="K1398" i="1"/>
  <c r="K1396" i="1"/>
  <c r="K1397" i="1"/>
  <c r="K1174" i="1"/>
  <c r="K1175" i="1"/>
  <c r="K1173" i="1"/>
  <c r="K1624" i="1"/>
  <c r="K1623" i="1"/>
  <c r="K1546" i="1"/>
  <c r="K1426" i="1"/>
  <c r="K1424" i="1"/>
  <c r="K1425" i="1"/>
  <c r="K1321" i="1"/>
  <c r="K1198" i="1"/>
  <c r="K1322" i="1"/>
  <c r="K1196" i="1"/>
  <c r="K1197" i="1"/>
  <c r="K1399" i="1"/>
  <c r="K1400" i="1"/>
  <c r="K1176" i="1"/>
  <c r="K1655" i="1"/>
  <c r="K1481" i="1"/>
  <c r="K1254" i="1"/>
  <c r="K1255" i="1"/>
  <c r="K1563" i="1"/>
  <c r="K1471" i="1"/>
  <c r="K1337" i="1"/>
  <c r="K1243" i="1"/>
  <c r="K1472" i="1"/>
  <c r="K1613" i="1"/>
  <c r="K1614" i="1"/>
  <c r="K1412" i="1"/>
  <c r="K1413" i="1"/>
  <c r="K1414" i="1"/>
  <c r="K1411" i="1"/>
  <c r="K1183" i="1"/>
  <c r="K1184" i="1"/>
  <c r="K1194" i="1"/>
  <c r="K1621" i="1"/>
  <c r="K1622" i="1"/>
  <c r="K1545" i="1"/>
  <c r="K1422" i="1"/>
  <c r="K1320" i="1"/>
  <c r="K1423" i="1"/>
  <c r="K1195" i="1"/>
  <c r="K1676" i="1"/>
  <c r="K1578" i="1"/>
  <c r="K1514" i="1"/>
  <c r="K1352" i="1"/>
  <c r="K1294" i="1"/>
  <c r="K567" i="1"/>
  <c r="K1652" i="1"/>
  <c r="K1653" i="1"/>
  <c r="K1564" i="1"/>
  <c r="K1477" i="1"/>
  <c r="K1338" i="1"/>
  <c r="K1247" i="1"/>
  <c r="K1476" i="1"/>
  <c r="K1248" i="1"/>
  <c r="K414" i="1"/>
  <c r="K1601" i="1"/>
  <c r="K1536" i="1"/>
  <c r="K1390" i="1"/>
  <c r="K1313" i="1"/>
  <c r="K1155" i="1"/>
  <c r="K1156" i="1"/>
  <c r="K1665" i="1"/>
  <c r="K1571" i="1"/>
  <c r="K1496" i="1"/>
  <c r="K1497" i="1"/>
  <c r="K1494" i="1"/>
  <c r="K1498" i="1"/>
  <c r="K1345" i="1"/>
  <c r="K1495" i="1"/>
  <c r="K1271" i="1"/>
  <c r="K1272" i="1"/>
  <c r="K1273" i="1"/>
  <c r="K1274" i="1"/>
  <c r="K1106" i="1"/>
  <c r="K1483" i="1"/>
  <c r="K1656" i="1"/>
  <c r="K1567" i="1"/>
  <c r="K1484" i="1"/>
  <c r="K1341" i="1"/>
  <c r="K1482" i="1"/>
  <c r="K1256" i="1"/>
  <c r="K309" i="1"/>
  <c r="K1583" i="1"/>
  <c r="K1518" i="1"/>
  <c r="K1356" i="1"/>
  <c r="K1126" i="1"/>
  <c r="K1297" i="1"/>
  <c r="K1125" i="1"/>
  <c r="K516" i="1"/>
  <c r="K1555" i="1"/>
  <c r="K1445" i="1"/>
  <c r="K1446" i="1"/>
  <c r="K1447" i="1"/>
  <c r="K1330" i="1"/>
  <c r="K1223" i="1"/>
  <c r="K1588" i="1"/>
  <c r="K1522" i="1"/>
  <c r="K1366" i="1"/>
  <c r="K1367" i="1"/>
  <c r="K1365" i="1"/>
  <c r="K1301" i="1"/>
  <c r="K1131" i="1"/>
  <c r="K1096" i="1"/>
  <c r="K1556" i="1"/>
  <c r="K1230" i="1"/>
  <c r="K1455" i="1"/>
  <c r="K1331" i="1"/>
  <c r="K428" i="1"/>
  <c r="K1403" i="1"/>
  <c r="K1402" i="1"/>
  <c r="K1607" i="1"/>
  <c r="K1608" i="1"/>
  <c r="K1540" i="1"/>
  <c r="K1401" i="1"/>
  <c r="K1178" i="1"/>
  <c r="K1177" i="1"/>
  <c r="K1504" i="1"/>
  <c r="K1503" i="1"/>
  <c r="K1505" i="1"/>
  <c r="K1669" i="1"/>
  <c r="K1574" i="1"/>
  <c r="K1575" i="1"/>
  <c r="K1502" i="1"/>
  <c r="K1348" i="1"/>
  <c r="K1349" i="1"/>
  <c r="K1506" i="1"/>
  <c r="K1281" i="1"/>
  <c r="K1282" i="1"/>
  <c r="K1283" i="1"/>
  <c r="K1288" i="1"/>
  <c r="K1289" i="1"/>
  <c r="K1672" i="1"/>
  <c r="K1510" i="1"/>
  <c r="K1512" i="1"/>
  <c r="K1511" i="1"/>
  <c r="K1673" i="1"/>
  <c r="K1577" i="1"/>
  <c r="K1351" i="1"/>
  <c r="K1287" i="1"/>
  <c r="K1290" i="1"/>
  <c r="K1437" i="1"/>
  <c r="K1634" i="1"/>
  <c r="K1552" i="1"/>
  <c r="K1436" i="1"/>
  <c r="K1438" i="1"/>
  <c r="K1211" i="1"/>
  <c r="K1212" i="1"/>
  <c r="K1327" i="1"/>
  <c r="K1639" i="1"/>
  <c r="K1451" i="1"/>
  <c r="K1453" i="1"/>
  <c r="K1226" i="1"/>
  <c r="K1228" i="1"/>
  <c r="K1452" i="1"/>
  <c r="K1227" i="1"/>
  <c r="K1638" i="1"/>
  <c r="K1640" i="1"/>
  <c r="K1454" i="1"/>
  <c r="K1229" i="1"/>
  <c r="K1492" i="1"/>
  <c r="K1270" i="1"/>
  <c r="K1663" i="1"/>
  <c r="K1664" i="1"/>
  <c r="K1491" i="1"/>
  <c r="K1493" i="1"/>
  <c r="K1266" i="1"/>
  <c r="K1267" i="1"/>
  <c r="K1268" i="1"/>
  <c r="K1265" i="1"/>
  <c r="K1269" i="1"/>
  <c r="K587" i="1"/>
  <c r="K1660" i="1"/>
  <c r="K1262" i="1"/>
  <c r="K1489" i="1"/>
  <c r="K1488" i="1"/>
  <c r="K1261" i="1"/>
  <c r="K1260" i="1"/>
  <c r="K1661" i="1"/>
  <c r="K1662" i="1"/>
  <c r="K1570" i="1"/>
  <c r="K1487" i="1"/>
  <c r="K1344" i="1"/>
  <c r="K1490" i="1"/>
  <c r="K1343" i="1"/>
  <c r="K1263" i="1"/>
  <c r="K1264" i="1"/>
  <c r="K1469" i="1"/>
  <c r="K1648" i="1"/>
  <c r="K1468" i="1"/>
  <c r="K1470" i="1"/>
  <c r="K1242" i="1"/>
  <c r="K1240" i="1"/>
  <c r="K1241" i="1"/>
  <c r="K1258" i="1"/>
  <c r="K1485" i="1"/>
  <c r="K1658" i="1"/>
  <c r="K1657" i="1"/>
  <c r="K1569" i="1"/>
  <c r="K1659" i="1"/>
  <c r="K1568" i="1"/>
  <c r="K1486" i="1"/>
  <c r="K1342" i="1"/>
  <c r="K1259" i="1"/>
  <c r="K1257" i="1"/>
  <c r="K991" i="1"/>
  <c r="K1647" i="1"/>
  <c r="K1466" i="1"/>
  <c r="K1239" i="1"/>
  <c r="K1467" i="1"/>
  <c r="K1205" i="1"/>
  <c r="K1548" i="1"/>
  <c r="K1206" i="1"/>
  <c r="K1595" i="1"/>
  <c r="K1596" i="1"/>
  <c r="K1594" i="1"/>
  <c r="K1374" i="1"/>
  <c r="K1375" i="1"/>
  <c r="K1376" i="1"/>
  <c r="K1373" i="1"/>
  <c r="K1140" i="1"/>
  <c r="K1139" i="1"/>
  <c r="K416" i="1"/>
  <c r="K1159" i="1"/>
  <c r="K1602" i="1"/>
  <c r="K1537" i="1"/>
  <c r="K1538" i="1"/>
  <c r="K1391" i="1"/>
  <c r="K1392" i="1"/>
  <c r="K1158" i="1"/>
  <c r="K1160" i="1"/>
  <c r="K1314" i="1"/>
  <c r="K1157" i="1"/>
  <c r="K1631" i="1"/>
  <c r="K1551" i="1"/>
  <c r="K1550" i="1"/>
  <c r="K1433" i="1"/>
  <c r="K1432" i="1"/>
  <c r="K1325" i="1"/>
  <c r="K1208" i="1"/>
  <c r="K1326" i="1"/>
  <c r="K1562" i="1"/>
  <c r="K1464" i="1"/>
  <c r="K1465" i="1"/>
  <c r="K1336" i="1"/>
  <c r="K1581" i="1"/>
  <c r="K1580" i="1"/>
  <c r="K1516" i="1"/>
  <c r="K1354" i="1"/>
  <c r="K1296" i="1"/>
  <c r="K1120" i="1"/>
  <c r="K1121" i="1"/>
  <c r="K1153" i="1"/>
  <c r="K1154" i="1"/>
  <c r="K1535" i="1"/>
  <c r="K1534" i="1"/>
  <c r="K1389" i="1"/>
  <c r="K1312" i="1"/>
  <c r="K375" i="1"/>
  <c r="K1592" i="1"/>
  <c r="K1593" i="1"/>
  <c r="K1525" i="1"/>
  <c r="K1372" i="1"/>
  <c r="K1304" i="1"/>
  <c r="K1136" i="1"/>
  <c r="K1137" i="1"/>
  <c r="K1138" i="1"/>
  <c r="K1480" i="1"/>
  <c r="K1479" i="1"/>
  <c r="K1654" i="1"/>
  <c r="K1566" i="1"/>
  <c r="K1478" i="1"/>
  <c r="K1340" i="1"/>
  <c r="K1249" i="1"/>
  <c r="K1250" i="1"/>
  <c r="K1251" i="1"/>
  <c r="K1252" i="1"/>
  <c r="K1253" i="1"/>
  <c r="K1565" i="1"/>
  <c r="K1339" i="1"/>
  <c r="K565" i="1"/>
  <c r="K1650" i="1"/>
  <c r="K1649" i="1"/>
  <c r="K1651" i="1"/>
  <c r="K1473" i="1"/>
  <c r="K1474" i="1"/>
  <c r="K1475" i="1"/>
  <c r="K1246" i="1"/>
  <c r="K1244" i="1"/>
  <c r="K1245" i="1"/>
  <c r="K1628" i="1"/>
  <c r="K1430" i="1"/>
  <c r="K1632" i="1"/>
  <c r="K1633" i="1"/>
  <c r="K1435" i="1"/>
  <c r="K1434" i="1"/>
  <c r="K1209" i="1"/>
  <c r="K1210" i="1"/>
  <c r="K1629" i="1"/>
  <c r="K1630" i="1"/>
  <c r="K1549" i="1"/>
  <c r="K1431" i="1"/>
  <c r="K1324" i="1"/>
  <c r="K1207" i="1"/>
  <c r="K1151" i="1"/>
  <c r="K1531" i="1"/>
  <c r="K1388" i="1"/>
  <c r="K1309" i="1"/>
  <c r="K1152" i="1"/>
  <c r="K1421" i="1"/>
  <c r="K1620" i="1"/>
  <c r="K1618" i="1"/>
  <c r="K1619" i="1"/>
  <c r="K1420" i="1"/>
  <c r="K1193" i="1"/>
  <c r="K1319" i="1"/>
  <c r="K1192" i="1"/>
  <c r="K397" i="1"/>
  <c r="K1532" i="1"/>
  <c r="K1310" i="1"/>
  <c r="K514" i="1"/>
  <c r="K1220" i="1"/>
  <c r="K1219" i="1"/>
  <c r="K1635" i="1"/>
  <c r="K1553" i="1"/>
  <c r="K1440" i="1"/>
  <c r="K1444" i="1"/>
  <c r="K1439" i="1"/>
  <c r="K1443" i="1"/>
  <c r="K1328" i="1"/>
  <c r="K1215" i="1"/>
  <c r="K1221" i="1"/>
  <c r="K1441" i="1"/>
  <c r="K1216" i="1"/>
  <c r="K1213" i="1"/>
  <c r="K1217" i="1"/>
  <c r="K1442" i="1"/>
  <c r="K1214" i="1"/>
  <c r="K1218" i="1"/>
  <c r="K1646" i="1"/>
  <c r="K1645" i="1"/>
  <c r="K1561" i="1"/>
  <c r="K1461" i="1"/>
  <c r="K1462" i="1"/>
  <c r="K1238" i="1"/>
  <c r="K1463" i="1"/>
  <c r="K1335" i="1"/>
  <c r="K1237" i="1"/>
  <c r="K429" i="1"/>
  <c r="K1609" i="1"/>
  <c r="K1541" i="1"/>
  <c r="K1542" i="1"/>
  <c r="K1404" i="1"/>
  <c r="K1405" i="1"/>
  <c r="K1406" i="1"/>
  <c r="K1316" i="1"/>
  <c r="K1179" i="1"/>
  <c r="K1315" i="1"/>
  <c r="K1180" i="1"/>
  <c r="K1181" i="1"/>
  <c r="K1644" i="1"/>
  <c r="K1559" i="1"/>
  <c r="K1560" i="1"/>
  <c r="K1460" i="1"/>
  <c r="K1458" i="1"/>
  <c r="K1333" i="1"/>
  <c r="K1234" i="1"/>
  <c r="K1334" i="1"/>
  <c r="K1235" i="1"/>
  <c r="K1459" i="1"/>
  <c r="K1236" i="1"/>
  <c r="K1276" i="1"/>
  <c r="K1277" i="1"/>
  <c r="K1666" i="1"/>
  <c r="K1572" i="1"/>
  <c r="K1346" i="1"/>
  <c r="K1499" i="1"/>
  <c r="K1275" i="1"/>
  <c r="K1278" i="1"/>
  <c r="K651" i="1"/>
  <c r="K652" i="1"/>
  <c r="K1533" i="1"/>
  <c r="K1311" i="1"/>
  <c r="K1611" i="1"/>
  <c r="K1612" i="1"/>
  <c r="K1610" i="1"/>
  <c r="K1543" i="1"/>
  <c r="K1408" i="1"/>
  <c r="K1409" i="1"/>
  <c r="K1410" i="1"/>
  <c r="K1407" i="1"/>
  <c r="K1317" i="1"/>
  <c r="K1182" i="1"/>
  <c r="K1636" i="1"/>
  <c r="K1637" i="1"/>
  <c r="K1449" i="1"/>
  <c r="K1450" i="1"/>
  <c r="K1448" i="1"/>
  <c r="K1224" i="1"/>
  <c r="K1225" i="1"/>
  <c r="K520" i="1"/>
  <c r="K1305" i="1"/>
  <c r="K1599" i="1"/>
  <c r="K1597" i="1"/>
  <c r="K1598" i="1"/>
  <c r="K1527" i="1"/>
  <c r="K1528" i="1"/>
  <c r="K1526" i="1"/>
  <c r="K1378" i="1"/>
  <c r="K1382" i="1"/>
  <c r="K1379" i="1"/>
  <c r="K1380" i="1"/>
  <c r="K1377" i="1"/>
  <c r="K1381" i="1"/>
  <c r="K1306" i="1"/>
  <c r="K1144" i="1"/>
  <c r="K1141" i="1"/>
  <c r="K1145" i="1"/>
  <c r="K1142" i="1"/>
  <c r="K1146" i="1"/>
  <c r="K1143" i="1"/>
  <c r="K1147" i="1"/>
  <c r="K906" i="1"/>
  <c r="K909" i="1"/>
  <c r="K387" i="1"/>
  <c r="K1300" i="1"/>
  <c r="K1586" i="1"/>
  <c r="K1587" i="1"/>
  <c r="K1520" i="1"/>
  <c r="K1521" i="1"/>
  <c r="K1362" i="1"/>
  <c r="K1363" i="1"/>
  <c r="K1364" i="1"/>
  <c r="K1361" i="1"/>
  <c r="K1299" i="1"/>
  <c r="K1130" i="1"/>
  <c r="K1127" i="1"/>
  <c r="K1128" i="1"/>
  <c r="K1129" i="1"/>
  <c r="K1554" i="1"/>
  <c r="K1329" i="1"/>
  <c r="K1222" i="1"/>
  <c r="K973" i="1"/>
  <c r="K1186" i="1"/>
  <c r="K1416" i="1"/>
  <c r="K1188" i="1"/>
  <c r="K1615" i="1"/>
  <c r="K1417" i="1"/>
  <c r="K1415" i="1"/>
  <c r="K1187" i="1"/>
  <c r="K1189" i="1"/>
  <c r="K1185" i="1"/>
  <c r="K939" i="1"/>
  <c r="K1232" i="1"/>
  <c r="K1642" i="1"/>
  <c r="K1641" i="1"/>
  <c r="K1643" i="1"/>
  <c r="K1557" i="1"/>
  <c r="K1558" i="1"/>
  <c r="K1456" i="1"/>
  <c r="K1457" i="1"/>
  <c r="K1332" i="1"/>
  <c r="K1231" i="1"/>
  <c r="K1233" i="1"/>
  <c r="K533" i="1"/>
  <c r="K985" i="1"/>
  <c r="K1295" i="1"/>
  <c r="K1677" i="1"/>
  <c r="K1678" i="1"/>
  <c r="K1579" i="1"/>
  <c r="K1515" i="1"/>
  <c r="K1353" i="1"/>
  <c r="K1582" i="1"/>
  <c r="K1517" i="1"/>
  <c r="K1355" i="1"/>
  <c r="K1122" i="1"/>
  <c r="K1123" i="1"/>
  <c r="K1124" i="1"/>
  <c r="K1603" i="1"/>
  <c r="K1604" i="1"/>
  <c r="K1539" i="1"/>
  <c r="K1394" i="1"/>
  <c r="K1395" i="1"/>
  <c r="K1393" i="1"/>
  <c r="K1170" i="1"/>
  <c r="K1171" i="1"/>
  <c r="K1172" i="1"/>
  <c r="K1169" i="1"/>
  <c r="K1667" i="1"/>
  <c r="K1668" i="1"/>
  <c r="K1573" i="1"/>
  <c r="K1500" i="1"/>
  <c r="K1501" i="1"/>
  <c r="K1347" i="1"/>
  <c r="K1279" i="1"/>
  <c r="K1280" i="1"/>
  <c r="K687" i="1"/>
  <c r="K1617" i="1"/>
  <c r="K1544" i="1"/>
  <c r="K1419" i="1"/>
  <c r="K1318" i="1"/>
  <c r="K1191" i="1"/>
  <c r="J1166" i="1"/>
  <c r="J1162" i="1"/>
  <c r="J1164" i="1"/>
  <c r="J1167" i="1"/>
  <c r="J1161" i="1"/>
  <c r="J1163" i="1"/>
  <c r="J1165" i="1"/>
  <c r="J1168" i="1"/>
  <c r="J1190" i="1"/>
  <c r="J1616" i="1"/>
  <c r="J1418" i="1"/>
  <c r="J1148" i="1"/>
  <c r="J1150" i="1"/>
  <c r="J1149" i="1"/>
  <c r="J1600" i="1"/>
  <c r="J1529" i="1"/>
  <c r="J1530" i="1"/>
  <c r="J1383" i="1"/>
  <c r="J1387" i="1"/>
  <c r="J1384" i="1"/>
  <c r="J1385" i="1"/>
  <c r="J1386" i="1"/>
  <c r="J1307" i="1"/>
  <c r="J1308" i="1"/>
  <c r="J1613" i="1"/>
  <c r="J1614" i="1"/>
  <c r="J1413" i="1"/>
  <c r="J1414" i="1"/>
  <c r="J1411" i="1"/>
  <c r="J1412" i="1"/>
  <c r="J1183" i="1"/>
  <c r="J1184" i="1"/>
  <c r="J1194" i="1"/>
  <c r="J1621" i="1"/>
  <c r="J1622" i="1"/>
  <c r="J1545" i="1"/>
  <c r="J1423" i="1"/>
  <c r="J1422" i="1"/>
  <c r="J1195" i="1"/>
  <c r="J1320" i="1"/>
  <c r="J1665" i="1"/>
  <c r="J1571" i="1"/>
  <c r="J1497" i="1"/>
  <c r="J1494" i="1"/>
  <c r="J1498" i="1"/>
  <c r="J1495" i="1"/>
  <c r="J1345" i="1"/>
  <c r="J1496" i="1"/>
  <c r="J1272" i="1"/>
  <c r="J1273" i="1"/>
  <c r="J1274" i="1"/>
  <c r="J1271" i="1"/>
  <c r="J1588" i="1"/>
  <c r="J1522" i="1"/>
  <c r="J1367" i="1"/>
  <c r="J1365" i="1"/>
  <c r="J1366" i="1"/>
  <c r="J1301" i="1"/>
  <c r="J1131" i="1"/>
  <c r="K723" i="1"/>
  <c r="K1670" i="1"/>
  <c r="K1671" i="1"/>
  <c r="K1576" i="1"/>
  <c r="K1507" i="1"/>
  <c r="K1508" i="1"/>
  <c r="K1509" i="1"/>
  <c r="K1350" i="1"/>
  <c r="K1285" i="1"/>
  <c r="K1286" i="1"/>
  <c r="K1284" i="1"/>
  <c r="K1428" i="1"/>
  <c r="K1625" i="1"/>
  <c r="K1626" i="1"/>
  <c r="K1627" i="1"/>
  <c r="K1547" i="1"/>
  <c r="K1429" i="1"/>
  <c r="K1427" i="1"/>
  <c r="K1202" i="1"/>
  <c r="K1199" i="1"/>
  <c r="K1203" i="1"/>
  <c r="K1200" i="1"/>
  <c r="K1204" i="1"/>
  <c r="K1323" i="1"/>
  <c r="K1201" i="1"/>
  <c r="K1674" i="1"/>
  <c r="K1291" i="1"/>
  <c r="K1292" i="1"/>
  <c r="K1675" i="1"/>
  <c r="K1513" i="1"/>
  <c r="K1293" i="1"/>
  <c r="L1161" i="1"/>
  <c r="L1163" i="1"/>
  <c r="L1165" i="1"/>
  <c r="L1166" i="1"/>
  <c r="L1162" i="1"/>
  <c r="L1164" i="1"/>
  <c r="L1167" i="1"/>
  <c r="L1168" i="1"/>
  <c r="L723" i="1"/>
  <c r="L1670" i="1"/>
  <c r="L1671" i="1"/>
  <c r="L1576" i="1"/>
  <c r="L1507" i="1"/>
  <c r="L1508" i="1"/>
  <c r="L1509" i="1"/>
  <c r="L1350" i="1"/>
  <c r="L1284" i="1"/>
  <c r="L1285" i="1"/>
  <c r="L1286" i="1"/>
  <c r="L1590" i="1"/>
  <c r="L1135" i="1"/>
  <c r="L1589" i="1"/>
  <c r="L1134" i="1"/>
  <c r="L1591" i="1"/>
  <c r="L1523" i="1"/>
  <c r="L1524" i="1"/>
  <c r="L1369" i="1"/>
  <c r="L1370" i="1"/>
  <c r="L1371" i="1"/>
  <c r="L1368" i="1"/>
  <c r="L1302" i="1"/>
  <c r="L1303" i="1"/>
  <c r="L1133" i="1"/>
  <c r="L1132" i="1"/>
  <c r="L1291" i="1"/>
  <c r="L1292" i="1"/>
  <c r="L1674" i="1"/>
  <c r="L1675" i="1"/>
  <c r="L1513" i="1"/>
  <c r="L1293" i="1"/>
  <c r="L1150" i="1"/>
  <c r="L1149" i="1"/>
  <c r="L1148" i="1"/>
  <c r="L1600" i="1"/>
  <c r="L1530" i="1"/>
  <c r="L1529" i="1"/>
  <c r="L1385" i="1"/>
  <c r="L1386" i="1"/>
  <c r="L1383" i="1"/>
  <c r="L1387" i="1"/>
  <c r="L1384" i="1"/>
  <c r="L1307" i="1"/>
  <c r="L1308" i="1"/>
  <c r="L1623" i="1"/>
  <c r="L1624" i="1"/>
  <c r="L1546" i="1"/>
  <c r="L1425" i="1"/>
  <c r="L1424" i="1"/>
  <c r="L1426" i="1"/>
  <c r="L1321" i="1"/>
  <c r="L1197" i="1"/>
  <c r="L1198" i="1"/>
  <c r="L1322" i="1"/>
  <c r="L1196" i="1"/>
  <c r="L1563" i="1"/>
  <c r="L1472" i="1"/>
  <c r="L1471" i="1"/>
  <c r="L1337" i="1"/>
  <c r="L1243" i="1"/>
  <c r="L1613" i="1"/>
  <c r="L1614" i="1"/>
  <c r="L1411" i="1"/>
  <c r="L1412" i="1"/>
  <c r="L1413" i="1"/>
  <c r="L1414" i="1"/>
  <c r="L1183" i="1"/>
  <c r="L1184" i="1"/>
  <c r="L1676" i="1"/>
  <c r="L1578" i="1"/>
  <c r="L1514" i="1"/>
  <c r="L1352" i="1"/>
  <c r="L1294" i="1"/>
  <c r="L414" i="1"/>
  <c r="L1601" i="1"/>
  <c r="L1536" i="1"/>
  <c r="L1390" i="1"/>
  <c r="L1313" i="1"/>
  <c r="L1155" i="1"/>
  <c r="L1156" i="1"/>
  <c r="L1665" i="1"/>
  <c r="L1571" i="1"/>
  <c r="L1495" i="1"/>
  <c r="L1496" i="1"/>
  <c r="L1497" i="1"/>
  <c r="L1494" i="1"/>
  <c r="L1498" i="1"/>
  <c r="L1345" i="1"/>
  <c r="L1274" i="1"/>
  <c r="L1271" i="1"/>
  <c r="L1272" i="1"/>
  <c r="L1273" i="1"/>
  <c r="L1106" i="1"/>
  <c r="L1483" i="1"/>
  <c r="L1656" i="1"/>
  <c r="L1567" i="1"/>
  <c r="L1482" i="1"/>
  <c r="L1484" i="1"/>
  <c r="L1341" i="1"/>
  <c r="L1256" i="1"/>
  <c r="L309" i="1"/>
  <c r="L1583" i="1"/>
  <c r="L1518" i="1"/>
  <c r="L1356" i="1"/>
  <c r="L1297" i="1"/>
  <c r="L1125" i="1"/>
  <c r="L1126" i="1"/>
  <c r="L516" i="1"/>
  <c r="L1555" i="1"/>
  <c r="L1445" i="1"/>
  <c r="L1446" i="1"/>
  <c r="L1447" i="1"/>
  <c r="L1330" i="1"/>
  <c r="L1223" i="1"/>
  <c r="L1588" i="1"/>
  <c r="L1522" i="1"/>
  <c r="L1365" i="1"/>
  <c r="L1366" i="1"/>
  <c r="L1367" i="1"/>
  <c r="L1301" i="1"/>
  <c r="L1131" i="1"/>
  <c r="L1096" i="1"/>
  <c r="L1556" i="1"/>
  <c r="L1455" i="1"/>
  <c r="L1331" i="1"/>
  <c r="L1230" i="1"/>
  <c r="L428" i="1"/>
  <c r="L1402" i="1"/>
  <c r="L1403" i="1"/>
  <c r="L1607" i="1"/>
  <c r="L1608" i="1"/>
  <c r="L1540" i="1"/>
  <c r="L1401" i="1"/>
  <c r="L1177" i="1"/>
  <c r="L1178" i="1"/>
  <c r="L1503" i="1"/>
  <c r="L1505" i="1"/>
  <c r="L1504" i="1"/>
  <c r="L1669" i="1"/>
  <c r="L1574" i="1"/>
  <c r="L1575" i="1"/>
  <c r="L1506" i="1"/>
  <c r="L1502" i="1"/>
  <c r="L1348" i="1"/>
  <c r="L1349" i="1"/>
  <c r="L1281" i="1"/>
  <c r="L1282" i="1"/>
  <c r="L1283" i="1"/>
  <c r="L1289" i="1"/>
  <c r="L1288" i="1"/>
  <c r="L1510" i="1"/>
  <c r="L1512" i="1"/>
  <c r="L1511" i="1"/>
  <c r="L1672" i="1"/>
  <c r="L1673" i="1"/>
  <c r="L1577" i="1"/>
  <c r="L1351" i="1"/>
  <c r="L1290" i="1"/>
  <c r="L1287" i="1"/>
  <c r="L1437" i="1"/>
  <c r="L1634" i="1"/>
  <c r="L1552" i="1"/>
  <c r="L1436" i="1"/>
  <c r="L1438" i="1"/>
  <c r="L1327" i="1"/>
  <c r="L1211" i="1"/>
  <c r="L1212" i="1"/>
  <c r="L1639" i="1"/>
  <c r="L1451" i="1"/>
  <c r="L1453" i="1"/>
  <c r="L1226" i="1"/>
  <c r="L1228" i="1"/>
  <c r="L1452" i="1"/>
  <c r="L1227" i="1"/>
  <c r="L1640" i="1"/>
  <c r="L1638" i="1"/>
  <c r="L1454" i="1"/>
  <c r="L1229" i="1"/>
  <c r="L1270" i="1"/>
  <c r="L1492" i="1"/>
  <c r="L1664" i="1"/>
  <c r="L1663" i="1"/>
  <c r="L1491" i="1"/>
  <c r="L1493" i="1"/>
  <c r="L1265" i="1"/>
  <c r="L1269" i="1"/>
  <c r="L1266" i="1"/>
  <c r="L1267" i="1"/>
  <c r="L1268" i="1"/>
  <c r="L587" i="1"/>
  <c r="L1261" i="1"/>
  <c r="L1660" i="1"/>
  <c r="L1262" i="1"/>
  <c r="L1489" i="1"/>
  <c r="L1488" i="1"/>
  <c r="L1260" i="1"/>
  <c r="L1661" i="1"/>
  <c r="L1662" i="1"/>
  <c r="L1570" i="1"/>
  <c r="L1490" i="1"/>
  <c r="L1343" i="1"/>
  <c r="L1487" i="1"/>
  <c r="L1344" i="1"/>
  <c r="L1263" i="1"/>
  <c r="L1264" i="1"/>
  <c r="L1469" i="1"/>
  <c r="L1648" i="1"/>
  <c r="L1468" i="1"/>
  <c r="L1470" i="1"/>
  <c r="L1241" i="1"/>
  <c r="L1242" i="1"/>
  <c r="L1240" i="1"/>
  <c r="L1258" i="1"/>
  <c r="L1485" i="1"/>
  <c r="L1657" i="1"/>
  <c r="L1658" i="1"/>
  <c r="L1659" i="1"/>
  <c r="L1568" i="1"/>
  <c r="L1569" i="1"/>
  <c r="L1486" i="1"/>
  <c r="L1342" i="1"/>
  <c r="L1257" i="1"/>
  <c r="L1259" i="1"/>
  <c r="L991" i="1"/>
  <c r="L1647" i="1"/>
  <c r="L1467" i="1"/>
  <c r="L1466" i="1"/>
  <c r="L1239" i="1"/>
  <c r="L1205" i="1"/>
  <c r="L1548" i="1"/>
  <c r="L1206" i="1"/>
  <c r="L1594" i="1"/>
  <c r="L1595" i="1"/>
  <c r="L1596" i="1"/>
  <c r="L1373" i="1"/>
  <c r="L1374" i="1"/>
  <c r="L1375" i="1"/>
  <c r="L1376" i="1"/>
  <c r="L1139" i="1"/>
  <c r="L1140" i="1"/>
  <c r="L416" i="1"/>
  <c r="L1159" i="1"/>
  <c r="L1602" i="1"/>
  <c r="L1538" i="1"/>
  <c r="L1537" i="1"/>
  <c r="L1391" i="1"/>
  <c r="L1392" i="1"/>
  <c r="L1157" i="1"/>
  <c r="L1158" i="1"/>
  <c r="L1160" i="1"/>
  <c r="L1314" i="1"/>
  <c r="L1631" i="1"/>
  <c r="L1550" i="1"/>
  <c r="L1551" i="1"/>
  <c r="L1432" i="1"/>
  <c r="L1433" i="1"/>
  <c r="L1325" i="1"/>
  <c r="L1208" i="1"/>
  <c r="L1326" i="1"/>
  <c r="L1562" i="1"/>
  <c r="L1464" i="1"/>
  <c r="L1465" i="1"/>
  <c r="L1336" i="1"/>
  <c r="L1580" i="1"/>
  <c r="L1581" i="1"/>
  <c r="L1516" i="1"/>
  <c r="L1354" i="1"/>
  <c r="L1121" i="1"/>
  <c r="L1296" i="1"/>
  <c r="L1120" i="1"/>
  <c r="L1154" i="1"/>
  <c r="L1153" i="1"/>
  <c r="L1534" i="1"/>
  <c r="L1535" i="1"/>
  <c r="L1389" i="1"/>
  <c r="L1312" i="1"/>
  <c r="L375" i="1"/>
  <c r="L1592" i="1"/>
  <c r="L1593" i="1"/>
  <c r="L1525" i="1"/>
  <c r="L1372" i="1"/>
  <c r="L1304" i="1"/>
  <c r="L1136" i="1"/>
  <c r="L1137" i="1"/>
  <c r="L1138" i="1"/>
  <c r="L1480" i="1"/>
  <c r="L1479" i="1"/>
  <c r="L1654" i="1"/>
  <c r="L1566" i="1"/>
  <c r="L1478" i="1"/>
  <c r="L1340" i="1"/>
  <c r="L1249" i="1"/>
  <c r="L1250" i="1"/>
  <c r="L1253" i="1"/>
  <c r="L1251" i="1"/>
  <c r="L1252" i="1"/>
  <c r="L1565" i="1"/>
  <c r="L1339" i="1"/>
  <c r="L565" i="1"/>
  <c r="L1649" i="1"/>
  <c r="L1651" i="1"/>
  <c r="L1650" i="1"/>
  <c r="L1473" i="1"/>
  <c r="L1474" i="1"/>
  <c r="L1475" i="1"/>
  <c r="L1245" i="1"/>
  <c r="L1246" i="1"/>
  <c r="L1244" i="1"/>
  <c r="L1628" i="1"/>
  <c r="L1430" i="1"/>
  <c r="L1632" i="1"/>
  <c r="L1633" i="1"/>
  <c r="L1434" i="1"/>
  <c r="L1435" i="1"/>
  <c r="L1210" i="1"/>
  <c r="L1209" i="1"/>
  <c r="L1629" i="1"/>
  <c r="L1630" i="1"/>
  <c r="L1549" i="1"/>
  <c r="L1431" i="1"/>
  <c r="L1324" i="1"/>
  <c r="L1207" i="1"/>
  <c r="L1151" i="1"/>
  <c r="L1531" i="1"/>
  <c r="L1388" i="1"/>
  <c r="L1309" i="1"/>
  <c r="L1152" i="1"/>
  <c r="L1421" i="1"/>
  <c r="L1619" i="1"/>
  <c r="L1620" i="1"/>
  <c r="L1618" i="1"/>
  <c r="L1420" i="1"/>
  <c r="L1319" i="1"/>
  <c r="L1192" i="1"/>
  <c r="L1193" i="1"/>
  <c r="L397" i="1"/>
  <c r="L1532" i="1"/>
  <c r="L1310" i="1"/>
  <c r="L514" i="1"/>
  <c r="L1220" i="1"/>
  <c r="L1219" i="1"/>
  <c r="L1635" i="1"/>
  <c r="L1439" i="1"/>
  <c r="L1443" i="1"/>
  <c r="L1553" i="1"/>
  <c r="L1440" i="1"/>
  <c r="L1441" i="1"/>
  <c r="L1442" i="1"/>
  <c r="L1444" i="1"/>
  <c r="L1214" i="1"/>
  <c r="L1218" i="1"/>
  <c r="L1328" i="1"/>
  <c r="L1215" i="1"/>
  <c r="L1221" i="1"/>
  <c r="L1216" i="1"/>
  <c r="L1213" i="1"/>
  <c r="L1217" i="1"/>
  <c r="L1645" i="1"/>
  <c r="L1646" i="1"/>
  <c r="L1561" i="1"/>
  <c r="L1463" i="1"/>
  <c r="L1461" i="1"/>
  <c r="L1335" i="1"/>
  <c r="L1462" i="1"/>
  <c r="L1237" i="1"/>
  <c r="L1238" i="1"/>
  <c r="L429" i="1"/>
  <c r="L1609" i="1"/>
  <c r="L1542" i="1"/>
  <c r="L1541" i="1"/>
  <c r="L1404" i="1"/>
  <c r="L1405" i="1"/>
  <c r="L1406" i="1"/>
  <c r="L1315" i="1"/>
  <c r="L1316" i="1"/>
  <c r="L1181" i="1"/>
  <c r="L1179" i="1"/>
  <c r="L1180" i="1"/>
  <c r="L1644" i="1"/>
  <c r="L1560" i="1"/>
  <c r="L1559" i="1"/>
  <c r="L1459" i="1"/>
  <c r="L1460" i="1"/>
  <c r="L1458" i="1"/>
  <c r="L1333" i="1"/>
  <c r="L1234" i="1"/>
  <c r="L1334" i="1"/>
  <c r="L1235" i="1"/>
  <c r="L1236" i="1"/>
  <c r="L1277" i="1"/>
  <c r="L1276" i="1"/>
  <c r="L1666" i="1"/>
  <c r="L1572" i="1"/>
  <c r="L1499" i="1"/>
  <c r="L1346" i="1"/>
  <c r="L1275" i="1"/>
  <c r="L1278" i="1"/>
  <c r="L652" i="1"/>
  <c r="L651" i="1"/>
  <c r="L1533" i="1"/>
  <c r="L1311" i="1"/>
  <c r="L1610" i="1"/>
  <c r="L1611" i="1"/>
  <c r="L1612" i="1"/>
  <c r="L1543" i="1"/>
  <c r="L1407" i="1"/>
  <c r="L1408" i="1"/>
  <c r="L1409" i="1"/>
  <c r="L1410" i="1"/>
  <c r="L1317" i="1"/>
  <c r="L1182" i="1"/>
  <c r="L1636" i="1"/>
  <c r="L1637" i="1"/>
  <c r="L1448" i="1"/>
  <c r="L1449" i="1"/>
  <c r="L1450" i="1"/>
  <c r="L1225" i="1"/>
  <c r="L1224" i="1"/>
  <c r="L520" i="1"/>
  <c r="L1305" i="1"/>
  <c r="L1598" i="1"/>
  <c r="L1599" i="1"/>
  <c r="L1597" i="1"/>
  <c r="L1526" i="1"/>
  <c r="L1527" i="1"/>
  <c r="L1528" i="1"/>
  <c r="L1377" i="1"/>
  <c r="L1381" i="1"/>
  <c r="L1378" i="1"/>
  <c r="L1382" i="1"/>
  <c r="L1379" i="1"/>
  <c r="L1380" i="1"/>
  <c r="L1306" i="1"/>
  <c r="L1143" i="1"/>
  <c r="L1147" i="1"/>
  <c r="L1144" i="1"/>
  <c r="L1141" i="1"/>
  <c r="L1145" i="1"/>
  <c r="L1142" i="1"/>
  <c r="L1146" i="1"/>
  <c r="L909" i="1"/>
  <c r="L387" i="1"/>
  <c r="L906" i="1"/>
  <c r="L1300" i="1"/>
  <c r="L1586" i="1"/>
  <c r="L1587" i="1"/>
  <c r="L1520" i="1"/>
  <c r="L1521" i="1"/>
  <c r="L1361" i="1"/>
  <c r="L1362" i="1"/>
  <c r="L1363" i="1"/>
  <c r="L1364" i="1"/>
  <c r="L1299" i="1"/>
  <c r="L1129" i="1"/>
  <c r="L1130" i="1"/>
  <c r="L1127" i="1"/>
  <c r="L1128" i="1"/>
  <c r="L1554" i="1"/>
  <c r="L1329" i="1"/>
  <c r="L1222" i="1"/>
  <c r="L973" i="1"/>
  <c r="L1416" i="1"/>
  <c r="L1188" i="1"/>
  <c r="L1186" i="1"/>
  <c r="L1615" i="1"/>
  <c r="L1415" i="1"/>
  <c r="L1417" i="1"/>
  <c r="L1185" i="1"/>
  <c r="L1187" i="1"/>
  <c r="L1189" i="1"/>
  <c r="L939" i="1"/>
  <c r="L1232" i="1"/>
  <c r="L1642" i="1"/>
  <c r="L1643" i="1"/>
  <c r="L1641" i="1"/>
  <c r="L1558" i="1"/>
  <c r="L1557" i="1"/>
  <c r="L1456" i="1"/>
  <c r="L1457" i="1"/>
  <c r="L1332" i="1"/>
  <c r="L1233" i="1"/>
  <c r="L1231" i="1"/>
  <c r="L985" i="1"/>
  <c r="L533" i="1"/>
  <c r="L1295" i="1"/>
  <c r="L1677" i="1"/>
  <c r="L1678" i="1"/>
  <c r="L1579" i="1"/>
  <c r="L1515" i="1"/>
  <c r="L1353" i="1"/>
  <c r="L1582" i="1"/>
  <c r="L1517" i="1"/>
  <c r="L1355" i="1"/>
  <c r="L1122" i="1"/>
  <c r="L1123" i="1"/>
  <c r="L1124" i="1"/>
  <c r="L1603" i="1"/>
  <c r="L1604" i="1"/>
  <c r="L1539" i="1"/>
  <c r="L1393" i="1"/>
  <c r="L1394" i="1"/>
  <c r="L1395" i="1"/>
  <c r="L1169" i="1"/>
  <c r="L1170" i="1"/>
  <c r="L1171" i="1"/>
  <c r="L1172" i="1"/>
  <c r="L1080" i="1"/>
  <c r="L1667" i="1"/>
  <c r="L1668" i="1"/>
  <c r="L1573" i="1"/>
  <c r="L1500" i="1"/>
  <c r="L1501" i="1"/>
  <c r="L1347" i="1"/>
  <c r="L1280" i="1"/>
  <c r="L1279" i="1"/>
  <c r="L687" i="1"/>
  <c r="L1617" i="1"/>
  <c r="L1544" i="1"/>
  <c r="L1419" i="1"/>
  <c r="L1318" i="1"/>
  <c r="L1191" i="1"/>
  <c r="J723" i="1"/>
  <c r="J1671" i="1"/>
  <c r="J1670" i="1"/>
  <c r="J1576" i="1"/>
  <c r="J1508" i="1"/>
  <c r="J1509" i="1"/>
  <c r="J1507" i="1"/>
  <c r="J1350" i="1"/>
  <c r="J1286" i="1"/>
  <c r="J1284" i="1"/>
  <c r="J1285" i="1"/>
  <c r="J1292" i="1"/>
  <c r="J1674" i="1"/>
  <c r="J1291" i="1"/>
  <c r="J1675" i="1"/>
  <c r="J1513" i="1"/>
  <c r="J1293" i="1"/>
  <c r="J567" i="1"/>
  <c r="J1653" i="1"/>
  <c r="J1564" i="1"/>
  <c r="J1652" i="1"/>
  <c r="J1476" i="1"/>
  <c r="J1477" i="1"/>
  <c r="J1338" i="1"/>
  <c r="J1247" i="1"/>
  <c r="J1248" i="1"/>
  <c r="J1106" i="1"/>
  <c r="J1483" i="1"/>
  <c r="J1656" i="1"/>
  <c r="J1567" i="1"/>
  <c r="J1482" i="1"/>
  <c r="J1341" i="1"/>
  <c r="J1484" i="1"/>
  <c r="J1256" i="1"/>
  <c r="J309" i="1"/>
  <c r="J1583" i="1"/>
  <c r="J1518" i="1"/>
  <c r="J1356" i="1"/>
  <c r="J1297" i="1"/>
  <c r="J1125" i="1"/>
  <c r="J1126" i="1"/>
  <c r="L1428" i="1"/>
  <c r="L1627" i="1"/>
  <c r="L1625" i="1"/>
  <c r="L1626" i="1"/>
  <c r="L1547" i="1"/>
  <c r="L1427" i="1"/>
  <c r="L1429" i="1"/>
  <c r="L1323" i="1"/>
  <c r="L1201" i="1"/>
  <c r="L1202" i="1"/>
  <c r="L1199" i="1"/>
  <c r="L1203" i="1"/>
  <c r="L1200" i="1"/>
  <c r="L1204" i="1"/>
  <c r="L359" i="1"/>
  <c r="L1359" i="1"/>
  <c r="L1358" i="1"/>
  <c r="L1357" i="1"/>
  <c r="L1584" i="1"/>
  <c r="L1585" i="1"/>
  <c r="L1360" i="1"/>
  <c r="L1190" i="1"/>
  <c r="L1616" i="1"/>
  <c r="L1418" i="1"/>
  <c r="L1606" i="1"/>
  <c r="L1605" i="1"/>
  <c r="L1397" i="1"/>
  <c r="L1398" i="1"/>
  <c r="L1396" i="1"/>
  <c r="L1173" i="1"/>
  <c r="L1174" i="1"/>
  <c r="L1175" i="1"/>
  <c r="L1399" i="1"/>
  <c r="L1400" i="1"/>
  <c r="L1176" i="1"/>
  <c r="L1655" i="1"/>
  <c r="L1481" i="1"/>
  <c r="L1254" i="1"/>
  <c r="L1255" i="1"/>
  <c r="L1194" i="1"/>
  <c r="L1621" i="1"/>
  <c r="L1622" i="1"/>
  <c r="L1545" i="1"/>
  <c r="L1423" i="1"/>
  <c r="L1320" i="1"/>
  <c r="L1422" i="1"/>
  <c r="L1195" i="1"/>
  <c r="L567" i="1"/>
  <c r="L1653" i="1"/>
  <c r="L1652" i="1"/>
  <c r="L1564" i="1"/>
  <c r="L1476" i="1"/>
  <c r="L1477" i="1"/>
  <c r="L1338" i="1"/>
  <c r="L1248" i="1"/>
  <c r="L1247" i="1"/>
  <c r="I1166" i="1"/>
  <c r="I1162" i="1"/>
  <c r="I1164" i="1"/>
  <c r="I1167" i="1"/>
  <c r="I1161" i="1"/>
  <c r="I1163" i="1"/>
  <c r="I1165" i="1"/>
  <c r="I1168" i="1"/>
  <c r="I723" i="1"/>
  <c r="I1670" i="1"/>
  <c r="I1671" i="1"/>
  <c r="I1576" i="1"/>
  <c r="I1509" i="1"/>
  <c r="I1507" i="1"/>
  <c r="I1350" i="1"/>
  <c r="I1508" i="1"/>
  <c r="I1284" i="1"/>
  <c r="I1285" i="1"/>
  <c r="I1286" i="1"/>
  <c r="I1590" i="1"/>
  <c r="I1135" i="1"/>
  <c r="I1589" i="1"/>
  <c r="I1134" i="1"/>
  <c r="I1591" i="1"/>
  <c r="I1523" i="1"/>
  <c r="I1524" i="1"/>
  <c r="I1368" i="1"/>
  <c r="I1369" i="1"/>
  <c r="I1370" i="1"/>
  <c r="I1371" i="1"/>
  <c r="I1302" i="1"/>
  <c r="I1303" i="1"/>
  <c r="I1132" i="1"/>
  <c r="I1133" i="1"/>
  <c r="I1428" i="1"/>
  <c r="I1626" i="1"/>
  <c r="I1627" i="1"/>
  <c r="I1625" i="1"/>
  <c r="I1547" i="1"/>
  <c r="I1429" i="1"/>
  <c r="I1427" i="1"/>
  <c r="I1200" i="1"/>
  <c r="I1204" i="1"/>
  <c r="I1323" i="1"/>
  <c r="I1201" i="1"/>
  <c r="I1202" i="1"/>
  <c r="I1199" i="1"/>
  <c r="I1203" i="1"/>
  <c r="I359" i="1"/>
  <c r="I1357" i="1"/>
  <c r="I1359" i="1"/>
  <c r="I1358" i="1"/>
  <c r="I1584" i="1"/>
  <c r="I1585" i="1"/>
  <c r="I1360" i="1"/>
  <c r="I1190" i="1"/>
  <c r="I1616" i="1"/>
  <c r="I1418" i="1"/>
  <c r="I1292" i="1"/>
  <c r="I1674" i="1"/>
  <c r="I1291" i="1"/>
  <c r="I1675" i="1"/>
  <c r="I1513" i="1"/>
  <c r="I1293" i="1"/>
  <c r="I1149" i="1"/>
  <c r="I1148" i="1"/>
  <c r="I1150" i="1"/>
  <c r="I1600" i="1"/>
  <c r="I1529" i="1"/>
  <c r="I1530" i="1"/>
  <c r="I1384" i="1"/>
  <c r="I1385" i="1"/>
  <c r="I1386" i="1"/>
  <c r="I1383" i="1"/>
  <c r="I1387" i="1"/>
  <c r="I1307" i="1"/>
  <c r="I1308" i="1"/>
  <c r="I1605" i="1"/>
  <c r="I1606" i="1"/>
  <c r="I1396" i="1"/>
  <c r="I1397" i="1"/>
  <c r="I1398" i="1"/>
  <c r="I1173" i="1"/>
  <c r="I1174" i="1"/>
  <c r="I1175" i="1"/>
  <c r="I1623" i="1"/>
  <c r="I1624" i="1"/>
  <c r="I1546" i="1"/>
  <c r="I1424" i="1"/>
  <c r="I1426" i="1"/>
  <c r="I1322" i="1"/>
  <c r="I1425" i="1"/>
  <c r="I1196" i="1"/>
  <c r="I1197" i="1"/>
  <c r="I1198" i="1"/>
  <c r="I1321" i="1"/>
  <c r="I1400" i="1"/>
  <c r="I1399" i="1"/>
  <c r="I1176" i="1"/>
  <c r="I1655" i="1"/>
  <c r="I1481" i="1"/>
  <c r="I1254" i="1"/>
  <c r="I1255" i="1"/>
  <c r="I1563" i="1"/>
  <c r="I1471" i="1"/>
  <c r="I1472" i="1"/>
  <c r="I1337" i="1"/>
  <c r="I1243" i="1"/>
  <c r="I1613" i="1"/>
  <c r="I1614" i="1"/>
  <c r="I1414" i="1"/>
  <c r="I1411" i="1"/>
  <c r="I1412" i="1"/>
  <c r="I1413" i="1"/>
  <c r="I1184" i="1"/>
  <c r="I1183" i="1"/>
  <c r="I1194" i="1"/>
  <c r="I1622" i="1"/>
  <c r="I1621" i="1"/>
  <c r="I1545" i="1"/>
  <c r="I1422" i="1"/>
  <c r="I1423" i="1"/>
  <c r="I1320" i="1"/>
  <c r="I1195" i="1"/>
  <c r="I1676" i="1"/>
  <c r="I1578" i="1"/>
  <c r="I1514" i="1"/>
  <c r="I1352" i="1"/>
  <c r="I1294" i="1"/>
  <c r="I567" i="1"/>
  <c r="I1652" i="1"/>
  <c r="I1653" i="1"/>
  <c r="I1564" i="1"/>
  <c r="I1476" i="1"/>
  <c r="I1477" i="1"/>
  <c r="I1338" i="1"/>
  <c r="I1248" i="1"/>
  <c r="I1247" i="1"/>
  <c r="I414" i="1"/>
  <c r="I1601" i="1"/>
  <c r="I1536" i="1"/>
  <c r="I1390" i="1"/>
  <c r="I1156" i="1"/>
  <c r="I1313" i="1"/>
  <c r="I1155" i="1"/>
  <c r="I1665" i="1"/>
  <c r="I1571" i="1"/>
  <c r="I1494" i="1"/>
  <c r="I1498" i="1"/>
  <c r="I1495" i="1"/>
  <c r="I1496" i="1"/>
  <c r="I1497" i="1"/>
  <c r="I1345" i="1"/>
  <c r="I1273" i="1"/>
  <c r="I1274" i="1"/>
  <c r="I1271" i="1"/>
  <c r="I1272" i="1"/>
  <c r="I1106" i="1"/>
  <c r="I1483" i="1"/>
  <c r="I1656" i="1"/>
  <c r="I1567" i="1"/>
  <c r="I1482" i="1"/>
  <c r="I1484" i="1"/>
  <c r="I1341" i="1"/>
  <c r="I1256" i="1"/>
  <c r="I309" i="1"/>
  <c r="I1583" i="1"/>
  <c r="I1518" i="1"/>
  <c r="I1356" i="1"/>
  <c r="I1297" i="1"/>
  <c r="I1125" i="1"/>
  <c r="I1126" i="1"/>
  <c r="I516" i="1"/>
  <c r="I1555" i="1"/>
  <c r="I1447" i="1"/>
  <c r="I1445" i="1"/>
  <c r="I1330" i="1"/>
  <c r="I1223" i="1"/>
  <c r="I1446" i="1"/>
  <c r="I1588" i="1"/>
  <c r="I1522" i="1"/>
  <c r="I1365" i="1"/>
  <c r="I1366" i="1"/>
  <c r="I1367" i="1"/>
  <c r="I1301" i="1"/>
  <c r="I1131" i="1"/>
  <c r="I1096" i="1"/>
  <c r="I1556" i="1"/>
  <c r="I1455" i="1"/>
  <c r="I1331" i="1"/>
  <c r="I1230" i="1"/>
  <c r="I428" i="1"/>
  <c r="I1403" i="1"/>
  <c r="I1402" i="1"/>
  <c r="I1607" i="1"/>
  <c r="I1608" i="1"/>
  <c r="I1540" i="1"/>
  <c r="I1401" i="1"/>
  <c r="I1177" i="1"/>
  <c r="I1178" i="1"/>
  <c r="I1503" i="1"/>
  <c r="I1505" i="1"/>
  <c r="I1504" i="1"/>
  <c r="I1669" i="1"/>
  <c r="I1575" i="1"/>
  <c r="I1574" i="1"/>
  <c r="I1502" i="1"/>
  <c r="I1506" i="1"/>
  <c r="I1348" i="1"/>
  <c r="I1349" i="1"/>
  <c r="I1283" i="1"/>
  <c r="I1281" i="1"/>
  <c r="I1282" i="1"/>
  <c r="I1289" i="1"/>
  <c r="I1288" i="1"/>
  <c r="I1511" i="1"/>
  <c r="I1672" i="1"/>
  <c r="I1510" i="1"/>
  <c r="I1512" i="1"/>
  <c r="I1673" i="1"/>
  <c r="I1577" i="1"/>
  <c r="I1351" i="1"/>
  <c r="I1287" i="1"/>
  <c r="I1290" i="1"/>
  <c r="I1437" i="1"/>
  <c r="I1634" i="1"/>
  <c r="I1552" i="1"/>
  <c r="I1438" i="1"/>
  <c r="I1436" i="1"/>
  <c r="I1327" i="1"/>
  <c r="I1211" i="1"/>
  <c r="I1212" i="1"/>
  <c r="I1639" i="1"/>
  <c r="I1228" i="1"/>
  <c r="I1452" i="1"/>
  <c r="I1227" i="1"/>
  <c r="I1451" i="1"/>
  <c r="I1453" i="1"/>
  <c r="I1226" i="1"/>
  <c r="I1638" i="1"/>
  <c r="I1640" i="1"/>
  <c r="I1454" i="1"/>
  <c r="I1229" i="1"/>
  <c r="I1270" i="1"/>
  <c r="I1492" i="1"/>
  <c r="I1663" i="1"/>
  <c r="I1664" i="1"/>
  <c r="I1491" i="1"/>
  <c r="I1493" i="1"/>
  <c r="I1268" i="1"/>
  <c r="I1265" i="1"/>
  <c r="I1269" i="1"/>
  <c r="I1266" i="1"/>
  <c r="I1267" i="1"/>
  <c r="I587" i="1"/>
  <c r="I1489" i="1"/>
  <c r="I1488" i="1"/>
  <c r="I1262" i="1"/>
  <c r="I1261" i="1"/>
  <c r="I1660" i="1"/>
  <c r="I1260" i="1"/>
  <c r="I1661" i="1"/>
  <c r="I1662" i="1"/>
  <c r="I1570" i="1"/>
  <c r="I1487" i="1"/>
  <c r="I1490" i="1"/>
  <c r="I1343" i="1"/>
  <c r="I1344" i="1"/>
  <c r="I1264" i="1"/>
  <c r="I1263" i="1"/>
  <c r="I1469" i="1"/>
  <c r="I1648" i="1"/>
  <c r="I1468" i="1"/>
  <c r="I1240" i="1"/>
  <c r="I1241" i="1"/>
  <c r="I1470" i="1"/>
  <c r="I1242" i="1"/>
  <c r="I1258" i="1"/>
  <c r="I1485" i="1"/>
  <c r="I1658" i="1"/>
  <c r="I1657" i="1"/>
  <c r="I1659" i="1"/>
  <c r="I1568" i="1"/>
  <c r="I1569" i="1"/>
  <c r="I1342" i="1"/>
  <c r="I1486" i="1"/>
  <c r="I1257" i="1"/>
  <c r="I1259" i="1"/>
  <c r="I991" i="1"/>
  <c r="I1647" i="1"/>
  <c r="I1466" i="1"/>
  <c r="I1467" i="1"/>
  <c r="I1239" i="1"/>
  <c r="I1205" i="1"/>
  <c r="I1548" i="1"/>
  <c r="I1206" i="1"/>
  <c r="I1594" i="1"/>
  <c r="I1595" i="1"/>
  <c r="I1596" i="1"/>
  <c r="I1376" i="1"/>
  <c r="I1373" i="1"/>
  <c r="I1374" i="1"/>
  <c r="I1375" i="1"/>
  <c r="I1139" i="1"/>
  <c r="I1140" i="1"/>
  <c r="I416" i="1"/>
  <c r="I1159" i="1"/>
  <c r="I1602" i="1"/>
  <c r="I1537" i="1"/>
  <c r="I1538" i="1"/>
  <c r="I1392" i="1"/>
  <c r="I1391" i="1"/>
  <c r="I1314" i="1"/>
  <c r="I1157" i="1"/>
  <c r="I1158" i="1"/>
  <c r="I1160" i="1"/>
  <c r="I1631" i="1"/>
  <c r="I1550" i="1"/>
  <c r="I1551" i="1"/>
  <c r="I1433" i="1"/>
  <c r="I1432" i="1"/>
  <c r="I1326" i="1"/>
  <c r="I1325" i="1"/>
  <c r="I1208" i="1"/>
  <c r="I1562" i="1"/>
  <c r="I1464" i="1"/>
  <c r="I1336" i="1"/>
  <c r="I1465" i="1"/>
  <c r="I1580" i="1"/>
  <c r="I1581" i="1"/>
  <c r="I1516" i="1"/>
  <c r="I1354" i="1"/>
  <c r="I1296" i="1"/>
  <c r="I1120" i="1"/>
  <c r="I1121" i="1"/>
  <c r="I1154" i="1"/>
  <c r="I1153" i="1"/>
  <c r="I1534" i="1"/>
  <c r="I1535" i="1"/>
  <c r="I1389" i="1"/>
  <c r="I1312" i="1"/>
  <c r="I375" i="1"/>
  <c r="I1592" i="1"/>
  <c r="I1593" i="1"/>
  <c r="I1525" i="1"/>
  <c r="I1372" i="1"/>
  <c r="I1138" i="1"/>
  <c r="I1304" i="1"/>
  <c r="I1136" i="1"/>
  <c r="I1137" i="1"/>
  <c r="I1479" i="1"/>
  <c r="I1480" i="1"/>
  <c r="I1654" i="1"/>
  <c r="I1566" i="1"/>
  <c r="I1340" i="1"/>
  <c r="I1249" i="1"/>
  <c r="I1478" i="1"/>
  <c r="I1252" i="1"/>
  <c r="I1253" i="1"/>
  <c r="I1250" i="1"/>
  <c r="I1251" i="1"/>
  <c r="I1565" i="1"/>
  <c r="I1339" i="1"/>
  <c r="I565" i="1"/>
  <c r="I1650" i="1"/>
  <c r="I1649" i="1"/>
  <c r="I1651" i="1"/>
  <c r="I1475" i="1"/>
  <c r="I1473" i="1"/>
  <c r="I1244" i="1"/>
  <c r="I1245" i="1"/>
  <c r="I1474" i="1"/>
  <c r="I1246" i="1"/>
  <c r="I1628" i="1"/>
  <c r="I1430" i="1"/>
  <c r="I1632" i="1"/>
  <c r="I1633" i="1"/>
  <c r="I1435" i="1"/>
  <c r="I1434" i="1"/>
  <c r="I1209" i="1"/>
  <c r="I1210" i="1"/>
  <c r="I1630" i="1"/>
  <c r="I1629" i="1"/>
  <c r="I1549" i="1"/>
  <c r="I1431" i="1"/>
  <c r="I1324" i="1"/>
  <c r="I1207" i="1"/>
  <c r="I1151" i="1"/>
  <c r="I1531" i="1"/>
  <c r="I1388" i="1"/>
  <c r="I1309" i="1"/>
  <c r="I1152" i="1"/>
  <c r="I1421" i="1"/>
  <c r="I1618" i="1"/>
  <c r="I1619" i="1"/>
  <c r="I1620" i="1"/>
  <c r="I1420" i="1"/>
  <c r="I1319" i="1"/>
  <c r="I1192" i="1"/>
  <c r="I1193" i="1"/>
  <c r="I397" i="1"/>
  <c r="I1532" i="1"/>
  <c r="I1310" i="1"/>
  <c r="I514" i="1"/>
  <c r="I1219" i="1"/>
  <c r="I1220" i="1"/>
  <c r="I1635" i="1"/>
  <c r="I1553" i="1"/>
  <c r="I1442" i="1"/>
  <c r="I1439" i="1"/>
  <c r="I1440" i="1"/>
  <c r="I1441" i="1"/>
  <c r="I1443" i="1"/>
  <c r="I1444" i="1"/>
  <c r="I1213" i="1"/>
  <c r="I1217" i="1"/>
  <c r="I1214" i="1"/>
  <c r="I1218" i="1"/>
  <c r="I1328" i="1"/>
  <c r="I1215" i="1"/>
  <c r="I1221" i="1"/>
  <c r="I1216" i="1"/>
  <c r="I1646" i="1"/>
  <c r="I1561" i="1"/>
  <c r="I1645" i="1"/>
  <c r="I1462" i="1"/>
  <c r="I1463" i="1"/>
  <c r="I1335" i="1"/>
  <c r="I1237" i="1"/>
  <c r="I1461" i="1"/>
  <c r="I1238" i="1"/>
  <c r="I429" i="1"/>
  <c r="I1609" i="1"/>
  <c r="I1541" i="1"/>
  <c r="I1542" i="1"/>
  <c r="I1406" i="1"/>
  <c r="I1404" i="1"/>
  <c r="I1405" i="1"/>
  <c r="I1315" i="1"/>
  <c r="I1316" i="1"/>
  <c r="I1180" i="1"/>
  <c r="I1181" i="1"/>
  <c r="I1179" i="1"/>
  <c r="I1644" i="1"/>
  <c r="I1559" i="1"/>
  <c r="I1560" i="1"/>
  <c r="I1458" i="1"/>
  <c r="I1459" i="1"/>
  <c r="I1460" i="1"/>
  <c r="I1334" i="1"/>
  <c r="I1236" i="1"/>
  <c r="I1333" i="1"/>
  <c r="I1234" i="1"/>
  <c r="I1235" i="1"/>
  <c r="I1277" i="1"/>
  <c r="I1276" i="1"/>
  <c r="I1666" i="1"/>
  <c r="I1572" i="1"/>
  <c r="I1499" i="1"/>
  <c r="I1346" i="1"/>
  <c r="I1275" i="1"/>
  <c r="I1278" i="1"/>
  <c r="I652" i="1"/>
  <c r="I651" i="1"/>
  <c r="I1533" i="1"/>
  <c r="I1311" i="1"/>
  <c r="I1610" i="1"/>
  <c r="I1611" i="1"/>
  <c r="I1612" i="1"/>
  <c r="I1543" i="1"/>
  <c r="I1410" i="1"/>
  <c r="I1407" i="1"/>
  <c r="I1408" i="1"/>
  <c r="I1409" i="1"/>
  <c r="I1182" i="1"/>
  <c r="I1317" i="1"/>
  <c r="I1636" i="1"/>
  <c r="I1637" i="1"/>
  <c r="I1448" i="1"/>
  <c r="I1449" i="1"/>
  <c r="I1224" i="1"/>
  <c r="I1225" i="1"/>
  <c r="I1450" i="1"/>
  <c r="I520" i="1"/>
  <c r="I1305" i="1"/>
  <c r="I1597" i="1"/>
  <c r="I1598" i="1"/>
  <c r="I1599" i="1"/>
  <c r="I1526" i="1"/>
  <c r="I1527" i="1"/>
  <c r="I1528" i="1"/>
  <c r="I1380" i="1"/>
  <c r="I1377" i="1"/>
  <c r="I1381" i="1"/>
  <c r="I1378" i="1"/>
  <c r="I1382" i="1"/>
  <c r="I1379" i="1"/>
  <c r="I1306" i="1"/>
  <c r="I1142" i="1"/>
  <c r="I1146" i="1"/>
  <c r="I1143" i="1"/>
  <c r="I1147" i="1"/>
  <c r="I1144" i="1"/>
  <c r="I1141" i="1"/>
  <c r="I1145" i="1"/>
  <c r="I909" i="1"/>
  <c r="I387" i="1"/>
  <c r="I906" i="1"/>
  <c r="I1300" i="1"/>
  <c r="I1587" i="1"/>
  <c r="I1586" i="1"/>
  <c r="I1521" i="1"/>
  <c r="I1520" i="1"/>
  <c r="I1364" i="1"/>
  <c r="I1361" i="1"/>
  <c r="I1362" i="1"/>
  <c r="I1363" i="1"/>
  <c r="I1128" i="1"/>
  <c r="I1129" i="1"/>
  <c r="I1299" i="1"/>
  <c r="I1130" i="1"/>
  <c r="I1127" i="1"/>
  <c r="I1554" i="1"/>
  <c r="I1329" i="1"/>
  <c r="I1222" i="1"/>
  <c r="I973" i="1"/>
  <c r="I1186" i="1"/>
  <c r="I1188" i="1"/>
  <c r="I1416" i="1"/>
  <c r="I1615" i="1"/>
  <c r="I1415" i="1"/>
  <c r="I1417" i="1"/>
  <c r="I1185" i="1"/>
  <c r="I1187" i="1"/>
  <c r="I1189" i="1"/>
  <c r="I939" i="1"/>
  <c r="I1232" i="1"/>
  <c r="I1642" i="1"/>
  <c r="I1641" i="1"/>
  <c r="I1643" i="1"/>
  <c r="I1557" i="1"/>
  <c r="I1558" i="1"/>
  <c r="I1456" i="1"/>
  <c r="I1231" i="1"/>
  <c r="I1332" i="1"/>
  <c r="I1233" i="1"/>
  <c r="I1457" i="1"/>
  <c r="I985" i="1"/>
  <c r="I533" i="1"/>
  <c r="I1295" i="1"/>
  <c r="I1678" i="1"/>
  <c r="I1677" i="1"/>
  <c r="I1579" i="1"/>
  <c r="I1515" i="1"/>
  <c r="I1353" i="1"/>
  <c r="I1582" i="1"/>
  <c r="I1517" i="1"/>
  <c r="I1355" i="1"/>
  <c r="I1124" i="1"/>
  <c r="I1122" i="1"/>
  <c r="I1123" i="1"/>
  <c r="I1603" i="1"/>
  <c r="I1604" i="1"/>
  <c r="I1539" i="1"/>
  <c r="I1393" i="1"/>
  <c r="I1394" i="1"/>
  <c r="I1395" i="1"/>
  <c r="I1172" i="1"/>
  <c r="I1169" i="1"/>
  <c r="I1170" i="1"/>
  <c r="I1171" i="1"/>
  <c r="I1667" i="1"/>
  <c r="I1668" i="1"/>
  <c r="I1573" i="1"/>
  <c r="I1500" i="1"/>
  <c r="I1347" i="1"/>
  <c r="I1501" i="1"/>
  <c r="I1279" i="1"/>
  <c r="I1280" i="1"/>
  <c r="I687" i="1"/>
  <c r="I1617" i="1"/>
  <c r="I1544" i="1"/>
  <c r="I1419" i="1"/>
  <c r="I1318" i="1"/>
  <c r="I1191" i="1"/>
  <c r="L550" i="1"/>
  <c r="L549" i="1"/>
  <c r="L552" i="1"/>
  <c r="L551" i="1"/>
  <c r="I963" i="1"/>
  <c r="I498" i="1"/>
  <c r="I499" i="1"/>
  <c r="I497" i="1"/>
  <c r="I962" i="1"/>
  <c r="I573" i="1"/>
  <c r="I574" i="1"/>
  <c r="J980" i="1"/>
  <c r="J529" i="1"/>
  <c r="J527" i="1"/>
  <c r="J526" i="1"/>
  <c r="J528" i="1"/>
  <c r="J378" i="1"/>
  <c r="J379" i="1"/>
  <c r="J963" i="1"/>
  <c r="J499" i="1"/>
  <c r="J497" i="1"/>
  <c r="J962" i="1"/>
  <c r="J498" i="1"/>
  <c r="J573" i="1"/>
  <c r="J574" i="1"/>
  <c r="J536" i="1"/>
  <c r="J537" i="1"/>
  <c r="L1024" i="1"/>
  <c r="L1021" i="1"/>
  <c r="L484" i="1"/>
  <c r="L485" i="1"/>
  <c r="L483" i="1"/>
  <c r="I528" i="1"/>
  <c r="I980" i="1"/>
  <c r="I527" i="1"/>
  <c r="I529" i="1"/>
  <c r="I526" i="1"/>
  <c r="I378" i="1"/>
  <c r="I379" i="1"/>
  <c r="I536" i="1"/>
  <c r="I537" i="1"/>
  <c r="K529" i="1"/>
  <c r="K980" i="1"/>
  <c r="K527" i="1"/>
  <c r="K526" i="1"/>
  <c r="K528" i="1"/>
  <c r="K378" i="1"/>
  <c r="K379" i="1"/>
  <c r="L497" i="1"/>
  <c r="L962" i="1"/>
  <c r="L498" i="1"/>
  <c r="L499" i="1"/>
  <c r="L963" i="1"/>
  <c r="L574" i="1"/>
  <c r="L573" i="1"/>
  <c r="L379" i="1"/>
  <c r="L378" i="1"/>
  <c r="I967" i="1"/>
  <c r="I505" i="1"/>
  <c r="I551" i="1"/>
  <c r="I549" i="1"/>
  <c r="I552" i="1"/>
  <c r="I550" i="1"/>
  <c r="I485" i="1"/>
  <c r="I484" i="1"/>
  <c r="I483" i="1"/>
  <c r="L708" i="1"/>
  <c r="L706" i="1"/>
  <c r="L1037" i="1"/>
  <c r="L1036" i="1"/>
  <c r="L707" i="1"/>
  <c r="K499" i="1"/>
  <c r="K497" i="1"/>
  <c r="K962" i="1"/>
  <c r="K963" i="1"/>
  <c r="K498" i="1"/>
  <c r="K574" i="1"/>
  <c r="K573" i="1"/>
  <c r="I707" i="1"/>
  <c r="I706" i="1"/>
  <c r="I1037" i="1"/>
  <c r="I708" i="1"/>
  <c r="I1036" i="1"/>
  <c r="I1024" i="1"/>
  <c r="I1021" i="1"/>
  <c r="J1037" i="1"/>
  <c r="J708" i="1"/>
  <c r="J707" i="1"/>
  <c r="J706" i="1"/>
  <c r="J1036" i="1"/>
  <c r="J967" i="1"/>
  <c r="J505" i="1"/>
  <c r="J1024" i="1"/>
  <c r="J1021" i="1"/>
  <c r="J552" i="1"/>
  <c r="J550" i="1"/>
  <c r="J549" i="1"/>
  <c r="J551" i="1"/>
  <c r="J484" i="1"/>
  <c r="J483" i="1"/>
  <c r="J485" i="1"/>
  <c r="L505" i="1"/>
  <c r="L967" i="1"/>
  <c r="K537" i="1"/>
  <c r="K536" i="1"/>
  <c r="L529" i="1"/>
  <c r="L528" i="1"/>
  <c r="L527" i="1"/>
  <c r="L526" i="1"/>
  <c r="L980" i="1"/>
  <c r="L537" i="1"/>
  <c r="L536" i="1"/>
  <c r="K1037" i="1"/>
  <c r="K708" i="1"/>
  <c r="K706" i="1"/>
  <c r="K1036" i="1"/>
  <c r="K707" i="1"/>
  <c r="K505" i="1"/>
  <c r="K967" i="1"/>
  <c r="K1024" i="1"/>
  <c r="K1021" i="1"/>
  <c r="K552" i="1"/>
  <c r="K550" i="1"/>
  <c r="K549" i="1"/>
  <c r="K551" i="1"/>
  <c r="K484" i="1"/>
  <c r="K483" i="1"/>
  <c r="K485" i="1"/>
  <c r="K1001" i="1"/>
  <c r="K1000" i="1"/>
  <c r="K999" i="1"/>
  <c r="K1048" i="1"/>
  <c r="K1049" i="1"/>
  <c r="K1026" i="1"/>
  <c r="K642" i="1"/>
  <c r="K1027" i="1"/>
  <c r="K641" i="1"/>
  <c r="K1028" i="1"/>
  <c r="K639" i="1"/>
  <c r="K1042" i="1"/>
  <c r="K735" i="1"/>
  <c r="K734" i="1"/>
  <c r="K733" i="1"/>
  <c r="J999" i="1"/>
  <c r="J1001" i="1"/>
  <c r="J1000" i="1"/>
  <c r="J1048" i="1"/>
  <c r="J1049" i="1"/>
  <c r="L1048" i="1"/>
  <c r="L1049" i="1"/>
  <c r="L642" i="1"/>
  <c r="L1027" i="1"/>
  <c r="L641" i="1"/>
  <c r="L1026" i="1"/>
  <c r="L639" i="1"/>
  <c r="L1028" i="1"/>
  <c r="L1042" i="1"/>
  <c r="L735" i="1"/>
  <c r="L733" i="1"/>
  <c r="L734" i="1"/>
  <c r="J639" i="1"/>
  <c r="J1026" i="1"/>
  <c r="J642" i="1"/>
  <c r="J1027" i="1"/>
  <c r="J641" i="1"/>
  <c r="J1028" i="1"/>
  <c r="I470" i="1"/>
  <c r="I948" i="1"/>
  <c r="L1001" i="1"/>
  <c r="L1000" i="1"/>
  <c r="L999" i="1"/>
  <c r="J948" i="1"/>
  <c r="J470" i="1"/>
  <c r="K470" i="1"/>
  <c r="K948" i="1"/>
  <c r="L948" i="1"/>
  <c r="L470" i="1"/>
  <c r="J734" i="1"/>
  <c r="J1042" i="1"/>
  <c r="J735" i="1"/>
  <c r="J733" i="1"/>
  <c r="I999" i="1"/>
  <c r="I1001" i="1"/>
  <c r="I1000" i="1"/>
  <c r="I1048" i="1"/>
  <c r="I1049" i="1"/>
  <c r="I1028" i="1"/>
  <c r="I639" i="1"/>
  <c r="I1026" i="1"/>
  <c r="I642" i="1"/>
  <c r="I1027" i="1"/>
  <c r="I641" i="1"/>
  <c r="I734" i="1"/>
  <c r="I1042" i="1"/>
  <c r="I735" i="1"/>
  <c r="I733" i="1"/>
  <c r="I922" i="1"/>
  <c r="I921" i="1"/>
  <c r="J921" i="1"/>
  <c r="J922" i="1"/>
  <c r="J389" i="1"/>
  <c r="J390" i="1"/>
  <c r="K921" i="1"/>
  <c r="K922" i="1"/>
  <c r="K389" i="1"/>
  <c r="K390" i="1"/>
  <c r="L922" i="1"/>
  <c r="L921" i="1"/>
  <c r="L390" i="1"/>
  <c r="L389" i="1"/>
  <c r="K1044" i="1"/>
  <c r="K1045" i="1"/>
  <c r="I1045" i="1"/>
  <c r="I1044" i="1"/>
  <c r="J1045" i="1"/>
  <c r="J1044" i="1"/>
  <c r="L1045" i="1"/>
  <c r="L1044" i="1"/>
  <c r="I390" i="1"/>
  <c r="I389" i="1"/>
  <c r="N1054" i="1"/>
  <c r="R1054" i="1" s="1"/>
  <c r="N1055" i="1"/>
  <c r="R1055" i="1" s="1"/>
  <c r="U1055" i="1" s="1"/>
  <c r="N1056" i="1"/>
  <c r="R1056" i="1" s="1"/>
  <c r="W1056" i="1" s="1"/>
  <c r="N1057" i="1"/>
  <c r="R1057" i="1" s="1"/>
  <c r="N1058" i="1"/>
  <c r="R1058" i="1" s="1"/>
  <c r="I1059" i="1"/>
  <c r="J1059" i="1"/>
  <c r="K1059" i="1"/>
  <c r="L1059" i="1"/>
  <c r="N1059" i="1"/>
  <c r="R1059" i="1" s="1"/>
  <c r="I1060" i="1"/>
  <c r="J1060" i="1"/>
  <c r="K1060" i="1"/>
  <c r="L1060" i="1"/>
  <c r="N1060" i="1"/>
  <c r="R1060" i="1" s="1"/>
  <c r="N1061" i="1"/>
  <c r="R1061" i="1" s="1"/>
  <c r="N1062" i="1"/>
  <c r="R1062" i="1" s="1"/>
  <c r="W1062" i="1" s="1"/>
  <c r="N1063" i="1"/>
  <c r="R1063" i="1" s="1"/>
  <c r="N1064" i="1"/>
  <c r="R1064" i="1" s="1"/>
  <c r="N1065" i="1"/>
  <c r="R1065" i="1" s="1"/>
  <c r="U1065" i="1" s="1"/>
  <c r="N1066" i="1"/>
  <c r="R1066" i="1" s="1"/>
  <c r="N1067" i="1"/>
  <c r="R1067" i="1" s="1"/>
  <c r="N1068" i="1"/>
  <c r="R1068" i="1" s="1"/>
  <c r="N1069" i="1"/>
  <c r="R1069" i="1" s="1"/>
  <c r="N1070" i="1"/>
  <c r="R1070" i="1" s="1"/>
  <c r="U1070" i="1" s="1"/>
  <c r="N1071" i="1"/>
  <c r="R1071" i="1" s="1"/>
  <c r="W1071" i="1" s="1"/>
  <c r="N1072" i="1"/>
  <c r="R1072" i="1" s="1"/>
  <c r="W1072" i="1" s="1"/>
  <c r="N1073" i="1"/>
  <c r="R1073" i="1" s="1"/>
  <c r="N1074" i="1"/>
  <c r="R1074" i="1" s="1"/>
  <c r="N1075" i="1"/>
  <c r="R1075" i="1" s="1"/>
  <c r="N1076" i="1"/>
  <c r="R1076" i="1" s="1"/>
  <c r="W1076" i="1" s="1"/>
  <c r="N1077" i="1"/>
  <c r="R1077" i="1" s="1"/>
  <c r="N1078" i="1"/>
  <c r="R1078" i="1" s="1"/>
  <c r="N1079" i="1"/>
  <c r="R1079" i="1" s="1"/>
  <c r="N1080" i="1"/>
  <c r="R1080" i="1" s="1"/>
  <c r="N1081" i="1"/>
  <c r="R1081" i="1" s="1"/>
  <c r="W1081" i="1" s="1"/>
  <c r="N1082" i="1"/>
  <c r="R1082" i="1" s="1"/>
  <c r="N1083" i="1"/>
  <c r="R1083" i="1" s="1"/>
  <c r="N1084" i="1"/>
  <c r="R1084" i="1" s="1"/>
  <c r="U1084" i="1" s="1"/>
  <c r="N1085" i="1"/>
  <c r="R1085" i="1" s="1"/>
  <c r="W1085" i="1" s="1"/>
  <c r="N1086" i="1"/>
  <c r="R1086" i="1" s="1"/>
  <c r="N1087" i="1"/>
  <c r="R1087" i="1" s="1"/>
  <c r="N1088" i="1"/>
  <c r="R1088" i="1" s="1"/>
  <c r="N1089" i="1"/>
  <c r="R1089" i="1" s="1"/>
  <c r="N1090" i="1"/>
  <c r="R1090" i="1" s="1"/>
  <c r="N1091" i="1"/>
  <c r="R1091" i="1" s="1"/>
  <c r="W1091" i="1" s="1"/>
  <c r="N1092" i="1"/>
  <c r="R1092" i="1" s="1"/>
  <c r="N1093" i="1"/>
  <c r="R1093" i="1" s="1"/>
  <c r="N1094" i="1"/>
  <c r="R1094" i="1" s="1"/>
  <c r="N1095" i="1"/>
  <c r="R1095" i="1" s="1"/>
  <c r="N1097" i="1"/>
  <c r="R1097" i="1" s="1"/>
  <c r="W1097" i="1" s="1"/>
  <c r="N1098" i="1"/>
  <c r="R1098" i="1" s="1"/>
  <c r="N1099" i="1"/>
  <c r="R1099" i="1" s="1"/>
  <c r="N1100" i="1"/>
  <c r="R1100" i="1" s="1"/>
  <c r="W1100" i="1" s="1"/>
  <c r="N1101" i="1"/>
  <c r="R1101" i="1" s="1"/>
  <c r="N1102" i="1"/>
  <c r="R1102" i="1" s="1"/>
  <c r="N1103" i="1"/>
  <c r="R1103" i="1" s="1"/>
  <c r="N1104" i="1"/>
  <c r="R1104" i="1" s="1"/>
  <c r="N1105" i="1"/>
  <c r="R1105" i="1" s="1"/>
  <c r="N1107" i="1"/>
  <c r="R1107" i="1" s="1"/>
  <c r="N1108" i="1"/>
  <c r="R1108" i="1" s="1"/>
  <c r="N1109" i="1"/>
  <c r="R1109" i="1" s="1"/>
  <c r="N1110" i="1"/>
  <c r="R1110" i="1" s="1"/>
  <c r="U1110" i="1" s="1"/>
  <c r="N1111" i="1"/>
  <c r="R1111" i="1" s="1"/>
  <c r="N1112" i="1"/>
  <c r="R1112" i="1" s="1"/>
  <c r="W1112" i="1" s="1"/>
  <c r="N1113" i="1"/>
  <c r="R1113" i="1" s="1"/>
  <c r="N1114" i="1"/>
  <c r="R1114" i="1" s="1"/>
  <c r="N1115" i="1"/>
  <c r="R1115" i="1" s="1"/>
  <c r="W1115" i="1" s="1"/>
  <c r="N1116" i="1"/>
  <c r="R1116" i="1" s="1"/>
  <c r="N1117" i="1"/>
  <c r="R1117" i="1" s="1"/>
  <c r="N1118" i="1"/>
  <c r="R1118" i="1" s="1"/>
  <c r="N1119" i="1"/>
  <c r="R1119" i="1" s="1"/>
  <c r="C1054" i="1"/>
  <c r="D1054" i="1"/>
  <c r="F1054" i="1"/>
  <c r="G1054" i="1"/>
  <c r="C1055" i="1"/>
  <c r="D1055" i="1"/>
  <c r="F1055" i="1"/>
  <c r="G1055" i="1"/>
  <c r="C1056" i="1"/>
  <c r="D1056" i="1"/>
  <c r="F1056" i="1"/>
  <c r="G1056" i="1"/>
  <c r="C1057" i="1"/>
  <c r="D1057" i="1"/>
  <c r="F1057" i="1"/>
  <c r="G1057" i="1"/>
  <c r="C1058" i="1"/>
  <c r="D1058" i="1"/>
  <c r="F1058" i="1"/>
  <c r="G1058" i="1"/>
  <c r="C1059" i="1"/>
  <c r="D1059" i="1"/>
  <c r="F1059" i="1"/>
  <c r="G1059" i="1"/>
  <c r="C1060" i="1"/>
  <c r="D1060" i="1"/>
  <c r="F1060" i="1"/>
  <c r="G1060" i="1"/>
  <c r="C1061" i="1"/>
  <c r="D1061" i="1"/>
  <c r="F1061" i="1"/>
  <c r="G1061" i="1"/>
  <c r="C1062" i="1"/>
  <c r="D1062" i="1"/>
  <c r="F1062" i="1"/>
  <c r="G1062" i="1"/>
  <c r="C1063" i="1"/>
  <c r="D1063" i="1"/>
  <c r="F1063" i="1"/>
  <c r="G1063" i="1"/>
  <c r="C1064" i="1"/>
  <c r="D1064" i="1"/>
  <c r="F1064" i="1"/>
  <c r="G1064" i="1"/>
  <c r="C1065" i="1"/>
  <c r="D1065" i="1"/>
  <c r="F1065" i="1"/>
  <c r="G1065" i="1"/>
  <c r="C1066" i="1"/>
  <c r="D1066" i="1"/>
  <c r="F1066" i="1"/>
  <c r="G1066" i="1"/>
  <c r="C1067" i="1"/>
  <c r="D1067" i="1"/>
  <c r="F1067" i="1"/>
  <c r="G1067" i="1"/>
  <c r="C1068" i="1"/>
  <c r="D1068" i="1"/>
  <c r="F1068" i="1"/>
  <c r="G1068" i="1"/>
  <c r="C1069" i="1"/>
  <c r="D1069" i="1"/>
  <c r="F1069" i="1"/>
  <c r="G1069" i="1"/>
  <c r="C1070" i="1"/>
  <c r="D1070" i="1"/>
  <c r="F1070" i="1"/>
  <c r="G1070" i="1"/>
  <c r="C1071" i="1"/>
  <c r="D1071" i="1"/>
  <c r="F1071" i="1"/>
  <c r="G1071" i="1"/>
  <c r="C1072" i="1"/>
  <c r="D1072" i="1"/>
  <c r="F1072" i="1"/>
  <c r="G1072" i="1"/>
  <c r="C1073" i="1"/>
  <c r="D1073" i="1"/>
  <c r="F1073" i="1"/>
  <c r="G1073" i="1"/>
  <c r="C1074" i="1"/>
  <c r="D1074" i="1"/>
  <c r="F1074" i="1"/>
  <c r="G1074" i="1"/>
  <c r="C1075" i="1"/>
  <c r="D1075" i="1"/>
  <c r="F1075" i="1"/>
  <c r="G1075" i="1"/>
  <c r="C1076" i="1"/>
  <c r="D1076" i="1"/>
  <c r="F1076" i="1"/>
  <c r="G1076" i="1"/>
  <c r="C1077" i="1"/>
  <c r="D1077" i="1"/>
  <c r="F1077" i="1"/>
  <c r="G1077" i="1"/>
  <c r="C1078" i="1"/>
  <c r="D1078" i="1"/>
  <c r="F1078" i="1"/>
  <c r="G1078" i="1"/>
  <c r="C1079" i="1"/>
  <c r="D1079" i="1"/>
  <c r="F1079" i="1"/>
  <c r="G1079" i="1"/>
  <c r="C1080" i="1"/>
  <c r="D1080" i="1"/>
  <c r="F1080" i="1"/>
  <c r="G1080" i="1"/>
  <c r="C1081" i="1"/>
  <c r="D1081" i="1"/>
  <c r="F1081" i="1"/>
  <c r="G1081" i="1"/>
  <c r="C1082" i="1"/>
  <c r="D1082" i="1"/>
  <c r="F1082" i="1"/>
  <c r="G1082" i="1"/>
  <c r="C1083" i="1"/>
  <c r="D1083" i="1"/>
  <c r="F1083" i="1"/>
  <c r="G1083" i="1"/>
  <c r="C1084" i="1"/>
  <c r="D1084" i="1"/>
  <c r="F1084" i="1"/>
  <c r="G1084" i="1"/>
  <c r="C1085" i="1"/>
  <c r="D1085" i="1"/>
  <c r="F1085" i="1"/>
  <c r="G1085" i="1"/>
  <c r="C1086" i="1"/>
  <c r="D1086" i="1"/>
  <c r="F1086" i="1"/>
  <c r="G1086" i="1"/>
  <c r="C1087" i="1"/>
  <c r="D1087" i="1"/>
  <c r="F1087" i="1"/>
  <c r="G1087" i="1"/>
  <c r="C1088" i="1"/>
  <c r="D1088" i="1"/>
  <c r="F1088" i="1"/>
  <c r="G1088" i="1"/>
  <c r="C1089" i="1"/>
  <c r="D1089" i="1"/>
  <c r="F1089" i="1"/>
  <c r="G1089" i="1"/>
  <c r="C1090" i="1"/>
  <c r="D1090" i="1"/>
  <c r="F1090" i="1"/>
  <c r="G1090" i="1"/>
  <c r="C1091" i="1"/>
  <c r="D1091" i="1"/>
  <c r="F1091" i="1"/>
  <c r="G1091" i="1"/>
  <c r="C1092" i="1"/>
  <c r="D1092" i="1"/>
  <c r="F1092" i="1"/>
  <c r="G1092" i="1"/>
  <c r="C1093" i="1"/>
  <c r="D1093" i="1"/>
  <c r="F1093" i="1"/>
  <c r="G1093" i="1"/>
  <c r="C1094" i="1"/>
  <c r="D1094" i="1"/>
  <c r="F1094" i="1"/>
  <c r="G1094" i="1"/>
  <c r="C1095" i="1"/>
  <c r="D1095" i="1"/>
  <c r="F1095" i="1"/>
  <c r="G1095" i="1"/>
  <c r="C1097" i="1"/>
  <c r="D1097" i="1"/>
  <c r="F1097" i="1"/>
  <c r="G1097" i="1"/>
  <c r="C1098" i="1"/>
  <c r="D1098" i="1"/>
  <c r="F1098" i="1"/>
  <c r="G1098" i="1"/>
  <c r="C1099" i="1"/>
  <c r="D1099" i="1"/>
  <c r="F1099" i="1"/>
  <c r="G1099" i="1"/>
  <c r="C1100" i="1"/>
  <c r="D1100" i="1"/>
  <c r="F1100" i="1"/>
  <c r="G1100" i="1"/>
  <c r="C1101" i="1"/>
  <c r="D1101" i="1"/>
  <c r="F1101" i="1"/>
  <c r="G1101" i="1"/>
  <c r="C1102" i="1"/>
  <c r="D1102" i="1"/>
  <c r="F1102" i="1"/>
  <c r="G1102" i="1"/>
  <c r="C1103" i="1"/>
  <c r="D1103" i="1"/>
  <c r="F1103" i="1"/>
  <c r="G1103" i="1"/>
  <c r="C1104" i="1"/>
  <c r="D1104" i="1"/>
  <c r="F1104" i="1"/>
  <c r="G1104" i="1"/>
  <c r="C1105" i="1"/>
  <c r="D1105" i="1"/>
  <c r="F1105" i="1"/>
  <c r="G1105" i="1"/>
  <c r="C1107" i="1"/>
  <c r="D1107" i="1"/>
  <c r="F1107" i="1"/>
  <c r="G1107" i="1"/>
  <c r="C1108" i="1"/>
  <c r="D1108" i="1"/>
  <c r="F1108" i="1"/>
  <c r="G1108" i="1"/>
  <c r="C1109" i="1"/>
  <c r="D1109" i="1"/>
  <c r="F1109" i="1"/>
  <c r="G1109" i="1"/>
  <c r="C1110" i="1"/>
  <c r="D1110" i="1"/>
  <c r="F1110" i="1"/>
  <c r="G1110" i="1"/>
  <c r="C1111" i="1"/>
  <c r="D1111" i="1"/>
  <c r="F1111" i="1"/>
  <c r="G1111" i="1"/>
  <c r="C1112" i="1"/>
  <c r="D1112" i="1"/>
  <c r="F1112" i="1"/>
  <c r="G1112" i="1"/>
  <c r="C1113" i="1"/>
  <c r="D1113" i="1"/>
  <c r="F1113" i="1"/>
  <c r="G1113" i="1"/>
  <c r="C1114" i="1"/>
  <c r="D1114" i="1"/>
  <c r="F1114" i="1"/>
  <c r="G1114" i="1"/>
  <c r="C1115" i="1"/>
  <c r="D1115" i="1"/>
  <c r="F1115" i="1"/>
  <c r="G1115" i="1"/>
  <c r="C1116" i="1"/>
  <c r="D1116" i="1"/>
  <c r="F1116" i="1"/>
  <c r="G1116" i="1"/>
  <c r="C1117" i="1"/>
  <c r="D1117" i="1"/>
  <c r="F1117" i="1"/>
  <c r="G1117" i="1"/>
  <c r="C1118" i="1"/>
  <c r="D1118" i="1"/>
  <c r="F1118" i="1"/>
  <c r="G1118" i="1"/>
  <c r="C1119" i="1"/>
  <c r="D1119" i="1"/>
  <c r="F1119" i="1"/>
  <c r="G1119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7" i="1"/>
  <c r="A1098" i="1"/>
  <c r="A1099" i="1"/>
  <c r="A1100" i="1"/>
  <c r="A1101" i="1"/>
  <c r="A1102" i="1"/>
  <c r="A1103" i="1"/>
  <c r="A1104" i="1"/>
  <c r="A1105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N883" i="1"/>
  <c r="R883" i="1" s="1"/>
  <c r="N884" i="1"/>
  <c r="R884" i="1" s="1"/>
  <c r="N885" i="1"/>
  <c r="R885" i="1" s="1"/>
  <c r="N886" i="1"/>
  <c r="R886" i="1" s="1"/>
  <c r="N887" i="1"/>
  <c r="R887" i="1" s="1"/>
  <c r="N888" i="1"/>
  <c r="R888" i="1" s="1"/>
  <c r="N889" i="1"/>
  <c r="R889" i="1" s="1"/>
  <c r="I890" i="1"/>
  <c r="J890" i="1"/>
  <c r="K890" i="1"/>
  <c r="L890" i="1"/>
  <c r="N890" i="1"/>
  <c r="R890" i="1" s="1"/>
  <c r="N891" i="1"/>
  <c r="R891" i="1" s="1"/>
  <c r="N892" i="1"/>
  <c r="R892" i="1" s="1"/>
  <c r="N893" i="1"/>
  <c r="R893" i="1" s="1"/>
  <c r="N894" i="1"/>
  <c r="R894" i="1" s="1"/>
  <c r="N895" i="1"/>
  <c r="R895" i="1" s="1"/>
  <c r="N896" i="1"/>
  <c r="R896" i="1" s="1"/>
  <c r="N897" i="1"/>
  <c r="R897" i="1" s="1"/>
  <c r="N898" i="1"/>
  <c r="R898" i="1" s="1"/>
  <c r="N899" i="1"/>
  <c r="R899" i="1" s="1"/>
  <c r="N900" i="1"/>
  <c r="R900" i="1" s="1"/>
  <c r="N901" i="1"/>
  <c r="R901" i="1" s="1"/>
  <c r="N902" i="1"/>
  <c r="R902" i="1" s="1"/>
  <c r="N903" i="1"/>
  <c r="R903" i="1" s="1"/>
  <c r="N904" i="1"/>
  <c r="R904" i="1" s="1"/>
  <c r="N905" i="1"/>
  <c r="R905" i="1" s="1"/>
  <c r="N907" i="1"/>
  <c r="R907" i="1" s="1"/>
  <c r="N908" i="1"/>
  <c r="R908" i="1" s="1"/>
  <c r="W908" i="1" s="1"/>
  <c r="N910" i="1"/>
  <c r="R910" i="1" s="1"/>
  <c r="N911" i="1"/>
  <c r="R911" i="1" s="1"/>
  <c r="N912" i="1"/>
  <c r="R912" i="1" s="1"/>
  <c r="N913" i="1"/>
  <c r="R913" i="1" s="1"/>
  <c r="N914" i="1"/>
  <c r="R914" i="1" s="1"/>
  <c r="N915" i="1"/>
  <c r="R915" i="1" s="1"/>
  <c r="N916" i="1"/>
  <c r="R916" i="1" s="1"/>
  <c r="N917" i="1"/>
  <c r="R917" i="1" s="1"/>
  <c r="N918" i="1"/>
  <c r="R918" i="1" s="1"/>
  <c r="N919" i="1"/>
  <c r="R919" i="1" s="1"/>
  <c r="N920" i="1"/>
  <c r="R920" i="1" s="1"/>
  <c r="N923" i="1"/>
  <c r="R923" i="1" s="1"/>
  <c r="N924" i="1"/>
  <c r="R924" i="1" s="1"/>
  <c r="N925" i="1"/>
  <c r="R925" i="1" s="1"/>
  <c r="N926" i="1"/>
  <c r="R926" i="1" s="1"/>
  <c r="N927" i="1"/>
  <c r="R927" i="1" s="1"/>
  <c r="N928" i="1"/>
  <c r="R928" i="1" s="1"/>
  <c r="N929" i="1"/>
  <c r="R929" i="1" s="1"/>
  <c r="N930" i="1"/>
  <c r="R930" i="1" s="1"/>
  <c r="N931" i="1"/>
  <c r="R931" i="1" s="1"/>
  <c r="N932" i="1"/>
  <c r="R932" i="1" s="1"/>
  <c r="N933" i="1"/>
  <c r="R933" i="1" s="1"/>
  <c r="N934" i="1"/>
  <c r="R934" i="1" s="1"/>
  <c r="N935" i="1"/>
  <c r="R935" i="1" s="1"/>
  <c r="W935" i="1" s="1"/>
  <c r="N936" i="1"/>
  <c r="R936" i="1" s="1"/>
  <c r="N937" i="1"/>
  <c r="R937" i="1" s="1"/>
  <c r="N938" i="1"/>
  <c r="R938" i="1" s="1"/>
  <c r="N940" i="1"/>
  <c r="R940" i="1" s="1"/>
  <c r="N941" i="1"/>
  <c r="R941" i="1" s="1"/>
  <c r="N942" i="1"/>
  <c r="R942" i="1" s="1"/>
  <c r="N943" i="1"/>
  <c r="R943" i="1" s="1"/>
  <c r="N944" i="1"/>
  <c r="R944" i="1" s="1"/>
  <c r="N945" i="1"/>
  <c r="R945" i="1" s="1"/>
  <c r="N946" i="1"/>
  <c r="R946" i="1" s="1"/>
  <c r="N947" i="1"/>
  <c r="R947" i="1" s="1"/>
  <c r="N949" i="1"/>
  <c r="R949" i="1" s="1"/>
  <c r="N950" i="1"/>
  <c r="R950" i="1" s="1"/>
  <c r="N951" i="1"/>
  <c r="R951" i="1" s="1"/>
  <c r="N952" i="1"/>
  <c r="R952" i="1" s="1"/>
  <c r="N953" i="1"/>
  <c r="R953" i="1" s="1"/>
  <c r="N954" i="1"/>
  <c r="R954" i="1" s="1"/>
  <c r="N955" i="1"/>
  <c r="R955" i="1" s="1"/>
  <c r="N956" i="1"/>
  <c r="R956" i="1" s="1"/>
  <c r="N957" i="1"/>
  <c r="R957" i="1" s="1"/>
  <c r="N958" i="1"/>
  <c r="R958" i="1" s="1"/>
  <c r="N959" i="1"/>
  <c r="R959" i="1" s="1"/>
  <c r="N960" i="1"/>
  <c r="R960" i="1" s="1"/>
  <c r="N961" i="1"/>
  <c r="R961" i="1" s="1"/>
  <c r="N964" i="1"/>
  <c r="R964" i="1" s="1"/>
  <c r="N965" i="1"/>
  <c r="N966" i="1"/>
  <c r="N968" i="1"/>
  <c r="R968" i="1" s="1"/>
  <c r="N969" i="1"/>
  <c r="R969" i="1" s="1"/>
  <c r="N970" i="1"/>
  <c r="R970" i="1" s="1"/>
  <c r="N971" i="1"/>
  <c r="R971" i="1" s="1"/>
  <c r="N972" i="1"/>
  <c r="R972" i="1" s="1"/>
  <c r="N974" i="1"/>
  <c r="R974" i="1" s="1"/>
  <c r="N975" i="1"/>
  <c r="R975" i="1" s="1"/>
  <c r="N976" i="1"/>
  <c r="R976" i="1" s="1"/>
  <c r="N977" i="1"/>
  <c r="R977" i="1" s="1"/>
  <c r="N978" i="1"/>
  <c r="R978" i="1" s="1"/>
  <c r="N979" i="1"/>
  <c r="R979" i="1" s="1"/>
  <c r="N981" i="1"/>
  <c r="R981" i="1" s="1"/>
  <c r="N982" i="1"/>
  <c r="R982" i="1" s="1"/>
  <c r="N983" i="1"/>
  <c r="R983" i="1" s="1"/>
  <c r="N984" i="1"/>
  <c r="R984" i="1" s="1"/>
  <c r="N986" i="1"/>
  <c r="R986" i="1" s="1"/>
  <c r="N987" i="1"/>
  <c r="R987" i="1" s="1"/>
  <c r="N988" i="1"/>
  <c r="R988" i="1" s="1"/>
  <c r="W988" i="1" s="1"/>
  <c r="N989" i="1"/>
  <c r="R989" i="1" s="1"/>
  <c r="N990" i="1"/>
  <c r="R990" i="1" s="1"/>
  <c r="N992" i="1"/>
  <c r="R992" i="1" s="1"/>
  <c r="N993" i="1"/>
  <c r="R993" i="1" s="1"/>
  <c r="N994" i="1"/>
  <c r="R994" i="1" s="1"/>
  <c r="N995" i="1"/>
  <c r="R995" i="1" s="1"/>
  <c r="N996" i="1"/>
  <c r="R996" i="1" s="1"/>
  <c r="N997" i="1"/>
  <c r="R997" i="1" s="1"/>
  <c r="N998" i="1"/>
  <c r="R998" i="1" s="1"/>
  <c r="N1002" i="1"/>
  <c r="R1002" i="1" s="1"/>
  <c r="N1003" i="1"/>
  <c r="R1003" i="1" s="1"/>
  <c r="N1004" i="1"/>
  <c r="R1004" i="1" s="1"/>
  <c r="N1005" i="1"/>
  <c r="R1005" i="1" s="1"/>
  <c r="N1006" i="1"/>
  <c r="R1006" i="1" s="1"/>
  <c r="W1006" i="1" s="1"/>
  <c r="N1007" i="1"/>
  <c r="R1007" i="1" s="1"/>
  <c r="N1008" i="1"/>
  <c r="R1008" i="1" s="1"/>
  <c r="N1009" i="1"/>
  <c r="R1009" i="1" s="1"/>
  <c r="N1010" i="1"/>
  <c r="R1010" i="1" s="1"/>
  <c r="N1011" i="1"/>
  <c r="R1011" i="1" s="1"/>
  <c r="N1012" i="1"/>
  <c r="R1012" i="1" s="1"/>
  <c r="N1013" i="1"/>
  <c r="R1013" i="1" s="1"/>
  <c r="N1014" i="1"/>
  <c r="R1014" i="1" s="1"/>
  <c r="N1015" i="1"/>
  <c r="R1015" i="1" s="1"/>
  <c r="N1016" i="1"/>
  <c r="R1016" i="1" s="1"/>
  <c r="N1017" i="1"/>
  <c r="R1017" i="1" s="1"/>
  <c r="N1018" i="1"/>
  <c r="R1018" i="1" s="1"/>
  <c r="N1019" i="1"/>
  <c r="R1019" i="1" s="1"/>
  <c r="N1020" i="1"/>
  <c r="R1020" i="1" s="1"/>
  <c r="N1022" i="1"/>
  <c r="R1022" i="1" s="1"/>
  <c r="N1023" i="1"/>
  <c r="R1023" i="1" s="1"/>
  <c r="W1023" i="1" s="1"/>
  <c r="N1025" i="1"/>
  <c r="R1025" i="1" s="1"/>
  <c r="N1029" i="1"/>
  <c r="R1029" i="1" s="1"/>
  <c r="N1030" i="1"/>
  <c r="R1030" i="1" s="1"/>
  <c r="N1031" i="1"/>
  <c r="R1031" i="1" s="1"/>
  <c r="N1032" i="1"/>
  <c r="R1032" i="1" s="1"/>
  <c r="N1033" i="1"/>
  <c r="R1033" i="1" s="1"/>
  <c r="N1034" i="1"/>
  <c r="R1034" i="1" s="1"/>
  <c r="N1035" i="1"/>
  <c r="R1035" i="1" s="1"/>
  <c r="N1038" i="1"/>
  <c r="R1038" i="1" s="1"/>
  <c r="N1039" i="1"/>
  <c r="R1039" i="1" s="1"/>
  <c r="N1040" i="1"/>
  <c r="R1040" i="1" s="1"/>
  <c r="N1041" i="1"/>
  <c r="R1041" i="1" s="1"/>
  <c r="N1043" i="1"/>
  <c r="R1043" i="1" s="1"/>
  <c r="N1046" i="1"/>
  <c r="R1046" i="1" s="1"/>
  <c r="N1047" i="1"/>
  <c r="R1047" i="1" s="1"/>
  <c r="N1050" i="1"/>
  <c r="R1050" i="1" s="1"/>
  <c r="N1051" i="1"/>
  <c r="R1051" i="1" s="1"/>
  <c r="N1052" i="1"/>
  <c r="R1052" i="1" s="1"/>
  <c r="N1053" i="1"/>
  <c r="R1053" i="1" s="1"/>
  <c r="C883" i="1"/>
  <c r="D883" i="1"/>
  <c r="F883" i="1"/>
  <c r="G883" i="1"/>
  <c r="C884" i="1"/>
  <c r="D884" i="1"/>
  <c r="F884" i="1"/>
  <c r="G884" i="1"/>
  <c r="C885" i="1"/>
  <c r="D885" i="1"/>
  <c r="F885" i="1"/>
  <c r="G885" i="1"/>
  <c r="C886" i="1"/>
  <c r="D886" i="1"/>
  <c r="F886" i="1"/>
  <c r="G886" i="1"/>
  <c r="C887" i="1"/>
  <c r="D887" i="1"/>
  <c r="F887" i="1"/>
  <c r="G887" i="1"/>
  <c r="C888" i="1"/>
  <c r="D888" i="1"/>
  <c r="F888" i="1"/>
  <c r="G888" i="1"/>
  <c r="C889" i="1"/>
  <c r="D889" i="1"/>
  <c r="F889" i="1"/>
  <c r="G889" i="1"/>
  <c r="C890" i="1"/>
  <c r="D890" i="1"/>
  <c r="F890" i="1"/>
  <c r="G890" i="1"/>
  <c r="C891" i="1"/>
  <c r="D891" i="1"/>
  <c r="F891" i="1"/>
  <c r="G891" i="1"/>
  <c r="C892" i="1"/>
  <c r="D892" i="1"/>
  <c r="F892" i="1"/>
  <c r="G892" i="1"/>
  <c r="C893" i="1"/>
  <c r="D893" i="1"/>
  <c r="F893" i="1"/>
  <c r="G893" i="1"/>
  <c r="C894" i="1"/>
  <c r="D894" i="1"/>
  <c r="F894" i="1"/>
  <c r="G894" i="1"/>
  <c r="C895" i="1"/>
  <c r="D895" i="1"/>
  <c r="F895" i="1"/>
  <c r="G895" i="1"/>
  <c r="C896" i="1"/>
  <c r="D896" i="1"/>
  <c r="F896" i="1"/>
  <c r="G896" i="1"/>
  <c r="C897" i="1"/>
  <c r="D897" i="1"/>
  <c r="F897" i="1"/>
  <c r="G897" i="1"/>
  <c r="C898" i="1"/>
  <c r="D898" i="1"/>
  <c r="F898" i="1"/>
  <c r="G898" i="1"/>
  <c r="C899" i="1"/>
  <c r="D899" i="1"/>
  <c r="F899" i="1"/>
  <c r="G899" i="1"/>
  <c r="C900" i="1"/>
  <c r="D900" i="1"/>
  <c r="F900" i="1"/>
  <c r="G900" i="1"/>
  <c r="C901" i="1"/>
  <c r="D901" i="1"/>
  <c r="F901" i="1"/>
  <c r="G901" i="1"/>
  <c r="C902" i="1"/>
  <c r="D902" i="1"/>
  <c r="F902" i="1"/>
  <c r="G902" i="1"/>
  <c r="C903" i="1"/>
  <c r="D903" i="1"/>
  <c r="F903" i="1"/>
  <c r="G903" i="1"/>
  <c r="C904" i="1"/>
  <c r="D904" i="1"/>
  <c r="F904" i="1"/>
  <c r="G904" i="1"/>
  <c r="C905" i="1"/>
  <c r="D905" i="1"/>
  <c r="F905" i="1"/>
  <c r="G905" i="1"/>
  <c r="C907" i="1"/>
  <c r="D907" i="1"/>
  <c r="F907" i="1"/>
  <c r="G907" i="1"/>
  <c r="C908" i="1"/>
  <c r="D908" i="1"/>
  <c r="F908" i="1"/>
  <c r="G908" i="1"/>
  <c r="C910" i="1"/>
  <c r="D910" i="1"/>
  <c r="F910" i="1"/>
  <c r="G910" i="1"/>
  <c r="C911" i="1"/>
  <c r="D911" i="1"/>
  <c r="F911" i="1"/>
  <c r="G911" i="1"/>
  <c r="C912" i="1"/>
  <c r="D912" i="1"/>
  <c r="F912" i="1"/>
  <c r="G912" i="1"/>
  <c r="C913" i="1"/>
  <c r="D913" i="1"/>
  <c r="F913" i="1"/>
  <c r="G913" i="1"/>
  <c r="C914" i="1"/>
  <c r="D914" i="1"/>
  <c r="F914" i="1"/>
  <c r="G914" i="1"/>
  <c r="C915" i="1"/>
  <c r="D915" i="1"/>
  <c r="F915" i="1"/>
  <c r="G915" i="1"/>
  <c r="C916" i="1"/>
  <c r="D916" i="1"/>
  <c r="F916" i="1"/>
  <c r="G916" i="1"/>
  <c r="C917" i="1"/>
  <c r="D917" i="1"/>
  <c r="F917" i="1"/>
  <c r="G917" i="1"/>
  <c r="C918" i="1"/>
  <c r="D918" i="1"/>
  <c r="F918" i="1"/>
  <c r="G918" i="1"/>
  <c r="C919" i="1"/>
  <c r="D919" i="1"/>
  <c r="F919" i="1"/>
  <c r="G919" i="1"/>
  <c r="C920" i="1"/>
  <c r="D920" i="1"/>
  <c r="F920" i="1"/>
  <c r="G920" i="1"/>
  <c r="C923" i="1"/>
  <c r="D923" i="1"/>
  <c r="F923" i="1"/>
  <c r="G923" i="1"/>
  <c r="C924" i="1"/>
  <c r="D924" i="1"/>
  <c r="F924" i="1"/>
  <c r="G924" i="1"/>
  <c r="C925" i="1"/>
  <c r="D925" i="1"/>
  <c r="F925" i="1"/>
  <c r="G925" i="1"/>
  <c r="C926" i="1"/>
  <c r="D926" i="1"/>
  <c r="F926" i="1"/>
  <c r="G926" i="1"/>
  <c r="C927" i="1"/>
  <c r="D927" i="1"/>
  <c r="F927" i="1"/>
  <c r="G927" i="1"/>
  <c r="C928" i="1"/>
  <c r="D928" i="1"/>
  <c r="F928" i="1"/>
  <c r="G928" i="1"/>
  <c r="C929" i="1"/>
  <c r="D929" i="1"/>
  <c r="F929" i="1"/>
  <c r="G929" i="1"/>
  <c r="C930" i="1"/>
  <c r="D930" i="1"/>
  <c r="F930" i="1"/>
  <c r="G930" i="1"/>
  <c r="C931" i="1"/>
  <c r="D931" i="1"/>
  <c r="F931" i="1"/>
  <c r="G931" i="1"/>
  <c r="C932" i="1"/>
  <c r="D932" i="1"/>
  <c r="F932" i="1"/>
  <c r="G932" i="1"/>
  <c r="C933" i="1"/>
  <c r="D933" i="1"/>
  <c r="F933" i="1"/>
  <c r="G933" i="1"/>
  <c r="C934" i="1"/>
  <c r="D934" i="1"/>
  <c r="F934" i="1"/>
  <c r="G934" i="1"/>
  <c r="C935" i="1"/>
  <c r="D935" i="1"/>
  <c r="F935" i="1"/>
  <c r="G935" i="1"/>
  <c r="C936" i="1"/>
  <c r="D936" i="1"/>
  <c r="F936" i="1"/>
  <c r="G936" i="1"/>
  <c r="C937" i="1"/>
  <c r="D937" i="1"/>
  <c r="F937" i="1"/>
  <c r="G937" i="1"/>
  <c r="C938" i="1"/>
  <c r="D938" i="1"/>
  <c r="F938" i="1"/>
  <c r="G938" i="1"/>
  <c r="C940" i="1"/>
  <c r="D940" i="1"/>
  <c r="F940" i="1"/>
  <c r="G940" i="1"/>
  <c r="C941" i="1"/>
  <c r="D941" i="1"/>
  <c r="F941" i="1"/>
  <c r="G941" i="1"/>
  <c r="C942" i="1"/>
  <c r="D942" i="1"/>
  <c r="F942" i="1"/>
  <c r="G942" i="1"/>
  <c r="C943" i="1"/>
  <c r="D943" i="1"/>
  <c r="F943" i="1"/>
  <c r="G943" i="1"/>
  <c r="C944" i="1"/>
  <c r="D944" i="1"/>
  <c r="F944" i="1"/>
  <c r="G944" i="1"/>
  <c r="C945" i="1"/>
  <c r="D945" i="1"/>
  <c r="F945" i="1"/>
  <c r="G945" i="1"/>
  <c r="C946" i="1"/>
  <c r="D946" i="1"/>
  <c r="F946" i="1"/>
  <c r="G946" i="1"/>
  <c r="C947" i="1"/>
  <c r="D947" i="1"/>
  <c r="F947" i="1"/>
  <c r="G947" i="1"/>
  <c r="C949" i="1"/>
  <c r="D949" i="1"/>
  <c r="F949" i="1"/>
  <c r="G949" i="1"/>
  <c r="C950" i="1"/>
  <c r="D950" i="1"/>
  <c r="F950" i="1"/>
  <c r="G950" i="1"/>
  <c r="C951" i="1"/>
  <c r="D951" i="1"/>
  <c r="F951" i="1"/>
  <c r="G951" i="1"/>
  <c r="C952" i="1"/>
  <c r="D952" i="1"/>
  <c r="F952" i="1"/>
  <c r="G952" i="1"/>
  <c r="C953" i="1"/>
  <c r="D953" i="1"/>
  <c r="F953" i="1"/>
  <c r="G953" i="1"/>
  <c r="C954" i="1"/>
  <c r="D954" i="1"/>
  <c r="F954" i="1"/>
  <c r="G954" i="1"/>
  <c r="C955" i="1"/>
  <c r="D955" i="1"/>
  <c r="F955" i="1"/>
  <c r="G955" i="1"/>
  <c r="C956" i="1"/>
  <c r="D956" i="1"/>
  <c r="F956" i="1"/>
  <c r="G956" i="1"/>
  <c r="C957" i="1"/>
  <c r="D957" i="1"/>
  <c r="F957" i="1"/>
  <c r="G957" i="1"/>
  <c r="C958" i="1"/>
  <c r="D958" i="1"/>
  <c r="F958" i="1"/>
  <c r="G958" i="1"/>
  <c r="C959" i="1"/>
  <c r="D959" i="1"/>
  <c r="F959" i="1"/>
  <c r="G959" i="1"/>
  <c r="C960" i="1"/>
  <c r="D960" i="1"/>
  <c r="F960" i="1"/>
  <c r="G960" i="1"/>
  <c r="C961" i="1"/>
  <c r="D961" i="1"/>
  <c r="F961" i="1"/>
  <c r="G961" i="1"/>
  <c r="C964" i="1"/>
  <c r="D964" i="1"/>
  <c r="F964" i="1"/>
  <c r="G964" i="1"/>
  <c r="C965" i="1"/>
  <c r="D965" i="1"/>
  <c r="F965" i="1"/>
  <c r="G965" i="1"/>
  <c r="C966" i="1"/>
  <c r="D966" i="1"/>
  <c r="F966" i="1"/>
  <c r="G966" i="1"/>
  <c r="C968" i="1"/>
  <c r="D968" i="1"/>
  <c r="F968" i="1"/>
  <c r="G968" i="1"/>
  <c r="C969" i="1"/>
  <c r="D969" i="1"/>
  <c r="F969" i="1"/>
  <c r="G969" i="1"/>
  <c r="C970" i="1"/>
  <c r="D970" i="1"/>
  <c r="F970" i="1"/>
  <c r="G970" i="1"/>
  <c r="C971" i="1"/>
  <c r="D971" i="1"/>
  <c r="F971" i="1"/>
  <c r="G971" i="1"/>
  <c r="C972" i="1"/>
  <c r="D972" i="1"/>
  <c r="F972" i="1"/>
  <c r="G972" i="1"/>
  <c r="C974" i="1"/>
  <c r="D974" i="1"/>
  <c r="F974" i="1"/>
  <c r="G974" i="1"/>
  <c r="C975" i="1"/>
  <c r="D975" i="1"/>
  <c r="F975" i="1"/>
  <c r="G975" i="1"/>
  <c r="C976" i="1"/>
  <c r="D976" i="1"/>
  <c r="F976" i="1"/>
  <c r="G976" i="1"/>
  <c r="C977" i="1"/>
  <c r="D977" i="1"/>
  <c r="F977" i="1"/>
  <c r="G977" i="1"/>
  <c r="C978" i="1"/>
  <c r="D978" i="1"/>
  <c r="F978" i="1"/>
  <c r="G978" i="1"/>
  <c r="C979" i="1"/>
  <c r="D979" i="1"/>
  <c r="F979" i="1"/>
  <c r="G979" i="1"/>
  <c r="C981" i="1"/>
  <c r="D981" i="1"/>
  <c r="F981" i="1"/>
  <c r="G981" i="1"/>
  <c r="C982" i="1"/>
  <c r="D982" i="1"/>
  <c r="F982" i="1"/>
  <c r="G982" i="1"/>
  <c r="C983" i="1"/>
  <c r="D983" i="1"/>
  <c r="F983" i="1"/>
  <c r="G983" i="1"/>
  <c r="C984" i="1"/>
  <c r="D984" i="1"/>
  <c r="F984" i="1"/>
  <c r="G984" i="1"/>
  <c r="C986" i="1"/>
  <c r="D986" i="1"/>
  <c r="F986" i="1"/>
  <c r="G986" i="1"/>
  <c r="C987" i="1"/>
  <c r="D987" i="1"/>
  <c r="F987" i="1"/>
  <c r="G987" i="1"/>
  <c r="C988" i="1"/>
  <c r="D988" i="1"/>
  <c r="F988" i="1"/>
  <c r="G988" i="1"/>
  <c r="C989" i="1"/>
  <c r="D989" i="1"/>
  <c r="F989" i="1"/>
  <c r="G989" i="1"/>
  <c r="C990" i="1"/>
  <c r="D990" i="1"/>
  <c r="F990" i="1"/>
  <c r="G990" i="1"/>
  <c r="C992" i="1"/>
  <c r="D992" i="1"/>
  <c r="F992" i="1"/>
  <c r="G992" i="1"/>
  <c r="C993" i="1"/>
  <c r="D993" i="1"/>
  <c r="F993" i="1"/>
  <c r="G993" i="1"/>
  <c r="C994" i="1"/>
  <c r="D994" i="1"/>
  <c r="F994" i="1"/>
  <c r="G994" i="1"/>
  <c r="C995" i="1"/>
  <c r="D995" i="1"/>
  <c r="F995" i="1"/>
  <c r="G995" i="1"/>
  <c r="C996" i="1"/>
  <c r="D996" i="1"/>
  <c r="F996" i="1"/>
  <c r="G996" i="1"/>
  <c r="C997" i="1"/>
  <c r="D997" i="1"/>
  <c r="F997" i="1"/>
  <c r="G997" i="1"/>
  <c r="C998" i="1"/>
  <c r="D998" i="1"/>
  <c r="F998" i="1"/>
  <c r="G998" i="1"/>
  <c r="C1002" i="1"/>
  <c r="D1002" i="1"/>
  <c r="F1002" i="1"/>
  <c r="G1002" i="1"/>
  <c r="C1003" i="1"/>
  <c r="D1003" i="1"/>
  <c r="F1003" i="1"/>
  <c r="G1003" i="1"/>
  <c r="C1004" i="1"/>
  <c r="D1004" i="1"/>
  <c r="F1004" i="1"/>
  <c r="G1004" i="1"/>
  <c r="C1005" i="1"/>
  <c r="D1005" i="1"/>
  <c r="F1005" i="1"/>
  <c r="G1005" i="1"/>
  <c r="C1006" i="1"/>
  <c r="D1006" i="1"/>
  <c r="F1006" i="1"/>
  <c r="G1006" i="1"/>
  <c r="C1007" i="1"/>
  <c r="D1007" i="1"/>
  <c r="F1007" i="1"/>
  <c r="G1007" i="1"/>
  <c r="C1008" i="1"/>
  <c r="D1008" i="1"/>
  <c r="F1008" i="1"/>
  <c r="G1008" i="1"/>
  <c r="C1009" i="1"/>
  <c r="D1009" i="1"/>
  <c r="F1009" i="1"/>
  <c r="G1009" i="1"/>
  <c r="C1010" i="1"/>
  <c r="D1010" i="1"/>
  <c r="F1010" i="1"/>
  <c r="G1010" i="1"/>
  <c r="C1011" i="1"/>
  <c r="D1011" i="1"/>
  <c r="F1011" i="1"/>
  <c r="G1011" i="1"/>
  <c r="C1012" i="1"/>
  <c r="D1012" i="1"/>
  <c r="F1012" i="1"/>
  <c r="G1012" i="1"/>
  <c r="C1013" i="1"/>
  <c r="D1013" i="1"/>
  <c r="F1013" i="1"/>
  <c r="G1013" i="1"/>
  <c r="C1014" i="1"/>
  <c r="D1014" i="1"/>
  <c r="F1014" i="1"/>
  <c r="G1014" i="1"/>
  <c r="C1015" i="1"/>
  <c r="D1015" i="1"/>
  <c r="F1015" i="1"/>
  <c r="G1015" i="1"/>
  <c r="C1016" i="1"/>
  <c r="D1016" i="1"/>
  <c r="F1016" i="1"/>
  <c r="G1016" i="1"/>
  <c r="C1017" i="1"/>
  <c r="D1017" i="1"/>
  <c r="F1017" i="1"/>
  <c r="G1017" i="1"/>
  <c r="C1018" i="1"/>
  <c r="D1018" i="1"/>
  <c r="F1018" i="1"/>
  <c r="G1018" i="1"/>
  <c r="C1019" i="1"/>
  <c r="D1019" i="1"/>
  <c r="F1019" i="1"/>
  <c r="G1019" i="1"/>
  <c r="C1020" i="1"/>
  <c r="D1020" i="1"/>
  <c r="F1020" i="1"/>
  <c r="G1020" i="1"/>
  <c r="C1022" i="1"/>
  <c r="D1022" i="1"/>
  <c r="F1022" i="1"/>
  <c r="G1022" i="1"/>
  <c r="C1023" i="1"/>
  <c r="D1023" i="1"/>
  <c r="F1023" i="1"/>
  <c r="G1023" i="1"/>
  <c r="C1025" i="1"/>
  <c r="D1025" i="1"/>
  <c r="F1025" i="1"/>
  <c r="G1025" i="1"/>
  <c r="C1029" i="1"/>
  <c r="D1029" i="1"/>
  <c r="F1029" i="1"/>
  <c r="G1029" i="1"/>
  <c r="C1030" i="1"/>
  <c r="D1030" i="1"/>
  <c r="F1030" i="1"/>
  <c r="G1030" i="1"/>
  <c r="C1031" i="1"/>
  <c r="D1031" i="1"/>
  <c r="F1031" i="1"/>
  <c r="G1031" i="1"/>
  <c r="C1032" i="1"/>
  <c r="D1032" i="1"/>
  <c r="F1032" i="1"/>
  <c r="G1032" i="1"/>
  <c r="C1033" i="1"/>
  <c r="D1033" i="1"/>
  <c r="F1033" i="1"/>
  <c r="G1033" i="1"/>
  <c r="C1034" i="1"/>
  <c r="D1034" i="1"/>
  <c r="F1034" i="1"/>
  <c r="G1034" i="1"/>
  <c r="C1035" i="1"/>
  <c r="D1035" i="1"/>
  <c r="F1035" i="1"/>
  <c r="G1035" i="1"/>
  <c r="C1038" i="1"/>
  <c r="D1038" i="1"/>
  <c r="F1038" i="1"/>
  <c r="G1038" i="1"/>
  <c r="C1039" i="1"/>
  <c r="D1039" i="1"/>
  <c r="F1039" i="1"/>
  <c r="G1039" i="1"/>
  <c r="C1040" i="1"/>
  <c r="D1040" i="1"/>
  <c r="F1040" i="1"/>
  <c r="G1040" i="1"/>
  <c r="C1041" i="1"/>
  <c r="D1041" i="1"/>
  <c r="F1041" i="1"/>
  <c r="G1041" i="1"/>
  <c r="C1043" i="1"/>
  <c r="D1043" i="1"/>
  <c r="F1043" i="1"/>
  <c r="G1043" i="1"/>
  <c r="C1046" i="1"/>
  <c r="D1046" i="1"/>
  <c r="F1046" i="1"/>
  <c r="G1046" i="1"/>
  <c r="C1047" i="1"/>
  <c r="D1047" i="1"/>
  <c r="F1047" i="1"/>
  <c r="G1047" i="1"/>
  <c r="C1050" i="1"/>
  <c r="D1050" i="1"/>
  <c r="F1050" i="1"/>
  <c r="G1050" i="1"/>
  <c r="C1051" i="1"/>
  <c r="D1051" i="1"/>
  <c r="F1051" i="1"/>
  <c r="G1051" i="1"/>
  <c r="C1052" i="1"/>
  <c r="D1052" i="1"/>
  <c r="F1052" i="1"/>
  <c r="G1052" i="1"/>
  <c r="C1053" i="1"/>
  <c r="D1053" i="1"/>
  <c r="F1053" i="1"/>
  <c r="G1053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7" i="1"/>
  <c r="A908" i="1"/>
  <c r="A910" i="1"/>
  <c r="A911" i="1"/>
  <c r="A912" i="1"/>
  <c r="A913" i="1"/>
  <c r="A914" i="1"/>
  <c r="A915" i="1"/>
  <c r="A916" i="1"/>
  <c r="A917" i="1"/>
  <c r="A918" i="1"/>
  <c r="A919" i="1"/>
  <c r="A920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40" i="1"/>
  <c r="A941" i="1"/>
  <c r="A942" i="1"/>
  <c r="A943" i="1"/>
  <c r="A944" i="1"/>
  <c r="A945" i="1"/>
  <c r="A946" i="1"/>
  <c r="A947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4" i="1"/>
  <c r="A965" i="1"/>
  <c r="A966" i="1"/>
  <c r="A968" i="1"/>
  <c r="A969" i="1"/>
  <c r="A970" i="1"/>
  <c r="A971" i="1"/>
  <c r="A972" i="1"/>
  <c r="A974" i="1"/>
  <c r="A975" i="1"/>
  <c r="A976" i="1"/>
  <c r="A977" i="1"/>
  <c r="A978" i="1"/>
  <c r="A979" i="1"/>
  <c r="A981" i="1"/>
  <c r="A982" i="1"/>
  <c r="A983" i="1"/>
  <c r="A984" i="1"/>
  <c r="A986" i="1"/>
  <c r="A987" i="1"/>
  <c r="A988" i="1"/>
  <c r="A989" i="1"/>
  <c r="A990" i="1"/>
  <c r="A992" i="1"/>
  <c r="A993" i="1"/>
  <c r="A994" i="1"/>
  <c r="A995" i="1"/>
  <c r="A996" i="1"/>
  <c r="A997" i="1"/>
  <c r="A998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2" i="1"/>
  <c r="A1023" i="1"/>
  <c r="A1025" i="1"/>
  <c r="A1029" i="1"/>
  <c r="A1030" i="1"/>
  <c r="A1031" i="1"/>
  <c r="A1032" i="1"/>
  <c r="A1033" i="1"/>
  <c r="A1034" i="1"/>
  <c r="A1035" i="1"/>
  <c r="A1038" i="1"/>
  <c r="A1039" i="1"/>
  <c r="A1040" i="1"/>
  <c r="A1041" i="1"/>
  <c r="A1043" i="1"/>
  <c r="A1046" i="1"/>
  <c r="A1047" i="1"/>
  <c r="A1050" i="1"/>
  <c r="A1051" i="1"/>
  <c r="A1052" i="1"/>
  <c r="A1053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30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85" i="1"/>
  <c r="T386" i="1"/>
  <c r="T394" i="1"/>
  <c r="T395" i="1"/>
  <c r="T396" i="1"/>
  <c r="T399" i="1"/>
  <c r="T400" i="1"/>
  <c r="T404" i="1"/>
  <c r="T405" i="1"/>
  <c r="T406" i="1"/>
  <c r="T407" i="1"/>
  <c r="T408" i="1"/>
  <c r="T409" i="1"/>
  <c r="T410" i="1"/>
  <c r="T411" i="1"/>
  <c r="T412" i="1"/>
  <c r="T413" i="1"/>
  <c r="T425" i="1"/>
  <c r="T439" i="1"/>
  <c r="T440" i="1"/>
  <c r="T441" i="1"/>
  <c r="T442" i="1"/>
  <c r="T443" i="1"/>
  <c r="T445" i="1"/>
  <c r="T446" i="1"/>
  <c r="T447" i="1"/>
  <c r="T448" i="1"/>
  <c r="T449" i="1"/>
  <c r="T450" i="1"/>
  <c r="T451" i="1"/>
  <c r="T452" i="1"/>
  <c r="T453" i="1"/>
  <c r="T454" i="1"/>
  <c r="T455" i="1"/>
  <c r="T463" i="1"/>
  <c r="T464" i="1"/>
  <c r="T465" i="1"/>
  <c r="T466" i="1"/>
  <c r="T467" i="1"/>
  <c r="T487" i="1"/>
  <c r="T488" i="1"/>
  <c r="T489" i="1"/>
  <c r="T490" i="1"/>
  <c r="T492" i="1"/>
  <c r="T493" i="1"/>
  <c r="T494" i="1"/>
  <c r="T507" i="1"/>
  <c r="T508" i="1"/>
  <c r="T509" i="1"/>
  <c r="T510" i="1"/>
  <c r="T511" i="1"/>
  <c r="T518" i="1"/>
  <c r="T519" i="1"/>
  <c r="T522" i="1"/>
  <c r="T523" i="1"/>
  <c r="T524" i="1"/>
  <c r="T535" i="1"/>
  <c r="T539" i="1"/>
  <c r="T540" i="1"/>
  <c r="T541" i="1"/>
  <c r="T542" i="1"/>
  <c r="T554" i="1"/>
  <c r="T555" i="1"/>
  <c r="T556" i="1"/>
  <c r="T557" i="1"/>
  <c r="T558" i="1"/>
  <c r="T559" i="1"/>
  <c r="T560" i="1"/>
  <c r="T561" i="1"/>
  <c r="T562" i="1"/>
  <c r="T586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44" i="1"/>
  <c r="T645" i="1"/>
  <c r="T646" i="1"/>
  <c r="T647" i="1"/>
  <c r="T648" i="1"/>
  <c r="T649" i="1"/>
  <c r="T650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12" i="1"/>
  <c r="T713" i="1"/>
  <c r="T714" i="1"/>
  <c r="T715" i="1"/>
  <c r="T716" i="1"/>
  <c r="T717" i="1"/>
  <c r="T718" i="1"/>
  <c r="T719" i="1"/>
  <c r="T720" i="1"/>
  <c r="T724" i="1"/>
  <c r="T725" i="1"/>
  <c r="T726" i="1"/>
  <c r="T727" i="1"/>
  <c r="T728" i="1"/>
  <c r="T729" i="1"/>
  <c r="T730" i="1"/>
  <c r="T731" i="1"/>
  <c r="T732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236" i="1"/>
  <c r="C236" i="1"/>
  <c r="D236" i="1"/>
  <c r="F236" i="1"/>
  <c r="G236" i="1"/>
  <c r="N236" i="1"/>
  <c r="R236" i="1" s="1"/>
  <c r="C237" i="1"/>
  <c r="D237" i="1"/>
  <c r="F237" i="1"/>
  <c r="G237" i="1"/>
  <c r="N237" i="1"/>
  <c r="R237" i="1" s="1"/>
  <c r="C238" i="1"/>
  <c r="D238" i="1"/>
  <c r="F238" i="1"/>
  <c r="G238" i="1"/>
  <c r="N238" i="1"/>
  <c r="R238" i="1" s="1"/>
  <c r="C239" i="1"/>
  <c r="D239" i="1"/>
  <c r="F239" i="1"/>
  <c r="G239" i="1"/>
  <c r="N239" i="1"/>
  <c r="R239" i="1" s="1"/>
  <c r="C240" i="1"/>
  <c r="D240" i="1"/>
  <c r="F240" i="1"/>
  <c r="G240" i="1"/>
  <c r="N240" i="1"/>
  <c r="R240" i="1" s="1"/>
  <c r="C241" i="1"/>
  <c r="D241" i="1"/>
  <c r="F241" i="1"/>
  <c r="G241" i="1"/>
  <c r="N241" i="1"/>
  <c r="R241" i="1" s="1"/>
  <c r="C242" i="1"/>
  <c r="D242" i="1"/>
  <c r="F242" i="1"/>
  <c r="G242" i="1"/>
  <c r="N242" i="1"/>
  <c r="R242" i="1" s="1"/>
  <c r="C243" i="1"/>
  <c r="D243" i="1"/>
  <c r="F243" i="1"/>
  <c r="G243" i="1"/>
  <c r="N243" i="1"/>
  <c r="R243" i="1" s="1"/>
  <c r="C244" i="1"/>
  <c r="D244" i="1"/>
  <c r="F244" i="1"/>
  <c r="G244" i="1"/>
  <c r="N244" i="1"/>
  <c r="R244" i="1" s="1"/>
  <c r="C245" i="1"/>
  <c r="D245" i="1"/>
  <c r="F245" i="1"/>
  <c r="G245" i="1"/>
  <c r="N245" i="1"/>
  <c r="R245" i="1" s="1"/>
  <c r="C246" i="1"/>
  <c r="D246" i="1"/>
  <c r="F246" i="1"/>
  <c r="G246" i="1"/>
  <c r="N246" i="1"/>
  <c r="R246" i="1" s="1"/>
  <c r="C247" i="1"/>
  <c r="D247" i="1"/>
  <c r="F247" i="1"/>
  <c r="G247" i="1"/>
  <c r="N247" i="1"/>
  <c r="R247" i="1" s="1"/>
  <c r="C248" i="1"/>
  <c r="D248" i="1"/>
  <c r="F248" i="1"/>
  <c r="G248" i="1"/>
  <c r="N248" i="1"/>
  <c r="R248" i="1" s="1"/>
  <c r="C249" i="1"/>
  <c r="D249" i="1"/>
  <c r="F249" i="1"/>
  <c r="G249" i="1"/>
  <c r="N249" i="1"/>
  <c r="R249" i="1" s="1"/>
  <c r="W249" i="1" s="1"/>
  <c r="C250" i="1"/>
  <c r="D250" i="1"/>
  <c r="F250" i="1"/>
  <c r="G250" i="1"/>
  <c r="N250" i="1"/>
  <c r="R250" i="1" s="1"/>
  <c r="C251" i="1"/>
  <c r="D251" i="1"/>
  <c r="F251" i="1"/>
  <c r="G251" i="1"/>
  <c r="N251" i="1"/>
  <c r="R251" i="1" s="1"/>
  <c r="C252" i="1"/>
  <c r="D252" i="1"/>
  <c r="F252" i="1"/>
  <c r="G252" i="1"/>
  <c r="N252" i="1"/>
  <c r="R252" i="1" s="1"/>
  <c r="C253" i="1"/>
  <c r="D253" i="1"/>
  <c r="F253" i="1"/>
  <c r="G253" i="1"/>
  <c r="N253" i="1"/>
  <c r="R253" i="1" s="1"/>
  <c r="C254" i="1"/>
  <c r="D254" i="1"/>
  <c r="F254" i="1"/>
  <c r="G254" i="1"/>
  <c r="N254" i="1"/>
  <c r="R254" i="1" s="1"/>
  <c r="W254" i="1" s="1"/>
  <c r="C255" i="1"/>
  <c r="D255" i="1"/>
  <c r="F255" i="1"/>
  <c r="G255" i="1"/>
  <c r="N255" i="1"/>
  <c r="R255" i="1" s="1"/>
  <c r="C256" i="1"/>
  <c r="D256" i="1"/>
  <c r="F256" i="1"/>
  <c r="G256" i="1"/>
  <c r="N256" i="1"/>
  <c r="R256" i="1" s="1"/>
  <c r="C257" i="1"/>
  <c r="D257" i="1"/>
  <c r="F257" i="1"/>
  <c r="G257" i="1"/>
  <c r="N257" i="1"/>
  <c r="R257" i="1" s="1"/>
  <c r="C258" i="1"/>
  <c r="D258" i="1"/>
  <c r="F258" i="1"/>
  <c r="G258" i="1"/>
  <c r="N258" i="1"/>
  <c r="R258" i="1" s="1"/>
  <c r="C259" i="1"/>
  <c r="D259" i="1"/>
  <c r="F259" i="1"/>
  <c r="G259" i="1"/>
  <c r="N259" i="1"/>
  <c r="R259" i="1" s="1"/>
  <c r="C260" i="1"/>
  <c r="D260" i="1"/>
  <c r="F260" i="1"/>
  <c r="G260" i="1"/>
  <c r="N260" i="1"/>
  <c r="R260" i="1" s="1"/>
  <c r="C261" i="1"/>
  <c r="D261" i="1"/>
  <c r="F261" i="1"/>
  <c r="G261" i="1"/>
  <c r="N261" i="1"/>
  <c r="R261" i="1" s="1"/>
  <c r="C262" i="1"/>
  <c r="D262" i="1"/>
  <c r="F262" i="1"/>
  <c r="G262" i="1"/>
  <c r="N262" i="1"/>
  <c r="R262" i="1" s="1"/>
  <c r="C263" i="1"/>
  <c r="D263" i="1"/>
  <c r="F263" i="1"/>
  <c r="G263" i="1"/>
  <c r="N263" i="1"/>
  <c r="R263" i="1" s="1"/>
  <c r="C264" i="1"/>
  <c r="D264" i="1"/>
  <c r="F264" i="1"/>
  <c r="G264" i="1"/>
  <c r="N264" i="1"/>
  <c r="R264" i="1" s="1"/>
  <c r="W264" i="1" s="1"/>
  <c r="C265" i="1"/>
  <c r="D265" i="1"/>
  <c r="F265" i="1"/>
  <c r="G265" i="1"/>
  <c r="N265" i="1"/>
  <c r="R265" i="1" s="1"/>
  <c r="C266" i="1"/>
  <c r="D266" i="1"/>
  <c r="F266" i="1"/>
  <c r="G266" i="1"/>
  <c r="N266" i="1"/>
  <c r="R266" i="1" s="1"/>
  <c r="C267" i="1"/>
  <c r="D267" i="1"/>
  <c r="F267" i="1"/>
  <c r="G267" i="1"/>
  <c r="N267" i="1"/>
  <c r="R267" i="1" s="1"/>
  <c r="C268" i="1"/>
  <c r="D268" i="1"/>
  <c r="F268" i="1"/>
  <c r="G268" i="1"/>
  <c r="N268" i="1"/>
  <c r="R268" i="1" s="1"/>
  <c r="W268" i="1" s="1"/>
  <c r="C269" i="1"/>
  <c r="D269" i="1"/>
  <c r="F269" i="1"/>
  <c r="G269" i="1"/>
  <c r="N269" i="1"/>
  <c r="R269" i="1" s="1"/>
  <c r="C270" i="1"/>
  <c r="D270" i="1"/>
  <c r="F270" i="1"/>
  <c r="G270" i="1"/>
  <c r="N270" i="1"/>
  <c r="R270" i="1" s="1"/>
  <c r="C271" i="1"/>
  <c r="D271" i="1"/>
  <c r="F271" i="1"/>
  <c r="G271" i="1"/>
  <c r="N271" i="1"/>
  <c r="R271" i="1" s="1"/>
  <c r="C272" i="1"/>
  <c r="D272" i="1"/>
  <c r="F272" i="1"/>
  <c r="G272" i="1"/>
  <c r="N272" i="1"/>
  <c r="R272" i="1" s="1"/>
  <c r="C273" i="1"/>
  <c r="D273" i="1"/>
  <c r="F273" i="1"/>
  <c r="G273" i="1"/>
  <c r="N273" i="1"/>
  <c r="R273" i="1" s="1"/>
  <c r="C274" i="1"/>
  <c r="D274" i="1"/>
  <c r="F274" i="1"/>
  <c r="G274" i="1"/>
  <c r="N274" i="1"/>
  <c r="R274" i="1" s="1"/>
  <c r="C275" i="1"/>
  <c r="D275" i="1"/>
  <c r="F275" i="1"/>
  <c r="G275" i="1"/>
  <c r="N275" i="1"/>
  <c r="R275" i="1" s="1"/>
  <c r="C276" i="1"/>
  <c r="D276" i="1"/>
  <c r="F276" i="1"/>
  <c r="G276" i="1"/>
  <c r="N276" i="1"/>
  <c r="R276" i="1" s="1"/>
  <c r="W276" i="1" s="1"/>
  <c r="C277" i="1"/>
  <c r="D277" i="1"/>
  <c r="F277" i="1"/>
  <c r="G277" i="1"/>
  <c r="N277" i="1"/>
  <c r="R277" i="1" s="1"/>
  <c r="C278" i="1"/>
  <c r="D278" i="1"/>
  <c r="F278" i="1"/>
  <c r="G278" i="1"/>
  <c r="N278" i="1"/>
  <c r="R278" i="1" s="1"/>
  <c r="C279" i="1"/>
  <c r="D279" i="1"/>
  <c r="F279" i="1"/>
  <c r="G279" i="1"/>
  <c r="N279" i="1"/>
  <c r="R279" i="1" s="1"/>
  <c r="C280" i="1"/>
  <c r="D280" i="1"/>
  <c r="F280" i="1"/>
  <c r="G280" i="1"/>
  <c r="N280" i="1"/>
  <c r="R280" i="1" s="1"/>
  <c r="C281" i="1"/>
  <c r="D281" i="1"/>
  <c r="F281" i="1"/>
  <c r="G281" i="1"/>
  <c r="N281" i="1"/>
  <c r="R281" i="1" s="1"/>
  <c r="C282" i="1"/>
  <c r="D282" i="1"/>
  <c r="F282" i="1"/>
  <c r="G282" i="1"/>
  <c r="N282" i="1"/>
  <c r="R282" i="1" s="1"/>
  <c r="C283" i="1"/>
  <c r="D283" i="1"/>
  <c r="F283" i="1"/>
  <c r="G283" i="1"/>
  <c r="N283" i="1"/>
  <c r="R283" i="1" s="1"/>
  <c r="C284" i="1"/>
  <c r="D284" i="1"/>
  <c r="F284" i="1"/>
  <c r="G284" i="1"/>
  <c r="N284" i="1"/>
  <c r="R284" i="1" s="1"/>
  <c r="C285" i="1"/>
  <c r="D285" i="1"/>
  <c r="F285" i="1"/>
  <c r="G285" i="1"/>
  <c r="N285" i="1"/>
  <c r="R285" i="1" s="1"/>
  <c r="C286" i="1"/>
  <c r="D286" i="1"/>
  <c r="F286" i="1"/>
  <c r="G286" i="1"/>
  <c r="N286" i="1"/>
  <c r="R286" i="1" s="1"/>
  <c r="C287" i="1"/>
  <c r="D287" i="1"/>
  <c r="F287" i="1"/>
  <c r="G287" i="1"/>
  <c r="N287" i="1"/>
  <c r="R287" i="1" s="1"/>
  <c r="C288" i="1"/>
  <c r="D288" i="1"/>
  <c r="F288" i="1"/>
  <c r="G288" i="1"/>
  <c r="N288" i="1"/>
  <c r="R288" i="1" s="1"/>
  <c r="C289" i="1"/>
  <c r="D289" i="1"/>
  <c r="F289" i="1"/>
  <c r="G289" i="1"/>
  <c r="N289" i="1"/>
  <c r="R289" i="1" s="1"/>
  <c r="C290" i="1"/>
  <c r="D290" i="1"/>
  <c r="F290" i="1"/>
  <c r="G290" i="1"/>
  <c r="N290" i="1"/>
  <c r="R290" i="1" s="1"/>
  <c r="C291" i="1"/>
  <c r="D291" i="1"/>
  <c r="F291" i="1"/>
  <c r="G291" i="1"/>
  <c r="N291" i="1"/>
  <c r="R291" i="1" s="1"/>
  <c r="C292" i="1"/>
  <c r="D292" i="1"/>
  <c r="F292" i="1"/>
  <c r="G292" i="1"/>
  <c r="N292" i="1"/>
  <c r="R292" i="1" s="1"/>
  <c r="C293" i="1"/>
  <c r="D293" i="1"/>
  <c r="F293" i="1"/>
  <c r="G293" i="1"/>
  <c r="N293" i="1"/>
  <c r="R293" i="1" s="1"/>
  <c r="C294" i="1"/>
  <c r="D294" i="1"/>
  <c r="F294" i="1"/>
  <c r="G294" i="1"/>
  <c r="N294" i="1"/>
  <c r="R294" i="1" s="1"/>
  <c r="C295" i="1"/>
  <c r="D295" i="1"/>
  <c r="F295" i="1"/>
  <c r="G295" i="1"/>
  <c r="N295" i="1"/>
  <c r="R295" i="1" s="1"/>
  <c r="C296" i="1"/>
  <c r="D296" i="1"/>
  <c r="F296" i="1"/>
  <c r="G296" i="1"/>
  <c r="N296" i="1"/>
  <c r="R296" i="1" s="1"/>
  <c r="C297" i="1"/>
  <c r="D297" i="1"/>
  <c r="F297" i="1"/>
  <c r="G297" i="1"/>
  <c r="N297" i="1"/>
  <c r="R297" i="1" s="1"/>
  <c r="C298" i="1"/>
  <c r="D298" i="1"/>
  <c r="F298" i="1"/>
  <c r="G298" i="1"/>
  <c r="N298" i="1"/>
  <c r="R298" i="1" s="1"/>
  <c r="C299" i="1"/>
  <c r="D299" i="1"/>
  <c r="F299" i="1"/>
  <c r="G299" i="1"/>
  <c r="N299" i="1"/>
  <c r="R299" i="1" s="1"/>
  <c r="C300" i="1"/>
  <c r="D300" i="1"/>
  <c r="F300" i="1"/>
  <c r="G300" i="1"/>
  <c r="N300" i="1"/>
  <c r="R300" i="1" s="1"/>
  <c r="C301" i="1"/>
  <c r="D301" i="1"/>
  <c r="F301" i="1"/>
  <c r="G301" i="1"/>
  <c r="N301" i="1"/>
  <c r="R301" i="1" s="1"/>
  <c r="C302" i="1"/>
  <c r="D302" i="1"/>
  <c r="F302" i="1"/>
  <c r="G302" i="1"/>
  <c r="N302" i="1"/>
  <c r="R302" i="1" s="1"/>
  <c r="C303" i="1"/>
  <c r="D303" i="1"/>
  <c r="F303" i="1"/>
  <c r="G303" i="1"/>
  <c r="N303" i="1"/>
  <c r="R303" i="1" s="1"/>
  <c r="C304" i="1"/>
  <c r="D304" i="1"/>
  <c r="F304" i="1"/>
  <c r="G304" i="1"/>
  <c r="N304" i="1"/>
  <c r="R304" i="1" s="1"/>
  <c r="C305" i="1"/>
  <c r="D305" i="1"/>
  <c r="F305" i="1"/>
  <c r="G305" i="1"/>
  <c r="N305" i="1"/>
  <c r="R305" i="1" s="1"/>
  <c r="C306" i="1"/>
  <c r="D306" i="1"/>
  <c r="F306" i="1"/>
  <c r="G306" i="1"/>
  <c r="N306" i="1"/>
  <c r="R306" i="1" s="1"/>
  <c r="C307" i="1"/>
  <c r="D307" i="1"/>
  <c r="F307" i="1"/>
  <c r="G307" i="1"/>
  <c r="N307" i="1"/>
  <c r="R307" i="1" s="1"/>
  <c r="C308" i="1"/>
  <c r="D308" i="1"/>
  <c r="F308" i="1"/>
  <c r="G308" i="1"/>
  <c r="N308" i="1"/>
  <c r="R308" i="1" s="1"/>
  <c r="C310" i="1"/>
  <c r="D310" i="1"/>
  <c r="F310" i="1"/>
  <c r="G310" i="1"/>
  <c r="N310" i="1"/>
  <c r="R310" i="1" s="1"/>
  <c r="C311" i="1"/>
  <c r="D311" i="1"/>
  <c r="F311" i="1"/>
  <c r="G311" i="1"/>
  <c r="N311" i="1"/>
  <c r="R311" i="1" s="1"/>
  <c r="C312" i="1"/>
  <c r="D312" i="1"/>
  <c r="F312" i="1"/>
  <c r="G312" i="1"/>
  <c r="N312" i="1"/>
  <c r="R312" i="1" s="1"/>
  <c r="W312" i="1" s="1"/>
  <c r="C313" i="1"/>
  <c r="D313" i="1"/>
  <c r="F313" i="1"/>
  <c r="G313" i="1"/>
  <c r="N313" i="1"/>
  <c r="R313" i="1" s="1"/>
  <c r="C314" i="1"/>
  <c r="D314" i="1"/>
  <c r="F314" i="1"/>
  <c r="G314" i="1"/>
  <c r="N314" i="1"/>
  <c r="R314" i="1" s="1"/>
  <c r="C315" i="1"/>
  <c r="D315" i="1"/>
  <c r="F315" i="1"/>
  <c r="G315" i="1"/>
  <c r="N315" i="1"/>
  <c r="R315" i="1" s="1"/>
  <c r="C316" i="1"/>
  <c r="D316" i="1"/>
  <c r="F316" i="1"/>
  <c r="G316" i="1"/>
  <c r="N316" i="1"/>
  <c r="R316" i="1" s="1"/>
  <c r="C317" i="1"/>
  <c r="D317" i="1"/>
  <c r="F317" i="1"/>
  <c r="G317" i="1"/>
  <c r="N317" i="1"/>
  <c r="R317" i="1" s="1"/>
  <c r="C318" i="1"/>
  <c r="D318" i="1"/>
  <c r="F318" i="1"/>
  <c r="G318" i="1"/>
  <c r="N318" i="1"/>
  <c r="R318" i="1" s="1"/>
  <c r="C319" i="1"/>
  <c r="D319" i="1"/>
  <c r="F319" i="1"/>
  <c r="G319" i="1"/>
  <c r="N319" i="1"/>
  <c r="R319" i="1" s="1"/>
  <c r="C320" i="1"/>
  <c r="D320" i="1"/>
  <c r="F320" i="1"/>
  <c r="G320" i="1"/>
  <c r="N320" i="1"/>
  <c r="R320" i="1" s="1"/>
  <c r="C321" i="1"/>
  <c r="D321" i="1"/>
  <c r="F321" i="1"/>
  <c r="G321" i="1"/>
  <c r="N321" i="1"/>
  <c r="R321" i="1" s="1"/>
  <c r="C322" i="1"/>
  <c r="D322" i="1"/>
  <c r="F322" i="1"/>
  <c r="G322" i="1"/>
  <c r="N322" i="1"/>
  <c r="R322" i="1" s="1"/>
  <c r="C323" i="1"/>
  <c r="D323" i="1"/>
  <c r="F323" i="1"/>
  <c r="G323" i="1"/>
  <c r="N323" i="1"/>
  <c r="R323" i="1" s="1"/>
  <c r="C324" i="1"/>
  <c r="D324" i="1"/>
  <c r="F324" i="1"/>
  <c r="G324" i="1"/>
  <c r="N324" i="1"/>
  <c r="R324" i="1" s="1"/>
  <c r="C325" i="1"/>
  <c r="D325" i="1"/>
  <c r="F325" i="1"/>
  <c r="G325" i="1"/>
  <c r="N325" i="1"/>
  <c r="R325" i="1" s="1"/>
  <c r="C326" i="1"/>
  <c r="D326" i="1"/>
  <c r="F326" i="1"/>
  <c r="G326" i="1"/>
  <c r="N326" i="1"/>
  <c r="R326" i="1" s="1"/>
  <c r="C327" i="1"/>
  <c r="D327" i="1"/>
  <c r="F327" i="1"/>
  <c r="G327" i="1"/>
  <c r="N327" i="1"/>
  <c r="R327" i="1" s="1"/>
  <c r="C328" i="1"/>
  <c r="D328" i="1"/>
  <c r="F328" i="1"/>
  <c r="G328" i="1"/>
  <c r="N328" i="1"/>
  <c r="R328" i="1" s="1"/>
  <c r="C329" i="1"/>
  <c r="D329" i="1"/>
  <c r="F329" i="1"/>
  <c r="G329" i="1"/>
  <c r="N329" i="1"/>
  <c r="R329" i="1" s="1"/>
  <c r="C330" i="1"/>
  <c r="D330" i="1"/>
  <c r="F330" i="1"/>
  <c r="G330" i="1"/>
  <c r="N330" i="1"/>
  <c r="R330" i="1" s="1"/>
  <c r="C331" i="1"/>
  <c r="D331" i="1"/>
  <c r="F331" i="1"/>
  <c r="G331" i="1"/>
  <c r="N331" i="1"/>
  <c r="R331" i="1" s="1"/>
  <c r="C332" i="1"/>
  <c r="D332" i="1"/>
  <c r="F332" i="1"/>
  <c r="G332" i="1"/>
  <c r="N332" i="1"/>
  <c r="R332" i="1" s="1"/>
  <c r="C333" i="1"/>
  <c r="D333" i="1"/>
  <c r="F333" i="1"/>
  <c r="G333" i="1"/>
  <c r="N333" i="1"/>
  <c r="R333" i="1" s="1"/>
  <c r="C334" i="1"/>
  <c r="D334" i="1"/>
  <c r="F334" i="1"/>
  <c r="G334" i="1"/>
  <c r="N334" i="1"/>
  <c r="R334" i="1" s="1"/>
  <c r="C335" i="1"/>
  <c r="D335" i="1"/>
  <c r="F335" i="1"/>
  <c r="G335" i="1"/>
  <c r="N335" i="1"/>
  <c r="R335" i="1" s="1"/>
  <c r="C336" i="1"/>
  <c r="D336" i="1"/>
  <c r="F336" i="1"/>
  <c r="G336" i="1"/>
  <c r="N336" i="1"/>
  <c r="R336" i="1" s="1"/>
  <c r="C337" i="1"/>
  <c r="D337" i="1"/>
  <c r="F337" i="1"/>
  <c r="G337" i="1"/>
  <c r="N337" i="1"/>
  <c r="R337" i="1" s="1"/>
  <c r="C338" i="1"/>
  <c r="D338" i="1"/>
  <c r="F338" i="1"/>
  <c r="G338" i="1"/>
  <c r="N338" i="1"/>
  <c r="R338" i="1" s="1"/>
  <c r="C339" i="1"/>
  <c r="D339" i="1"/>
  <c r="F339" i="1"/>
  <c r="G339" i="1"/>
  <c r="N339" i="1"/>
  <c r="R339" i="1" s="1"/>
  <c r="C340" i="1"/>
  <c r="D340" i="1"/>
  <c r="F340" i="1"/>
  <c r="G340" i="1"/>
  <c r="N340" i="1"/>
  <c r="R340" i="1" s="1"/>
  <c r="C341" i="1"/>
  <c r="D341" i="1"/>
  <c r="F341" i="1"/>
  <c r="G341" i="1"/>
  <c r="N341" i="1"/>
  <c r="R341" i="1" s="1"/>
  <c r="C342" i="1"/>
  <c r="D342" i="1"/>
  <c r="F342" i="1"/>
  <c r="G342" i="1"/>
  <c r="N342" i="1"/>
  <c r="R342" i="1" s="1"/>
  <c r="C343" i="1"/>
  <c r="D343" i="1"/>
  <c r="F343" i="1"/>
  <c r="G343" i="1"/>
  <c r="N343" i="1"/>
  <c r="R343" i="1" s="1"/>
  <c r="C344" i="1"/>
  <c r="D344" i="1"/>
  <c r="F344" i="1"/>
  <c r="G344" i="1"/>
  <c r="N344" i="1"/>
  <c r="R344" i="1" s="1"/>
  <c r="C345" i="1"/>
  <c r="D345" i="1"/>
  <c r="F345" i="1"/>
  <c r="G345" i="1"/>
  <c r="N345" i="1"/>
  <c r="R345" i="1" s="1"/>
  <c r="C346" i="1"/>
  <c r="D346" i="1"/>
  <c r="F346" i="1"/>
  <c r="G346" i="1"/>
  <c r="N346" i="1"/>
  <c r="R346" i="1" s="1"/>
  <c r="C347" i="1"/>
  <c r="D347" i="1"/>
  <c r="F347" i="1"/>
  <c r="G347" i="1"/>
  <c r="N347" i="1"/>
  <c r="R347" i="1" s="1"/>
  <c r="W347" i="1" s="1"/>
  <c r="C348" i="1"/>
  <c r="D348" i="1"/>
  <c r="F348" i="1"/>
  <c r="G348" i="1"/>
  <c r="N348" i="1"/>
  <c r="R348" i="1" s="1"/>
  <c r="C349" i="1"/>
  <c r="D349" i="1"/>
  <c r="F349" i="1"/>
  <c r="G349" i="1"/>
  <c r="N349" i="1"/>
  <c r="R349" i="1" s="1"/>
  <c r="C350" i="1"/>
  <c r="D350" i="1"/>
  <c r="F350" i="1"/>
  <c r="G350" i="1"/>
  <c r="N350" i="1"/>
  <c r="R350" i="1" s="1"/>
  <c r="C351" i="1"/>
  <c r="D351" i="1"/>
  <c r="F351" i="1"/>
  <c r="G351" i="1"/>
  <c r="N351" i="1"/>
  <c r="R351" i="1" s="1"/>
  <c r="W351" i="1" s="1"/>
  <c r="C352" i="1"/>
  <c r="D352" i="1"/>
  <c r="F352" i="1"/>
  <c r="G352" i="1"/>
  <c r="N352" i="1"/>
  <c r="R352" i="1" s="1"/>
  <c r="C353" i="1"/>
  <c r="D353" i="1"/>
  <c r="F353" i="1"/>
  <c r="G353" i="1"/>
  <c r="N353" i="1"/>
  <c r="R353" i="1" s="1"/>
  <c r="C354" i="1"/>
  <c r="D354" i="1"/>
  <c r="F354" i="1"/>
  <c r="G354" i="1"/>
  <c r="N354" i="1"/>
  <c r="R354" i="1" s="1"/>
  <c r="C355" i="1"/>
  <c r="D355" i="1"/>
  <c r="F355" i="1"/>
  <c r="G355" i="1"/>
  <c r="N355" i="1"/>
  <c r="R355" i="1" s="1"/>
  <c r="C356" i="1"/>
  <c r="D356" i="1"/>
  <c r="F356" i="1"/>
  <c r="G356" i="1"/>
  <c r="I356" i="1"/>
  <c r="J356" i="1"/>
  <c r="K356" i="1"/>
  <c r="L356" i="1"/>
  <c r="N356" i="1"/>
  <c r="R356" i="1" s="1"/>
  <c r="C358" i="1"/>
  <c r="D358" i="1"/>
  <c r="F358" i="1"/>
  <c r="G358" i="1"/>
  <c r="I358" i="1"/>
  <c r="J358" i="1"/>
  <c r="K358" i="1"/>
  <c r="L358" i="1"/>
  <c r="N358" i="1"/>
  <c r="R358" i="1" s="1"/>
  <c r="C360" i="1"/>
  <c r="D360" i="1"/>
  <c r="F360" i="1"/>
  <c r="G360" i="1"/>
  <c r="N360" i="1"/>
  <c r="R360" i="1" s="1"/>
  <c r="C361" i="1"/>
  <c r="D361" i="1"/>
  <c r="F361" i="1"/>
  <c r="G361" i="1"/>
  <c r="N361" i="1"/>
  <c r="R361" i="1" s="1"/>
  <c r="C362" i="1"/>
  <c r="D362" i="1"/>
  <c r="F362" i="1"/>
  <c r="G362" i="1"/>
  <c r="N362" i="1"/>
  <c r="R362" i="1" s="1"/>
  <c r="C363" i="1"/>
  <c r="D363" i="1"/>
  <c r="F363" i="1"/>
  <c r="G363" i="1"/>
  <c r="N363" i="1"/>
  <c r="R363" i="1" s="1"/>
  <c r="C364" i="1"/>
  <c r="D364" i="1"/>
  <c r="F364" i="1"/>
  <c r="G364" i="1"/>
  <c r="N364" i="1"/>
  <c r="R364" i="1" s="1"/>
  <c r="C365" i="1"/>
  <c r="D365" i="1"/>
  <c r="F365" i="1"/>
  <c r="G365" i="1"/>
  <c r="N365" i="1"/>
  <c r="R365" i="1" s="1"/>
  <c r="C366" i="1"/>
  <c r="D366" i="1"/>
  <c r="F366" i="1"/>
  <c r="G366" i="1"/>
  <c r="N366" i="1"/>
  <c r="R366" i="1" s="1"/>
  <c r="C367" i="1"/>
  <c r="D367" i="1"/>
  <c r="F367" i="1"/>
  <c r="G367" i="1"/>
  <c r="N367" i="1"/>
  <c r="R367" i="1" s="1"/>
  <c r="C368" i="1"/>
  <c r="D368" i="1"/>
  <c r="F368" i="1"/>
  <c r="G368" i="1"/>
  <c r="N368" i="1"/>
  <c r="R368" i="1" s="1"/>
  <c r="C369" i="1"/>
  <c r="D369" i="1"/>
  <c r="F369" i="1"/>
  <c r="G369" i="1"/>
  <c r="N369" i="1"/>
  <c r="R369" i="1" s="1"/>
  <c r="C370" i="1"/>
  <c r="D370" i="1"/>
  <c r="F370" i="1"/>
  <c r="G370" i="1"/>
  <c r="N370" i="1"/>
  <c r="R370" i="1" s="1"/>
  <c r="C371" i="1"/>
  <c r="D371" i="1"/>
  <c r="F371" i="1"/>
  <c r="G371" i="1"/>
  <c r="N371" i="1"/>
  <c r="R371" i="1" s="1"/>
  <c r="C372" i="1"/>
  <c r="D372" i="1"/>
  <c r="F372" i="1"/>
  <c r="G372" i="1"/>
  <c r="N372" i="1"/>
  <c r="R372" i="1" s="1"/>
  <c r="C373" i="1"/>
  <c r="D373" i="1"/>
  <c r="F373" i="1"/>
  <c r="G373" i="1"/>
  <c r="N373" i="1"/>
  <c r="R373" i="1" s="1"/>
  <c r="C374" i="1"/>
  <c r="D374" i="1"/>
  <c r="F374" i="1"/>
  <c r="G374" i="1"/>
  <c r="N374" i="1"/>
  <c r="R374" i="1" s="1"/>
  <c r="C376" i="1"/>
  <c r="D376" i="1"/>
  <c r="F376" i="1"/>
  <c r="G376" i="1"/>
  <c r="N376" i="1"/>
  <c r="R376" i="1" s="1"/>
  <c r="C377" i="1"/>
  <c r="D377" i="1"/>
  <c r="F377" i="1"/>
  <c r="G377" i="1"/>
  <c r="N377" i="1"/>
  <c r="R377" i="1" s="1"/>
  <c r="W377" i="1" s="1"/>
  <c r="C380" i="1"/>
  <c r="D380" i="1"/>
  <c r="F380" i="1"/>
  <c r="G380" i="1"/>
  <c r="N380" i="1"/>
  <c r="R380" i="1" s="1"/>
  <c r="C381" i="1"/>
  <c r="D381" i="1"/>
  <c r="F381" i="1"/>
  <c r="G381" i="1"/>
  <c r="N381" i="1"/>
  <c r="R381" i="1" s="1"/>
  <c r="C382" i="1"/>
  <c r="D382" i="1"/>
  <c r="F382" i="1"/>
  <c r="G382" i="1"/>
  <c r="N382" i="1"/>
  <c r="R382" i="1" s="1"/>
  <c r="C383" i="1"/>
  <c r="D383" i="1"/>
  <c r="F383" i="1"/>
  <c r="G383" i="1"/>
  <c r="N383" i="1"/>
  <c r="R383" i="1" s="1"/>
  <c r="W383" i="1" s="1"/>
  <c r="C384" i="1"/>
  <c r="D384" i="1"/>
  <c r="F384" i="1"/>
  <c r="G384" i="1"/>
  <c r="N384" i="1"/>
  <c r="R384" i="1" s="1"/>
  <c r="C385" i="1"/>
  <c r="D385" i="1"/>
  <c r="F385" i="1"/>
  <c r="G385" i="1"/>
  <c r="N385" i="1"/>
  <c r="R385" i="1" s="1"/>
  <c r="C386" i="1"/>
  <c r="D386" i="1"/>
  <c r="F386" i="1"/>
  <c r="G386" i="1"/>
  <c r="N386" i="1"/>
  <c r="R386" i="1" s="1"/>
  <c r="C388" i="1"/>
  <c r="D388" i="1"/>
  <c r="F388" i="1"/>
  <c r="G388" i="1"/>
  <c r="N388" i="1"/>
  <c r="R388" i="1" s="1"/>
  <c r="C391" i="1"/>
  <c r="D391" i="1"/>
  <c r="F391" i="1"/>
  <c r="G391" i="1"/>
  <c r="N391" i="1"/>
  <c r="R391" i="1" s="1"/>
  <c r="C392" i="1"/>
  <c r="D392" i="1"/>
  <c r="F392" i="1"/>
  <c r="G392" i="1"/>
  <c r="N392" i="1"/>
  <c r="C393" i="1"/>
  <c r="D393" i="1"/>
  <c r="F393" i="1"/>
  <c r="G393" i="1"/>
  <c r="N393" i="1"/>
  <c r="R393" i="1" s="1"/>
  <c r="C394" i="1"/>
  <c r="D394" i="1"/>
  <c r="F394" i="1"/>
  <c r="G394" i="1"/>
  <c r="N394" i="1"/>
  <c r="R394" i="1" s="1"/>
  <c r="C395" i="1"/>
  <c r="D395" i="1"/>
  <c r="F395" i="1"/>
  <c r="G395" i="1"/>
  <c r="N395" i="1"/>
  <c r="R395" i="1" s="1"/>
  <c r="C396" i="1"/>
  <c r="D396" i="1"/>
  <c r="F396" i="1"/>
  <c r="G396" i="1"/>
  <c r="N396" i="1"/>
  <c r="R396" i="1" s="1"/>
  <c r="C398" i="1"/>
  <c r="D398" i="1"/>
  <c r="F398" i="1"/>
  <c r="G398" i="1"/>
  <c r="N398" i="1"/>
  <c r="R398" i="1" s="1"/>
  <c r="C399" i="1"/>
  <c r="D399" i="1"/>
  <c r="F399" i="1"/>
  <c r="G399" i="1"/>
  <c r="N399" i="1"/>
  <c r="R399" i="1" s="1"/>
  <c r="W399" i="1" s="1"/>
  <c r="C400" i="1"/>
  <c r="D400" i="1"/>
  <c r="F400" i="1"/>
  <c r="G400" i="1"/>
  <c r="N400" i="1"/>
  <c r="R400" i="1" s="1"/>
  <c r="C401" i="1"/>
  <c r="D401" i="1"/>
  <c r="F401" i="1"/>
  <c r="G401" i="1"/>
  <c r="N401" i="1"/>
  <c r="R401" i="1" s="1"/>
  <c r="C402" i="1"/>
  <c r="D402" i="1"/>
  <c r="F402" i="1"/>
  <c r="G402" i="1"/>
  <c r="N402" i="1"/>
  <c r="R402" i="1" s="1"/>
  <c r="C403" i="1"/>
  <c r="D403" i="1"/>
  <c r="F403" i="1"/>
  <c r="G403" i="1"/>
  <c r="N403" i="1"/>
  <c r="R403" i="1" s="1"/>
  <c r="C404" i="1"/>
  <c r="D404" i="1"/>
  <c r="F404" i="1"/>
  <c r="G404" i="1"/>
  <c r="N404" i="1"/>
  <c r="R404" i="1" s="1"/>
  <c r="C405" i="1"/>
  <c r="D405" i="1"/>
  <c r="F405" i="1"/>
  <c r="G405" i="1"/>
  <c r="N405" i="1"/>
  <c r="R405" i="1" s="1"/>
  <c r="W405" i="1" s="1"/>
  <c r="C406" i="1"/>
  <c r="D406" i="1"/>
  <c r="F406" i="1"/>
  <c r="G406" i="1"/>
  <c r="N406" i="1"/>
  <c r="R406" i="1" s="1"/>
  <c r="C407" i="1"/>
  <c r="D407" i="1"/>
  <c r="F407" i="1"/>
  <c r="G407" i="1"/>
  <c r="N407" i="1"/>
  <c r="R407" i="1" s="1"/>
  <c r="C408" i="1"/>
  <c r="D408" i="1"/>
  <c r="F408" i="1"/>
  <c r="G408" i="1"/>
  <c r="N408" i="1"/>
  <c r="R408" i="1" s="1"/>
  <c r="C409" i="1"/>
  <c r="D409" i="1"/>
  <c r="F409" i="1"/>
  <c r="G409" i="1"/>
  <c r="N409" i="1"/>
  <c r="R409" i="1" s="1"/>
  <c r="C410" i="1"/>
  <c r="D410" i="1"/>
  <c r="F410" i="1"/>
  <c r="G410" i="1"/>
  <c r="N410" i="1"/>
  <c r="R410" i="1" s="1"/>
  <c r="W410" i="1" s="1"/>
  <c r="C411" i="1"/>
  <c r="D411" i="1"/>
  <c r="F411" i="1"/>
  <c r="G411" i="1"/>
  <c r="N411" i="1"/>
  <c r="R411" i="1" s="1"/>
  <c r="C412" i="1"/>
  <c r="D412" i="1"/>
  <c r="F412" i="1"/>
  <c r="G412" i="1"/>
  <c r="N412" i="1"/>
  <c r="R412" i="1" s="1"/>
  <c r="C413" i="1"/>
  <c r="D413" i="1"/>
  <c r="F413" i="1"/>
  <c r="G413" i="1"/>
  <c r="N413" i="1"/>
  <c r="R413" i="1" s="1"/>
  <c r="W413" i="1" s="1"/>
  <c r="C415" i="1"/>
  <c r="D415" i="1"/>
  <c r="F415" i="1"/>
  <c r="G415" i="1"/>
  <c r="N415" i="1"/>
  <c r="R415" i="1" s="1"/>
  <c r="C417" i="1"/>
  <c r="D417" i="1"/>
  <c r="F417" i="1"/>
  <c r="G417" i="1"/>
  <c r="N417" i="1"/>
  <c r="R417" i="1" s="1"/>
  <c r="C418" i="1"/>
  <c r="D418" i="1"/>
  <c r="F418" i="1"/>
  <c r="G418" i="1"/>
  <c r="N418" i="1"/>
  <c r="R418" i="1" s="1"/>
  <c r="C419" i="1"/>
  <c r="D419" i="1"/>
  <c r="F419" i="1"/>
  <c r="G419" i="1"/>
  <c r="N419" i="1"/>
  <c r="R419" i="1" s="1"/>
  <c r="C420" i="1"/>
  <c r="D420" i="1"/>
  <c r="F420" i="1"/>
  <c r="G420" i="1"/>
  <c r="N420" i="1"/>
  <c r="R420" i="1" s="1"/>
  <c r="C421" i="1"/>
  <c r="D421" i="1"/>
  <c r="F421" i="1"/>
  <c r="G421" i="1"/>
  <c r="N421" i="1"/>
  <c r="R421" i="1" s="1"/>
  <c r="C422" i="1"/>
  <c r="D422" i="1"/>
  <c r="F422" i="1"/>
  <c r="G422" i="1"/>
  <c r="N422" i="1"/>
  <c r="R422" i="1" s="1"/>
  <c r="C423" i="1"/>
  <c r="D423" i="1"/>
  <c r="F423" i="1"/>
  <c r="G423" i="1"/>
  <c r="N423" i="1"/>
  <c r="R423" i="1" s="1"/>
  <c r="C424" i="1"/>
  <c r="D424" i="1"/>
  <c r="F424" i="1"/>
  <c r="G424" i="1"/>
  <c r="N424" i="1"/>
  <c r="R424" i="1" s="1"/>
  <c r="C425" i="1"/>
  <c r="D425" i="1"/>
  <c r="F425" i="1"/>
  <c r="G425" i="1"/>
  <c r="N425" i="1"/>
  <c r="R425" i="1" s="1"/>
  <c r="C426" i="1"/>
  <c r="D426" i="1"/>
  <c r="F426" i="1"/>
  <c r="G426" i="1"/>
  <c r="N426" i="1"/>
  <c r="R426" i="1" s="1"/>
  <c r="W426" i="1" s="1"/>
  <c r="C427" i="1"/>
  <c r="D427" i="1"/>
  <c r="F427" i="1"/>
  <c r="G427" i="1"/>
  <c r="N427" i="1"/>
  <c r="R427" i="1" s="1"/>
  <c r="C430" i="1"/>
  <c r="D430" i="1"/>
  <c r="F430" i="1"/>
  <c r="G430" i="1"/>
  <c r="N430" i="1"/>
  <c r="R430" i="1" s="1"/>
  <c r="C431" i="1"/>
  <c r="D431" i="1"/>
  <c r="F431" i="1"/>
  <c r="G431" i="1"/>
  <c r="N431" i="1"/>
  <c r="R431" i="1" s="1"/>
  <c r="C432" i="1"/>
  <c r="D432" i="1"/>
  <c r="F432" i="1"/>
  <c r="G432" i="1"/>
  <c r="N432" i="1"/>
  <c r="R432" i="1" s="1"/>
  <c r="C433" i="1"/>
  <c r="D433" i="1"/>
  <c r="F433" i="1"/>
  <c r="G433" i="1"/>
  <c r="N433" i="1"/>
  <c r="R433" i="1" s="1"/>
  <c r="C434" i="1"/>
  <c r="D434" i="1"/>
  <c r="F434" i="1"/>
  <c r="G434" i="1"/>
  <c r="N434" i="1"/>
  <c r="R434" i="1" s="1"/>
  <c r="C435" i="1"/>
  <c r="D435" i="1"/>
  <c r="F435" i="1"/>
  <c r="G435" i="1"/>
  <c r="N435" i="1"/>
  <c r="R435" i="1" s="1"/>
  <c r="C436" i="1"/>
  <c r="D436" i="1"/>
  <c r="F436" i="1"/>
  <c r="G436" i="1"/>
  <c r="N436" i="1"/>
  <c r="R436" i="1" s="1"/>
  <c r="C437" i="1"/>
  <c r="D437" i="1"/>
  <c r="F437" i="1"/>
  <c r="G437" i="1"/>
  <c r="N437" i="1"/>
  <c r="R437" i="1" s="1"/>
  <c r="W437" i="1" s="1"/>
  <c r="C438" i="1"/>
  <c r="D438" i="1"/>
  <c r="F438" i="1"/>
  <c r="G438" i="1"/>
  <c r="N438" i="1"/>
  <c r="R438" i="1" s="1"/>
  <c r="C439" i="1"/>
  <c r="D439" i="1"/>
  <c r="F439" i="1"/>
  <c r="G439" i="1"/>
  <c r="N439" i="1"/>
  <c r="R439" i="1" s="1"/>
  <c r="C440" i="1"/>
  <c r="D440" i="1"/>
  <c r="F440" i="1"/>
  <c r="G440" i="1"/>
  <c r="N440" i="1"/>
  <c r="R440" i="1" s="1"/>
  <c r="C441" i="1"/>
  <c r="D441" i="1"/>
  <c r="F441" i="1"/>
  <c r="G441" i="1"/>
  <c r="N441" i="1"/>
  <c r="R441" i="1" s="1"/>
  <c r="C442" i="1"/>
  <c r="D442" i="1"/>
  <c r="F442" i="1"/>
  <c r="G442" i="1"/>
  <c r="N442" i="1"/>
  <c r="R442" i="1" s="1"/>
  <c r="C443" i="1"/>
  <c r="D443" i="1"/>
  <c r="F443" i="1"/>
  <c r="G443" i="1"/>
  <c r="N443" i="1"/>
  <c r="R443" i="1" s="1"/>
  <c r="C444" i="1"/>
  <c r="D444" i="1"/>
  <c r="F444" i="1"/>
  <c r="G444" i="1"/>
  <c r="N444" i="1"/>
  <c r="R444" i="1" s="1"/>
  <c r="W444" i="1" s="1"/>
  <c r="C445" i="1"/>
  <c r="D445" i="1"/>
  <c r="F445" i="1"/>
  <c r="G445" i="1"/>
  <c r="N445" i="1"/>
  <c r="R445" i="1" s="1"/>
  <c r="C446" i="1"/>
  <c r="D446" i="1"/>
  <c r="F446" i="1"/>
  <c r="G446" i="1"/>
  <c r="N446" i="1"/>
  <c r="R446" i="1" s="1"/>
  <c r="C447" i="1"/>
  <c r="D447" i="1"/>
  <c r="F447" i="1"/>
  <c r="G447" i="1"/>
  <c r="N447" i="1"/>
  <c r="R447" i="1" s="1"/>
  <c r="C448" i="1"/>
  <c r="D448" i="1"/>
  <c r="F448" i="1"/>
  <c r="G448" i="1"/>
  <c r="N448" i="1"/>
  <c r="R448" i="1" s="1"/>
  <c r="C449" i="1"/>
  <c r="D449" i="1"/>
  <c r="F449" i="1"/>
  <c r="G449" i="1"/>
  <c r="N449" i="1"/>
  <c r="R449" i="1" s="1"/>
  <c r="C450" i="1"/>
  <c r="D450" i="1"/>
  <c r="F450" i="1"/>
  <c r="G450" i="1"/>
  <c r="N450" i="1"/>
  <c r="R450" i="1" s="1"/>
  <c r="C451" i="1"/>
  <c r="D451" i="1"/>
  <c r="F451" i="1"/>
  <c r="G451" i="1"/>
  <c r="N451" i="1"/>
  <c r="R451" i="1" s="1"/>
  <c r="W451" i="1" s="1"/>
  <c r="C452" i="1"/>
  <c r="D452" i="1"/>
  <c r="F452" i="1"/>
  <c r="G452" i="1"/>
  <c r="N452" i="1"/>
  <c r="R452" i="1" s="1"/>
  <c r="C453" i="1"/>
  <c r="D453" i="1"/>
  <c r="F453" i="1"/>
  <c r="G453" i="1"/>
  <c r="N453" i="1"/>
  <c r="R453" i="1" s="1"/>
  <c r="W453" i="1" s="1"/>
  <c r="C454" i="1"/>
  <c r="D454" i="1"/>
  <c r="F454" i="1"/>
  <c r="G454" i="1"/>
  <c r="N454" i="1"/>
  <c r="R454" i="1" s="1"/>
  <c r="C455" i="1"/>
  <c r="D455" i="1"/>
  <c r="F455" i="1"/>
  <c r="G455" i="1"/>
  <c r="N455" i="1"/>
  <c r="R455" i="1" s="1"/>
  <c r="C456" i="1"/>
  <c r="D456" i="1"/>
  <c r="F456" i="1"/>
  <c r="G456" i="1"/>
  <c r="N456" i="1"/>
  <c r="R456" i="1" s="1"/>
  <c r="C457" i="1"/>
  <c r="D457" i="1"/>
  <c r="F457" i="1"/>
  <c r="G457" i="1"/>
  <c r="N457" i="1"/>
  <c r="R457" i="1" s="1"/>
  <c r="C458" i="1"/>
  <c r="D458" i="1"/>
  <c r="F458" i="1"/>
  <c r="G458" i="1"/>
  <c r="N458" i="1"/>
  <c r="R458" i="1" s="1"/>
  <c r="C459" i="1"/>
  <c r="D459" i="1"/>
  <c r="F459" i="1"/>
  <c r="G459" i="1"/>
  <c r="N459" i="1"/>
  <c r="R459" i="1" s="1"/>
  <c r="C460" i="1"/>
  <c r="D460" i="1"/>
  <c r="F460" i="1"/>
  <c r="G460" i="1"/>
  <c r="N460" i="1"/>
  <c r="R460" i="1" s="1"/>
  <c r="C461" i="1"/>
  <c r="D461" i="1"/>
  <c r="F461" i="1"/>
  <c r="G461" i="1"/>
  <c r="N461" i="1"/>
  <c r="R461" i="1" s="1"/>
  <c r="C462" i="1"/>
  <c r="D462" i="1"/>
  <c r="F462" i="1"/>
  <c r="G462" i="1"/>
  <c r="N462" i="1"/>
  <c r="R462" i="1" s="1"/>
  <c r="W462" i="1" s="1"/>
  <c r="C463" i="1"/>
  <c r="D463" i="1"/>
  <c r="F463" i="1"/>
  <c r="G463" i="1"/>
  <c r="N463" i="1"/>
  <c r="R463" i="1" s="1"/>
  <c r="C464" i="1"/>
  <c r="D464" i="1"/>
  <c r="F464" i="1"/>
  <c r="G464" i="1"/>
  <c r="N464" i="1"/>
  <c r="R464" i="1" s="1"/>
  <c r="W464" i="1" s="1"/>
  <c r="C465" i="1"/>
  <c r="D465" i="1"/>
  <c r="F465" i="1"/>
  <c r="G465" i="1"/>
  <c r="N465" i="1"/>
  <c r="R465" i="1" s="1"/>
  <c r="C466" i="1"/>
  <c r="D466" i="1"/>
  <c r="F466" i="1"/>
  <c r="G466" i="1"/>
  <c r="N466" i="1"/>
  <c r="R466" i="1" s="1"/>
  <c r="W466" i="1" s="1"/>
  <c r="C467" i="1"/>
  <c r="D467" i="1"/>
  <c r="F467" i="1"/>
  <c r="G467" i="1"/>
  <c r="N467" i="1"/>
  <c r="R467" i="1" s="1"/>
  <c r="W467" i="1" s="1"/>
  <c r="C468" i="1"/>
  <c r="D468" i="1"/>
  <c r="F468" i="1"/>
  <c r="G468" i="1"/>
  <c r="N468" i="1"/>
  <c r="R468" i="1" s="1"/>
  <c r="C469" i="1"/>
  <c r="D469" i="1"/>
  <c r="F469" i="1"/>
  <c r="G469" i="1"/>
  <c r="N469" i="1"/>
  <c r="R469" i="1" s="1"/>
  <c r="C471" i="1"/>
  <c r="D471" i="1"/>
  <c r="F471" i="1"/>
  <c r="G471" i="1"/>
  <c r="N471" i="1"/>
  <c r="R471" i="1" s="1"/>
  <c r="C472" i="1"/>
  <c r="D472" i="1"/>
  <c r="F472" i="1"/>
  <c r="G472" i="1"/>
  <c r="N472" i="1"/>
  <c r="R472" i="1" s="1"/>
  <c r="C473" i="1"/>
  <c r="D473" i="1"/>
  <c r="F473" i="1"/>
  <c r="G473" i="1"/>
  <c r="N473" i="1"/>
  <c r="R473" i="1" s="1"/>
  <c r="W473" i="1" s="1"/>
  <c r="C474" i="1"/>
  <c r="D474" i="1"/>
  <c r="F474" i="1"/>
  <c r="G474" i="1"/>
  <c r="N474" i="1"/>
  <c r="R474" i="1" s="1"/>
  <c r="C475" i="1"/>
  <c r="D475" i="1"/>
  <c r="F475" i="1"/>
  <c r="G475" i="1"/>
  <c r="N475" i="1"/>
  <c r="R475" i="1" s="1"/>
  <c r="C476" i="1"/>
  <c r="D476" i="1"/>
  <c r="F476" i="1"/>
  <c r="G476" i="1"/>
  <c r="N476" i="1"/>
  <c r="R476" i="1" s="1"/>
  <c r="C477" i="1"/>
  <c r="D477" i="1"/>
  <c r="F477" i="1"/>
  <c r="G477" i="1"/>
  <c r="N477" i="1"/>
  <c r="R477" i="1" s="1"/>
  <c r="C478" i="1"/>
  <c r="D478" i="1"/>
  <c r="F478" i="1"/>
  <c r="G478" i="1"/>
  <c r="N478" i="1"/>
  <c r="R478" i="1" s="1"/>
  <c r="C479" i="1"/>
  <c r="D479" i="1"/>
  <c r="F479" i="1"/>
  <c r="G479" i="1"/>
  <c r="N479" i="1"/>
  <c r="R479" i="1" s="1"/>
  <c r="W479" i="1" s="1"/>
  <c r="C480" i="1"/>
  <c r="D480" i="1"/>
  <c r="F480" i="1"/>
  <c r="G480" i="1"/>
  <c r="N480" i="1"/>
  <c r="R480" i="1" s="1"/>
  <c r="C481" i="1"/>
  <c r="D481" i="1"/>
  <c r="F481" i="1"/>
  <c r="G481" i="1"/>
  <c r="N481" i="1"/>
  <c r="R481" i="1" s="1"/>
  <c r="W481" i="1" s="1"/>
  <c r="C482" i="1"/>
  <c r="D482" i="1"/>
  <c r="F482" i="1"/>
  <c r="G482" i="1"/>
  <c r="N482" i="1"/>
  <c r="R482" i="1" s="1"/>
  <c r="C486" i="1"/>
  <c r="D486" i="1"/>
  <c r="F486" i="1"/>
  <c r="G486" i="1"/>
  <c r="N486" i="1"/>
  <c r="R486" i="1" s="1"/>
  <c r="C487" i="1"/>
  <c r="D487" i="1"/>
  <c r="F487" i="1"/>
  <c r="G487" i="1"/>
  <c r="I487" i="1"/>
  <c r="J487" i="1"/>
  <c r="K487" i="1"/>
  <c r="L487" i="1"/>
  <c r="N487" i="1"/>
  <c r="R487" i="1" s="1"/>
  <c r="C488" i="1"/>
  <c r="D488" i="1"/>
  <c r="F488" i="1"/>
  <c r="G488" i="1"/>
  <c r="N488" i="1"/>
  <c r="R488" i="1" s="1"/>
  <c r="W488" i="1" s="1"/>
  <c r="C489" i="1"/>
  <c r="D489" i="1"/>
  <c r="F489" i="1"/>
  <c r="G489" i="1"/>
  <c r="N489" i="1"/>
  <c r="R489" i="1" s="1"/>
  <c r="C490" i="1"/>
  <c r="D490" i="1"/>
  <c r="F490" i="1"/>
  <c r="G490" i="1"/>
  <c r="N490" i="1"/>
  <c r="R490" i="1" s="1"/>
  <c r="C491" i="1"/>
  <c r="D491" i="1"/>
  <c r="F491" i="1"/>
  <c r="G491" i="1"/>
  <c r="N491" i="1"/>
  <c r="R491" i="1" s="1"/>
  <c r="C492" i="1"/>
  <c r="D492" i="1"/>
  <c r="F492" i="1"/>
  <c r="G492" i="1"/>
  <c r="N492" i="1"/>
  <c r="R492" i="1" s="1"/>
  <c r="C493" i="1"/>
  <c r="D493" i="1"/>
  <c r="F493" i="1"/>
  <c r="G493" i="1"/>
  <c r="N493" i="1"/>
  <c r="R493" i="1" s="1"/>
  <c r="C494" i="1"/>
  <c r="D494" i="1"/>
  <c r="F494" i="1"/>
  <c r="G494" i="1"/>
  <c r="N494" i="1"/>
  <c r="R494" i="1" s="1"/>
  <c r="C495" i="1"/>
  <c r="D495" i="1"/>
  <c r="F495" i="1"/>
  <c r="G495" i="1"/>
  <c r="N495" i="1"/>
  <c r="R495" i="1" s="1"/>
  <c r="C496" i="1"/>
  <c r="D496" i="1"/>
  <c r="F496" i="1"/>
  <c r="G496" i="1"/>
  <c r="N496" i="1"/>
  <c r="R496" i="1" s="1"/>
  <c r="C500" i="1"/>
  <c r="D500" i="1"/>
  <c r="F500" i="1"/>
  <c r="G500" i="1"/>
  <c r="N500" i="1"/>
  <c r="R500" i="1" s="1"/>
  <c r="C501" i="1"/>
  <c r="D501" i="1"/>
  <c r="F501" i="1"/>
  <c r="G501" i="1"/>
  <c r="N501" i="1"/>
  <c r="R501" i="1" s="1"/>
  <c r="C502" i="1"/>
  <c r="D502" i="1"/>
  <c r="F502" i="1"/>
  <c r="G502" i="1"/>
  <c r="N502" i="1"/>
  <c r="R502" i="1" s="1"/>
  <c r="C503" i="1"/>
  <c r="D503" i="1"/>
  <c r="F503" i="1"/>
  <c r="G503" i="1"/>
  <c r="N503" i="1"/>
  <c r="R503" i="1" s="1"/>
  <c r="C504" i="1"/>
  <c r="D504" i="1"/>
  <c r="F504" i="1"/>
  <c r="G504" i="1"/>
  <c r="N504" i="1"/>
  <c r="R504" i="1" s="1"/>
  <c r="C506" i="1"/>
  <c r="D506" i="1"/>
  <c r="F506" i="1"/>
  <c r="G506" i="1"/>
  <c r="N506" i="1"/>
  <c r="R506" i="1" s="1"/>
  <c r="C507" i="1"/>
  <c r="D507" i="1"/>
  <c r="F507" i="1"/>
  <c r="G507" i="1"/>
  <c r="N507" i="1"/>
  <c r="R507" i="1" s="1"/>
  <c r="C508" i="1"/>
  <c r="D508" i="1"/>
  <c r="F508" i="1"/>
  <c r="G508" i="1"/>
  <c r="N508" i="1"/>
  <c r="R508" i="1" s="1"/>
  <c r="C509" i="1"/>
  <c r="D509" i="1"/>
  <c r="F509" i="1"/>
  <c r="G509" i="1"/>
  <c r="N509" i="1"/>
  <c r="R509" i="1" s="1"/>
  <c r="C510" i="1"/>
  <c r="D510" i="1"/>
  <c r="F510" i="1"/>
  <c r="G510" i="1"/>
  <c r="N510" i="1"/>
  <c r="R510" i="1" s="1"/>
  <c r="W510" i="1" s="1"/>
  <c r="C511" i="1"/>
  <c r="D511" i="1"/>
  <c r="F511" i="1"/>
  <c r="G511" i="1"/>
  <c r="N511" i="1"/>
  <c r="R511" i="1" s="1"/>
  <c r="C512" i="1"/>
  <c r="D512" i="1"/>
  <c r="F512" i="1"/>
  <c r="G512" i="1"/>
  <c r="N512" i="1"/>
  <c r="R512" i="1" s="1"/>
  <c r="C513" i="1"/>
  <c r="D513" i="1"/>
  <c r="F513" i="1"/>
  <c r="G513" i="1"/>
  <c r="N513" i="1"/>
  <c r="R513" i="1" s="1"/>
  <c r="C515" i="1"/>
  <c r="D515" i="1"/>
  <c r="F515" i="1"/>
  <c r="G515" i="1"/>
  <c r="N515" i="1"/>
  <c r="R515" i="1" s="1"/>
  <c r="C517" i="1"/>
  <c r="D517" i="1"/>
  <c r="F517" i="1"/>
  <c r="G517" i="1"/>
  <c r="N517" i="1"/>
  <c r="R517" i="1" s="1"/>
  <c r="C518" i="1"/>
  <c r="D518" i="1"/>
  <c r="F518" i="1"/>
  <c r="G518" i="1"/>
  <c r="N518" i="1"/>
  <c r="R518" i="1" s="1"/>
  <c r="C519" i="1"/>
  <c r="D519" i="1"/>
  <c r="F519" i="1"/>
  <c r="G519" i="1"/>
  <c r="N519" i="1"/>
  <c r="R519" i="1" s="1"/>
  <c r="C521" i="1"/>
  <c r="D521" i="1"/>
  <c r="F521" i="1"/>
  <c r="G521" i="1"/>
  <c r="N521" i="1"/>
  <c r="R521" i="1" s="1"/>
  <c r="C522" i="1"/>
  <c r="D522" i="1"/>
  <c r="F522" i="1"/>
  <c r="G522" i="1"/>
  <c r="N522" i="1"/>
  <c r="R522" i="1" s="1"/>
  <c r="W522" i="1" s="1"/>
  <c r="C523" i="1"/>
  <c r="D523" i="1"/>
  <c r="F523" i="1"/>
  <c r="G523" i="1"/>
  <c r="N523" i="1"/>
  <c r="R523" i="1" s="1"/>
  <c r="C524" i="1"/>
  <c r="D524" i="1"/>
  <c r="F524" i="1"/>
  <c r="G524" i="1"/>
  <c r="N524" i="1"/>
  <c r="R524" i="1" s="1"/>
  <c r="C525" i="1"/>
  <c r="D525" i="1"/>
  <c r="F525" i="1"/>
  <c r="G525" i="1"/>
  <c r="N525" i="1"/>
  <c r="R525" i="1" s="1"/>
  <c r="C530" i="1"/>
  <c r="D530" i="1"/>
  <c r="F530" i="1"/>
  <c r="G530" i="1"/>
  <c r="N530" i="1"/>
  <c r="R530" i="1" s="1"/>
  <c r="C531" i="1"/>
  <c r="D531" i="1"/>
  <c r="F531" i="1"/>
  <c r="G531" i="1"/>
  <c r="N531" i="1"/>
  <c r="R531" i="1" s="1"/>
  <c r="C532" i="1"/>
  <c r="D532" i="1"/>
  <c r="F532" i="1"/>
  <c r="G532" i="1"/>
  <c r="N532" i="1"/>
  <c r="R532" i="1" s="1"/>
  <c r="C534" i="1"/>
  <c r="D534" i="1"/>
  <c r="F534" i="1"/>
  <c r="G534" i="1"/>
  <c r="N534" i="1"/>
  <c r="R534" i="1" s="1"/>
  <c r="C535" i="1"/>
  <c r="D535" i="1"/>
  <c r="F535" i="1"/>
  <c r="G535" i="1"/>
  <c r="N535" i="1"/>
  <c r="R535" i="1" s="1"/>
  <c r="C538" i="1"/>
  <c r="D538" i="1"/>
  <c r="F538" i="1"/>
  <c r="G538" i="1"/>
  <c r="N538" i="1"/>
  <c r="R538" i="1" s="1"/>
  <c r="C539" i="1"/>
  <c r="D539" i="1"/>
  <c r="F539" i="1"/>
  <c r="G539" i="1"/>
  <c r="N539" i="1"/>
  <c r="R539" i="1" s="1"/>
  <c r="C540" i="1"/>
  <c r="D540" i="1"/>
  <c r="F540" i="1"/>
  <c r="G540" i="1"/>
  <c r="N540" i="1"/>
  <c r="R540" i="1" s="1"/>
  <c r="C541" i="1"/>
  <c r="D541" i="1"/>
  <c r="F541" i="1"/>
  <c r="G541" i="1"/>
  <c r="N541" i="1"/>
  <c r="R541" i="1" s="1"/>
  <c r="C542" i="1"/>
  <c r="D542" i="1"/>
  <c r="F542" i="1"/>
  <c r="G542" i="1"/>
  <c r="N542" i="1"/>
  <c r="R542" i="1" s="1"/>
  <c r="C543" i="1"/>
  <c r="D543" i="1"/>
  <c r="F543" i="1"/>
  <c r="G543" i="1"/>
  <c r="N543" i="1"/>
  <c r="R543" i="1" s="1"/>
  <c r="C544" i="1"/>
  <c r="D544" i="1"/>
  <c r="F544" i="1"/>
  <c r="G544" i="1"/>
  <c r="N544" i="1"/>
  <c r="R544" i="1" s="1"/>
  <c r="C545" i="1"/>
  <c r="D545" i="1"/>
  <c r="F545" i="1"/>
  <c r="G545" i="1"/>
  <c r="N545" i="1"/>
  <c r="R545" i="1" s="1"/>
  <c r="C546" i="1"/>
  <c r="D546" i="1"/>
  <c r="F546" i="1"/>
  <c r="G546" i="1"/>
  <c r="N546" i="1"/>
  <c r="R546" i="1" s="1"/>
  <c r="C547" i="1"/>
  <c r="D547" i="1"/>
  <c r="F547" i="1"/>
  <c r="G547" i="1"/>
  <c r="N547" i="1"/>
  <c r="R547" i="1" s="1"/>
  <c r="C548" i="1"/>
  <c r="D548" i="1"/>
  <c r="F548" i="1"/>
  <c r="G548" i="1"/>
  <c r="N548" i="1"/>
  <c r="R548" i="1" s="1"/>
  <c r="C553" i="1"/>
  <c r="D553" i="1"/>
  <c r="F553" i="1"/>
  <c r="G553" i="1"/>
  <c r="N553" i="1"/>
  <c r="R553" i="1" s="1"/>
  <c r="C554" i="1"/>
  <c r="D554" i="1"/>
  <c r="F554" i="1"/>
  <c r="G554" i="1"/>
  <c r="N554" i="1"/>
  <c r="R554" i="1" s="1"/>
  <c r="C555" i="1"/>
  <c r="D555" i="1"/>
  <c r="F555" i="1"/>
  <c r="G555" i="1"/>
  <c r="N555" i="1"/>
  <c r="R555" i="1" s="1"/>
  <c r="C556" i="1"/>
  <c r="D556" i="1"/>
  <c r="F556" i="1"/>
  <c r="G556" i="1"/>
  <c r="N556" i="1"/>
  <c r="R556" i="1" s="1"/>
  <c r="C557" i="1"/>
  <c r="D557" i="1"/>
  <c r="F557" i="1"/>
  <c r="G557" i="1"/>
  <c r="N557" i="1"/>
  <c r="R557" i="1" s="1"/>
  <c r="C558" i="1"/>
  <c r="D558" i="1"/>
  <c r="F558" i="1"/>
  <c r="G558" i="1"/>
  <c r="N558" i="1"/>
  <c r="R558" i="1" s="1"/>
  <c r="C559" i="1"/>
  <c r="D559" i="1"/>
  <c r="F559" i="1"/>
  <c r="G559" i="1"/>
  <c r="N559" i="1"/>
  <c r="R559" i="1" s="1"/>
  <c r="C560" i="1"/>
  <c r="D560" i="1"/>
  <c r="F560" i="1"/>
  <c r="G560" i="1"/>
  <c r="N560" i="1"/>
  <c r="R560" i="1" s="1"/>
  <c r="C561" i="1"/>
  <c r="D561" i="1"/>
  <c r="F561" i="1"/>
  <c r="G561" i="1"/>
  <c r="N561" i="1"/>
  <c r="R561" i="1" s="1"/>
  <c r="C562" i="1"/>
  <c r="D562" i="1"/>
  <c r="F562" i="1"/>
  <c r="G562" i="1"/>
  <c r="N562" i="1"/>
  <c r="R562" i="1" s="1"/>
  <c r="C563" i="1"/>
  <c r="D563" i="1"/>
  <c r="F563" i="1"/>
  <c r="G563" i="1"/>
  <c r="N563" i="1"/>
  <c r="R563" i="1" s="1"/>
  <c r="C564" i="1"/>
  <c r="D564" i="1"/>
  <c r="F564" i="1"/>
  <c r="G564" i="1"/>
  <c r="N564" i="1"/>
  <c r="R564" i="1" s="1"/>
  <c r="C566" i="1"/>
  <c r="D566" i="1"/>
  <c r="F566" i="1"/>
  <c r="G566" i="1"/>
  <c r="N566" i="1"/>
  <c r="R566" i="1" s="1"/>
  <c r="C568" i="1"/>
  <c r="D568" i="1"/>
  <c r="F568" i="1"/>
  <c r="G568" i="1"/>
  <c r="N568" i="1"/>
  <c r="R568" i="1" s="1"/>
  <c r="C569" i="1"/>
  <c r="D569" i="1"/>
  <c r="F569" i="1"/>
  <c r="G569" i="1"/>
  <c r="N569" i="1"/>
  <c r="R569" i="1" s="1"/>
  <c r="C570" i="1"/>
  <c r="D570" i="1"/>
  <c r="F570" i="1"/>
  <c r="G570" i="1"/>
  <c r="N570" i="1"/>
  <c r="R570" i="1" s="1"/>
  <c r="C571" i="1"/>
  <c r="D571" i="1"/>
  <c r="F571" i="1"/>
  <c r="G571" i="1"/>
  <c r="N571" i="1"/>
  <c r="R571" i="1" s="1"/>
  <c r="C572" i="1"/>
  <c r="D572" i="1"/>
  <c r="F572" i="1"/>
  <c r="G572" i="1"/>
  <c r="N572" i="1"/>
  <c r="R572" i="1" s="1"/>
  <c r="C575" i="1"/>
  <c r="D575" i="1"/>
  <c r="F575" i="1"/>
  <c r="G575" i="1"/>
  <c r="N575" i="1"/>
  <c r="R575" i="1" s="1"/>
  <c r="C576" i="1"/>
  <c r="D576" i="1"/>
  <c r="F576" i="1"/>
  <c r="G576" i="1"/>
  <c r="N576" i="1"/>
  <c r="R576" i="1" s="1"/>
  <c r="C577" i="1"/>
  <c r="D577" i="1"/>
  <c r="F577" i="1"/>
  <c r="G577" i="1"/>
  <c r="N577" i="1"/>
  <c r="R577" i="1" s="1"/>
  <c r="C578" i="1"/>
  <c r="D578" i="1"/>
  <c r="F578" i="1"/>
  <c r="G578" i="1"/>
  <c r="N578" i="1"/>
  <c r="R578" i="1" s="1"/>
  <c r="C579" i="1"/>
  <c r="D579" i="1"/>
  <c r="F579" i="1"/>
  <c r="G579" i="1"/>
  <c r="N579" i="1"/>
  <c r="R579" i="1" s="1"/>
  <c r="C580" i="1"/>
  <c r="D580" i="1"/>
  <c r="F580" i="1"/>
  <c r="G580" i="1"/>
  <c r="N580" i="1"/>
  <c r="R580" i="1" s="1"/>
  <c r="C581" i="1"/>
  <c r="D581" i="1"/>
  <c r="F581" i="1"/>
  <c r="G581" i="1"/>
  <c r="N581" i="1"/>
  <c r="R581" i="1" s="1"/>
  <c r="C582" i="1"/>
  <c r="D582" i="1"/>
  <c r="F582" i="1"/>
  <c r="G582" i="1"/>
  <c r="N582" i="1"/>
  <c r="R582" i="1" s="1"/>
  <c r="C583" i="1"/>
  <c r="D583" i="1"/>
  <c r="F583" i="1"/>
  <c r="G583" i="1"/>
  <c r="N583" i="1"/>
  <c r="R583" i="1" s="1"/>
  <c r="C584" i="1"/>
  <c r="D584" i="1"/>
  <c r="F584" i="1"/>
  <c r="G584" i="1"/>
  <c r="N584" i="1"/>
  <c r="R584" i="1" s="1"/>
  <c r="C585" i="1"/>
  <c r="D585" i="1"/>
  <c r="F585" i="1"/>
  <c r="G585" i="1"/>
  <c r="N585" i="1"/>
  <c r="R585" i="1" s="1"/>
  <c r="C586" i="1"/>
  <c r="D586" i="1"/>
  <c r="F586" i="1"/>
  <c r="G586" i="1"/>
  <c r="N586" i="1"/>
  <c r="R586" i="1" s="1"/>
  <c r="C588" i="1"/>
  <c r="D588" i="1"/>
  <c r="F588" i="1"/>
  <c r="G588" i="1"/>
  <c r="N588" i="1"/>
  <c r="R588" i="1" s="1"/>
  <c r="C589" i="1"/>
  <c r="D589" i="1"/>
  <c r="F589" i="1"/>
  <c r="G589" i="1"/>
  <c r="N589" i="1"/>
  <c r="R589" i="1" s="1"/>
  <c r="C590" i="1"/>
  <c r="D590" i="1"/>
  <c r="F590" i="1"/>
  <c r="G590" i="1"/>
  <c r="N590" i="1"/>
  <c r="R590" i="1" s="1"/>
  <c r="C591" i="1"/>
  <c r="D591" i="1"/>
  <c r="F591" i="1"/>
  <c r="G591" i="1"/>
  <c r="N591" i="1"/>
  <c r="R591" i="1" s="1"/>
  <c r="C592" i="1"/>
  <c r="D592" i="1"/>
  <c r="F592" i="1"/>
  <c r="G592" i="1"/>
  <c r="N592" i="1"/>
  <c r="R592" i="1" s="1"/>
  <c r="C593" i="1"/>
  <c r="D593" i="1"/>
  <c r="F593" i="1"/>
  <c r="G593" i="1"/>
  <c r="N593" i="1"/>
  <c r="R593" i="1" s="1"/>
  <c r="C594" i="1"/>
  <c r="D594" i="1"/>
  <c r="F594" i="1"/>
  <c r="G594" i="1"/>
  <c r="N594" i="1"/>
  <c r="R594" i="1" s="1"/>
  <c r="C595" i="1"/>
  <c r="D595" i="1"/>
  <c r="F595" i="1"/>
  <c r="G595" i="1"/>
  <c r="N595" i="1"/>
  <c r="R595" i="1" s="1"/>
  <c r="C596" i="1"/>
  <c r="D596" i="1"/>
  <c r="F596" i="1"/>
  <c r="G596" i="1"/>
  <c r="N596" i="1"/>
  <c r="R596" i="1" s="1"/>
  <c r="C597" i="1"/>
  <c r="D597" i="1"/>
  <c r="F597" i="1"/>
  <c r="G597" i="1"/>
  <c r="I597" i="1"/>
  <c r="J597" i="1"/>
  <c r="K597" i="1"/>
  <c r="L597" i="1"/>
  <c r="N597" i="1"/>
  <c r="R597" i="1" s="1"/>
  <c r="C598" i="1"/>
  <c r="D598" i="1"/>
  <c r="F598" i="1"/>
  <c r="G598" i="1"/>
  <c r="I598" i="1"/>
  <c r="J598" i="1"/>
  <c r="K598" i="1"/>
  <c r="L598" i="1"/>
  <c r="N598" i="1"/>
  <c r="R598" i="1" s="1"/>
  <c r="C599" i="1"/>
  <c r="D599" i="1"/>
  <c r="F599" i="1"/>
  <c r="G599" i="1"/>
  <c r="I599" i="1"/>
  <c r="J599" i="1"/>
  <c r="K599" i="1"/>
  <c r="L599" i="1"/>
  <c r="N599" i="1"/>
  <c r="R599" i="1" s="1"/>
  <c r="C600" i="1"/>
  <c r="D600" i="1"/>
  <c r="F600" i="1"/>
  <c r="G600" i="1"/>
  <c r="I600" i="1"/>
  <c r="J600" i="1"/>
  <c r="K600" i="1"/>
  <c r="L600" i="1"/>
  <c r="N600" i="1"/>
  <c r="R600" i="1" s="1"/>
  <c r="C601" i="1"/>
  <c r="D601" i="1"/>
  <c r="F601" i="1"/>
  <c r="G601" i="1"/>
  <c r="I601" i="1"/>
  <c r="J601" i="1"/>
  <c r="K601" i="1"/>
  <c r="L601" i="1"/>
  <c r="N601" i="1"/>
  <c r="R601" i="1" s="1"/>
  <c r="C602" i="1"/>
  <c r="D602" i="1"/>
  <c r="F602" i="1"/>
  <c r="G602" i="1"/>
  <c r="I602" i="1"/>
  <c r="J602" i="1"/>
  <c r="K602" i="1"/>
  <c r="L602" i="1"/>
  <c r="N602" i="1"/>
  <c r="R602" i="1" s="1"/>
  <c r="C603" i="1"/>
  <c r="D603" i="1"/>
  <c r="F603" i="1"/>
  <c r="G603" i="1"/>
  <c r="I603" i="1"/>
  <c r="J603" i="1"/>
  <c r="K603" i="1"/>
  <c r="L603" i="1"/>
  <c r="N603" i="1"/>
  <c r="R603" i="1" s="1"/>
  <c r="C604" i="1"/>
  <c r="D604" i="1"/>
  <c r="F604" i="1"/>
  <c r="G604" i="1"/>
  <c r="I604" i="1"/>
  <c r="J604" i="1"/>
  <c r="K604" i="1"/>
  <c r="L604" i="1"/>
  <c r="N604" i="1"/>
  <c r="R604" i="1" s="1"/>
  <c r="C605" i="1"/>
  <c r="D605" i="1"/>
  <c r="F605" i="1"/>
  <c r="G605" i="1"/>
  <c r="N605" i="1"/>
  <c r="R605" i="1" s="1"/>
  <c r="C606" i="1"/>
  <c r="D606" i="1"/>
  <c r="F606" i="1"/>
  <c r="G606" i="1"/>
  <c r="N606" i="1"/>
  <c r="R606" i="1" s="1"/>
  <c r="C607" i="1"/>
  <c r="D607" i="1"/>
  <c r="F607" i="1"/>
  <c r="G607" i="1"/>
  <c r="N607" i="1"/>
  <c r="R607" i="1" s="1"/>
  <c r="C608" i="1"/>
  <c r="D608" i="1"/>
  <c r="F608" i="1"/>
  <c r="G608" i="1"/>
  <c r="N608" i="1"/>
  <c r="R608" i="1" s="1"/>
  <c r="C609" i="1"/>
  <c r="D609" i="1"/>
  <c r="F609" i="1"/>
  <c r="G609" i="1"/>
  <c r="N609" i="1"/>
  <c r="R609" i="1" s="1"/>
  <c r="C610" i="1"/>
  <c r="D610" i="1"/>
  <c r="F610" i="1"/>
  <c r="G610" i="1"/>
  <c r="N610" i="1"/>
  <c r="R610" i="1" s="1"/>
  <c r="C611" i="1"/>
  <c r="D611" i="1"/>
  <c r="F611" i="1"/>
  <c r="G611" i="1"/>
  <c r="N611" i="1"/>
  <c r="R611" i="1" s="1"/>
  <c r="C612" i="1"/>
  <c r="D612" i="1"/>
  <c r="F612" i="1"/>
  <c r="G612" i="1"/>
  <c r="N612" i="1"/>
  <c r="R612" i="1" s="1"/>
  <c r="C613" i="1"/>
  <c r="D613" i="1"/>
  <c r="F613" i="1"/>
  <c r="G613" i="1"/>
  <c r="N613" i="1"/>
  <c r="R613" i="1" s="1"/>
  <c r="C614" i="1"/>
  <c r="D614" i="1"/>
  <c r="F614" i="1"/>
  <c r="G614" i="1"/>
  <c r="N614" i="1"/>
  <c r="R614" i="1" s="1"/>
  <c r="C615" i="1"/>
  <c r="D615" i="1"/>
  <c r="F615" i="1"/>
  <c r="G615" i="1"/>
  <c r="N615" i="1"/>
  <c r="R615" i="1" s="1"/>
  <c r="C616" i="1"/>
  <c r="D616" i="1"/>
  <c r="F616" i="1"/>
  <c r="G616" i="1"/>
  <c r="N616" i="1"/>
  <c r="R616" i="1" s="1"/>
  <c r="C617" i="1"/>
  <c r="D617" i="1"/>
  <c r="F617" i="1"/>
  <c r="G617" i="1"/>
  <c r="N617" i="1"/>
  <c r="R617" i="1" s="1"/>
  <c r="C618" i="1"/>
  <c r="D618" i="1"/>
  <c r="F618" i="1"/>
  <c r="G618" i="1"/>
  <c r="N618" i="1"/>
  <c r="R618" i="1" s="1"/>
  <c r="C619" i="1"/>
  <c r="D619" i="1"/>
  <c r="F619" i="1"/>
  <c r="G619" i="1"/>
  <c r="N619" i="1"/>
  <c r="R619" i="1" s="1"/>
  <c r="C620" i="1"/>
  <c r="D620" i="1"/>
  <c r="F620" i="1"/>
  <c r="G620" i="1"/>
  <c r="N620" i="1"/>
  <c r="R620" i="1" s="1"/>
  <c r="C621" i="1"/>
  <c r="D621" i="1"/>
  <c r="F621" i="1"/>
  <c r="G621" i="1"/>
  <c r="N621" i="1"/>
  <c r="R621" i="1" s="1"/>
  <c r="C622" i="1"/>
  <c r="D622" i="1"/>
  <c r="F622" i="1"/>
  <c r="G622" i="1"/>
  <c r="N622" i="1"/>
  <c r="R622" i="1" s="1"/>
  <c r="C623" i="1"/>
  <c r="D623" i="1"/>
  <c r="F623" i="1"/>
  <c r="G623" i="1"/>
  <c r="N623" i="1"/>
  <c r="R623" i="1" s="1"/>
  <c r="C624" i="1"/>
  <c r="D624" i="1"/>
  <c r="F624" i="1"/>
  <c r="G624" i="1"/>
  <c r="N624" i="1"/>
  <c r="R624" i="1" s="1"/>
  <c r="C625" i="1"/>
  <c r="D625" i="1"/>
  <c r="F625" i="1"/>
  <c r="G625" i="1"/>
  <c r="N625" i="1"/>
  <c r="R625" i="1" s="1"/>
  <c r="C626" i="1"/>
  <c r="D626" i="1"/>
  <c r="F626" i="1"/>
  <c r="G626" i="1"/>
  <c r="N626" i="1"/>
  <c r="R626" i="1" s="1"/>
  <c r="C627" i="1"/>
  <c r="D627" i="1"/>
  <c r="F627" i="1"/>
  <c r="G627" i="1"/>
  <c r="N627" i="1"/>
  <c r="R627" i="1" s="1"/>
  <c r="C628" i="1"/>
  <c r="D628" i="1"/>
  <c r="F628" i="1"/>
  <c r="G628" i="1"/>
  <c r="N628" i="1"/>
  <c r="R628" i="1" s="1"/>
  <c r="C629" i="1"/>
  <c r="D629" i="1"/>
  <c r="F629" i="1"/>
  <c r="G629" i="1"/>
  <c r="N629" i="1"/>
  <c r="R629" i="1" s="1"/>
  <c r="C630" i="1"/>
  <c r="D630" i="1"/>
  <c r="F630" i="1"/>
  <c r="G630" i="1"/>
  <c r="N630" i="1"/>
  <c r="R630" i="1" s="1"/>
  <c r="C631" i="1"/>
  <c r="D631" i="1"/>
  <c r="F631" i="1"/>
  <c r="G631" i="1"/>
  <c r="N631" i="1"/>
  <c r="R631" i="1" s="1"/>
  <c r="C632" i="1"/>
  <c r="D632" i="1"/>
  <c r="F632" i="1"/>
  <c r="G632" i="1"/>
  <c r="N632" i="1"/>
  <c r="R632" i="1" s="1"/>
  <c r="C633" i="1"/>
  <c r="D633" i="1"/>
  <c r="F633" i="1"/>
  <c r="G633" i="1"/>
  <c r="N633" i="1"/>
  <c r="R633" i="1" s="1"/>
  <c r="C634" i="1"/>
  <c r="D634" i="1"/>
  <c r="F634" i="1"/>
  <c r="G634" i="1"/>
  <c r="N634" i="1"/>
  <c r="R634" i="1" s="1"/>
  <c r="C635" i="1"/>
  <c r="D635" i="1"/>
  <c r="F635" i="1"/>
  <c r="G635" i="1"/>
  <c r="N635" i="1"/>
  <c r="R635" i="1" s="1"/>
  <c r="C636" i="1"/>
  <c r="D636" i="1"/>
  <c r="F636" i="1"/>
  <c r="G636" i="1"/>
  <c r="N636" i="1"/>
  <c r="R636" i="1" s="1"/>
  <c r="C637" i="1"/>
  <c r="D637" i="1"/>
  <c r="F637" i="1"/>
  <c r="G637" i="1"/>
  <c r="N637" i="1"/>
  <c r="R637" i="1" s="1"/>
  <c r="C638" i="1"/>
  <c r="D638" i="1"/>
  <c r="F638" i="1"/>
  <c r="G638" i="1"/>
  <c r="N638" i="1"/>
  <c r="R638" i="1" s="1"/>
  <c r="C640" i="1"/>
  <c r="D640" i="1"/>
  <c r="F640" i="1"/>
  <c r="G640" i="1"/>
  <c r="N640" i="1"/>
  <c r="R640" i="1" s="1"/>
  <c r="C643" i="1"/>
  <c r="D643" i="1"/>
  <c r="F643" i="1"/>
  <c r="G643" i="1"/>
  <c r="N643" i="1"/>
  <c r="R643" i="1" s="1"/>
  <c r="C644" i="1"/>
  <c r="D644" i="1"/>
  <c r="F644" i="1"/>
  <c r="G644" i="1"/>
  <c r="N644" i="1"/>
  <c r="R644" i="1" s="1"/>
  <c r="C645" i="1"/>
  <c r="D645" i="1"/>
  <c r="F645" i="1"/>
  <c r="G645" i="1"/>
  <c r="N645" i="1"/>
  <c r="R645" i="1" s="1"/>
  <c r="C646" i="1"/>
  <c r="D646" i="1"/>
  <c r="F646" i="1"/>
  <c r="G646" i="1"/>
  <c r="N646" i="1"/>
  <c r="R646" i="1" s="1"/>
  <c r="C647" i="1"/>
  <c r="D647" i="1"/>
  <c r="F647" i="1"/>
  <c r="G647" i="1"/>
  <c r="N647" i="1"/>
  <c r="R647" i="1" s="1"/>
  <c r="C648" i="1"/>
  <c r="D648" i="1"/>
  <c r="F648" i="1"/>
  <c r="G648" i="1"/>
  <c r="N648" i="1"/>
  <c r="R648" i="1" s="1"/>
  <c r="C649" i="1"/>
  <c r="D649" i="1"/>
  <c r="F649" i="1"/>
  <c r="G649" i="1"/>
  <c r="N649" i="1"/>
  <c r="R649" i="1" s="1"/>
  <c r="C650" i="1"/>
  <c r="D650" i="1"/>
  <c r="F650" i="1"/>
  <c r="G650" i="1"/>
  <c r="N650" i="1"/>
  <c r="R650" i="1" s="1"/>
  <c r="C653" i="1"/>
  <c r="D653" i="1"/>
  <c r="F653" i="1"/>
  <c r="G653" i="1"/>
  <c r="N653" i="1"/>
  <c r="R653" i="1" s="1"/>
  <c r="C654" i="1"/>
  <c r="D654" i="1"/>
  <c r="F654" i="1"/>
  <c r="G654" i="1"/>
  <c r="N654" i="1"/>
  <c r="R654" i="1" s="1"/>
  <c r="C655" i="1"/>
  <c r="D655" i="1"/>
  <c r="F655" i="1"/>
  <c r="G655" i="1"/>
  <c r="N655" i="1"/>
  <c r="R655" i="1" s="1"/>
  <c r="C656" i="1"/>
  <c r="D656" i="1"/>
  <c r="F656" i="1"/>
  <c r="G656" i="1"/>
  <c r="N656" i="1"/>
  <c r="R656" i="1" s="1"/>
  <c r="C657" i="1"/>
  <c r="D657" i="1"/>
  <c r="F657" i="1"/>
  <c r="G657" i="1"/>
  <c r="N657" i="1"/>
  <c r="R657" i="1" s="1"/>
  <c r="W657" i="1" s="1"/>
  <c r="C658" i="1"/>
  <c r="D658" i="1"/>
  <c r="F658" i="1"/>
  <c r="G658" i="1"/>
  <c r="N658" i="1"/>
  <c r="R658" i="1" s="1"/>
  <c r="C659" i="1"/>
  <c r="D659" i="1"/>
  <c r="F659" i="1"/>
  <c r="G659" i="1"/>
  <c r="N659" i="1"/>
  <c r="R659" i="1" s="1"/>
  <c r="W659" i="1" s="1"/>
  <c r="C660" i="1"/>
  <c r="D660" i="1"/>
  <c r="F660" i="1"/>
  <c r="G660" i="1"/>
  <c r="N660" i="1"/>
  <c r="R660" i="1" s="1"/>
  <c r="C661" i="1"/>
  <c r="D661" i="1"/>
  <c r="F661" i="1"/>
  <c r="G661" i="1"/>
  <c r="N661" i="1"/>
  <c r="R661" i="1" s="1"/>
  <c r="W661" i="1" s="1"/>
  <c r="C662" i="1"/>
  <c r="D662" i="1"/>
  <c r="F662" i="1"/>
  <c r="G662" i="1"/>
  <c r="N662" i="1"/>
  <c r="R662" i="1" s="1"/>
  <c r="C663" i="1"/>
  <c r="D663" i="1"/>
  <c r="F663" i="1"/>
  <c r="G663" i="1"/>
  <c r="N663" i="1"/>
  <c r="R663" i="1" s="1"/>
  <c r="W663" i="1" s="1"/>
  <c r="C664" i="1"/>
  <c r="D664" i="1"/>
  <c r="F664" i="1"/>
  <c r="G664" i="1"/>
  <c r="N664" i="1"/>
  <c r="R664" i="1" s="1"/>
  <c r="C665" i="1"/>
  <c r="D665" i="1"/>
  <c r="F665" i="1"/>
  <c r="G665" i="1"/>
  <c r="N665" i="1"/>
  <c r="R665" i="1" s="1"/>
  <c r="C666" i="1"/>
  <c r="D666" i="1"/>
  <c r="F666" i="1"/>
  <c r="G666" i="1"/>
  <c r="N666" i="1"/>
  <c r="R666" i="1" s="1"/>
  <c r="W666" i="1" s="1"/>
  <c r="C667" i="1"/>
  <c r="D667" i="1"/>
  <c r="F667" i="1"/>
  <c r="G667" i="1"/>
  <c r="N667" i="1"/>
  <c r="R667" i="1" s="1"/>
  <c r="C668" i="1"/>
  <c r="D668" i="1"/>
  <c r="F668" i="1"/>
  <c r="G668" i="1"/>
  <c r="N668" i="1"/>
  <c r="R668" i="1" s="1"/>
  <c r="C669" i="1"/>
  <c r="D669" i="1"/>
  <c r="F669" i="1"/>
  <c r="G669" i="1"/>
  <c r="N669" i="1"/>
  <c r="R669" i="1" s="1"/>
  <c r="W669" i="1" s="1"/>
  <c r="C670" i="1"/>
  <c r="D670" i="1"/>
  <c r="F670" i="1"/>
  <c r="G670" i="1"/>
  <c r="N670" i="1"/>
  <c r="R670" i="1" s="1"/>
  <c r="C671" i="1"/>
  <c r="D671" i="1"/>
  <c r="F671" i="1"/>
  <c r="G671" i="1"/>
  <c r="N671" i="1"/>
  <c r="R671" i="1" s="1"/>
  <c r="W671" i="1" s="1"/>
  <c r="C672" i="1"/>
  <c r="D672" i="1"/>
  <c r="F672" i="1"/>
  <c r="G672" i="1"/>
  <c r="N672" i="1"/>
  <c r="R672" i="1" s="1"/>
  <c r="W672" i="1" s="1"/>
  <c r="C673" i="1"/>
  <c r="D673" i="1"/>
  <c r="F673" i="1"/>
  <c r="G673" i="1"/>
  <c r="N673" i="1"/>
  <c r="R673" i="1" s="1"/>
  <c r="W673" i="1" s="1"/>
  <c r="C674" i="1"/>
  <c r="D674" i="1"/>
  <c r="F674" i="1"/>
  <c r="G674" i="1"/>
  <c r="N674" i="1"/>
  <c r="R674" i="1" s="1"/>
  <c r="W674" i="1" s="1"/>
  <c r="C675" i="1"/>
  <c r="D675" i="1"/>
  <c r="F675" i="1"/>
  <c r="G675" i="1"/>
  <c r="N675" i="1"/>
  <c r="R675" i="1" s="1"/>
  <c r="W675" i="1" s="1"/>
  <c r="C676" i="1"/>
  <c r="D676" i="1"/>
  <c r="F676" i="1"/>
  <c r="G676" i="1"/>
  <c r="N676" i="1"/>
  <c r="R676" i="1" s="1"/>
  <c r="W676" i="1" s="1"/>
  <c r="C677" i="1"/>
  <c r="D677" i="1"/>
  <c r="F677" i="1"/>
  <c r="G677" i="1"/>
  <c r="N677" i="1"/>
  <c r="R677" i="1" s="1"/>
  <c r="C678" i="1"/>
  <c r="D678" i="1"/>
  <c r="F678" i="1"/>
  <c r="G678" i="1"/>
  <c r="N678" i="1"/>
  <c r="R678" i="1" s="1"/>
  <c r="W678" i="1" s="1"/>
  <c r="C679" i="1"/>
  <c r="D679" i="1"/>
  <c r="F679" i="1"/>
  <c r="G679" i="1"/>
  <c r="N679" i="1"/>
  <c r="R679" i="1" s="1"/>
  <c r="C680" i="1"/>
  <c r="D680" i="1"/>
  <c r="F680" i="1"/>
  <c r="G680" i="1"/>
  <c r="N680" i="1"/>
  <c r="R680" i="1" s="1"/>
  <c r="W680" i="1" s="1"/>
  <c r="C681" i="1"/>
  <c r="D681" i="1"/>
  <c r="F681" i="1"/>
  <c r="G681" i="1"/>
  <c r="N681" i="1"/>
  <c r="R681" i="1" s="1"/>
  <c r="C682" i="1"/>
  <c r="D682" i="1"/>
  <c r="F682" i="1"/>
  <c r="G682" i="1"/>
  <c r="N682" i="1"/>
  <c r="R682" i="1" s="1"/>
  <c r="W682" i="1" s="1"/>
  <c r="C683" i="1"/>
  <c r="D683" i="1"/>
  <c r="F683" i="1"/>
  <c r="G683" i="1"/>
  <c r="N683" i="1"/>
  <c r="R683" i="1" s="1"/>
  <c r="C684" i="1"/>
  <c r="D684" i="1"/>
  <c r="F684" i="1"/>
  <c r="G684" i="1"/>
  <c r="N684" i="1"/>
  <c r="R684" i="1" s="1"/>
  <c r="C685" i="1"/>
  <c r="D685" i="1"/>
  <c r="F685" i="1"/>
  <c r="G685" i="1"/>
  <c r="N685" i="1"/>
  <c r="R685" i="1" s="1"/>
  <c r="C686" i="1"/>
  <c r="D686" i="1"/>
  <c r="F686" i="1"/>
  <c r="G686" i="1"/>
  <c r="N686" i="1"/>
  <c r="R686" i="1" s="1"/>
  <c r="W686" i="1" s="1"/>
  <c r="C688" i="1"/>
  <c r="D688" i="1"/>
  <c r="F688" i="1"/>
  <c r="G688" i="1"/>
  <c r="N688" i="1"/>
  <c r="R688" i="1" s="1"/>
  <c r="C689" i="1"/>
  <c r="D689" i="1"/>
  <c r="F689" i="1"/>
  <c r="G689" i="1"/>
  <c r="N689" i="1"/>
  <c r="R689" i="1" s="1"/>
  <c r="C690" i="1"/>
  <c r="D690" i="1"/>
  <c r="F690" i="1"/>
  <c r="G690" i="1"/>
  <c r="N690" i="1"/>
  <c r="R690" i="1" s="1"/>
  <c r="C691" i="1"/>
  <c r="D691" i="1"/>
  <c r="F691" i="1"/>
  <c r="G691" i="1"/>
  <c r="N691" i="1"/>
  <c r="R691" i="1" s="1"/>
  <c r="W691" i="1" s="1"/>
  <c r="C692" i="1"/>
  <c r="D692" i="1"/>
  <c r="F692" i="1"/>
  <c r="G692" i="1"/>
  <c r="N692" i="1"/>
  <c r="R692" i="1" s="1"/>
  <c r="C693" i="1"/>
  <c r="D693" i="1"/>
  <c r="F693" i="1"/>
  <c r="G693" i="1"/>
  <c r="N693" i="1"/>
  <c r="R693" i="1" s="1"/>
  <c r="C694" i="1"/>
  <c r="D694" i="1"/>
  <c r="F694" i="1"/>
  <c r="G694" i="1"/>
  <c r="N694" i="1"/>
  <c r="R694" i="1" s="1"/>
  <c r="C695" i="1"/>
  <c r="D695" i="1"/>
  <c r="F695" i="1"/>
  <c r="G695" i="1"/>
  <c r="N695" i="1"/>
  <c r="R695" i="1" s="1"/>
  <c r="W695" i="1" s="1"/>
  <c r="C696" i="1"/>
  <c r="D696" i="1"/>
  <c r="F696" i="1"/>
  <c r="G696" i="1"/>
  <c r="N696" i="1"/>
  <c r="R696" i="1" s="1"/>
  <c r="C697" i="1"/>
  <c r="D697" i="1"/>
  <c r="F697" i="1"/>
  <c r="G697" i="1"/>
  <c r="N697" i="1"/>
  <c r="R697" i="1" s="1"/>
  <c r="W697" i="1" s="1"/>
  <c r="C698" i="1"/>
  <c r="D698" i="1"/>
  <c r="F698" i="1"/>
  <c r="G698" i="1"/>
  <c r="N698" i="1"/>
  <c r="R698" i="1" s="1"/>
  <c r="C699" i="1"/>
  <c r="D699" i="1"/>
  <c r="F699" i="1"/>
  <c r="G699" i="1"/>
  <c r="N699" i="1"/>
  <c r="R699" i="1" s="1"/>
  <c r="W699" i="1" s="1"/>
  <c r="C700" i="1"/>
  <c r="D700" i="1"/>
  <c r="F700" i="1"/>
  <c r="G700" i="1"/>
  <c r="N700" i="1"/>
  <c r="R700" i="1" s="1"/>
  <c r="C701" i="1"/>
  <c r="D701" i="1"/>
  <c r="F701" i="1"/>
  <c r="G701" i="1"/>
  <c r="N701" i="1"/>
  <c r="R701" i="1" s="1"/>
  <c r="W701" i="1" s="1"/>
  <c r="C702" i="1"/>
  <c r="D702" i="1"/>
  <c r="F702" i="1"/>
  <c r="G702" i="1"/>
  <c r="N702" i="1"/>
  <c r="R702" i="1" s="1"/>
  <c r="C703" i="1"/>
  <c r="D703" i="1"/>
  <c r="F703" i="1"/>
  <c r="G703" i="1"/>
  <c r="N703" i="1"/>
  <c r="R703" i="1" s="1"/>
  <c r="W703" i="1" s="1"/>
  <c r="C704" i="1"/>
  <c r="D704" i="1"/>
  <c r="F704" i="1"/>
  <c r="G704" i="1"/>
  <c r="N704" i="1"/>
  <c r="R704" i="1" s="1"/>
  <c r="C705" i="1"/>
  <c r="D705" i="1"/>
  <c r="F705" i="1"/>
  <c r="G705" i="1"/>
  <c r="N705" i="1"/>
  <c r="R705" i="1" s="1"/>
  <c r="W705" i="1" s="1"/>
  <c r="C709" i="1"/>
  <c r="D709" i="1"/>
  <c r="F709" i="1"/>
  <c r="G709" i="1"/>
  <c r="N709" i="1"/>
  <c r="R709" i="1" s="1"/>
  <c r="C710" i="1"/>
  <c r="D710" i="1"/>
  <c r="F710" i="1"/>
  <c r="G710" i="1"/>
  <c r="N710" i="1"/>
  <c r="R710" i="1" s="1"/>
  <c r="W710" i="1" s="1"/>
  <c r="C711" i="1"/>
  <c r="D711" i="1"/>
  <c r="F711" i="1"/>
  <c r="G711" i="1"/>
  <c r="N711" i="1"/>
  <c r="R711" i="1" s="1"/>
  <c r="C712" i="1"/>
  <c r="D712" i="1"/>
  <c r="F712" i="1"/>
  <c r="G712" i="1"/>
  <c r="N712" i="1"/>
  <c r="R712" i="1" s="1"/>
  <c r="C713" i="1"/>
  <c r="D713" i="1"/>
  <c r="F713" i="1"/>
  <c r="G713" i="1"/>
  <c r="N713" i="1"/>
  <c r="R713" i="1" s="1"/>
  <c r="W713" i="1" s="1"/>
  <c r="C714" i="1"/>
  <c r="D714" i="1"/>
  <c r="F714" i="1"/>
  <c r="G714" i="1"/>
  <c r="N714" i="1"/>
  <c r="R714" i="1" s="1"/>
  <c r="C715" i="1"/>
  <c r="D715" i="1"/>
  <c r="F715" i="1"/>
  <c r="G715" i="1"/>
  <c r="N715" i="1"/>
  <c r="R715" i="1" s="1"/>
  <c r="C716" i="1"/>
  <c r="D716" i="1"/>
  <c r="F716" i="1"/>
  <c r="G716" i="1"/>
  <c r="N716" i="1"/>
  <c r="R716" i="1" s="1"/>
  <c r="W716" i="1" s="1"/>
  <c r="C717" i="1"/>
  <c r="D717" i="1"/>
  <c r="F717" i="1"/>
  <c r="G717" i="1"/>
  <c r="N717" i="1"/>
  <c r="R717" i="1" s="1"/>
  <c r="C718" i="1"/>
  <c r="D718" i="1"/>
  <c r="F718" i="1"/>
  <c r="G718" i="1"/>
  <c r="I718" i="1"/>
  <c r="J718" i="1"/>
  <c r="K718" i="1"/>
  <c r="L718" i="1"/>
  <c r="N718" i="1"/>
  <c r="R718" i="1" s="1"/>
  <c r="C719" i="1"/>
  <c r="D719" i="1"/>
  <c r="F719" i="1"/>
  <c r="G719" i="1"/>
  <c r="I719" i="1"/>
  <c r="J719" i="1"/>
  <c r="K719" i="1"/>
  <c r="L719" i="1"/>
  <c r="N719" i="1"/>
  <c r="R719" i="1" s="1"/>
  <c r="W719" i="1" s="1"/>
  <c r="C720" i="1"/>
  <c r="D720" i="1"/>
  <c r="F720" i="1"/>
  <c r="G720" i="1"/>
  <c r="N720" i="1"/>
  <c r="R720" i="1" s="1"/>
  <c r="C721" i="1"/>
  <c r="D721" i="1"/>
  <c r="F721" i="1"/>
  <c r="G721" i="1"/>
  <c r="N721" i="1"/>
  <c r="R721" i="1" s="1"/>
  <c r="C722" i="1"/>
  <c r="D722" i="1"/>
  <c r="F722" i="1"/>
  <c r="G722" i="1"/>
  <c r="N722" i="1"/>
  <c r="R722" i="1" s="1"/>
  <c r="W722" i="1" s="1"/>
  <c r="C724" i="1"/>
  <c r="D724" i="1"/>
  <c r="F724" i="1"/>
  <c r="G724" i="1"/>
  <c r="N724" i="1"/>
  <c r="R724" i="1" s="1"/>
  <c r="C725" i="1"/>
  <c r="D725" i="1"/>
  <c r="F725" i="1"/>
  <c r="G725" i="1"/>
  <c r="N725" i="1"/>
  <c r="R725" i="1" s="1"/>
  <c r="W725" i="1" s="1"/>
  <c r="C726" i="1"/>
  <c r="D726" i="1"/>
  <c r="F726" i="1"/>
  <c r="G726" i="1"/>
  <c r="N726" i="1"/>
  <c r="R726" i="1" s="1"/>
  <c r="C727" i="1"/>
  <c r="D727" i="1"/>
  <c r="F727" i="1"/>
  <c r="G727" i="1"/>
  <c r="N727" i="1"/>
  <c r="R727" i="1" s="1"/>
  <c r="W727" i="1" s="1"/>
  <c r="C728" i="1"/>
  <c r="D728" i="1"/>
  <c r="F728" i="1"/>
  <c r="G728" i="1"/>
  <c r="N728" i="1"/>
  <c r="R728" i="1" s="1"/>
  <c r="C729" i="1"/>
  <c r="D729" i="1"/>
  <c r="F729" i="1"/>
  <c r="G729" i="1"/>
  <c r="N729" i="1"/>
  <c r="R729" i="1" s="1"/>
  <c r="C730" i="1"/>
  <c r="D730" i="1"/>
  <c r="F730" i="1"/>
  <c r="G730" i="1"/>
  <c r="N730" i="1"/>
  <c r="R730" i="1" s="1"/>
  <c r="C731" i="1"/>
  <c r="D731" i="1"/>
  <c r="F731" i="1"/>
  <c r="G731" i="1"/>
  <c r="N731" i="1"/>
  <c r="R731" i="1" s="1"/>
  <c r="W731" i="1" s="1"/>
  <c r="C732" i="1"/>
  <c r="D732" i="1"/>
  <c r="F732" i="1"/>
  <c r="G732" i="1"/>
  <c r="N732" i="1"/>
  <c r="R732" i="1" s="1"/>
  <c r="C736" i="1"/>
  <c r="D736" i="1"/>
  <c r="F736" i="1"/>
  <c r="G736" i="1"/>
  <c r="N736" i="1"/>
  <c r="R736" i="1" s="1"/>
  <c r="C737" i="1"/>
  <c r="D737" i="1"/>
  <c r="F737" i="1"/>
  <c r="G737" i="1"/>
  <c r="N737" i="1"/>
  <c r="R737" i="1" s="1"/>
  <c r="C738" i="1"/>
  <c r="D738" i="1"/>
  <c r="F738" i="1"/>
  <c r="G738" i="1"/>
  <c r="N738" i="1"/>
  <c r="R738" i="1" s="1"/>
  <c r="W738" i="1" s="1"/>
  <c r="C739" i="1"/>
  <c r="D739" i="1"/>
  <c r="F739" i="1"/>
  <c r="G739" i="1"/>
  <c r="N739" i="1"/>
  <c r="R739" i="1" s="1"/>
  <c r="C740" i="1"/>
  <c r="D740" i="1"/>
  <c r="F740" i="1"/>
  <c r="G740" i="1"/>
  <c r="N740" i="1"/>
  <c r="R740" i="1" s="1"/>
  <c r="W740" i="1" s="1"/>
  <c r="C741" i="1"/>
  <c r="D741" i="1"/>
  <c r="F741" i="1"/>
  <c r="G741" i="1"/>
  <c r="N741" i="1"/>
  <c r="R741" i="1" s="1"/>
  <c r="C742" i="1"/>
  <c r="D742" i="1"/>
  <c r="F742" i="1"/>
  <c r="G742" i="1"/>
  <c r="N742" i="1"/>
  <c r="R742" i="1" s="1"/>
  <c r="W742" i="1" s="1"/>
  <c r="C743" i="1"/>
  <c r="D743" i="1"/>
  <c r="F743" i="1"/>
  <c r="G743" i="1"/>
  <c r="N743" i="1"/>
  <c r="R743" i="1" s="1"/>
  <c r="C744" i="1"/>
  <c r="D744" i="1"/>
  <c r="F744" i="1"/>
  <c r="G744" i="1"/>
  <c r="N744" i="1"/>
  <c r="R744" i="1" s="1"/>
  <c r="W744" i="1" s="1"/>
  <c r="C745" i="1"/>
  <c r="D745" i="1"/>
  <c r="F745" i="1"/>
  <c r="G745" i="1"/>
  <c r="N745" i="1"/>
  <c r="R745" i="1" s="1"/>
  <c r="W745" i="1" s="1"/>
  <c r="C746" i="1"/>
  <c r="D746" i="1"/>
  <c r="F746" i="1"/>
  <c r="G746" i="1"/>
  <c r="N746" i="1"/>
  <c r="R746" i="1" s="1"/>
  <c r="C747" i="1"/>
  <c r="D747" i="1"/>
  <c r="F747" i="1"/>
  <c r="G747" i="1"/>
  <c r="N747" i="1"/>
  <c r="R747" i="1" s="1"/>
  <c r="W747" i="1" s="1"/>
  <c r="C748" i="1"/>
  <c r="D748" i="1"/>
  <c r="F748" i="1"/>
  <c r="G748" i="1"/>
  <c r="N748" i="1"/>
  <c r="R748" i="1" s="1"/>
  <c r="C749" i="1"/>
  <c r="D749" i="1"/>
  <c r="F749" i="1"/>
  <c r="G749" i="1"/>
  <c r="N749" i="1"/>
  <c r="R749" i="1" s="1"/>
  <c r="C750" i="1"/>
  <c r="D750" i="1"/>
  <c r="F750" i="1"/>
  <c r="G750" i="1"/>
  <c r="N750" i="1"/>
  <c r="R750" i="1" s="1"/>
  <c r="C751" i="1"/>
  <c r="D751" i="1"/>
  <c r="F751" i="1"/>
  <c r="G751" i="1"/>
  <c r="N751" i="1"/>
  <c r="R751" i="1" s="1"/>
  <c r="C752" i="1"/>
  <c r="D752" i="1"/>
  <c r="F752" i="1"/>
  <c r="G752" i="1"/>
  <c r="N752" i="1"/>
  <c r="R752" i="1" s="1"/>
  <c r="C753" i="1"/>
  <c r="D753" i="1"/>
  <c r="F753" i="1"/>
  <c r="G753" i="1"/>
  <c r="N753" i="1"/>
  <c r="R753" i="1" s="1"/>
  <c r="W753" i="1" s="1"/>
  <c r="C754" i="1"/>
  <c r="D754" i="1"/>
  <c r="F754" i="1"/>
  <c r="G754" i="1"/>
  <c r="N754" i="1"/>
  <c r="R754" i="1" s="1"/>
  <c r="C755" i="1"/>
  <c r="D755" i="1"/>
  <c r="F755" i="1"/>
  <c r="G755" i="1"/>
  <c r="N755" i="1"/>
  <c r="R755" i="1" s="1"/>
  <c r="C756" i="1"/>
  <c r="D756" i="1"/>
  <c r="F756" i="1"/>
  <c r="G756" i="1"/>
  <c r="N756" i="1"/>
  <c r="R756" i="1" s="1"/>
  <c r="W756" i="1" s="1"/>
  <c r="C757" i="1"/>
  <c r="D757" i="1"/>
  <c r="F757" i="1"/>
  <c r="G757" i="1"/>
  <c r="N757" i="1"/>
  <c r="R757" i="1" s="1"/>
  <c r="C758" i="1"/>
  <c r="D758" i="1"/>
  <c r="F758" i="1"/>
  <c r="G758" i="1"/>
  <c r="N758" i="1"/>
  <c r="R758" i="1" s="1"/>
  <c r="C759" i="1"/>
  <c r="D759" i="1"/>
  <c r="F759" i="1"/>
  <c r="G759" i="1"/>
  <c r="N759" i="1"/>
  <c r="R759" i="1" s="1"/>
  <c r="C760" i="1"/>
  <c r="D760" i="1"/>
  <c r="F760" i="1"/>
  <c r="G760" i="1"/>
  <c r="N760" i="1"/>
  <c r="R760" i="1" s="1"/>
  <c r="C761" i="1"/>
  <c r="D761" i="1"/>
  <c r="F761" i="1"/>
  <c r="G761" i="1"/>
  <c r="N761" i="1"/>
  <c r="R761" i="1" s="1"/>
  <c r="C762" i="1"/>
  <c r="D762" i="1"/>
  <c r="F762" i="1"/>
  <c r="G762" i="1"/>
  <c r="N762" i="1"/>
  <c r="R762" i="1" s="1"/>
  <c r="C763" i="1"/>
  <c r="D763" i="1"/>
  <c r="F763" i="1"/>
  <c r="G763" i="1"/>
  <c r="N763" i="1"/>
  <c r="R763" i="1" s="1"/>
  <c r="C764" i="1"/>
  <c r="D764" i="1"/>
  <c r="F764" i="1"/>
  <c r="G764" i="1"/>
  <c r="N764" i="1"/>
  <c r="R764" i="1" s="1"/>
  <c r="W764" i="1" s="1"/>
  <c r="C765" i="1"/>
  <c r="D765" i="1"/>
  <c r="F765" i="1"/>
  <c r="G765" i="1"/>
  <c r="N765" i="1"/>
  <c r="R765" i="1" s="1"/>
  <c r="C766" i="1"/>
  <c r="D766" i="1"/>
  <c r="F766" i="1"/>
  <c r="G766" i="1"/>
  <c r="N766" i="1"/>
  <c r="R766" i="1" s="1"/>
  <c r="W766" i="1" s="1"/>
  <c r="C767" i="1"/>
  <c r="D767" i="1"/>
  <c r="F767" i="1"/>
  <c r="G767" i="1"/>
  <c r="N767" i="1"/>
  <c r="R767" i="1" s="1"/>
  <c r="C768" i="1"/>
  <c r="D768" i="1"/>
  <c r="F768" i="1"/>
  <c r="G768" i="1"/>
  <c r="N768" i="1"/>
  <c r="R768" i="1" s="1"/>
  <c r="W768" i="1" s="1"/>
  <c r="C769" i="1"/>
  <c r="D769" i="1"/>
  <c r="F769" i="1"/>
  <c r="G769" i="1"/>
  <c r="N769" i="1"/>
  <c r="R769" i="1" s="1"/>
  <c r="W769" i="1" s="1"/>
  <c r="C770" i="1"/>
  <c r="D770" i="1"/>
  <c r="F770" i="1"/>
  <c r="G770" i="1"/>
  <c r="N770" i="1"/>
  <c r="R770" i="1" s="1"/>
  <c r="C771" i="1"/>
  <c r="D771" i="1"/>
  <c r="F771" i="1"/>
  <c r="G771" i="1"/>
  <c r="N771" i="1"/>
  <c r="R771" i="1" s="1"/>
  <c r="C772" i="1"/>
  <c r="D772" i="1"/>
  <c r="F772" i="1"/>
  <c r="G772" i="1"/>
  <c r="N772" i="1"/>
  <c r="R772" i="1" s="1"/>
  <c r="C773" i="1"/>
  <c r="D773" i="1"/>
  <c r="F773" i="1"/>
  <c r="G773" i="1"/>
  <c r="N773" i="1"/>
  <c r="R773" i="1" s="1"/>
  <c r="W773" i="1" s="1"/>
  <c r="C774" i="1"/>
  <c r="D774" i="1"/>
  <c r="F774" i="1"/>
  <c r="G774" i="1"/>
  <c r="N774" i="1"/>
  <c r="R774" i="1" s="1"/>
  <c r="C775" i="1"/>
  <c r="D775" i="1"/>
  <c r="F775" i="1"/>
  <c r="G775" i="1"/>
  <c r="N775" i="1"/>
  <c r="R775" i="1" s="1"/>
  <c r="C776" i="1"/>
  <c r="D776" i="1"/>
  <c r="F776" i="1"/>
  <c r="G776" i="1"/>
  <c r="N776" i="1"/>
  <c r="R776" i="1" s="1"/>
  <c r="C777" i="1"/>
  <c r="D777" i="1"/>
  <c r="F777" i="1"/>
  <c r="G777" i="1"/>
  <c r="N777" i="1"/>
  <c r="R777" i="1" s="1"/>
  <c r="C778" i="1"/>
  <c r="D778" i="1"/>
  <c r="F778" i="1"/>
  <c r="G778" i="1"/>
  <c r="N778" i="1"/>
  <c r="R778" i="1" s="1"/>
  <c r="C779" i="1"/>
  <c r="D779" i="1"/>
  <c r="F779" i="1"/>
  <c r="G779" i="1"/>
  <c r="N779" i="1"/>
  <c r="R779" i="1" s="1"/>
  <c r="C780" i="1"/>
  <c r="D780" i="1"/>
  <c r="F780" i="1"/>
  <c r="G780" i="1"/>
  <c r="N780" i="1"/>
  <c r="R780" i="1" s="1"/>
  <c r="C781" i="1"/>
  <c r="D781" i="1"/>
  <c r="F781" i="1"/>
  <c r="G781" i="1"/>
  <c r="N781" i="1"/>
  <c r="R781" i="1" s="1"/>
  <c r="W781" i="1" s="1"/>
  <c r="C782" i="1"/>
  <c r="D782" i="1"/>
  <c r="F782" i="1"/>
  <c r="G782" i="1"/>
  <c r="N782" i="1"/>
  <c r="R782" i="1" s="1"/>
  <c r="C783" i="1"/>
  <c r="D783" i="1"/>
  <c r="F783" i="1"/>
  <c r="G783" i="1"/>
  <c r="N783" i="1"/>
  <c r="R783" i="1" s="1"/>
  <c r="W783" i="1" s="1"/>
  <c r="C784" i="1"/>
  <c r="D784" i="1"/>
  <c r="F784" i="1"/>
  <c r="G784" i="1"/>
  <c r="N784" i="1"/>
  <c r="R784" i="1" s="1"/>
  <c r="C785" i="1"/>
  <c r="D785" i="1"/>
  <c r="F785" i="1"/>
  <c r="G785" i="1"/>
  <c r="N785" i="1"/>
  <c r="R785" i="1" s="1"/>
  <c r="W785" i="1" s="1"/>
  <c r="C786" i="1"/>
  <c r="D786" i="1"/>
  <c r="F786" i="1"/>
  <c r="G786" i="1"/>
  <c r="N786" i="1"/>
  <c r="R786" i="1" s="1"/>
  <c r="C787" i="1"/>
  <c r="D787" i="1"/>
  <c r="F787" i="1"/>
  <c r="G787" i="1"/>
  <c r="N787" i="1"/>
  <c r="R787" i="1" s="1"/>
  <c r="C788" i="1"/>
  <c r="D788" i="1"/>
  <c r="F788" i="1"/>
  <c r="G788" i="1"/>
  <c r="N788" i="1"/>
  <c r="R788" i="1" s="1"/>
  <c r="C789" i="1"/>
  <c r="D789" i="1"/>
  <c r="F789" i="1"/>
  <c r="G789" i="1"/>
  <c r="N789" i="1"/>
  <c r="R789" i="1" s="1"/>
  <c r="C790" i="1"/>
  <c r="D790" i="1"/>
  <c r="F790" i="1"/>
  <c r="G790" i="1"/>
  <c r="N790" i="1"/>
  <c r="R790" i="1" s="1"/>
  <c r="C791" i="1"/>
  <c r="D791" i="1"/>
  <c r="F791" i="1"/>
  <c r="G791" i="1"/>
  <c r="N791" i="1"/>
  <c r="R791" i="1" s="1"/>
  <c r="W791" i="1" s="1"/>
  <c r="C792" i="1"/>
  <c r="D792" i="1"/>
  <c r="F792" i="1"/>
  <c r="G792" i="1"/>
  <c r="N792" i="1"/>
  <c r="R792" i="1" s="1"/>
  <c r="C793" i="1"/>
  <c r="D793" i="1"/>
  <c r="F793" i="1"/>
  <c r="G793" i="1"/>
  <c r="N793" i="1"/>
  <c r="R793" i="1" s="1"/>
  <c r="C794" i="1"/>
  <c r="D794" i="1"/>
  <c r="F794" i="1"/>
  <c r="G794" i="1"/>
  <c r="N794" i="1"/>
  <c r="R794" i="1" s="1"/>
  <c r="C795" i="1"/>
  <c r="D795" i="1"/>
  <c r="F795" i="1"/>
  <c r="G795" i="1"/>
  <c r="N795" i="1"/>
  <c r="R795" i="1" s="1"/>
  <c r="C796" i="1"/>
  <c r="D796" i="1"/>
  <c r="F796" i="1"/>
  <c r="G796" i="1"/>
  <c r="N796" i="1"/>
  <c r="R796" i="1" s="1"/>
  <c r="C797" i="1"/>
  <c r="D797" i="1"/>
  <c r="F797" i="1"/>
  <c r="G797" i="1"/>
  <c r="N797" i="1"/>
  <c r="R797" i="1" s="1"/>
  <c r="C798" i="1"/>
  <c r="D798" i="1"/>
  <c r="F798" i="1"/>
  <c r="G798" i="1"/>
  <c r="N798" i="1"/>
  <c r="R798" i="1" s="1"/>
  <c r="C799" i="1"/>
  <c r="D799" i="1"/>
  <c r="F799" i="1"/>
  <c r="G799" i="1"/>
  <c r="N799" i="1"/>
  <c r="R799" i="1" s="1"/>
  <c r="W799" i="1" s="1"/>
  <c r="C800" i="1"/>
  <c r="D800" i="1"/>
  <c r="F800" i="1"/>
  <c r="G800" i="1"/>
  <c r="N800" i="1"/>
  <c r="R800" i="1" s="1"/>
  <c r="C801" i="1"/>
  <c r="D801" i="1"/>
  <c r="F801" i="1"/>
  <c r="G801" i="1"/>
  <c r="N801" i="1"/>
  <c r="R801" i="1" s="1"/>
  <c r="C802" i="1"/>
  <c r="D802" i="1"/>
  <c r="F802" i="1"/>
  <c r="G802" i="1"/>
  <c r="N802" i="1"/>
  <c r="R802" i="1" s="1"/>
  <c r="C803" i="1"/>
  <c r="D803" i="1"/>
  <c r="F803" i="1"/>
  <c r="G803" i="1"/>
  <c r="N803" i="1"/>
  <c r="R803" i="1" s="1"/>
  <c r="C804" i="1"/>
  <c r="D804" i="1"/>
  <c r="F804" i="1"/>
  <c r="G804" i="1"/>
  <c r="N804" i="1"/>
  <c r="R804" i="1" s="1"/>
  <c r="C805" i="1"/>
  <c r="D805" i="1"/>
  <c r="F805" i="1"/>
  <c r="G805" i="1"/>
  <c r="N805" i="1"/>
  <c r="R805" i="1" s="1"/>
  <c r="C806" i="1"/>
  <c r="D806" i="1"/>
  <c r="F806" i="1"/>
  <c r="G806" i="1"/>
  <c r="N806" i="1"/>
  <c r="R806" i="1" s="1"/>
  <c r="C807" i="1"/>
  <c r="D807" i="1"/>
  <c r="F807" i="1"/>
  <c r="G807" i="1"/>
  <c r="N807" i="1"/>
  <c r="R807" i="1" s="1"/>
  <c r="W807" i="1" s="1"/>
  <c r="C808" i="1"/>
  <c r="D808" i="1"/>
  <c r="F808" i="1"/>
  <c r="G808" i="1"/>
  <c r="N808" i="1"/>
  <c r="R808" i="1" s="1"/>
  <c r="C809" i="1"/>
  <c r="D809" i="1"/>
  <c r="F809" i="1"/>
  <c r="G809" i="1"/>
  <c r="N809" i="1"/>
  <c r="R809" i="1" s="1"/>
  <c r="C810" i="1"/>
  <c r="D810" i="1"/>
  <c r="F810" i="1"/>
  <c r="G810" i="1"/>
  <c r="N810" i="1"/>
  <c r="R810" i="1" s="1"/>
  <c r="W810" i="1" s="1"/>
  <c r="C811" i="1"/>
  <c r="D811" i="1"/>
  <c r="F811" i="1"/>
  <c r="G811" i="1"/>
  <c r="N811" i="1"/>
  <c r="R811" i="1" s="1"/>
  <c r="C812" i="1"/>
  <c r="D812" i="1"/>
  <c r="F812" i="1"/>
  <c r="G812" i="1"/>
  <c r="N812" i="1"/>
  <c r="R812" i="1" s="1"/>
  <c r="C813" i="1"/>
  <c r="D813" i="1"/>
  <c r="F813" i="1"/>
  <c r="G813" i="1"/>
  <c r="N813" i="1"/>
  <c r="R813" i="1" s="1"/>
  <c r="C814" i="1"/>
  <c r="D814" i="1"/>
  <c r="F814" i="1"/>
  <c r="G814" i="1"/>
  <c r="N814" i="1"/>
  <c r="R814" i="1" s="1"/>
  <c r="W814" i="1" s="1"/>
  <c r="C815" i="1"/>
  <c r="D815" i="1"/>
  <c r="F815" i="1"/>
  <c r="G815" i="1"/>
  <c r="N815" i="1"/>
  <c r="R815" i="1" s="1"/>
  <c r="C816" i="1"/>
  <c r="D816" i="1"/>
  <c r="F816" i="1"/>
  <c r="G816" i="1"/>
  <c r="N816" i="1"/>
  <c r="R816" i="1" s="1"/>
  <c r="W816" i="1" s="1"/>
  <c r="C817" i="1"/>
  <c r="D817" i="1"/>
  <c r="F817" i="1"/>
  <c r="G817" i="1"/>
  <c r="N817" i="1"/>
  <c r="R817" i="1" s="1"/>
  <c r="C818" i="1"/>
  <c r="D818" i="1"/>
  <c r="F818" i="1"/>
  <c r="G818" i="1"/>
  <c r="N818" i="1"/>
  <c r="R818" i="1" s="1"/>
  <c r="C819" i="1"/>
  <c r="D819" i="1"/>
  <c r="F819" i="1"/>
  <c r="G819" i="1"/>
  <c r="N819" i="1"/>
  <c r="R819" i="1" s="1"/>
  <c r="C820" i="1"/>
  <c r="D820" i="1"/>
  <c r="F820" i="1"/>
  <c r="G820" i="1"/>
  <c r="N820" i="1"/>
  <c r="R820" i="1" s="1"/>
  <c r="C821" i="1"/>
  <c r="D821" i="1"/>
  <c r="F821" i="1"/>
  <c r="G821" i="1"/>
  <c r="N821" i="1"/>
  <c r="R821" i="1" s="1"/>
  <c r="C822" i="1"/>
  <c r="D822" i="1"/>
  <c r="F822" i="1"/>
  <c r="G822" i="1"/>
  <c r="N822" i="1"/>
  <c r="R822" i="1" s="1"/>
  <c r="W822" i="1" s="1"/>
  <c r="C823" i="1"/>
  <c r="D823" i="1"/>
  <c r="F823" i="1"/>
  <c r="G823" i="1"/>
  <c r="N823" i="1"/>
  <c r="R823" i="1" s="1"/>
  <c r="C824" i="1"/>
  <c r="D824" i="1"/>
  <c r="F824" i="1"/>
  <c r="G824" i="1"/>
  <c r="N824" i="1"/>
  <c r="R824" i="1" s="1"/>
  <c r="C825" i="1"/>
  <c r="D825" i="1"/>
  <c r="F825" i="1"/>
  <c r="G825" i="1"/>
  <c r="N825" i="1"/>
  <c r="R825" i="1" s="1"/>
  <c r="W825" i="1" s="1"/>
  <c r="C826" i="1"/>
  <c r="D826" i="1"/>
  <c r="F826" i="1"/>
  <c r="G826" i="1"/>
  <c r="N826" i="1"/>
  <c r="R826" i="1" s="1"/>
  <c r="C827" i="1"/>
  <c r="D827" i="1"/>
  <c r="F827" i="1"/>
  <c r="G827" i="1"/>
  <c r="N827" i="1"/>
  <c r="R827" i="1" s="1"/>
  <c r="C828" i="1"/>
  <c r="D828" i="1"/>
  <c r="F828" i="1"/>
  <c r="G828" i="1"/>
  <c r="N828" i="1"/>
  <c r="R828" i="1" s="1"/>
  <c r="C829" i="1"/>
  <c r="D829" i="1"/>
  <c r="F829" i="1"/>
  <c r="G829" i="1"/>
  <c r="N829" i="1"/>
  <c r="R829" i="1" s="1"/>
  <c r="W829" i="1" s="1"/>
  <c r="C830" i="1"/>
  <c r="D830" i="1"/>
  <c r="F830" i="1"/>
  <c r="G830" i="1"/>
  <c r="N830" i="1"/>
  <c r="R830" i="1" s="1"/>
  <c r="C831" i="1"/>
  <c r="D831" i="1"/>
  <c r="F831" i="1"/>
  <c r="G831" i="1"/>
  <c r="N831" i="1"/>
  <c r="R831" i="1" s="1"/>
  <c r="W831" i="1" s="1"/>
  <c r="C832" i="1"/>
  <c r="D832" i="1"/>
  <c r="F832" i="1"/>
  <c r="G832" i="1"/>
  <c r="N832" i="1"/>
  <c r="R832" i="1" s="1"/>
  <c r="C833" i="1"/>
  <c r="D833" i="1"/>
  <c r="F833" i="1"/>
  <c r="G833" i="1"/>
  <c r="N833" i="1"/>
  <c r="R833" i="1" s="1"/>
  <c r="C834" i="1"/>
  <c r="D834" i="1"/>
  <c r="F834" i="1"/>
  <c r="G834" i="1"/>
  <c r="N834" i="1"/>
  <c r="R834" i="1" s="1"/>
  <c r="C835" i="1"/>
  <c r="D835" i="1"/>
  <c r="F835" i="1"/>
  <c r="G835" i="1"/>
  <c r="N835" i="1"/>
  <c r="R835" i="1" s="1"/>
  <c r="W835" i="1" s="1"/>
  <c r="C836" i="1"/>
  <c r="D836" i="1"/>
  <c r="F836" i="1"/>
  <c r="G836" i="1"/>
  <c r="N836" i="1"/>
  <c r="R836" i="1" s="1"/>
  <c r="C837" i="1"/>
  <c r="D837" i="1"/>
  <c r="F837" i="1"/>
  <c r="G837" i="1"/>
  <c r="N837" i="1"/>
  <c r="R837" i="1" s="1"/>
  <c r="W837" i="1" s="1"/>
  <c r="C838" i="1"/>
  <c r="D838" i="1"/>
  <c r="F838" i="1"/>
  <c r="G838" i="1"/>
  <c r="N838" i="1"/>
  <c r="R838" i="1" s="1"/>
  <c r="W838" i="1" s="1"/>
  <c r="C839" i="1"/>
  <c r="D839" i="1"/>
  <c r="F839" i="1"/>
  <c r="G839" i="1"/>
  <c r="N839" i="1"/>
  <c r="R839" i="1" s="1"/>
  <c r="W839" i="1" s="1"/>
  <c r="C840" i="1"/>
  <c r="D840" i="1"/>
  <c r="F840" i="1"/>
  <c r="G840" i="1"/>
  <c r="I840" i="1"/>
  <c r="J840" i="1"/>
  <c r="K840" i="1"/>
  <c r="L840" i="1"/>
  <c r="N840" i="1"/>
  <c r="R840" i="1" s="1"/>
  <c r="C841" i="1"/>
  <c r="D841" i="1"/>
  <c r="F841" i="1"/>
  <c r="G841" i="1"/>
  <c r="I841" i="1"/>
  <c r="J841" i="1"/>
  <c r="K841" i="1"/>
  <c r="L841" i="1"/>
  <c r="N841" i="1"/>
  <c r="R841" i="1" s="1"/>
  <c r="C842" i="1"/>
  <c r="D842" i="1"/>
  <c r="F842" i="1"/>
  <c r="G842" i="1"/>
  <c r="N842" i="1"/>
  <c r="R842" i="1" s="1"/>
  <c r="W842" i="1" s="1"/>
  <c r="C843" i="1"/>
  <c r="D843" i="1"/>
  <c r="F843" i="1"/>
  <c r="G843" i="1"/>
  <c r="N843" i="1"/>
  <c r="R843" i="1" s="1"/>
  <c r="C844" i="1"/>
  <c r="D844" i="1"/>
  <c r="F844" i="1"/>
  <c r="G844" i="1"/>
  <c r="N844" i="1"/>
  <c r="R844" i="1" s="1"/>
  <c r="W844" i="1" s="1"/>
  <c r="C845" i="1"/>
  <c r="D845" i="1"/>
  <c r="F845" i="1"/>
  <c r="G845" i="1"/>
  <c r="N845" i="1"/>
  <c r="R845" i="1" s="1"/>
  <c r="C846" i="1"/>
  <c r="D846" i="1"/>
  <c r="F846" i="1"/>
  <c r="G846" i="1"/>
  <c r="I846" i="1"/>
  <c r="J846" i="1"/>
  <c r="K846" i="1"/>
  <c r="L846" i="1"/>
  <c r="N846" i="1"/>
  <c r="R846" i="1" s="1"/>
  <c r="W846" i="1" s="1"/>
  <c r="C847" i="1"/>
  <c r="D847" i="1"/>
  <c r="F847" i="1"/>
  <c r="G847" i="1"/>
  <c r="I847" i="1"/>
  <c r="J847" i="1"/>
  <c r="K847" i="1"/>
  <c r="L847" i="1"/>
  <c r="N847" i="1"/>
  <c r="R847" i="1" s="1"/>
  <c r="C848" i="1"/>
  <c r="D848" i="1"/>
  <c r="F848" i="1"/>
  <c r="G848" i="1"/>
  <c r="I848" i="1"/>
  <c r="J848" i="1"/>
  <c r="K848" i="1"/>
  <c r="L848" i="1"/>
  <c r="N848" i="1"/>
  <c r="R848" i="1" s="1"/>
  <c r="C849" i="1"/>
  <c r="D849" i="1"/>
  <c r="F849" i="1"/>
  <c r="G849" i="1"/>
  <c r="I849" i="1"/>
  <c r="J849" i="1"/>
  <c r="K849" i="1"/>
  <c r="L849" i="1"/>
  <c r="N849" i="1"/>
  <c r="R849" i="1" s="1"/>
  <c r="C850" i="1"/>
  <c r="D850" i="1"/>
  <c r="F850" i="1"/>
  <c r="G850" i="1"/>
  <c r="I850" i="1"/>
  <c r="J850" i="1"/>
  <c r="K850" i="1"/>
  <c r="L850" i="1"/>
  <c r="N850" i="1"/>
  <c r="R850" i="1" s="1"/>
  <c r="W850" i="1" s="1"/>
  <c r="C851" i="1"/>
  <c r="D851" i="1"/>
  <c r="F851" i="1"/>
  <c r="G851" i="1"/>
  <c r="N851" i="1"/>
  <c r="R851" i="1" s="1"/>
  <c r="C852" i="1"/>
  <c r="D852" i="1"/>
  <c r="F852" i="1"/>
  <c r="G852" i="1"/>
  <c r="N852" i="1"/>
  <c r="R852" i="1" s="1"/>
  <c r="W852" i="1" s="1"/>
  <c r="C853" i="1"/>
  <c r="D853" i="1"/>
  <c r="F853" i="1"/>
  <c r="G853" i="1"/>
  <c r="N853" i="1"/>
  <c r="R853" i="1" s="1"/>
  <c r="C854" i="1"/>
  <c r="D854" i="1"/>
  <c r="F854" i="1"/>
  <c r="G854" i="1"/>
  <c r="N854" i="1"/>
  <c r="R854" i="1" s="1"/>
  <c r="W854" i="1" s="1"/>
  <c r="C855" i="1"/>
  <c r="D855" i="1"/>
  <c r="F855" i="1"/>
  <c r="G855" i="1"/>
  <c r="N855" i="1"/>
  <c r="R855" i="1" s="1"/>
  <c r="C856" i="1"/>
  <c r="D856" i="1"/>
  <c r="F856" i="1"/>
  <c r="G856" i="1"/>
  <c r="N856" i="1"/>
  <c r="R856" i="1" s="1"/>
  <c r="W856" i="1" s="1"/>
  <c r="C857" i="1"/>
  <c r="D857" i="1"/>
  <c r="F857" i="1"/>
  <c r="G857" i="1"/>
  <c r="N857" i="1"/>
  <c r="R857" i="1" s="1"/>
  <c r="C858" i="1"/>
  <c r="D858" i="1"/>
  <c r="F858" i="1"/>
  <c r="G858" i="1"/>
  <c r="N858" i="1"/>
  <c r="R858" i="1" s="1"/>
  <c r="W858" i="1" s="1"/>
  <c r="C859" i="1"/>
  <c r="D859" i="1"/>
  <c r="F859" i="1"/>
  <c r="G859" i="1"/>
  <c r="N859" i="1"/>
  <c r="R859" i="1" s="1"/>
  <c r="C860" i="1"/>
  <c r="D860" i="1"/>
  <c r="F860" i="1"/>
  <c r="G860" i="1"/>
  <c r="N860" i="1"/>
  <c r="R860" i="1" s="1"/>
  <c r="C861" i="1"/>
  <c r="D861" i="1"/>
  <c r="F861" i="1"/>
  <c r="G861" i="1"/>
  <c r="N861" i="1"/>
  <c r="R861" i="1" s="1"/>
  <c r="C862" i="1"/>
  <c r="D862" i="1"/>
  <c r="F862" i="1"/>
  <c r="G862" i="1"/>
  <c r="N862" i="1"/>
  <c r="R862" i="1" s="1"/>
  <c r="W862" i="1" s="1"/>
  <c r="C863" i="1"/>
  <c r="D863" i="1"/>
  <c r="F863" i="1"/>
  <c r="G863" i="1"/>
  <c r="N863" i="1"/>
  <c r="R863" i="1" s="1"/>
  <c r="C864" i="1"/>
  <c r="D864" i="1"/>
  <c r="F864" i="1"/>
  <c r="G864" i="1"/>
  <c r="N864" i="1"/>
  <c r="R864" i="1" s="1"/>
  <c r="C865" i="1"/>
  <c r="D865" i="1"/>
  <c r="F865" i="1"/>
  <c r="G865" i="1"/>
  <c r="N865" i="1"/>
  <c r="R865" i="1" s="1"/>
  <c r="C866" i="1"/>
  <c r="D866" i="1"/>
  <c r="F866" i="1"/>
  <c r="G866" i="1"/>
  <c r="N866" i="1"/>
  <c r="R866" i="1" s="1"/>
  <c r="W866" i="1" s="1"/>
  <c r="C867" i="1"/>
  <c r="D867" i="1"/>
  <c r="F867" i="1"/>
  <c r="G867" i="1"/>
  <c r="N867" i="1"/>
  <c r="R867" i="1" s="1"/>
  <c r="C868" i="1"/>
  <c r="D868" i="1"/>
  <c r="F868" i="1"/>
  <c r="G868" i="1"/>
  <c r="N868" i="1"/>
  <c r="R868" i="1" s="1"/>
  <c r="C869" i="1"/>
  <c r="D869" i="1"/>
  <c r="F869" i="1"/>
  <c r="G869" i="1"/>
  <c r="N869" i="1"/>
  <c r="R869" i="1" s="1"/>
  <c r="W869" i="1" s="1"/>
  <c r="C870" i="1"/>
  <c r="D870" i="1"/>
  <c r="F870" i="1"/>
  <c r="G870" i="1"/>
  <c r="I870" i="1"/>
  <c r="J870" i="1"/>
  <c r="K870" i="1"/>
  <c r="L870" i="1"/>
  <c r="N870" i="1"/>
  <c r="R870" i="1" s="1"/>
  <c r="C871" i="1"/>
  <c r="D871" i="1"/>
  <c r="F871" i="1"/>
  <c r="G871" i="1"/>
  <c r="I871" i="1"/>
  <c r="J871" i="1"/>
  <c r="K871" i="1"/>
  <c r="L871" i="1"/>
  <c r="N871" i="1"/>
  <c r="R871" i="1" s="1"/>
  <c r="W871" i="1" s="1"/>
  <c r="C872" i="1"/>
  <c r="D872" i="1"/>
  <c r="F872" i="1"/>
  <c r="G872" i="1"/>
  <c r="I872" i="1"/>
  <c r="J872" i="1"/>
  <c r="K872" i="1"/>
  <c r="L872" i="1"/>
  <c r="N872" i="1"/>
  <c r="R872" i="1" s="1"/>
  <c r="C873" i="1"/>
  <c r="D873" i="1"/>
  <c r="F873" i="1"/>
  <c r="G873" i="1"/>
  <c r="I873" i="1"/>
  <c r="J873" i="1"/>
  <c r="K873" i="1"/>
  <c r="L873" i="1"/>
  <c r="N873" i="1"/>
  <c r="R873" i="1" s="1"/>
  <c r="W873" i="1" s="1"/>
  <c r="C874" i="1"/>
  <c r="D874" i="1"/>
  <c r="F874" i="1"/>
  <c r="G874" i="1"/>
  <c r="I874" i="1"/>
  <c r="J874" i="1"/>
  <c r="K874" i="1"/>
  <c r="L874" i="1"/>
  <c r="N874" i="1"/>
  <c r="R874" i="1" s="1"/>
  <c r="C875" i="1"/>
  <c r="D875" i="1"/>
  <c r="F875" i="1"/>
  <c r="G875" i="1"/>
  <c r="I875" i="1"/>
  <c r="J875" i="1"/>
  <c r="K875" i="1"/>
  <c r="L875" i="1"/>
  <c r="N875" i="1"/>
  <c r="R875" i="1" s="1"/>
  <c r="W875" i="1" s="1"/>
  <c r="C876" i="1"/>
  <c r="D876" i="1"/>
  <c r="F876" i="1"/>
  <c r="G876" i="1"/>
  <c r="I876" i="1"/>
  <c r="J876" i="1"/>
  <c r="K876" i="1"/>
  <c r="L876" i="1"/>
  <c r="N876" i="1"/>
  <c r="R876" i="1" s="1"/>
  <c r="C877" i="1"/>
  <c r="D877" i="1"/>
  <c r="F877" i="1"/>
  <c r="G877" i="1"/>
  <c r="I877" i="1"/>
  <c r="J877" i="1"/>
  <c r="K877" i="1"/>
  <c r="L877" i="1"/>
  <c r="N877" i="1"/>
  <c r="R877" i="1" s="1"/>
  <c r="C878" i="1"/>
  <c r="D878" i="1"/>
  <c r="F878" i="1"/>
  <c r="G878" i="1"/>
  <c r="I878" i="1"/>
  <c r="J878" i="1"/>
  <c r="K878" i="1"/>
  <c r="L878" i="1"/>
  <c r="N878" i="1"/>
  <c r="R878" i="1" s="1"/>
  <c r="W878" i="1" s="1"/>
  <c r="C879" i="1"/>
  <c r="D879" i="1"/>
  <c r="F879" i="1"/>
  <c r="G879" i="1"/>
  <c r="I879" i="1"/>
  <c r="J879" i="1"/>
  <c r="K879" i="1"/>
  <c r="L879" i="1"/>
  <c r="N879" i="1"/>
  <c r="R879" i="1" s="1"/>
  <c r="C880" i="1"/>
  <c r="D880" i="1"/>
  <c r="F880" i="1"/>
  <c r="G880" i="1"/>
  <c r="I880" i="1"/>
  <c r="J880" i="1"/>
  <c r="K880" i="1"/>
  <c r="L880" i="1"/>
  <c r="N880" i="1"/>
  <c r="R880" i="1" s="1"/>
  <c r="W880" i="1" s="1"/>
  <c r="C881" i="1"/>
  <c r="D881" i="1"/>
  <c r="F881" i="1"/>
  <c r="G881" i="1"/>
  <c r="I881" i="1"/>
  <c r="J881" i="1"/>
  <c r="K881" i="1"/>
  <c r="L881" i="1"/>
  <c r="N881" i="1"/>
  <c r="R881" i="1" s="1"/>
  <c r="C882" i="1"/>
  <c r="D882" i="1"/>
  <c r="F882" i="1"/>
  <c r="G882" i="1"/>
  <c r="N882" i="1"/>
  <c r="R882" i="1" s="1"/>
  <c r="W882" i="1" s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8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6" i="1"/>
  <c r="A377" i="1"/>
  <c r="A380" i="1"/>
  <c r="A381" i="1"/>
  <c r="A382" i="1"/>
  <c r="A383" i="1"/>
  <c r="A384" i="1"/>
  <c r="A385" i="1"/>
  <c r="A386" i="1"/>
  <c r="A388" i="1"/>
  <c r="A391" i="1"/>
  <c r="A392" i="1"/>
  <c r="A393" i="1"/>
  <c r="A394" i="1"/>
  <c r="A395" i="1"/>
  <c r="A396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5" i="1"/>
  <c r="A417" i="1"/>
  <c r="A418" i="1"/>
  <c r="A419" i="1"/>
  <c r="A420" i="1"/>
  <c r="A421" i="1"/>
  <c r="A422" i="1"/>
  <c r="A423" i="1"/>
  <c r="A424" i="1"/>
  <c r="A425" i="1"/>
  <c r="A426" i="1"/>
  <c r="A427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6" i="1"/>
  <c r="A487" i="1"/>
  <c r="A488" i="1"/>
  <c r="A489" i="1"/>
  <c r="A490" i="1"/>
  <c r="A491" i="1"/>
  <c r="A492" i="1"/>
  <c r="A493" i="1"/>
  <c r="A494" i="1"/>
  <c r="A495" i="1"/>
  <c r="A496" i="1"/>
  <c r="A500" i="1"/>
  <c r="A501" i="1"/>
  <c r="A502" i="1"/>
  <c r="A503" i="1"/>
  <c r="A504" i="1"/>
  <c r="A506" i="1"/>
  <c r="A507" i="1"/>
  <c r="A508" i="1"/>
  <c r="A509" i="1"/>
  <c r="A510" i="1"/>
  <c r="A511" i="1"/>
  <c r="A512" i="1"/>
  <c r="A513" i="1"/>
  <c r="A515" i="1"/>
  <c r="A517" i="1"/>
  <c r="A518" i="1"/>
  <c r="A519" i="1"/>
  <c r="A521" i="1"/>
  <c r="A522" i="1"/>
  <c r="A523" i="1"/>
  <c r="A524" i="1"/>
  <c r="A525" i="1"/>
  <c r="A530" i="1"/>
  <c r="A531" i="1"/>
  <c r="A532" i="1"/>
  <c r="A534" i="1"/>
  <c r="A535" i="1"/>
  <c r="A538" i="1"/>
  <c r="A539" i="1"/>
  <c r="A540" i="1"/>
  <c r="A541" i="1"/>
  <c r="A542" i="1"/>
  <c r="A543" i="1"/>
  <c r="A544" i="1"/>
  <c r="A545" i="1"/>
  <c r="A546" i="1"/>
  <c r="A547" i="1"/>
  <c r="A548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6" i="1"/>
  <c r="A568" i="1"/>
  <c r="A569" i="1"/>
  <c r="A570" i="1"/>
  <c r="A571" i="1"/>
  <c r="A572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40" i="1"/>
  <c r="A643" i="1"/>
  <c r="A644" i="1"/>
  <c r="A645" i="1"/>
  <c r="A646" i="1"/>
  <c r="A647" i="1"/>
  <c r="A648" i="1"/>
  <c r="A649" i="1"/>
  <c r="A650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4" i="1"/>
  <c r="A725" i="1"/>
  <c r="A726" i="1"/>
  <c r="A727" i="1"/>
  <c r="A728" i="1"/>
  <c r="A729" i="1"/>
  <c r="A730" i="1"/>
  <c r="A731" i="1"/>
  <c r="A732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W1035" i="1" l="1"/>
  <c r="U1035" i="1"/>
  <c r="W689" i="1"/>
  <c r="U689" i="1"/>
  <c r="W421" i="1"/>
  <c r="U421" i="1"/>
  <c r="W303" i="1"/>
  <c r="U303" i="1"/>
  <c r="W1053" i="1"/>
  <c r="U1053" i="1"/>
  <c r="W1052" i="1"/>
  <c r="U1052" i="1"/>
  <c r="W833" i="1"/>
  <c r="U833" i="1"/>
  <c r="W534" i="1"/>
  <c r="U534" i="1"/>
  <c r="W895" i="1"/>
  <c r="U895" i="1"/>
  <c r="W894" i="1"/>
  <c r="U894" i="1"/>
  <c r="W364" i="1"/>
  <c r="U364" i="1"/>
  <c r="W893" i="1"/>
  <c r="U893" i="1"/>
  <c r="W904" i="1"/>
  <c r="U904" i="1"/>
  <c r="W388" i="1"/>
  <c r="U388" i="1"/>
  <c r="U976" i="1"/>
  <c r="W976" i="1"/>
  <c r="U975" i="1"/>
  <c r="W975" i="1"/>
  <c r="U653" i="1"/>
  <c r="W653" i="1"/>
  <c r="W933" i="1"/>
  <c r="U933" i="1"/>
  <c r="U538" i="1"/>
  <c r="W538" i="1"/>
  <c r="U515" i="1"/>
  <c r="W515" i="1"/>
  <c r="W512" i="1"/>
  <c r="U512" i="1"/>
  <c r="W393" i="1"/>
  <c r="U393" i="1"/>
  <c r="R392" i="1"/>
  <c r="W392" i="1" s="1"/>
  <c r="W1003" i="1"/>
  <c r="U1003" i="1"/>
  <c r="W1008" i="1"/>
  <c r="U1008" i="1"/>
  <c r="W570" i="1"/>
  <c r="U570" i="1"/>
  <c r="W1010" i="1"/>
  <c r="U1010" i="1"/>
  <c r="W1009" i="1"/>
  <c r="U1009" i="1"/>
  <c r="U575" i="1"/>
  <c r="W575" i="1"/>
  <c r="W572" i="1"/>
  <c r="U572" i="1"/>
  <c r="W376" i="1"/>
  <c r="U376" i="1"/>
  <c r="W914" i="1"/>
  <c r="U914" i="1"/>
  <c r="W913" i="1"/>
  <c r="U913" i="1"/>
  <c r="W403" i="1"/>
  <c r="U403" i="1"/>
  <c r="W298" i="1"/>
  <c r="U298" i="1"/>
  <c r="U964" i="1"/>
  <c r="W964" i="1"/>
  <c r="W500" i="1"/>
  <c r="U500" i="1"/>
  <c r="U418" i="1"/>
  <c r="W418" i="1"/>
  <c r="W419" i="1"/>
  <c r="U419" i="1"/>
  <c r="W902" i="1"/>
  <c r="U902" i="1"/>
  <c r="W901" i="1"/>
  <c r="U901" i="1"/>
  <c r="W486" i="1"/>
  <c r="U486" i="1"/>
  <c r="W585" i="1"/>
  <c r="U585" i="1"/>
  <c r="U584" i="1"/>
  <c r="W584" i="1"/>
  <c r="W553" i="1"/>
  <c r="U553" i="1"/>
  <c r="U979" i="1"/>
  <c r="W979" i="1"/>
  <c r="U506" i="1"/>
  <c r="W506" i="1"/>
  <c r="W711" i="1"/>
  <c r="U711" i="1"/>
  <c r="U736" i="1"/>
  <c r="W736" i="1"/>
  <c r="W368" i="1"/>
  <c r="U368" i="1"/>
  <c r="U517" i="1"/>
  <c r="W517" i="1"/>
  <c r="W1059" i="1"/>
  <c r="U1059" i="1"/>
  <c r="W1060" i="1"/>
  <c r="U1060" i="1"/>
  <c r="W305" i="1"/>
  <c r="U305" i="1"/>
  <c r="W304" i="1"/>
  <c r="U304" i="1"/>
  <c r="W580" i="1"/>
  <c r="U580" i="1"/>
  <c r="U643" i="1"/>
  <c r="W643" i="1"/>
  <c r="U415" i="1"/>
  <c r="W415" i="1"/>
  <c r="W916" i="1"/>
  <c r="U916" i="1"/>
  <c r="U569" i="1"/>
  <c r="W569" i="1"/>
  <c r="U1047" i="1"/>
  <c r="W1047" i="1"/>
  <c r="W576" i="1"/>
  <c r="U576" i="1"/>
  <c r="W951" i="1"/>
  <c r="U951" i="1"/>
  <c r="W476" i="1"/>
  <c r="U476" i="1"/>
  <c r="W955" i="1"/>
  <c r="U955" i="1"/>
  <c r="W954" i="1"/>
  <c r="U954" i="1"/>
  <c r="U953" i="1"/>
  <c r="W953" i="1"/>
  <c r="W475" i="1"/>
  <c r="U475" i="1"/>
  <c r="W952" i="1"/>
  <c r="U952" i="1"/>
  <c r="U1046" i="1"/>
  <c r="W1046" i="1"/>
  <c r="W482" i="1"/>
  <c r="U482" i="1"/>
  <c r="W372" i="1"/>
  <c r="U372" i="1"/>
  <c r="U373" i="1"/>
  <c r="W373" i="1"/>
  <c r="W374" i="1"/>
  <c r="U374" i="1"/>
  <c r="U1040" i="1"/>
  <c r="W1040" i="1"/>
  <c r="W721" i="1"/>
  <c r="U721" i="1"/>
  <c r="U817" i="1"/>
  <c r="U423" i="1"/>
  <c r="U256" i="1"/>
  <c r="U391" i="1"/>
  <c r="U381" i="1"/>
  <c r="U356" i="1"/>
  <c r="U927" i="1"/>
  <c r="U886" i="1"/>
  <c r="U972" i="1"/>
  <c r="U462" i="1"/>
  <c r="U453" i="1"/>
  <c r="U437" i="1"/>
  <c r="U417" i="1"/>
  <c r="U353" i="1"/>
  <c r="U361" i="1"/>
  <c r="U320" i="1"/>
  <c r="U284" i="1"/>
  <c r="U278" i="1"/>
  <c r="U270" i="1"/>
  <c r="U349" i="1"/>
  <c r="U452" i="1"/>
  <c r="U821" i="1"/>
  <c r="U799" i="1"/>
  <c r="U408" i="1"/>
  <c r="U402" i="1"/>
  <c r="U394" i="1"/>
  <c r="U946" i="1"/>
  <c r="U413" i="1"/>
  <c r="U385" i="1"/>
  <c r="U318" i="1"/>
  <c r="U669" i="1"/>
  <c r="U412" i="1"/>
  <c r="U262" i="1"/>
  <c r="U471" i="1"/>
  <c r="U439" i="1"/>
  <c r="U404" i="1"/>
  <c r="U398" i="1"/>
  <c r="U370" i="1"/>
  <c r="U338" i="1"/>
  <c r="U245" i="1"/>
  <c r="U252" i="1"/>
  <c r="U237" i="1"/>
  <c r="U492" i="1"/>
  <c r="U344" i="1"/>
  <c r="U259" i="1"/>
  <c r="U990" i="1"/>
  <c r="U960" i="1"/>
  <c r="U243" i="1"/>
  <c r="W243" i="1"/>
  <c r="U292" i="1"/>
  <c r="U285" i="1"/>
  <c r="U1100" i="1"/>
  <c r="U837" i="1"/>
  <c r="U1081" i="1"/>
  <c r="U335" i="1"/>
  <c r="U264" i="1"/>
  <c r="U682" i="1"/>
  <c r="U1072" i="1"/>
  <c r="U327" i="1"/>
  <c r="U540" i="1"/>
  <c r="U1112" i="1"/>
  <c r="U705" i="1"/>
  <c r="W808" i="1"/>
  <c r="U808" i="1"/>
  <c r="U454" i="1"/>
  <c r="W454" i="1"/>
  <c r="U896" i="1"/>
  <c r="W896" i="1"/>
  <c r="U1109" i="1"/>
  <c r="W1109" i="1"/>
  <c r="W1078" i="1"/>
  <c r="U1078" i="1"/>
  <c r="W1066" i="1"/>
  <c r="U1066" i="1"/>
  <c r="U1083" i="1"/>
  <c r="W1083" i="1"/>
  <c r="U1064" i="1"/>
  <c r="W1064" i="1"/>
  <c r="U1054" i="1"/>
  <c r="W1054" i="1"/>
  <c r="U1023" i="1"/>
  <c r="U831" i="1"/>
  <c r="W1065" i="1"/>
  <c r="U856" i="1"/>
  <c r="W946" i="1"/>
  <c r="U835" i="1"/>
  <c r="W285" i="1"/>
  <c r="U1085" i="1"/>
  <c r="U1076" i="1"/>
  <c r="W864" i="1"/>
  <c r="U864" i="1"/>
  <c r="U1050" i="1"/>
  <c r="W1050" i="1"/>
  <c r="U920" i="1"/>
  <c r="W920" i="1"/>
  <c r="W665" i="1"/>
  <c r="U665" i="1"/>
  <c r="U455" i="1"/>
  <c r="W455" i="1"/>
  <c r="U438" i="1"/>
  <c r="W438" i="1"/>
  <c r="U239" i="1"/>
  <c r="W239" i="1"/>
  <c r="U931" i="1"/>
  <c r="W931" i="1"/>
  <c r="U502" i="1"/>
  <c r="W502" i="1"/>
  <c r="U871" i="1"/>
  <c r="W684" i="1"/>
  <c r="U684" i="1"/>
  <c r="U676" i="1"/>
  <c r="U466" i="1"/>
  <c r="U432" i="1"/>
  <c r="W432" i="1"/>
  <c r="U1041" i="1"/>
  <c r="W1041" i="1"/>
  <c r="U974" i="1"/>
  <c r="W974" i="1"/>
  <c r="W460" i="1"/>
  <c r="U460" i="1"/>
  <c r="W848" i="1"/>
  <c r="U848" i="1"/>
  <c r="W729" i="1"/>
  <c r="U729" i="1"/>
  <c r="U272" i="1"/>
  <c r="W272" i="1"/>
  <c r="U260" i="1"/>
  <c r="W260" i="1"/>
  <c r="W937" i="1"/>
  <c r="U937" i="1"/>
  <c r="U915" i="1"/>
  <c r="W915" i="1"/>
  <c r="W860" i="1"/>
  <c r="U860" i="1"/>
  <c r="W693" i="1"/>
  <c r="U693" i="1"/>
  <c r="U447" i="1"/>
  <c r="W447" i="1"/>
  <c r="U250" i="1"/>
  <c r="W250" i="1"/>
  <c r="W929" i="1"/>
  <c r="U929" i="1"/>
  <c r="U247" i="1"/>
  <c r="W247" i="1"/>
  <c r="U996" i="1"/>
  <c r="W996" i="1"/>
  <c r="U838" i="1"/>
  <c r="U445" i="1"/>
  <c r="W445" i="1"/>
  <c r="U686" i="1"/>
  <c r="U495" i="1"/>
  <c r="W495" i="1"/>
  <c r="W423" i="1"/>
  <c r="U420" i="1"/>
  <c r="W420" i="1"/>
  <c r="U299" i="1"/>
  <c r="W299" i="1"/>
  <c r="W1029" i="1"/>
  <c r="U1029" i="1"/>
  <c r="U1011" i="1"/>
  <c r="W1011" i="1"/>
  <c r="U994" i="1"/>
  <c r="W994" i="1"/>
  <c r="U956" i="1"/>
  <c r="W956" i="1"/>
  <c r="U1033" i="1"/>
  <c r="W1033" i="1"/>
  <c r="W1025" i="1"/>
  <c r="U1025" i="1"/>
  <c r="W1019" i="1"/>
  <c r="U1019" i="1"/>
  <c r="W997" i="1"/>
  <c r="U997" i="1"/>
  <c r="W977" i="1"/>
  <c r="U977" i="1"/>
  <c r="U968" i="1"/>
  <c r="W968" i="1"/>
  <c r="U961" i="1"/>
  <c r="W961" i="1"/>
  <c r="W942" i="1"/>
  <c r="U942" i="1"/>
  <c r="W936" i="1"/>
  <c r="U936" i="1"/>
  <c r="U924" i="1"/>
  <c r="W924" i="1"/>
  <c r="W905" i="1"/>
  <c r="U905" i="1"/>
  <c r="W1030" i="1"/>
  <c r="U1030" i="1"/>
  <c r="U1116" i="1"/>
  <c r="W1116" i="1"/>
  <c r="U1113" i="1"/>
  <c r="W1113" i="1"/>
  <c r="U1107" i="1"/>
  <c r="W1107" i="1"/>
  <c r="U1095" i="1"/>
  <c r="W1095" i="1"/>
  <c r="U1092" i="1"/>
  <c r="W1092" i="1"/>
  <c r="U1082" i="1"/>
  <c r="W1082" i="1"/>
  <c r="U822" i="1"/>
  <c r="U722" i="1"/>
  <c r="U703" i="1"/>
  <c r="U695" i="1"/>
  <c r="U672" i="1"/>
  <c r="U1031" i="1"/>
  <c r="W1031" i="1"/>
  <c r="U1004" i="1"/>
  <c r="W1004" i="1"/>
  <c r="U998" i="1"/>
  <c r="W998" i="1"/>
  <c r="U981" i="1"/>
  <c r="W981" i="1"/>
  <c r="U971" i="1"/>
  <c r="W971" i="1"/>
  <c r="U928" i="1"/>
  <c r="W928" i="1"/>
  <c r="U926" i="1"/>
  <c r="W926" i="1"/>
  <c r="U923" i="1"/>
  <c r="W923" i="1"/>
  <c r="U917" i="1"/>
  <c r="W917" i="1"/>
  <c r="U910" i="1"/>
  <c r="W910" i="1"/>
  <c r="U892" i="1"/>
  <c r="W892" i="1"/>
  <c r="W990" i="1"/>
  <c r="U908" i="1"/>
  <c r="U494" i="1"/>
  <c r="W385" i="1"/>
  <c r="W381" i="1"/>
  <c r="W370" i="1"/>
  <c r="U312" i="1"/>
  <c r="U880" i="1"/>
  <c r="U852" i="1"/>
  <c r="U844" i="1"/>
  <c r="U451" i="1"/>
  <c r="U1038" i="1"/>
  <c r="W1038" i="1"/>
  <c r="U1014" i="1"/>
  <c r="W1014" i="1"/>
  <c r="U1012" i="1"/>
  <c r="W1012" i="1"/>
  <c r="U995" i="1"/>
  <c r="W995" i="1"/>
  <c r="U957" i="1"/>
  <c r="W957" i="1"/>
  <c r="U950" i="1"/>
  <c r="W950" i="1"/>
  <c r="U945" i="1"/>
  <c r="W945" i="1"/>
  <c r="W918" i="1"/>
  <c r="U918" i="1"/>
  <c r="U911" i="1"/>
  <c r="W911" i="1"/>
  <c r="W903" i="1"/>
  <c r="U903" i="1"/>
  <c r="U900" i="1"/>
  <c r="W900" i="1"/>
  <c r="W887" i="1"/>
  <c r="U887" i="1"/>
  <c r="W941" i="1"/>
  <c r="U941" i="1"/>
  <c r="U988" i="1"/>
  <c r="U531" i="1"/>
  <c r="U488" i="1"/>
  <c r="U465" i="1"/>
  <c r="U791" i="1"/>
  <c r="U680" i="1"/>
  <c r="U1016" i="1"/>
  <c r="W1016" i="1"/>
  <c r="W986" i="1"/>
  <c r="U986" i="1"/>
  <c r="W978" i="1"/>
  <c r="U978" i="1"/>
  <c r="U969" i="1"/>
  <c r="W969" i="1"/>
  <c r="U925" i="1"/>
  <c r="W925" i="1"/>
  <c r="W907" i="1"/>
  <c r="U907" i="1"/>
  <c r="U1039" i="1"/>
  <c r="W1039" i="1"/>
  <c r="U1020" i="1"/>
  <c r="W1020" i="1"/>
  <c r="U1007" i="1"/>
  <c r="W1007" i="1"/>
  <c r="U1005" i="1"/>
  <c r="W1005" i="1"/>
  <c r="W1002" i="1"/>
  <c r="U1002" i="1"/>
  <c r="U993" i="1"/>
  <c r="W993" i="1"/>
  <c r="U947" i="1"/>
  <c r="W947" i="1"/>
  <c r="U938" i="1"/>
  <c r="W938" i="1"/>
  <c r="U932" i="1"/>
  <c r="W932" i="1"/>
  <c r="U899" i="1"/>
  <c r="W899" i="1"/>
  <c r="W897" i="1"/>
  <c r="U897" i="1"/>
  <c r="W883" i="1"/>
  <c r="U883" i="1"/>
  <c r="U441" i="1"/>
  <c r="U395" i="1"/>
  <c r="U773" i="1"/>
  <c r="U740" i="1"/>
  <c r="U699" i="1"/>
  <c r="U464" i="1"/>
  <c r="W1051" i="1"/>
  <c r="U1051" i="1"/>
  <c r="U1043" i="1"/>
  <c r="W1043" i="1"/>
  <c r="U1032" i="1"/>
  <c r="W1032" i="1"/>
  <c r="U1018" i="1"/>
  <c r="W1018" i="1"/>
  <c r="U1015" i="1"/>
  <c r="W1015" i="1"/>
  <c r="U989" i="1"/>
  <c r="W989" i="1"/>
  <c r="U987" i="1"/>
  <c r="W987" i="1"/>
  <c r="U984" i="1"/>
  <c r="W984" i="1"/>
  <c r="U958" i="1"/>
  <c r="W958" i="1"/>
  <c r="U919" i="1"/>
  <c r="W919" i="1"/>
  <c r="W972" i="1"/>
  <c r="U935" i="1"/>
  <c r="U747" i="1"/>
  <c r="U697" i="1"/>
  <c r="U1034" i="1"/>
  <c r="W1034" i="1"/>
  <c r="W1013" i="1"/>
  <c r="U1013" i="1"/>
  <c r="U992" i="1"/>
  <c r="W992" i="1"/>
  <c r="U970" i="1"/>
  <c r="W970" i="1"/>
  <c r="U959" i="1"/>
  <c r="W959" i="1"/>
  <c r="U944" i="1"/>
  <c r="W944" i="1"/>
  <c r="U943" i="1"/>
  <c r="W943" i="1"/>
  <c r="U930" i="1"/>
  <c r="W930" i="1"/>
  <c r="U891" i="1"/>
  <c r="W891" i="1"/>
  <c r="U884" i="1"/>
  <c r="W884" i="1"/>
  <c r="U1006" i="1"/>
  <c r="W960" i="1"/>
  <c r="W927" i="1"/>
  <c r="W886" i="1"/>
  <c r="U524" i="1"/>
  <c r="U1022" i="1"/>
  <c r="W1022" i="1"/>
  <c r="U1017" i="1"/>
  <c r="W1017" i="1"/>
  <c r="W949" i="1"/>
  <c r="U949" i="1"/>
  <c r="U940" i="1"/>
  <c r="W940" i="1"/>
  <c r="W934" i="1"/>
  <c r="U934" i="1"/>
  <c r="W912" i="1"/>
  <c r="U912" i="1"/>
  <c r="U898" i="1"/>
  <c r="W898" i="1"/>
  <c r="U890" i="1"/>
  <c r="W890" i="1"/>
  <c r="U888" i="1"/>
  <c r="W888" i="1"/>
  <c r="U1105" i="1"/>
  <c r="W1105" i="1"/>
  <c r="U889" i="1"/>
  <c r="W889" i="1"/>
  <c r="U885" i="1"/>
  <c r="W885" i="1"/>
  <c r="W1119" i="1"/>
  <c r="U1119" i="1"/>
  <c r="U1103" i="1"/>
  <c r="W1103" i="1"/>
  <c r="U1099" i="1"/>
  <c r="W1099" i="1"/>
  <c r="U1094" i="1"/>
  <c r="W1094" i="1"/>
  <c r="U1090" i="1"/>
  <c r="W1090" i="1"/>
  <c r="U1088" i="1"/>
  <c r="W1088" i="1"/>
  <c r="U1075" i="1"/>
  <c r="W1075" i="1"/>
  <c r="U1061" i="1"/>
  <c r="W1061" i="1"/>
  <c r="U1117" i="1"/>
  <c r="W1117" i="1"/>
  <c r="U1111" i="1"/>
  <c r="W1111" i="1"/>
  <c r="U1102" i="1"/>
  <c r="W1102" i="1"/>
  <c r="U1093" i="1"/>
  <c r="W1093" i="1"/>
  <c r="U1089" i="1"/>
  <c r="W1089" i="1"/>
  <c r="U1058" i="1"/>
  <c r="W1058" i="1"/>
  <c r="U1080" i="1"/>
  <c r="W1080" i="1"/>
  <c r="U1077" i="1"/>
  <c r="W1077" i="1"/>
  <c r="U1068" i="1"/>
  <c r="W1068" i="1"/>
  <c r="U1069" i="1"/>
  <c r="W1069" i="1"/>
  <c r="U1063" i="1"/>
  <c r="W1063" i="1"/>
  <c r="U1108" i="1"/>
  <c r="W1108" i="1"/>
  <c r="U1101" i="1"/>
  <c r="W1101" i="1"/>
  <c r="U1118" i="1"/>
  <c r="W1118" i="1"/>
  <c r="U1114" i="1"/>
  <c r="W1114" i="1"/>
  <c r="U1098" i="1"/>
  <c r="W1098" i="1"/>
  <c r="U1079" i="1"/>
  <c r="W1079" i="1"/>
  <c r="U1074" i="1"/>
  <c r="W1074" i="1"/>
  <c r="U1067" i="1"/>
  <c r="W1067" i="1"/>
  <c r="U1057" i="1"/>
  <c r="W1057" i="1"/>
  <c r="W1073" i="1"/>
  <c r="U1073" i="1"/>
  <c r="W1104" i="1"/>
  <c r="U1104" i="1"/>
  <c r="W1087" i="1"/>
  <c r="U1087" i="1"/>
  <c r="U1086" i="1"/>
  <c r="W1086" i="1"/>
  <c r="U1097" i="1"/>
  <c r="U1071" i="1"/>
  <c r="U1056" i="1"/>
  <c r="U1115" i="1"/>
  <c r="W1110" i="1"/>
  <c r="U1091" i="1"/>
  <c r="W1084" i="1"/>
  <c r="W1070" i="1"/>
  <c r="U1062" i="1"/>
  <c r="W1055" i="1"/>
  <c r="U400" i="1"/>
  <c r="U557" i="1"/>
  <c r="U436" i="1"/>
  <c r="U268" i="1"/>
  <c r="U522" i="1"/>
  <c r="U444" i="1"/>
  <c r="U435" i="1"/>
  <c r="U425" i="1"/>
  <c r="U406" i="1"/>
  <c r="U281" i="1"/>
  <c r="U241" i="1"/>
  <c r="U431" i="1"/>
  <c r="U383" i="1"/>
  <c r="U266" i="1"/>
  <c r="U254" i="1"/>
  <c r="U510" i="1"/>
  <c r="U477" i="1"/>
  <c r="U461" i="1"/>
  <c r="U443" i="1"/>
  <c r="U434" i="1"/>
  <c r="U410" i="1"/>
  <c r="U399" i="1"/>
  <c r="U307" i="1"/>
  <c r="U258" i="1"/>
  <c r="U248" i="1"/>
  <c r="U481" i="1"/>
  <c r="U426" i="1"/>
  <c r="U249" i="1"/>
  <c r="U479" i="1"/>
  <c r="U341" i="1"/>
  <c r="U828" i="1"/>
  <c r="U519" i="1"/>
  <c r="U377" i="1"/>
  <c r="U276" i="1"/>
  <c r="U813" i="1"/>
  <c r="U564" i="1"/>
  <c r="U535" i="1"/>
  <c r="U490" i="1"/>
  <c r="U473" i="1"/>
  <c r="U467" i="1"/>
  <c r="U458" i="1"/>
  <c r="U405" i="1"/>
  <c r="U367" i="1"/>
  <c r="U350" i="1"/>
  <c r="U302" i="1"/>
  <c r="U280" i="1"/>
  <c r="U274" i="1"/>
  <c r="U882" i="1"/>
  <c r="U878" i="1"/>
  <c r="U875" i="1"/>
  <c r="U873" i="1"/>
  <c r="U869" i="1"/>
  <c r="U866" i="1"/>
  <c r="U862" i="1"/>
  <c r="U858" i="1"/>
  <c r="U854" i="1"/>
  <c r="U850" i="1"/>
  <c r="U846" i="1"/>
  <c r="U842" i="1"/>
  <c r="U839" i="1"/>
  <c r="U816" i="1"/>
  <c r="W557" i="1"/>
  <c r="W524" i="1"/>
  <c r="W458" i="1"/>
  <c r="W439" i="1"/>
  <c r="W435" i="1"/>
  <c r="W395" i="1"/>
  <c r="W361" i="1"/>
  <c r="W349" i="1"/>
  <c r="W318" i="1"/>
  <c r="W302" i="1"/>
  <c r="W258" i="1"/>
  <c r="U834" i="1"/>
  <c r="W834" i="1"/>
  <c r="U824" i="1"/>
  <c r="W824" i="1"/>
  <c r="W811" i="1"/>
  <c r="U811" i="1"/>
  <c r="U792" i="1"/>
  <c r="W792" i="1"/>
  <c r="W771" i="1"/>
  <c r="U771" i="1"/>
  <c r="U763" i="1"/>
  <c r="W763" i="1"/>
  <c r="W823" i="1"/>
  <c r="U823" i="1"/>
  <c r="U803" i="1"/>
  <c r="W803" i="1"/>
  <c r="U798" i="1"/>
  <c r="W798" i="1"/>
  <c r="U787" i="1"/>
  <c r="W787" i="1"/>
  <c r="U782" i="1"/>
  <c r="W782" i="1"/>
  <c r="W762" i="1"/>
  <c r="U762" i="1"/>
  <c r="W748" i="1"/>
  <c r="U748" i="1"/>
  <c r="U881" i="1"/>
  <c r="W881" i="1"/>
  <c r="U877" i="1"/>
  <c r="W877" i="1"/>
  <c r="U872" i="1"/>
  <c r="W872" i="1"/>
  <c r="U868" i="1"/>
  <c r="W868" i="1"/>
  <c r="U865" i="1"/>
  <c r="W865" i="1"/>
  <c r="U861" i="1"/>
  <c r="W861" i="1"/>
  <c r="U857" i="1"/>
  <c r="W857" i="1"/>
  <c r="U853" i="1"/>
  <c r="W853" i="1"/>
  <c r="U849" i="1"/>
  <c r="W849" i="1"/>
  <c r="U845" i="1"/>
  <c r="W845" i="1"/>
  <c r="U840" i="1"/>
  <c r="W840" i="1"/>
  <c r="U832" i="1"/>
  <c r="W832" i="1"/>
  <c r="W820" i="1"/>
  <c r="U820" i="1"/>
  <c r="U815" i="1"/>
  <c r="W815" i="1"/>
  <c r="U802" i="1"/>
  <c r="W802" i="1"/>
  <c r="U797" i="1"/>
  <c r="W797" i="1"/>
  <c r="U786" i="1"/>
  <c r="W786" i="1"/>
  <c r="W775" i="1"/>
  <c r="U775" i="1"/>
  <c r="U761" i="1"/>
  <c r="W761" i="1"/>
  <c r="W754" i="1"/>
  <c r="U754" i="1"/>
  <c r="U836" i="1"/>
  <c r="W836" i="1"/>
  <c r="U819" i="1"/>
  <c r="W819" i="1"/>
  <c r="U809" i="1"/>
  <c r="W809" i="1"/>
  <c r="W801" i="1"/>
  <c r="U801" i="1"/>
  <c r="U774" i="1"/>
  <c r="W774" i="1"/>
  <c r="W760" i="1"/>
  <c r="U760" i="1"/>
  <c r="W827" i="1"/>
  <c r="U827" i="1"/>
  <c r="W818" i="1"/>
  <c r="U818" i="1"/>
  <c r="U800" i="1"/>
  <c r="W800" i="1"/>
  <c r="U780" i="1"/>
  <c r="W780" i="1"/>
  <c r="U759" i="1"/>
  <c r="W759" i="1"/>
  <c r="W826" i="1"/>
  <c r="U826" i="1"/>
  <c r="W806" i="1"/>
  <c r="U806" i="1"/>
  <c r="U795" i="1"/>
  <c r="W795" i="1"/>
  <c r="U790" i="1"/>
  <c r="W790" i="1"/>
  <c r="W779" i="1"/>
  <c r="U779" i="1"/>
  <c r="U765" i="1"/>
  <c r="W765" i="1"/>
  <c r="W758" i="1"/>
  <c r="U758" i="1"/>
  <c r="U879" i="1"/>
  <c r="W879" i="1"/>
  <c r="U876" i="1"/>
  <c r="W876" i="1"/>
  <c r="U874" i="1"/>
  <c r="W874" i="1"/>
  <c r="U870" i="1"/>
  <c r="W870" i="1"/>
  <c r="U867" i="1"/>
  <c r="W867" i="1"/>
  <c r="U863" i="1"/>
  <c r="W863" i="1"/>
  <c r="U859" i="1"/>
  <c r="W859" i="1"/>
  <c r="U855" i="1"/>
  <c r="W855" i="1"/>
  <c r="U851" i="1"/>
  <c r="W851" i="1"/>
  <c r="U847" i="1"/>
  <c r="W847" i="1"/>
  <c r="U843" i="1"/>
  <c r="W843" i="1"/>
  <c r="U841" i="1"/>
  <c r="W841" i="1"/>
  <c r="U805" i="1"/>
  <c r="W805" i="1"/>
  <c r="U794" i="1"/>
  <c r="W794" i="1"/>
  <c r="U789" i="1"/>
  <c r="W789" i="1"/>
  <c r="U778" i="1"/>
  <c r="W778" i="1"/>
  <c r="U757" i="1"/>
  <c r="W757" i="1"/>
  <c r="U830" i="1"/>
  <c r="W830" i="1"/>
  <c r="W812" i="1"/>
  <c r="U812" i="1"/>
  <c r="W793" i="1"/>
  <c r="U793" i="1"/>
  <c r="W777" i="1"/>
  <c r="U777" i="1"/>
  <c r="U772" i="1"/>
  <c r="W772" i="1"/>
  <c r="W752" i="1"/>
  <c r="U752" i="1"/>
  <c r="W750" i="1"/>
  <c r="U750" i="1"/>
  <c r="U770" i="1"/>
  <c r="W770" i="1"/>
  <c r="W828" i="1"/>
  <c r="W813" i="1"/>
  <c r="U785" i="1"/>
  <c r="U769" i="1"/>
  <c r="U767" i="1"/>
  <c r="W767" i="1"/>
  <c r="U755" i="1"/>
  <c r="W755" i="1"/>
  <c r="U746" i="1"/>
  <c r="W746" i="1"/>
  <c r="U728" i="1"/>
  <c r="W728" i="1"/>
  <c r="U713" i="1"/>
  <c r="U709" i="1"/>
  <c r="W709" i="1"/>
  <c r="U690" i="1"/>
  <c r="W690" i="1"/>
  <c r="U677" i="1"/>
  <c r="W677" i="1"/>
  <c r="W664" i="1"/>
  <c r="U664" i="1"/>
  <c r="U656" i="1"/>
  <c r="W656" i="1"/>
  <c r="U634" i="1"/>
  <c r="W634" i="1"/>
  <c r="U743" i="1"/>
  <c r="W743" i="1"/>
  <c r="U807" i="1"/>
  <c r="U749" i="1"/>
  <c r="W749" i="1"/>
  <c r="U745" i="1"/>
  <c r="U741" i="1"/>
  <c r="W741" i="1"/>
  <c r="U727" i="1"/>
  <c r="U717" i="1"/>
  <c r="W717" i="1"/>
  <c r="U700" i="1"/>
  <c r="W700" i="1"/>
  <c r="U688" i="1"/>
  <c r="W688" i="1"/>
  <c r="U626" i="1"/>
  <c r="W626" i="1"/>
  <c r="W817" i="1"/>
  <c r="U781" i="1"/>
  <c r="U766" i="1"/>
  <c r="U732" i="1"/>
  <c r="W732" i="1"/>
  <c r="U716" i="1"/>
  <c r="U712" i="1"/>
  <c r="W712" i="1"/>
  <c r="U694" i="1"/>
  <c r="W694" i="1"/>
  <c r="U681" i="1"/>
  <c r="W681" i="1"/>
  <c r="W668" i="1"/>
  <c r="U668" i="1"/>
  <c r="U662" i="1"/>
  <c r="W662" i="1"/>
  <c r="U618" i="1"/>
  <c r="W618" i="1"/>
  <c r="U825" i="1"/>
  <c r="U810" i="1"/>
  <c r="U784" i="1"/>
  <c r="W784" i="1"/>
  <c r="U731" i="1"/>
  <c r="U726" i="1"/>
  <c r="W726" i="1"/>
  <c r="U720" i="1"/>
  <c r="W720" i="1"/>
  <c r="U704" i="1"/>
  <c r="W704" i="1"/>
  <c r="W667" i="1"/>
  <c r="U667" i="1"/>
  <c r="U638" i="1"/>
  <c r="W638" i="1"/>
  <c r="U624" i="1"/>
  <c r="W624" i="1"/>
  <c r="W821" i="1"/>
  <c r="U744" i="1"/>
  <c r="U739" i="1"/>
  <c r="W739" i="1"/>
  <c r="U725" i="1"/>
  <c r="U719" i="1"/>
  <c r="U715" i="1"/>
  <c r="W715" i="1"/>
  <c r="U698" i="1"/>
  <c r="W698" i="1"/>
  <c r="U685" i="1"/>
  <c r="W685" i="1"/>
  <c r="U660" i="1"/>
  <c r="W660" i="1"/>
  <c r="U616" i="1"/>
  <c r="W616" i="1"/>
  <c r="U829" i="1"/>
  <c r="U814" i="1"/>
  <c r="U783" i="1"/>
  <c r="U768" i="1"/>
  <c r="U756" i="1"/>
  <c r="U751" i="1"/>
  <c r="W751" i="1"/>
  <c r="U738" i="1"/>
  <c r="U730" i="1"/>
  <c r="W730" i="1"/>
  <c r="U692" i="1"/>
  <c r="W692" i="1"/>
  <c r="U679" i="1"/>
  <c r="W679" i="1"/>
  <c r="U630" i="1"/>
  <c r="W630" i="1"/>
  <c r="U622" i="1"/>
  <c r="W622" i="1"/>
  <c r="U710" i="1"/>
  <c r="U702" i="1"/>
  <c r="W702" i="1"/>
  <c r="U691" i="1"/>
  <c r="U678" i="1"/>
  <c r="W670" i="1"/>
  <c r="U670" i="1"/>
  <c r="U658" i="1"/>
  <c r="W658" i="1"/>
  <c r="U614" i="1"/>
  <c r="W614" i="1"/>
  <c r="U724" i="1"/>
  <c r="W724" i="1"/>
  <c r="U718" i="1"/>
  <c r="W718" i="1"/>
  <c r="U804" i="1"/>
  <c r="W804" i="1"/>
  <c r="U796" i="1"/>
  <c r="W796" i="1"/>
  <c r="U788" i="1"/>
  <c r="W788" i="1"/>
  <c r="U776" i="1"/>
  <c r="W776" i="1"/>
  <c r="U764" i="1"/>
  <c r="U753" i="1"/>
  <c r="U742" i="1"/>
  <c r="U737" i="1"/>
  <c r="W737" i="1"/>
  <c r="U714" i="1"/>
  <c r="W714" i="1"/>
  <c r="U701" i="1"/>
  <c r="U696" i="1"/>
  <c r="W696" i="1"/>
  <c r="U683" i="1"/>
  <c r="W683" i="1"/>
  <c r="U645" i="1"/>
  <c r="W645" i="1"/>
  <c r="U628" i="1"/>
  <c r="W628" i="1"/>
  <c r="U655" i="1"/>
  <c r="W655" i="1"/>
  <c r="U636" i="1"/>
  <c r="W636" i="1"/>
  <c r="U631" i="1"/>
  <c r="W631" i="1"/>
  <c r="U620" i="1"/>
  <c r="W620" i="1"/>
  <c r="U612" i="1"/>
  <c r="W612" i="1"/>
  <c r="U601" i="1"/>
  <c r="W601" i="1"/>
  <c r="U596" i="1"/>
  <c r="W596" i="1"/>
  <c r="W562" i="1"/>
  <c r="U562" i="1"/>
  <c r="W556" i="1"/>
  <c r="U556" i="1"/>
  <c r="W547" i="1"/>
  <c r="U547" i="1"/>
  <c r="U456" i="1"/>
  <c r="W456" i="1"/>
  <c r="U450" i="1"/>
  <c r="W450" i="1"/>
  <c r="U446" i="1"/>
  <c r="W446" i="1"/>
  <c r="U411" i="1"/>
  <c r="W411" i="1"/>
  <c r="U675" i="1"/>
  <c r="U674" i="1"/>
  <c r="U648" i="1"/>
  <c r="W648" i="1"/>
  <c r="U644" i="1"/>
  <c r="W644" i="1"/>
  <c r="U625" i="1"/>
  <c r="W625" i="1"/>
  <c r="U615" i="1"/>
  <c r="W615" i="1"/>
  <c r="U611" i="1"/>
  <c r="W611" i="1"/>
  <c r="U606" i="1"/>
  <c r="W606" i="1"/>
  <c r="U595" i="1"/>
  <c r="W595" i="1"/>
  <c r="U590" i="1"/>
  <c r="W590" i="1"/>
  <c r="U579" i="1"/>
  <c r="W579" i="1"/>
  <c r="U561" i="1"/>
  <c r="W561" i="1"/>
  <c r="U555" i="1"/>
  <c r="W555" i="1"/>
  <c r="W508" i="1"/>
  <c r="U508" i="1"/>
  <c r="U463" i="1"/>
  <c r="W463" i="1"/>
  <c r="U654" i="1"/>
  <c r="W654" i="1"/>
  <c r="U635" i="1"/>
  <c r="W635" i="1"/>
  <c r="U619" i="1"/>
  <c r="W619" i="1"/>
  <c r="U605" i="1"/>
  <c r="W605" i="1"/>
  <c r="U600" i="1"/>
  <c r="W600" i="1"/>
  <c r="U589" i="1"/>
  <c r="W589" i="1"/>
  <c r="U583" i="1"/>
  <c r="W583" i="1"/>
  <c r="W560" i="1"/>
  <c r="U560" i="1"/>
  <c r="U673" i="1"/>
  <c r="U671" i="1"/>
  <c r="U661" i="1"/>
  <c r="U657" i="1"/>
  <c r="U647" i="1"/>
  <c r="W647" i="1"/>
  <c r="U629" i="1"/>
  <c r="W629" i="1"/>
  <c r="U613" i="1"/>
  <c r="W613" i="1"/>
  <c r="U610" i="1"/>
  <c r="W610" i="1"/>
  <c r="U599" i="1"/>
  <c r="W599" i="1"/>
  <c r="U594" i="1"/>
  <c r="W594" i="1"/>
  <c r="U582" i="1"/>
  <c r="W582" i="1"/>
  <c r="U578" i="1"/>
  <c r="W578" i="1"/>
  <c r="W564" i="1"/>
  <c r="W554" i="1"/>
  <c r="U554" i="1"/>
  <c r="W546" i="1"/>
  <c r="U546" i="1"/>
  <c r="U543" i="1"/>
  <c r="W543" i="1"/>
  <c r="U640" i="1"/>
  <c r="W640" i="1"/>
  <c r="U623" i="1"/>
  <c r="W623" i="1"/>
  <c r="U609" i="1"/>
  <c r="W609" i="1"/>
  <c r="U604" i="1"/>
  <c r="W604" i="1"/>
  <c r="U593" i="1"/>
  <c r="W593" i="1"/>
  <c r="U588" i="1"/>
  <c r="W588" i="1"/>
  <c r="U577" i="1"/>
  <c r="W577" i="1"/>
  <c r="U571" i="1"/>
  <c r="W571" i="1"/>
  <c r="U568" i="1"/>
  <c r="W568" i="1"/>
  <c r="U559" i="1"/>
  <c r="W559" i="1"/>
  <c r="U545" i="1"/>
  <c r="W545" i="1"/>
  <c r="W542" i="1"/>
  <c r="U542" i="1"/>
  <c r="W493" i="1"/>
  <c r="U493" i="1"/>
  <c r="U650" i="1"/>
  <c r="W650" i="1"/>
  <c r="U633" i="1"/>
  <c r="W633" i="1"/>
  <c r="U603" i="1"/>
  <c r="W603" i="1"/>
  <c r="U598" i="1"/>
  <c r="W598" i="1"/>
  <c r="U586" i="1"/>
  <c r="W586" i="1"/>
  <c r="U581" i="1"/>
  <c r="W581" i="1"/>
  <c r="W563" i="1"/>
  <c r="U563" i="1"/>
  <c r="W558" i="1"/>
  <c r="U558" i="1"/>
  <c r="U541" i="1"/>
  <c r="W541" i="1"/>
  <c r="U649" i="1"/>
  <c r="W649" i="1"/>
  <c r="U646" i="1"/>
  <c r="W646" i="1"/>
  <c r="U632" i="1"/>
  <c r="W632" i="1"/>
  <c r="U627" i="1"/>
  <c r="W627" i="1"/>
  <c r="U617" i="1"/>
  <c r="W617" i="1"/>
  <c r="U608" i="1"/>
  <c r="W608" i="1"/>
  <c r="U597" i="1"/>
  <c r="W597" i="1"/>
  <c r="U592" i="1"/>
  <c r="W592" i="1"/>
  <c r="U566" i="1"/>
  <c r="W566" i="1"/>
  <c r="W544" i="1"/>
  <c r="U544" i="1"/>
  <c r="W518" i="1"/>
  <c r="U518" i="1"/>
  <c r="U504" i="1"/>
  <c r="W504" i="1"/>
  <c r="U666" i="1"/>
  <c r="U663" i="1"/>
  <c r="U659" i="1"/>
  <c r="U637" i="1"/>
  <c r="W637" i="1"/>
  <c r="U621" i="1"/>
  <c r="W621" i="1"/>
  <c r="U607" i="1"/>
  <c r="W607" i="1"/>
  <c r="U602" i="1"/>
  <c r="W602" i="1"/>
  <c r="U591" i="1"/>
  <c r="W591" i="1"/>
  <c r="U548" i="1"/>
  <c r="W548" i="1"/>
  <c r="W540" i="1"/>
  <c r="W532" i="1"/>
  <c r="U532" i="1"/>
  <c r="W503" i="1"/>
  <c r="U503" i="1"/>
  <c r="W492" i="1"/>
  <c r="W489" i="1"/>
  <c r="U489" i="1"/>
  <c r="W474" i="1"/>
  <c r="U474" i="1"/>
  <c r="W465" i="1"/>
  <c r="U459" i="1"/>
  <c r="W459" i="1"/>
  <c r="U449" i="1"/>
  <c r="W449" i="1"/>
  <c r="W535" i="1"/>
  <c r="W531" i="1"/>
  <c r="W523" i="1"/>
  <c r="U523" i="1"/>
  <c r="W480" i="1"/>
  <c r="U480" i="1"/>
  <c r="W468" i="1"/>
  <c r="U468" i="1"/>
  <c r="U442" i="1"/>
  <c r="W442" i="1"/>
  <c r="U427" i="1"/>
  <c r="W427" i="1"/>
  <c r="U424" i="1"/>
  <c r="W424" i="1"/>
  <c r="W539" i="1"/>
  <c r="U539" i="1"/>
  <c r="W507" i="1"/>
  <c r="U507" i="1"/>
  <c r="W491" i="1"/>
  <c r="U491" i="1"/>
  <c r="U448" i="1"/>
  <c r="W448" i="1"/>
  <c r="U430" i="1"/>
  <c r="W430" i="1"/>
  <c r="W530" i="1"/>
  <c r="U530" i="1"/>
  <c r="W513" i="1"/>
  <c r="U513" i="1"/>
  <c r="W501" i="1"/>
  <c r="U501" i="1"/>
  <c r="W490" i="1"/>
  <c r="W487" i="1"/>
  <c r="U487" i="1"/>
  <c r="W472" i="1"/>
  <c r="U472" i="1"/>
  <c r="U457" i="1"/>
  <c r="W457" i="1"/>
  <c r="U433" i="1"/>
  <c r="W433" i="1"/>
  <c r="U409" i="1"/>
  <c r="W409" i="1"/>
  <c r="W521" i="1"/>
  <c r="U521" i="1"/>
  <c r="W509" i="1"/>
  <c r="U509" i="1"/>
  <c r="W478" i="1"/>
  <c r="U478" i="1"/>
  <c r="W471" i="1"/>
  <c r="W461" i="1"/>
  <c r="W519" i="1"/>
  <c r="W494" i="1"/>
  <c r="W477" i="1"/>
  <c r="U440" i="1"/>
  <c r="W440" i="1"/>
  <c r="U422" i="1"/>
  <c r="W422" i="1"/>
  <c r="U401" i="1"/>
  <c r="W401" i="1"/>
  <c r="U396" i="1"/>
  <c r="W396" i="1"/>
  <c r="W525" i="1"/>
  <c r="U525" i="1"/>
  <c r="W511" i="1"/>
  <c r="U511" i="1"/>
  <c r="W496" i="1"/>
  <c r="U496" i="1"/>
  <c r="W469" i="1"/>
  <c r="U469" i="1"/>
  <c r="U407" i="1"/>
  <c r="W407" i="1"/>
  <c r="U333" i="1"/>
  <c r="W333" i="1"/>
  <c r="U297" i="1"/>
  <c r="W297" i="1"/>
  <c r="U355" i="1"/>
  <c r="W355" i="1"/>
  <c r="U346" i="1"/>
  <c r="W346" i="1"/>
  <c r="U332" i="1"/>
  <c r="W332" i="1"/>
  <c r="U286" i="1"/>
  <c r="W286" i="1"/>
  <c r="U386" i="1"/>
  <c r="W386" i="1"/>
  <c r="U382" i="1"/>
  <c r="W382" i="1"/>
  <c r="U371" i="1"/>
  <c r="W371" i="1"/>
  <c r="U365" i="1"/>
  <c r="W365" i="1"/>
  <c r="U360" i="1"/>
  <c r="W360" i="1"/>
  <c r="U354" i="1"/>
  <c r="W354" i="1"/>
  <c r="U345" i="1"/>
  <c r="W345" i="1"/>
  <c r="U331" i="1"/>
  <c r="W331" i="1"/>
  <c r="U326" i="1"/>
  <c r="W326" i="1"/>
  <c r="U321" i="1"/>
  <c r="W321" i="1"/>
  <c r="U317" i="1"/>
  <c r="W317" i="1"/>
  <c r="W434" i="1"/>
  <c r="W431" i="1"/>
  <c r="W425" i="1"/>
  <c r="W412" i="1"/>
  <c r="W404" i="1"/>
  <c r="W398" i="1"/>
  <c r="W391" i="1"/>
  <c r="W367" i="1"/>
  <c r="U358" i="1"/>
  <c r="W358" i="1"/>
  <c r="U336" i="1"/>
  <c r="W336" i="1"/>
  <c r="U325" i="1"/>
  <c r="W325" i="1"/>
  <c r="U316" i="1"/>
  <c r="W316" i="1"/>
  <c r="U301" i="1"/>
  <c r="W301" i="1"/>
  <c r="W353" i="1"/>
  <c r="W344" i="1"/>
  <c r="U324" i="1"/>
  <c r="W324" i="1"/>
  <c r="U310" i="1"/>
  <c r="W310" i="1"/>
  <c r="U287" i="1"/>
  <c r="W287" i="1"/>
  <c r="W441" i="1"/>
  <c r="W436" i="1"/>
  <c r="W406" i="1"/>
  <c r="W400" i="1"/>
  <c r="U366" i="1"/>
  <c r="W366" i="1"/>
  <c r="U363" i="1"/>
  <c r="W363" i="1"/>
  <c r="U340" i="1"/>
  <c r="W340" i="1"/>
  <c r="U323" i="1"/>
  <c r="W323" i="1"/>
  <c r="U319" i="1"/>
  <c r="W319" i="1"/>
  <c r="U294" i="1"/>
  <c r="W294" i="1"/>
  <c r="W443" i="1"/>
  <c r="W394" i="1"/>
  <c r="U384" i="1"/>
  <c r="W384" i="1"/>
  <c r="U380" i="1"/>
  <c r="W380" i="1"/>
  <c r="U362" i="1"/>
  <c r="W362" i="1"/>
  <c r="U352" i="1"/>
  <c r="W352" i="1"/>
  <c r="U348" i="1"/>
  <c r="W348" i="1"/>
  <c r="U343" i="1"/>
  <c r="W343" i="1"/>
  <c r="U339" i="1"/>
  <c r="W339" i="1"/>
  <c r="U334" i="1"/>
  <c r="W334" i="1"/>
  <c r="U329" i="1"/>
  <c r="W329" i="1"/>
  <c r="W307" i="1"/>
  <c r="W452" i="1"/>
  <c r="W417" i="1"/>
  <c r="W408" i="1"/>
  <c r="W402" i="1"/>
  <c r="U369" i="1"/>
  <c r="W369" i="1"/>
  <c r="W356" i="1"/>
  <c r="U351" i="1"/>
  <c r="U347" i="1"/>
  <c r="U342" i="1"/>
  <c r="W342" i="1"/>
  <c r="U328" i="1"/>
  <c r="W328" i="1"/>
  <c r="U314" i="1"/>
  <c r="W314" i="1"/>
  <c r="W292" i="1"/>
  <c r="W280" i="1"/>
  <c r="W327" i="1"/>
  <c r="U330" i="1"/>
  <c r="W330" i="1"/>
  <c r="U315" i="1"/>
  <c r="W315" i="1"/>
  <c r="U311" i="1"/>
  <c r="W311" i="1"/>
  <c r="U306" i="1"/>
  <c r="W306" i="1"/>
  <c r="U295" i="1"/>
  <c r="W295" i="1"/>
  <c r="U291" i="1"/>
  <c r="W291" i="1"/>
  <c r="U289" i="1"/>
  <c r="W289" i="1"/>
  <c r="U288" i="1"/>
  <c r="W288" i="1"/>
  <c r="U282" i="1"/>
  <c r="W282" i="1"/>
  <c r="U279" i="1"/>
  <c r="W279" i="1"/>
  <c r="U275" i="1"/>
  <c r="W275" i="1"/>
  <c r="U271" i="1"/>
  <c r="W271" i="1"/>
  <c r="U267" i="1"/>
  <c r="W267" i="1"/>
  <c r="U263" i="1"/>
  <c r="W263" i="1"/>
  <c r="U257" i="1"/>
  <c r="W257" i="1"/>
  <c r="U253" i="1"/>
  <c r="W253" i="1"/>
  <c r="U246" i="1"/>
  <c r="W246" i="1"/>
  <c r="U242" i="1"/>
  <c r="W242" i="1"/>
  <c r="U238" i="1"/>
  <c r="W238" i="1"/>
  <c r="W341" i="1"/>
  <c r="W284" i="1"/>
  <c r="W281" i="1"/>
  <c r="W278" i="1"/>
  <c r="W274" i="1"/>
  <c r="W270" i="1"/>
  <c r="W266" i="1"/>
  <c r="W262" i="1"/>
  <c r="W259" i="1"/>
  <c r="W256" i="1"/>
  <c r="W252" i="1"/>
  <c r="W248" i="1"/>
  <c r="W245" i="1"/>
  <c r="W241" i="1"/>
  <c r="W237" i="1"/>
  <c r="W350" i="1"/>
  <c r="W338" i="1"/>
  <c r="W335" i="1"/>
  <c r="W320" i="1"/>
  <c r="U337" i="1"/>
  <c r="W337" i="1"/>
  <c r="U322" i="1"/>
  <c r="W322" i="1"/>
  <c r="U313" i="1"/>
  <c r="W313" i="1"/>
  <c r="U308" i="1"/>
  <c r="W308" i="1"/>
  <c r="U300" i="1"/>
  <c r="W300" i="1"/>
  <c r="U296" i="1"/>
  <c r="W296" i="1"/>
  <c r="U293" i="1"/>
  <c r="W293" i="1"/>
  <c r="U290" i="1"/>
  <c r="W290" i="1"/>
  <c r="U283" i="1"/>
  <c r="W283" i="1"/>
  <c r="U277" i="1"/>
  <c r="W277" i="1"/>
  <c r="U273" i="1"/>
  <c r="W273" i="1"/>
  <c r="U269" i="1"/>
  <c r="W269" i="1"/>
  <c r="U265" i="1"/>
  <c r="W265" i="1"/>
  <c r="U261" i="1"/>
  <c r="W261" i="1"/>
  <c r="U255" i="1"/>
  <c r="W255" i="1"/>
  <c r="U251" i="1"/>
  <c r="W251" i="1"/>
  <c r="U244" i="1"/>
  <c r="W244" i="1"/>
  <c r="U240" i="1"/>
  <c r="W240" i="1"/>
  <c r="U236" i="1"/>
  <c r="W236" i="1"/>
  <c r="C2" i="1"/>
  <c r="D2" i="1"/>
  <c r="F2" i="1"/>
  <c r="G2" i="1"/>
  <c r="N2" i="1"/>
  <c r="R2" i="1" s="1"/>
  <c r="C3" i="1"/>
  <c r="D3" i="1"/>
  <c r="F3" i="1"/>
  <c r="G3" i="1"/>
  <c r="N3" i="1"/>
  <c r="R3" i="1" s="1"/>
  <c r="C4" i="1"/>
  <c r="D4" i="1"/>
  <c r="F4" i="1"/>
  <c r="G4" i="1"/>
  <c r="N4" i="1"/>
  <c r="R4" i="1" s="1"/>
  <c r="C5" i="1"/>
  <c r="D5" i="1"/>
  <c r="F5" i="1"/>
  <c r="G5" i="1"/>
  <c r="N5" i="1"/>
  <c r="R5" i="1" s="1"/>
  <c r="C6" i="1"/>
  <c r="D6" i="1"/>
  <c r="F6" i="1"/>
  <c r="G6" i="1"/>
  <c r="N6" i="1"/>
  <c r="R6" i="1" s="1"/>
  <c r="C7" i="1"/>
  <c r="D7" i="1"/>
  <c r="F7" i="1"/>
  <c r="G7" i="1"/>
  <c r="N7" i="1"/>
  <c r="R7" i="1" s="1"/>
  <c r="C8" i="1"/>
  <c r="D8" i="1"/>
  <c r="F8" i="1"/>
  <c r="G8" i="1"/>
  <c r="N8" i="1"/>
  <c r="R8" i="1" s="1"/>
  <c r="C9" i="1"/>
  <c r="D9" i="1"/>
  <c r="F9" i="1"/>
  <c r="G9" i="1"/>
  <c r="N9" i="1"/>
  <c r="R9" i="1" s="1"/>
  <c r="C10" i="1"/>
  <c r="D10" i="1"/>
  <c r="F10" i="1"/>
  <c r="G10" i="1"/>
  <c r="N10" i="1"/>
  <c r="R10" i="1" s="1"/>
  <c r="C11" i="1"/>
  <c r="D11" i="1"/>
  <c r="F11" i="1"/>
  <c r="G11" i="1"/>
  <c r="N11" i="1"/>
  <c r="R11" i="1" s="1"/>
  <c r="C12" i="1"/>
  <c r="D12" i="1"/>
  <c r="F12" i="1"/>
  <c r="G12" i="1"/>
  <c r="N12" i="1"/>
  <c r="R12" i="1" s="1"/>
  <c r="C13" i="1"/>
  <c r="D13" i="1"/>
  <c r="F13" i="1"/>
  <c r="G13" i="1"/>
  <c r="N13" i="1"/>
  <c r="R13" i="1" s="1"/>
  <c r="C14" i="1"/>
  <c r="D14" i="1"/>
  <c r="F14" i="1"/>
  <c r="G14" i="1"/>
  <c r="N14" i="1"/>
  <c r="R14" i="1" s="1"/>
  <c r="C15" i="1"/>
  <c r="D15" i="1"/>
  <c r="F15" i="1"/>
  <c r="G15" i="1"/>
  <c r="N15" i="1"/>
  <c r="R15" i="1" s="1"/>
  <c r="U15" i="1" s="1"/>
  <c r="C16" i="1"/>
  <c r="D16" i="1"/>
  <c r="F16" i="1"/>
  <c r="G16" i="1"/>
  <c r="N16" i="1"/>
  <c r="R16" i="1" s="1"/>
  <c r="C17" i="1"/>
  <c r="D17" i="1"/>
  <c r="F17" i="1"/>
  <c r="G17" i="1"/>
  <c r="N17" i="1"/>
  <c r="R17" i="1" s="1"/>
  <c r="C18" i="1"/>
  <c r="D18" i="1"/>
  <c r="F18" i="1"/>
  <c r="G18" i="1"/>
  <c r="N18" i="1"/>
  <c r="R18" i="1" s="1"/>
  <c r="C19" i="1"/>
  <c r="D19" i="1"/>
  <c r="F19" i="1"/>
  <c r="G19" i="1"/>
  <c r="N19" i="1"/>
  <c r="R19" i="1" s="1"/>
  <c r="C20" i="1"/>
  <c r="D20" i="1"/>
  <c r="F20" i="1"/>
  <c r="G20" i="1"/>
  <c r="N20" i="1"/>
  <c r="R20" i="1" s="1"/>
  <c r="C21" i="1"/>
  <c r="D21" i="1"/>
  <c r="F21" i="1"/>
  <c r="G21" i="1"/>
  <c r="N21" i="1"/>
  <c r="R21" i="1" s="1"/>
  <c r="C22" i="1"/>
  <c r="D22" i="1"/>
  <c r="F22" i="1"/>
  <c r="G22" i="1"/>
  <c r="N22" i="1"/>
  <c r="R22" i="1" s="1"/>
  <c r="C23" i="1"/>
  <c r="D23" i="1"/>
  <c r="F23" i="1"/>
  <c r="G23" i="1"/>
  <c r="N23" i="1"/>
  <c r="R23" i="1" s="1"/>
  <c r="C24" i="1"/>
  <c r="D24" i="1"/>
  <c r="F24" i="1"/>
  <c r="G24" i="1"/>
  <c r="N24" i="1"/>
  <c r="R24" i="1" s="1"/>
  <c r="C25" i="1"/>
  <c r="D25" i="1"/>
  <c r="F25" i="1"/>
  <c r="G25" i="1"/>
  <c r="N25" i="1"/>
  <c r="R25" i="1" s="1"/>
  <c r="C26" i="1"/>
  <c r="D26" i="1"/>
  <c r="F26" i="1"/>
  <c r="G26" i="1"/>
  <c r="N26" i="1"/>
  <c r="R26" i="1" s="1"/>
  <c r="C27" i="1"/>
  <c r="D27" i="1"/>
  <c r="F27" i="1"/>
  <c r="G27" i="1"/>
  <c r="N27" i="1"/>
  <c r="R27" i="1" s="1"/>
  <c r="C28" i="1"/>
  <c r="D28" i="1"/>
  <c r="F28" i="1"/>
  <c r="G28" i="1"/>
  <c r="N28" i="1"/>
  <c r="R28" i="1" s="1"/>
  <c r="C29" i="1"/>
  <c r="D29" i="1"/>
  <c r="F29" i="1"/>
  <c r="G29" i="1"/>
  <c r="N29" i="1"/>
  <c r="R29" i="1" s="1"/>
  <c r="C30" i="1"/>
  <c r="D30" i="1"/>
  <c r="F30" i="1"/>
  <c r="G30" i="1"/>
  <c r="N30" i="1"/>
  <c r="R30" i="1" s="1"/>
  <c r="C31" i="1"/>
  <c r="D31" i="1"/>
  <c r="F31" i="1"/>
  <c r="G31" i="1"/>
  <c r="N31" i="1"/>
  <c r="R31" i="1" s="1"/>
  <c r="U31" i="1" s="1"/>
  <c r="C32" i="1"/>
  <c r="D32" i="1"/>
  <c r="F32" i="1"/>
  <c r="G32" i="1"/>
  <c r="N32" i="1"/>
  <c r="R32" i="1" s="1"/>
  <c r="C33" i="1"/>
  <c r="D33" i="1"/>
  <c r="F33" i="1"/>
  <c r="G33" i="1"/>
  <c r="N33" i="1"/>
  <c r="R33" i="1" s="1"/>
  <c r="C34" i="1"/>
  <c r="D34" i="1"/>
  <c r="F34" i="1"/>
  <c r="G34" i="1"/>
  <c r="N34" i="1"/>
  <c r="R34" i="1" s="1"/>
  <c r="C35" i="1"/>
  <c r="D35" i="1"/>
  <c r="F35" i="1"/>
  <c r="G35" i="1"/>
  <c r="N35" i="1"/>
  <c r="R35" i="1" s="1"/>
  <c r="C36" i="1"/>
  <c r="D36" i="1"/>
  <c r="F36" i="1"/>
  <c r="G36" i="1"/>
  <c r="N36" i="1"/>
  <c r="R36" i="1" s="1"/>
  <c r="C37" i="1"/>
  <c r="D37" i="1"/>
  <c r="F37" i="1"/>
  <c r="G37" i="1"/>
  <c r="N37" i="1"/>
  <c r="R37" i="1" s="1"/>
  <c r="C38" i="1"/>
  <c r="D38" i="1"/>
  <c r="F38" i="1"/>
  <c r="G38" i="1"/>
  <c r="N38" i="1"/>
  <c r="R38" i="1" s="1"/>
  <c r="C39" i="1"/>
  <c r="D39" i="1"/>
  <c r="F39" i="1"/>
  <c r="G39" i="1"/>
  <c r="N39" i="1"/>
  <c r="R39" i="1" s="1"/>
  <c r="C40" i="1"/>
  <c r="D40" i="1"/>
  <c r="F40" i="1"/>
  <c r="G40" i="1"/>
  <c r="N40" i="1"/>
  <c r="R40" i="1" s="1"/>
  <c r="C41" i="1"/>
  <c r="D41" i="1"/>
  <c r="F41" i="1"/>
  <c r="G41" i="1"/>
  <c r="N41" i="1"/>
  <c r="R41" i="1" s="1"/>
  <c r="C42" i="1"/>
  <c r="D42" i="1"/>
  <c r="F42" i="1"/>
  <c r="G42" i="1"/>
  <c r="N42" i="1"/>
  <c r="R42" i="1" s="1"/>
  <c r="C43" i="1"/>
  <c r="D43" i="1"/>
  <c r="F43" i="1"/>
  <c r="G43" i="1"/>
  <c r="N43" i="1"/>
  <c r="R43" i="1" s="1"/>
  <c r="C44" i="1"/>
  <c r="D44" i="1"/>
  <c r="F44" i="1"/>
  <c r="G44" i="1"/>
  <c r="N44" i="1"/>
  <c r="R44" i="1" s="1"/>
  <c r="C45" i="1"/>
  <c r="D45" i="1"/>
  <c r="F45" i="1"/>
  <c r="G45" i="1"/>
  <c r="N45" i="1"/>
  <c r="R45" i="1" s="1"/>
  <c r="C46" i="1"/>
  <c r="D46" i="1"/>
  <c r="F46" i="1"/>
  <c r="G46" i="1"/>
  <c r="N46" i="1"/>
  <c r="R46" i="1" s="1"/>
  <c r="C47" i="1"/>
  <c r="D47" i="1"/>
  <c r="F47" i="1"/>
  <c r="G47" i="1"/>
  <c r="N47" i="1"/>
  <c r="R47" i="1" s="1"/>
  <c r="U47" i="1" s="1"/>
  <c r="C48" i="1"/>
  <c r="D48" i="1"/>
  <c r="F48" i="1"/>
  <c r="G48" i="1"/>
  <c r="N48" i="1"/>
  <c r="R48" i="1" s="1"/>
  <c r="C49" i="1"/>
  <c r="D49" i="1"/>
  <c r="F49" i="1"/>
  <c r="G49" i="1"/>
  <c r="N49" i="1"/>
  <c r="R49" i="1" s="1"/>
  <c r="C50" i="1"/>
  <c r="D50" i="1"/>
  <c r="F50" i="1"/>
  <c r="G50" i="1"/>
  <c r="N50" i="1"/>
  <c r="R50" i="1" s="1"/>
  <c r="C51" i="1"/>
  <c r="D51" i="1"/>
  <c r="F51" i="1"/>
  <c r="G51" i="1"/>
  <c r="N51" i="1"/>
  <c r="R51" i="1" s="1"/>
  <c r="C52" i="1"/>
  <c r="D52" i="1"/>
  <c r="F52" i="1"/>
  <c r="G52" i="1"/>
  <c r="N52" i="1"/>
  <c r="R52" i="1" s="1"/>
  <c r="C53" i="1"/>
  <c r="D53" i="1"/>
  <c r="F53" i="1"/>
  <c r="G53" i="1"/>
  <c r="N53" i="1"/>
  <c r="R53" i="1" s="1"/>
  <c r="C54" i="1"/>
  <c r="D54" i="1"/>
  <c r="F54" i="1"/>
  <c r="G54" i="1"/>
  <c r="N54" i="1"/>
  <c r="R54" i="1" s="1"/>
  <c r="C55" i="1"/>
  <c r="D55" i="1"/>
  <c r="F55" i="1"/>
  <c r="G55" i="1"/>
  <c r="N55" i="1"/>
  <c r="R55" i="1" s="1"/>
  <c r="C56" i="1"/>
  <c r="D56" i="1"/>
  <c r="F56" i="1"/>
  <c r="G56" i="1"/>
  <c r="I56" i="1"/>
  <c r="J56" i="1"/>
  <c r="K56" i="1"/>
  <c r="L56" i="1"/>
  <c r="N56" i="1"/>
  <c r="R56" i="1" s="1"/>
  <c r="C57" i="1"/>
  <c r="D57" i="1"/>
  <c r="F57" i="1"/>
  <c r="G57" i="1"/>
  <c r="I57" i="1"/>
  <c r="J57" i="1"/>
  <c r="K57" i="1"/>
  <c r="L57" i="1"/>
  <c r="N57" i="1"/>
  <c r="R57" i="1" s="1"/>
  <c r="C58" i="1"/>
  <c r="D58" i="1"/>
  <c r="F58" i="1"/>
  <c r="G58" i="1"/>
  <c r="I58" i="1"/>
  <c r="J58" i="1"/>
  <c r="K58" i="1"/>
  <c r="L58" i="1"/>
  <c r="N58" i="1"/>
  <c r="R58" i="1" s="1"/>
  <c r="C59" i="1"/>
  <c r="D59" i="1"/>
  <c r="F59" i="1"/>
  <c r="G59" i="1"/>
  <c r="I59" i="1"/>
  <c r="J59" i="1"/>
  <c r="K59" i="1"/>
  <c r="L59" i="1"/>
  <c r="N59" i="1"/>
  <c r="R59" i="1" s="1"/>
  <c r="C60" i="1"/>
  <c r="D60" i="1"/>
  <c r="F60" i="1"/>
  <c r="G60" i="1"/>
  <c r="I60" i="1"/>
  <c r="J60" i="1"/>
  <c r="K60" i="1"/>
  <c r="L60" i="1"/>
  <c r="N60" i="1"/>
  <c r="R60" i="1" s="1"/>
  <c r="C61" i="1"/>
  <c r="D61" i="1"/>
  <c r="F61" i="1"/>
  <c r="G61" i="1"/>
  <c r="N61" i="1"/>
  <c r="R61" i="1" s="1"/>
  <c r="C62" i="1"/>
  <c r="D62" i="1"/>
  <c r="F62" i="1"/>
  <c r="G62" i="1"/>
  <c r="N62" i="1"/>
  <c r="R62" i="1" s="1"/>
  <c r="C63" i="1"/>
  <c r="D63" i="1"/>
  <c r="F63" i="1"/>
  <c r="G63" i="1"/>
  <c r="N63" i="1"/>
  <c r="R63" i="1" s="1"/>
  <c r="C64" i="1"/>
  <c r="D64" i="1"/>
  <c r="F64" i="1"/>
  <c r="G64" i="1"/>
  <c r="N64" i="1"/>
  <c r="R64" i="1" s="1"/>
  <c r="C65" i="1"/>
  <c r="D65" i="1"/>
  <c r="F65" i="1"/>
  <c r="G65" i="1"/>
  <c r="N65" i="1"/>
  <c r="R65" i="1" s="1"/>
  <c r="C66" i="1"/>
  <c r="D66" i="1"/>
  <c r="F66" i="1"/>
  <c r="G66" i="1"/>
  <c r="N66" i="1"/>
  <c r="R66" i="1" s="1"/>
  <c r="C67" i="1"/>
  <c r="D67" i="1"/>
  <c r="F67" i="1"/>
  <c r="G67" i="1"/>
  <c r="N67" i="1"/>
  <c r="R67" i="1" s="1"/>
  <c r="C68" i="1"/>
  <c r="D68" i="1"/>
  <c r="F68" i="1"/>
  <c r="G68" i="1"/>
  <c r="N68" i="1"/>
  <c r="R68" i="1" s="1"/>
  <c r="C69" i="1"/>
  <c r="D69" i="1"/>
  <c r="F69" i="1"/>
  <c r="G69" i="1"/>
  <c r="N69" i="1"/>
  <c r="R69" i="1" s="1"/>
  <c r="C70" i="1"/>
  <c r="D70" i="1"/>
  <c r="F70" i="1"/>
  <c r="G70" i="1"/>
  <c r="N70" i="1"/>
  <c r="R70" i="1" s="1"/>
  <c r="C71" i="1"/>
  <c r="D71" i="1"/>
  <c r="F71" i="1"/>
  <c r="G71" i="1"/>
  <c r="N71" i="1"/>
  <c r="R71" i="1" s="1"/>
  <c r="C72" i="1"/>
  <c r="D72" i="1"/>
  <c r="F72" i="1"/>
  <c r="G72" i="1"/>
  <c r="N72" i="1"/>
  <c r="R72" i="1" s="1"/>
  <c r="C73" i="1"/>
  <c r="D73" i="1"/>
  <c r="F73" i="1"/>
  <c r="G73" i="1"/>
  <c r="N73" i="1"/>
  <c r="R73" i="1" s="1"/>
  <c r="C74" i="1"/>
  <c r="D74" i="1"/>
  <c r="F74" i="1"/>
  <c r="G74" i="1"/>
  <c r="N74" i="1"/>
  <c r="R74" i="1" s="1"/>
  <c r="C75" i="1"/>
  <c r="D75" i="1"/>
  <c r="F75" i="1"/>
  <c r="G75" i="1"/>
  <c r="N75" i="1"/>
  <c r="R75" i="1" s="1"/>
  <c r="C76" i="1"/>
  <c r="D76" i="1"/>
  <c r="F76" i="1"/>
  <c r="G76" i="1"/>
  <c r="N76" i="1"/>
  <c r="R76" i="1" s="1"/>
  <c r="C77" i="1"/>
  <c r="D77" i="1"/>
  <c r="F77" i="1"/>
  <c r="G77" i="1"/>
  <c r="N77" i="1"/>
  <c r="R77" i="1" s="1"/>
  <c r="C78" i="1"/>
  <c r="D78" i="1"/>
  <c r="F78" i="1"/>
  <c r="G78" i="1"/>
  <c r="N78" i="1"/>
  <c r="R78" i="1" s="1"/>
  <c r="C79" i="1"/>
  <c r="D79" i="1"/>
  <c r="F79" i="1"/>
  <c r="G79" i="1"/>
  <c r="N79" i="1"/>
  <c r="R79" i="1" s="1"/>
  <c r="C80" i="1"/>
  <c r="D80" i="1"/>
  <c r="F80" i="1"/>
  <c r="G80" i="1"/>
  <c r="N80" i="1"/>
  <c r="R80" i="1" s="1"/>
  <c r="C81" i="1"/>
  <c r="D81" i="1"/>
  <c r="F81" i="1"/>
  <c r="G81" i="1"/>
  <c r="N81" i="1"/>
  <c r="R81" i="1" s="1"/>
  <c r="C82" i="1"/>
  <c r="D82" i="1"/>
  <c r="F82" i="1"/>
  <c r="G82" i="1"/>
  <c r="N82" i="1"/>
  <c r="R82" i="1" s="1"/>
  <c r="C83" i="1"/>
  <c r="D83" i="1"/>
  <c r="F83" i="1"/>
  <c r="G83" i="1"/>
  <c r="N83" i="1"/>
  <c r="R83" i="1" s="1"/>
  <c r="C84" i="1"/>
  <c r="D84" i="1"/>
  <c r="F84" i="1"/>
  <c r="G84" i="1"/>
  <c r="N84" i="1"/>
  <c r="R84" i="1" s="1"/>
  <c r="C85" i="1"/>
  <c r="D85" i="1"/>
  <c r="F85" i="1"/>
  <c r="G85" i="1"/>
  <c r="N85" i="1"/>
  <c r="R85" i="1" s="1"/>
  <c r="C86" i="1"/>
  <c r="D86" i="1"/>
  <c r="F86" i="1"/>
  <c r="G86" i="1"/>
  <c r="N86" i="1"/>
  <c r="R86" i="1" s="1"/>
  <c r="C87" i="1"/>
  <c r="D87" i="1"/>
  <c r="F87" i="1"/>
  <c r="G87" i="1"/>
  <c r="N87" i="1"/>
  <c r="R87" i="1" s="1"/>
  <c r="C88" i="1"/>
  <c r="D88" i="1"/>
  <c r="F88" i="1"/>
  <c r="G88" i="1"/>
  <c r="N88" i="1"/>
  <c r="R88" i="1" s="1"/>
  <c r="C89" i="1"/>
  <c r="D89" i="1"/>
  <c r="F89" i="1"/>
  <c r="G89" i="1"/>
  <c r="N89" i="1"/>
  <c r="R89" i="1" s="1"/>
  <c r="C90" i="1"/>
  <c r="D90" i="1"/>
  <c r="F90" i="1"/>
  <c r="G90" i="1"/>
  <c r="N90" i="1"/>
  <c r="R90" i="1" s="1"/>
  <c r="C91" i="1"/>
  <c r="D91" i="1"/>
  <c r="F91" i="1"/>
  <c r="G91" i="1"/>
  <c r="N91" i="1"/>
  <c r="R91" i="1" s="1"/>
  <c r="C92" i="1"/>
  <c r="D92" i="1"/>
  <c r="F92" i="1"/>
  <c r="G92" i="1"/>
  <c r="N92" i="1"/>
  <c r="R92" i="1" s="1"/>
  <c r="C93" i="1"/>
  <c r="D93" i="1"/>
  <c r="F93" i="1"/>
  <c r="G93" i="1"/>
  <c r="N93" i="1"/>
  <c r="R93" i="1" s="1"/>
  <c r="C94" i="1"/>
  <c r="D94" i="1"/>
  <c r="F94" i="1"/>
  <c r="G94" i="1"/>
  <c r="N94" i="1"/>
  <c r="R94" i="1" s="1"/>
  <c r="C95" i="1"/>
  <c r="D95" i="1"/>
  <c r="F95" i="1"/>
  <c r="G95" i="1"/>
  <c r="N95" i="1"/>
  <c r="R95" i="1" s="1"/>
  <c r="C96" i="1"/>
  <c r="D96" i="1"/>
  <c r="F96" i="1"/>
  <c r="G96" i="1"/>
  <c r="N96" i="1"/>
  <c r="R96" i="1" s="1"/>
  <c r="C97" i="1"/>
  <c r="D97" i="1"/>
  <c r="F97" i="1"/>
  <c r="G97" i="1"/>
  <c r="N97" i="1"/>
  <c r="R97" i="1" s="1"/>
  <c r="C98" i="1"/>
  <c r="D98" i="1"/>
  <c r="F98" i="1"/>
  <c r="G98" i="1"/>
  <c r="N98" i="1"/>
  <c r="R98" i="1" s="1"/>
  <c r="C99" i="1"/>
  <c r="D99" i="1"/>
  <c r="F99" i="1"/>
  <c r="G99" i="1"/>
  <c r="N99" i="1"/>
  <c r="R99" i="1" s="1"/>
  <c r="C100" i="1"/>
  <c r="D100" i="1"/>
  <c r="F100" i="1"/>
  <c r="G100" i="1"/>
  <c r="N100" i="1"/>
  <c r="R100" i="1" s="1"/>
  <c r="C101" i="1"/>
  <c r="D101" i="1"/>
  <c r="F101" i="1"/>
  <c r="G101" i="1"/>
  <c r="N101" i="1"/>
  <c r="R101" i="1" s="1"/>
  <c r="C102" i="1"/>
  <c r="D102" i="1"/>
  <c r="F102" i="1"/>
  <c r="G102" i="1"/>
  <c r="N102" i="1"/>
  <c r="R102" i="1" s="1"/>
  <c r="C103" i="1"/>
  <c r="D103" i="1"/>
  <c r="F103" i="1"/>
  <c r="G103" i="1"/>
  <c r="N103" i="1"/>
  <c r="R103" i="1" s="1"/>
  <c r="C104" i="1"/>
  <c r="D104" i="1"/>
  <c r="F104" i="1"/>
  <c r="G104" i="1"/>
  <c r="N104" i="1"/>
  <c r="R104" i="1" s="1"/>
  <c r="C105" i="1"/>
  <c r="D105" i="1"/>
  <c r="F105" i="1"/>
  <c r="G105" i="1"/>
  <c r="N105" i="1"/>
  <c r="R105" i="1" s="1"/>
  <c r="C106" i="1"/>
  <c r="D106" i="1"/>
  <c r="F106" i="1"/>
  <c r="G106" i="1"/>
  <c r="N106" i="1"/>
  <c r="R106" i="1" s="1"/>
  <c r="C107" i="1"/>
  <c r="D107" i="1"/>
  <c r="F107" i="1"/>
  <c r="G107" i="1"/>
  <c r="N107" i="1"/>
  <c r="R107" i="1" s="1"/>
  <c r="C108" i="1"/>
  <c r="D108" i="1"/>
  <c r="F108" i="1"/>
  <c r="G108" i="1"/>
  <c r="N108" i="1"/>
  <c r="R108" i="1" s="1"/>
  <c r="C109" i="1"/>
  <c r="D109" i="1"/>
  <c r="F109" i="1"/>
  <c r="G109" i="1"/>
  <c r="N109" i="1"/>
  <c r="R109" i="1" s="1"/>
  <c r="C110" i="1"/>
  <c r="D110" i="1"/>
  <c r="F110" i="1"/>
  <c r="G110" i="1"/>
  <c r="N110" i="1"/>
  <c r="R110" i="1" s="1"/>
  <c r="C111" i="1"/>
  <c r="D111" i="1"/>
  <c r="F111" i="1"/>
  <c r="G111" i="1"/>
  <c r="N111" i="1"/>
  <c r="R111" i="1" s="1"/>
  <c r="C112" i="1"/>
  <c r="D112" i="1"/>
  <c r="F112" i="1"/>
  <c r="G112" i="1"/>
  <c r="N112" i="1"/>
  <c r="R112" i="1" s="1"/>
  <c r="C113" i="1"/>
  <c r="D113" i="1"/>
  <c r="F113" i="1"/>
  <c r="G113" i="1"/>
  <c r="N113" i="1"/>
  <c r="R113" i="1" s="1"/>
  <c r="C114" i="1"/>
  <c r="D114" i="1"/>
  <c r="F114" i="1"/>
  <c r="G114" i="1"/>
  <c r="N114" i="1"/>
  <c r="R114" i="1" s="1"/>
  <c r="C115" i="1"/>
  <c r="D115" i="1"/>
  <c r="F115" i="1"/>
  <c r="G115" i="1"/>
  <c r="N115" i="1"/>
  <c r="R115" i="1" s="1"/>
  <c r="C116" i="1"/>
  <c r="D116" i="1"/>
  <c r="F116" i="1"/>
  <c r="G116" i="1"/>
  <c r="N116" i="1"/>
  <c r="R116" i="1" s="1"/>
  <c r="C117" i="1"/>
  <c r="D117" i="1"/>
  <c r="F117" i="1"/>
  <c r="G117" i="1"/>
  <c r="N117" i="1"/>
  <c r="R117" i="1" s="1"/>
  <c r="C118" i="1"/>
  <c r="D118" i="1"/>
  <c r="F118" i="1"/>
  <c r="G118" i="1"/>
  <c r="N118" i="1"/>
  <c r="R118" i="1" s="1"/>
  <c r="C119" i="1"/>
  <c r="D119" i="1"/>
  <c r="F119" i="1"/>
  <c r="G119" i="1"/>
  <c r="N119" i="1"/>
  <c r="R119" i="1" s="1"/>
  <c r="C120" i="1"/>
  <c r="D120" i="1"/>
  <c r="F120" i="1"/>
  <c r="G120" i="1"/>
  <c r="N120" i="1"/>
  <c r="R120" i="1" s="1"/>
  <c r="C121" i="1"/>
  <c r="D121" i="1"/>
  <c r="F121" i="1"/>
  <c r="G121" i="1"/>
  <c r="N121" i="1"/>
  <c r="R121" i="1" s="1"/>
  <c r="C122" i="1"/>
  <c r="D122" i="1"/>
  <c r="F122" i="1"/>
  <c r="G122" i="1"/>
  <c r="N122" i="1"/>
  <c r="R122" i="1" s="1"/>
  <c r="C123" i="1"/>
  <c r="D123" i="1"/>
  <c r="F123" i="1"/>
  <c r="G123" i="1"/>
  <c r="N123" i="1"/>
  <c r="R123" i="1" s="1"/>
  <c r="C124" i="1"/>
  <c r="D124" i="1"/>
  <c r="F124" i="1"/>
  <c r="G124" i="1"/>
  <c r="N124" i="1"/>
  <c r="R124" i="1" s="1"/>
  <c r="C125" i="1"/>
  <c r="D125" i="1"/>
  <c r="F125" i="1"/>
  <c r="G125" i="1"/>
  <c r="N125" i="1"/>
  <c r="R125" i="1" s="1"/>
  <c r="C126" i="1"/>
  <c r="D126" i="1"/>
  <c r="F126" i="1"/>
  <c r="G126" i="1"/>
  <c r="N126" i="1"/>
  <c r="R126" i="1" s="1"/>
  <c r="C127" i="1"/>
  <c r="D127" i="1"/>
  <c r="F127" i="1"/>
  <c r="G127" i="1"/>
  <c r="N127" i="1"/>
  <c r="R127" i="1" s="1"/>
  <c r="C128" i="1"/>
  <c r="D128" i="1"/>
  <c r="F128" i="1"/>
  <c r="G128" i="1"/>
  <c r="N128" i="1"/>
  <c r="R128" i="1" s="1"/>
  <c r="C129" i="1"/>
  <c r="D129" i="1"/>
  <c r="F129" i="1"/>
  <c r="G129" i="1"/>
  <c r="N129" i="1"/>
  <c r="R129" i="1" s="1"/>
  <c r="C130" i="1"/>
  <c r="D130" i="1"/>
  <c r="F130" i="1"/>
  <c r="G130" i="1"/>
  <c r="N130" i="1"/>
  <c r="R130" i="1" s="1"/>
  <c r="C131" i="1"/>
  <c r="D131" i="1"/>
  <c r="F131" i="1"/>
  <c r="G131" i="1"/>
  <c r="N131" i="1"/>
  <c r="R131" i="1" s="1"/>
  <c r="C132" i="1"/>
  <c r="D132" i="1"/>
  <c r="F132" i="1"/>
  <c r="G132" i="1"/>
  <c r="N132" i="1"/>
  <c r="R132" i="1" s="1"/>
  <c r="C133" i="1"/>
  <c r="D133" i="1"/>
  <c r="F133" i="1"/>
  <c r="G133" i="1"/>
  <c r="N133" i="1"/>
  <c r="R133" i="1" s="1"/>
  <c r="W133" i="1" s="1"/>
  <c r="C134" i="1"/>
  <c r="D134" i="1"/>
  <c r="F134" i="1"/>
  <c r="G134" i="1"/>
  <c r="N134" i="1"/>
  <c r="R134" i="1" s="1"/>
  <c r="C135" i="1"/>
  <c r="D135" i="1"/>
  <c r="F135" i="1"/>
  <c r="G135" i="1"/>
  <c r="N135" i="1"/>
  <c r="R135" i="1" s="1"/>
  <c r="C136" i="1"/>
  <c r="D136" i="1"/>
  <c r="F136" i="1"/>
  <c r="G136" i="1"/>
  <c r="N136" i="1"/>
  <c r="R136" i="1" s="1"/>
  <c r="C137" i="1"/>
  <c r="D137" i="1"/>
  <c r="F137" i="1"/>
  <c r="G137" i="1"/>
  <c r="N137" i="1"/>
  <c r="R137" i="1" s="1"/>
  <c r="C138" i="1"/>
  <c r="D138" i="1"/>
  <c r="F138" i="1"/>
  <c r="G138" i="1"/>
  <c r="N138" i="1"/>
  <c r="R138" i="1" s="1"/>
  <c r="C139" i="1"/>
  <c r="D139" i="1"/>
  <c r="F139" i="1"/>
  <c r="G139" i="1"/>
  <c r="N139" i="1"/>
  <c r="R139" i="1" s="1"/>
  <c r="C140" i="1"/>
  <c r="D140" i="1"/>
  <c r="F140" i="1"/>
  <c r="G140" i="1"/>
  <c r="N140" i="1"/>
  <c r="R140" i="1" s="1"/>
  <c r="C141" i="1"/>
  <c r="D141" i="1"/>
  <c r="F141" i="1"/>
  <c r="G141" i="1"/>
  <c r="N141" i="1"/>
  <c r="R141" i="1" s="1"/>
  <c r="W141" i="1" s="1"/>
  <c r="C142" i="1"/>
  <c r="D142" i="1"/>
  <c r="F142" i="1"/>
  <c r="G142" i="1"/>
  <c r="N142" i="1"/>
  <c r="R142" i="1" s="1"/>
  <c r="C143" i="1"/>
  <c r="D143" i="1"/>
  <c r="F143" i="1"/>
  <c r="G143" i="1"/>
  <c r="N143" i="1"/>
  <c r="R143" i="1" s="1"/>
  <c r="C144" i="1"/>
  <c r="D144" i="1"/>
  <c r="F144" i="1"/>
  <c r="G144" i="1"/>
  <c r="N144" i="1"/>
  <c r="R144" i="1" s="1"/>
  <c r="U144" i="1" s="1"/>
  <c r="C145" i="1"/>
  <c r="D145" i="1"/>
  <c r="F145" i="1"/>
  <c r="G145" i="1"/>
  <c r="N145" i="1"/>
  <c r="R145" i="1" s="1"/>
  <c r="W145" i="1" s="1"/>
  <c r="C146" i="1"/>
  <c r="D146" i="1"/>
  <c r="F146" i="1"/>
  <c r="G146" i="1"/>
  <c r="N146" i="1"/>
  <c r="R146" i="1" s="1"/>
  <c r="C147" i="1"/>
  <c r="D147" i="1"/>
  <c r="F147" i="1"/>
  <c r="G147" i="1"/>
  <c r="N147" i="1"/>
  <c r="R147" i="1" s="1"/>
  <c r="C148" i="1"/>
  <c r="D148" i="1"/>
  <c r="F148" i="1"/>
  <c r="G148" i="1"/>
  <c r="N148" i="1"/>
  <c r="R148" i="1" s="1"/>
  <c r="C149" i="1"/>
  <c r="D149" i="1"/>
  <c r="F149" i="1"/>
  <c r="G149" i="1"/>
  <c r="N149" i="1"/>
  <c r="R149" i="1" s="1"/>
  <c r="C150" i="1"/>
  <c r="D150" i="1"/>
  <c r="F150" i="1"/>
  <c r="G150" i="1"/>
  <c r="N150" i="1"/>
  <c r="R150" i="1" s="1"/>
  <c r="U150" i="1" s="1"/>
  <c r="C151" i="1"/>
  <c r="D151" i="1"/>
  <c r="F151" i="1"/>
  <c r="G151" i="1"/>
  <c r="N151" i="1"/>
  <c r="R151" i="1" s="1"/>
  <c r="C152" i="1"/>
  <c r="D152" i="1"/>
  <c r="F152" i="1"/>
  <c r="G152" i="1"/>
  <c r="N152" i="1"/>
  <c r="R152" i="1" s="1"/>
  <c r="U152" i="1" s="1"/>
  <c r="C153" i="1"/>
  <c r="D153" i="1"/>
  <c r="F153" i="1"/>
  <c r="G153" i="1"/>
  <c r="N153" i="1"/>
  <c r="R153" i="1" s="1"/>
  <c r="C154" i="1"/>
  <c r="D154" i="1"/>
  <c r="F154" i="1"/>
  <c r="G154" i="1"/>
  <c r="N154" i="1"/>
  <c r="R154" i="1" s="1"/>
  <c r="C155" i="1"/>
  <c r="D155" i="1"/>
  <c r="F155" i="1"/>
  <c r="G155" i="1"/>
  <c r="N155" i="1"/>
  <c r="R155" i="1" s="1"/>
  <c r="C156" i="1"/>
  <c r="D156" i="1"/>
  <c r="F156" i="1"/>
  <c r="G156" i="1"/>
  <c r="N156" i="1"/>
  <c r="R156" i="1" s="1"/>
  <c r="C157" i="1"/>
  <c r="D157" i="1"/>
  <c r="F157" i="1"/>
  <c r="G157" i="1"/>
  <c r="N157" i="1"/>
  <c r="R157" i="1" s="1"/>
  <c r="W157" i="1" s="1"/>
  <c r="C158" i="1"/>
  <c r="D158" i="1"/>
  <c r="F158" i="1"/>
  <c r="G158" i="1"/>
  <c r="N158" i="1"/>
  <c r="R158" i="1" s="1"/>
  <c r="C159" i="1"/>
  <c r="D159" i="1"/>
  <c r="F159" i="1"/>
  <c r="G159" i="1"/>
  <c r="N159" i="1"/>
  <c r="R159" i="1" s="1"/>
  <c r="C160" i="1"/>
  <c r="D160" i="1"/>
  <c r="F160" i="1"/>
  <c r="G160" i="1"/>
  <c r="N160" i="1"/>
  <c r="R160" i="1" s="1"/>
  <c r="U160" i="1" s="1"/>
  <c r="C161" i="1"/>
  <c r="D161" i="1"/>
  <c r="F161" i="1"/>
  <c r="G161" i="1"/>
  <c r="N161" i="1"/>
  <c r="R161" i="1" s="1"/>
  <c r="W161" i="1" s="1"/>
  <c r="C162" i="1"/>
  <c r="D162" i="1"/>
  <c r="F162" i="1"/>
  <c r="G162" i="1"/>
  <c r="N162" i="1"/>
  <c r="R162" i="1" s="1"/>
  <c r="C163" i="1"/>
  <c r="D163" i="1"/>
  <c r="F163" i="1"/>
  <c r="G163" i="1"/>
  <c r="N163" i="1"/>
  <c r="R163" i="1" s="1"/>
  <c r="C164" i="1"/>
  <c r="D164" i="1"/>
  <c r="F164" i="1"/>
  <c r="G164" i="1"/>
  <c r="N164" i="1"/>
  <c r="R164" i="1" s="1"/>
  <c r="C165" i="1"/>
  <c r="D165" i="1"/>
  <c r="F165" i="1"/>
  <c r="G165" i="1"/>
  <c r="N165" i="1"/>
  <c r="R165" i="1" s="1"/>
  <c r="C166" i="1"/>
  <c r="D166" i="1"/>
  <c r="F166" i="1"/>
  <c r="G166" i="1"/>
  <c r="N166" i="1"/>
  <c r="R166" i="1" s="1"/>
  <c r="U166" i="1" s="1"/>
  <c r="C167" i="1"/>
  <c r="D167" i="1"/>
  <c r="F167" i="1"/>
  <c r="G167" i="1"/>
  <c r="N167" i="1"/>
  <c r="R167" i="1" s="1"/>
  <c r="C168" i="1"/>
  <c r="D168" i="1"/>
  <c r="F168" i="1"/>
  <c r="G168" i="1"/>
  <c r="I168" i="1"/>
  <c r="J168" i="1"/>
  <c r="K168" i="1"/>
  <c r="L168" i="1"/>
  <c r="N168" i="1"/>
  <c r="R168" i="1" s="1"/>
  <c r="C169" i="1"/>
  <c r="D169" i="1"/>
  <c r="F169" i="1"/>
  <c r="G169" i="1"/>
  <c r="I169" i="1"/>
  <c r="J169" i="1"/>
  <c r="K169" i="1"/>
  <c r="L169" i="1"/>
  <c r="N169" i="1"/>
  <c r="R169" i="1" s="1"/>
  <c r="C170" i="1"/>
  <c r="D170" i="1"/>
  <c r="F170" i="1"/>
  <c r="G170" i="1"/>
  <c r="I170" i="1"/>
  <c r="J170" i="1"/>
  <c r="K170" i="1"/>
  <c r="L170" i="1"/>
  <c r="N170" i="1"/>
  <c r="R170" i="1" s="1"/>
  <c r="C171" i="1"/>
  <c r="D171" i="1"/>
  <c r="F171" i="1"/>
  <c r="G171" i="1"/>
  <c r="I171" i="1"/>
  <c r="J171" i="1"/>
  <c r="K171" i="1"/>
  <c r="L171" i="1"/>
  <c r="N171" i="1"/>
  <c r="R171" i="1" s="1"/>
  <c r="C172" i="1"/>
  <c r="D172" i="1"/>
  <c r="F172" i="1"/>
  <c r="G172" i="1"/>
  <c r="I172" i="1"/>
  <c r="J172" i="1"/>
  <c r="K172" i="1"/>
  <c r="L172" i="1"/>
  <c r="N172" i="1"/>
  <c r="R172" i="1" s="1"/>
  <c r="C173" i="1"/>
  <c r="D173" i="1"/>
  <c r="F173" i="1"/>
  <c r="G173" i="1"/>
  <c r="N173" i="1"/>
  <c r="R173" i="1" s="1"/>
  <c r="C174" i="1"/>
  <c r="D174" i="1"/>
  <c r="F174" i="1"/>
  <c r="G174" i="1"/>
  <c r="N174" i="1"/>
  <c r="R174" i="1" s="1"/>
  <c r="C175" i="1"/>
  <c r="D175" i="1"/>
  <c r="F175" i="1"/>
  <c r="G175" i="1"/>
  <c r="N175" i="1"/>
  <c r="R175" i="1" s="1"/>
  <c r="C176" i="1"/>
  <c r="D176" i="1"/>
  <c r="F176" i="1"/>
  <c r="G176" i="1"/>
  <c r="N176" i="1"/>
  <c r="R176" i="1" s="1"/>
  <c r="C177" i="1"/>
  <c r="D177" i="1"/>
  <c r="F177" i="1"/>
  <c r="G177" i="1"/>
  <c r="N177" i="1"/>
  <c r="R177" i="1" s="1"/>
  <c r="C178" i="1"/>
  <c r="D178" i="1"/>
  <c r="F178" i="1"/>
  <c r="G178" i="1"/>
  <c r="N178" i="1"/>
  <c r="R178" i="1" s="1"/>
  <c r="C179" i="1"/>
  <c r="D179" i="1"/>
  <c r="F179" i="1"/>
  <c r="G179" i="1"/>
  <c r="N179" i="1"/>
  <c r="R179" i="1" s="1"/>
  <c r="C180" i="1"/>
  <c r="D180" i="1"/>
  <c r="F180" i="1"/>
  <c r="G180" i="1"/>
  <c r="N180" i="1"/>
  <c r="R180" i="1" s="1"/>
  <c r="C181" i="1"/>
  <c r="D181" i="1"/>
  <c r="F181" i="1"/>
  <c r="G181" i="1"/>
  <c r="N181" i="1"/>
  <c r="R181" i="1" s="1"/>
  <c r="C182" i="1"/>
  <c r="D182" i="1"/>
  <c r="F182" i="1"/>
  <c r="G182" i="1"/>
  <c r="N182" i="1"/>
  <c r="R182" i="1" s="1"/>
  <c r="C183" i="1"/>
  <c r="D183" i="1"/>
  <c r="F183" i="1"/>
  <c r="G183" i="1"/>
  <c r="N183" i="1"/>
  <c r="R183" i="1" s="1"/>
  <c r="C184" i="1"/>
  <c r="D184" i="1"/>
  <c r="F184" i="1"/>
  <c r="G184" i="1"/>
  <c r="N184" i="1"/>
  <c r="R184" i="1" s="1"/>
  <c r="C185" i="1"/>
  <c r="D185" i="1"/>
  <c r="F185" i="1"/>
  <c r="G185" i="1"/>
  <c r="N185" i="1"/>
  <c r="R185" i="1" s="1"/>
  <c r="C186" i="1"/>
  <c r="D186" i="1"/>
  <c r="F186" i="1"/>
  <c r="G186" i="1"/>
  <c r="N186" i="1"/>
  <c r="R186" i="1" s="1"/>
  <c r="C187" i="1"/>
  <c r="D187" i="1"/>
  <c r="F187" i="1"/>
  <c r="G187" i="1"/>
  <c r="N187" i="1"/>
  <c r="R187" i="1" s="1"/>
  <c r="C188" i="1"/>
  <c r="D188" i="1"/>
  <c r="F188" i="1"/>
  <c r="G188" i="1"/>
  <c r="N188" i="1"/>
  <c r="R188" i="1" s="1"/>
  <c r="C189" i="1"/>
  <c r="D189" i="1"/>
  <c r="F189" i="1"/>
  <c r="G189" i="1"/>
  <c r="N189" i="1"/>
  <c r="R189" i="1" s="1"/>
  <c r="C190" i="1"/>
  <c r="D190" i="1"/>
  <c r="F190" i="1"/>
  <c r="G190" i="1"/>
  <c r="N190" i="1"/>
  <c r="R190" i="1" s="1"/>
  <c r="C191" i="1"/>
  <c r="D191" i="1"/>
  <c r="F191" i="1"/>
  <c r="G191" i="1"/>
  <c r="N191" i="1"/>
  <c r="R191" i="1" s="1"/>
  <c r="C192" i="1"/>
  <c r="D192" i="1"/>
  <c r="F192" i="1"/>
  <c r="G192" i="1"/>
  <c r="N192" i="1"/>
  <c r="R192" i="1" s="1"/>
  <c r="C193" i="1"/>
  <c r="D193" i="1"/>
  <c r="F193" i="1"/>
  <c r="G193" i="1"/>
  <c r="N193" i="1"/>
  <c r="R193" i="1" s="1"/>
  <c r="C194" i="1"/>
  <c r="D194" i="1"/>
  <c r="F194" i="1"/>
  <c r="G194" i="1"/>
  <c r="N194" i="1"/>
  <c r="R194" i="1" s="1"/>
  <c r="C195" i="1"/>
  <c r="D195" i="1"/>
  <c r="F195" i="1"/>
  <c r="G195" i="1"/>
  <c r="N195" i="1"/>
  <c r="R195" i="1" s="1"/>
  <c r="C196" i="1"/>
  <c r="D196" i="1"/>
  <c r="F196" i="1"/>
  <c r="G196" i="1"/>
  <c r="N196" i="1"/>
  <c r="R196" i="1" s="1"/>
  <c r="C197" i="1"/>
  <c r="D197" i="1"/>
  <c r="F197" i="1"/>
  <c r="G197" i="1"/>
  <c r="N197" i="1"/>
  <c r="R197" i="1" s="1"/>
  <c r="C198" i="1"/>
  <c r="D198" i="1"/>
  <c r="F198" i="1"/>
  <c r="G198" i="1"/>
  <c r="N198" i="1"/>
  <c r="R198" i="1" s="1"/>
  <c r="C199" i="1"/>
  <c r="D199" i="1"/>
  <c r="F199" i="1"/>
  <c r="G199" i="1"/>
  <c r="N199" i="1"/>
  <c r="R199" i="1" s="1"/>
  <c r="C200" i="1"/>
  <c r="D200" i="1"/>
  <c r="F200" i="1"/>
  <c r="G200" i="1"/>
  <c r="N200" i="1"/>
  <c r="R200" i="1" s="1"/>
  <c r="C201" i="1"/>
  <c r="D201" i="1"/>
  <c r="F201" i="1"/>
  <c r="G201" i="1"/>
  <c r="N201" i="1"/>
  <c r="R201" i="1" s="1"/>
  <c r="C202" i="1"/>
  <c r="D202" i="1"/>
  <c r="F202" i="1"/>
  <c r="G202" i="1"/>
  <c r="N202" i="1"/>
  <c r="R202" i="1" s="1"/>
  <c r="C203" i="1"/>
  <c r="D203" i="1"/>
  <c r="F203" i="1"/>
  <c r="G203" i="1"/>
  <c r="N203" i="1"/>
  <c r="R203" i="1" s="1"/>
  <c r="C204" i="1"/>
  <c r="D204" i="1"/>
  <c r="F204" i="1"/>
  <c r="G204" i="1"/>
  <c r="N204" i="1"/>
  <c r="R204" i="1" s="1"/>
  <c r="C205" i="1"/>
  <c r="D205" i="1"/>
  <c r="F205" i="1"/>
  <c r="G205" i="1"/>
  <c r="N205" i="1"/>
  <c r="R205" i="1" s="1"/>
  <c r="C206" i="1"/>
  <c r="D206" i="1"/>
  <c r="F206" i="1"/>
  <c r="G206" i="1"/>
  <c r="N206" i="1"/>
  <c r="R206" i="1" s="1"/>
  <c r="C207" i="1"/>
  <c r="D207" i="1"/>
  <c r="F207" i="1"/>
  <c r="G207" i="1"/>
  <c r="N207" i="1"/>
  <c r="R207" i="1" s="1"/>
  <c r="C208" i="1"/>
  <c r="D208" i="1"/>
  <c r="F208" i="1"/>
  <c r="G208" i="1"/>
  <c r="N208" i="1"/>
  <c r="R208" i="1" s="1"/>
  <c r="C209" i="1"/>
  <c r="D209" i="1"/>
  <c r="F209" i="1"/>
  <c r="G209" i="1"/>
  <c r="N209" i="1"/>
  <c r="R209" i="1" s="1"/>
  <c r="C210" i="1"/>
  <c r="D210" i="1"/>
  <c r="F210" i="1"/>
  <c r="G210" i="1"/>
  <c r="N210" i="1"/>
  <c r="R210" i="1" s="1"/>
  <c r="C211" i="1"/>
  <c r="D211" i="1"/>
  <c r="F211" i="1"/>
  <c r="G211" i="1"/>
  <c r="N211" i="1"/>
  <c r="R211" i="1" s="1"/>
  <c r="C212" i="1"/>
  <c r="D212" i="1"/>
  <c r="F212" i="1"/>
  <c r="G212" i="1"/>
  <c r="N212" i="1"/>
  <c r="R212" i="1" s="1"/>
  <c r="C213" i="1"/>
  <c r="D213" i="1"/>
  <c r="F213" i="1"/>
  <c r="G213" i="1"/>
  <c r="N213" i="1"/>
  <c r="R213" i="1" s="1"/>
  <c r="C214" i="1"/>
  <c r="D214" i="1"/>
  <c r="F214" i="1"/>
  <c r="G214" i="1"/>
  <c r="N214" i="1"/>
  <c r="R214" i="1" s="1"/>
  <c r="C215" i="1"/>
  <c r="D215" i="1"/>
  <c r="F215" i="1"/>
  <c r="G215" i="1"/>
  <c r="N215" i="1"/>
  <c r="R215" i="1" s="1"/>
  <c r="C216" i="1"/>
  <c r="D216" i="1"/>
  <c r="F216" i="1"/>
  <c r="G216" i="1"/>
  <c r="N216" i="1"/>
  <c r="R216" i="1" s="1"/>
  <c r="C217" i="1"/>
  <c r="D217" i="1"/>
  <c r="F217" i="1"/>
  <c r="G217" i="1"/>
  <c r="N217" i="1"/>
  <c r="R217" i="1" s="1"/>
  <c r="C218" i="1"/>
  <c r="D218" i="1"/>
  <c r="F218" i="1"/>
  <c r="G218" i="1"/>
  <c r="N218" i="1"/>
  <c r="R218" i="1" s="1"/>
  <c r="C219" i="1"/>
  <c r="D219" i="1"/>
  <c r="F219" i="1"/>
  <c r="G219" i="1"/>
  <c r="N219" i="1"/>
  <c r="R219" i="1" s="1"/>
  <c r="C220" i="1"/>
  <c r="D220" i="1"/>
  <c r="F220" i="1"/>
  <c r="G220" i="1"/>
  <c r="N220" i="1"/>
  <c r="R220" i="1" s="1"/>
  <c r="C221" i="1"/>
  <c r="D221" i="1"/>
  <c r="F221" i="1"/>
  <c r="G221" i="1"/>
  <c r="N221" i="1"/>
  <c r="R221" i="1" s="1"/>
  <c r="C222" i="1"/>
  <c r="D222" i="1"/>
  <c r="F222" i="1"/>
  <c r="G222" i="1"/>
  <c r="N222" i="1"/>
  <c r="R222" i="1" s="1"/>
  <c r="C223" i="1"/>
  <c r="D223" i="1"/>
  <c r="F223" i="1"/>
  <c r="G223" i="1"/>
  <c r="N223" i="1"/>
  <c r="R223" i="1" s="1"/>
  <c r="C224" i="1"/>
  <c r="D224" i="1"/>
  <c r="F224" i="1"/>
  <c r="G224" i="1"/>
  <c r="N224" i="1"/>
  <c r="R224" i="1" s="1"/>
  <c r="C225" i="1"/>
  <c r="D225" i="1"/>
  <c r="F225" i="1"/>
  <c r="G225" i="1"/>
  <c r="N225" i="1"/>
  <c r="R225" i="1" s="1"/>
  <c r="C226" i="1"/>
  <c r="D226" i="1"/>
  <c r="F226" i="1"/>
  <c r="G226" i="1"/>
  <c r="N226" i="1"/>
  <c r="R226" i="1" s="1"/>
  <c r="C227" i="1"/>
  <c r="D227" i="1"/>
  <c r="F227" i="1"/>
  <c r="G227" i="1"/>
  <c r="N227" i="1"/>
  <c r="R227" i="1" s="1"/>
  <c r="C228" i="1"/>
  <c r="D228" i="1"/>
  <c r="F228" i="1"/>
  <c r="G228" i="1"/>
  <c r="N228" i="1"/>
  <c r="R228" i="1" s="1"/>
  <c r="C229" i="1"/>
  <c r="D229" i="1"/>
  <c r="F229" i="1"/>
  <c r="G229" i="1"/>
  <c r="N229" i="1"/>
  <c r="R229" i="1" s="1"/>
  <c r="C230" i="1"/>
  <c r="D230" i="1"/>
  <c r="F230" i="1"/>
  <c r="G230" i="1"/>
  <c r="N230" i="1"/>
  <c r="R230" i="1" s="1"/>
  <c r="U230" i="1" s="1"/>
  <c r="C231" i="1"/>
  <c r="D231" i="1"/>
  <c r="F231" i="1"/>
  <c r="G231" i="1"/>
  <c r="N231" i="1"/>
  <c r="R231" i="1" s="1"/>
  <c r="C232" i="1"/>
  <c r="D232" i="1"/>
  <c r="F232" i="1"/>
  <c r="G232" i="1"/>
  <c r="N232" i="1"/>
  <c r="R232" i="1" s="1"/>
  <c r="C233" i="1"/>
  <c r="D233" i="1"/>
  <c r="F233" i="1"/>
  <c r="G233" i="1"/>
  <c r="N233" i="1"/>
  <c r="R233" i="1" s="1"/>
  <c r="C234" i="1"/>
  <c r="D234" i="1"/>
  <c r="F234" i="1"/>
  <c r="G234" i="1"/>
  <c r="N234" i="1"/>
  <c r="R234" i="1" s="1"/>
  <c r="C235" i="1"/>
  <c r="D235" i="1"/>
  <c r="F235" i="1"/>
  <c r="G235" i="1"/>
  <c r="N235" i="1"/>
  <c r="R235" i="1" s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U392" i="1" l="1"/>
  <c r="U117" i="1"/>
  <c r="U85" i="1"/>
  <c r="U77" i="1"/>
  <c r="U69" i="1"/>
  <c r="U61" i="1"/>
  <c r="U53" i="1"/>
  <c r="U45" i="1"/>
  <c r="U37" i="1"/>
  <c r="U29" i="1"/>
  <c r="U21" i="1"/>
  <c r="U13" i="1"/>
  <c r="U5" i="1"/>
  <c r="U235" i="1"/>
  <c r="U227" i="1"/>
  <c r="U219" i="1"/>
  <c r="U59" i="1"/>
  <c r="U51" i="1"/>
  <c r="U43" i="1"/>
  <c r="U35" i="1"/>
  <c r="U27" i="1"/>
  <c r="U19" i="1"/>
  <c r="U11" i="1"/>
  <c r="U3" i="1"/>
  <c r="U232" i="1"/>
  <c r="U224" i="1"/>
  <c r="U216" i="1"/>
  <c r="U208" i="1"/>
  <c r="U168" i="1"/>
  <c r="U167" i="1"/>
  <c r="U159" i="1"/>
  <c r="U151" i="1"/>
  <c r="U143" i="1"/>
  <c r="U127" i="1"/>
  <c r="U119" i="1"/>
  <c r="U111" i="1"/>
  <c r="U103" i="1"/>
  <c r="U95" i="1"/>
  <c r="U79" i="1"/>
  <c r="U63" i="1"/>
  <c r="U222" i="1"/>
  <c r="U214" i="1"/>
  <c r="U206" i="1"/>
  <c r="U83" i="1"/>
  <c r="U75" i="1"/>
  <c r="U67" i="1"/>
  <c r="U228" i="1"/>
  <c r="U220" i="1"/>
  <c r="U212" i="1"/>
  <c r="U234" i="1"/>
  <c r="U226" i="1"/>
  <c r="U218" i="1"/>
  <c r="U210" i="1"/>
  <c r="U154" i="1"/>
  <c r="U170" i="1"/>
  <c r="W170" i="1"/>
  <c r="W166" i="1"/>
  <c r="U121" i="1"/>
  <c r="U105" i="1"/>
  <c r="U89" i="1"/>
  <c r="U81" i="1"/>
  <c r="U73" i="1"/>
  <c r="U65" i="1"/>
  <c r="U57" i="1"/>
  <c r="U49" i="1"/>
  <c r="U41" i="1"/>
  <c r="U33" i="1"/>
  <c r="U25" i="1"/>
  <c r="U17" i="1"/>
  <c r="U9" i="1"/>
  <c r="W208" i="1"/>
  <c r="U161" i="1"/>
  <c r="W61" i="1"/>
  <c r="W219" i="1"/>
  <c r="W81" i="1"/>
  <c r="W59" i="1"/>
  <c r="W17" i="1"/>
  <c r="W235" i="1"/>
  <c r="W222" i="1"/>
  <c r="W216" i="1"/>
  <c r="W135" i="1"/>
  <c r="U135" i="1"/>
  <c r="U101" i="1"/>
  <c r="W101" i="1"/>
  <c r="W33" i="1"/>
  <c r="W3" i="1"/>
  <c r="W79" i="1"/>
  <c r="W65" i="1"/>
  <c r="W212" i="1"/>
  <c r="U141" i="1"/>
  <c r="W43" i="1"/>
  <c r="W89" i="1"/>
  <c r="W69" i="1"/>
  <c r="W63" i="1"/>
  <c r="W159" i="1"/>
  <c r="W154" i="1"/>
  <c r="W150" i="1"/>
  <c r="W230" i="1"/>
  <c r="U145" i="1"/>
  <c r="W47" i="1"/>
  <c r="W27" i="1"/>
  <c r="W5" i="1"/>
  <c r="W105" i="1"/>
  <c r="W45" i="1"/>
  <c r="W143" i="1"/>
  <c r="U133" i="1"/>
  <c r="W49" i="1"/>
  <c r="U231" i="1"/>
  <c r="W231" i="1"/>
  <c r="U225" i="1"/>
  <c r="W225" i="1"/>
  <c r="U213" i="1"/>
  <c r="W213" i="1"/>
  <c r="U207" i="1"/>
  <c r="W207" i="1"/>
  <c r="U7" i="1"/>
  <c r="W7" i="1"/>
  <c r="U108" i="1"/>
  <c r="W108" i="1"/>
  <c r="U93" i="1"/>
  <c r="W93" i="1"/>
  <c r="U87" i="1"/>
  <c r="W87" i="1"/>
  <c r="U205" i="1"/>
  <c r="W205" i="1"/>
  <c r="U142" i="1"/>
  <c r="W142" i="1"/>
  <c r="U136" i="1"/>
  <c r="W136" i="1"/>
  <c r="U125" i="1"/>
  <c r="W125" i="1"/>
  <c r="U229" i="1"/>
  <c r="W229" i="1"/>
  <c r="U223" i="1"/>
  <c r="W223" i="1"/>
  <c r="U217" i="1"/>
  <c r="W217" i="1"/>
  <c r="U211" i="1"/>
  <c r="W211" i="1"/>
  <c r="U204" i="1"/>
  <c r="W204" i="1"/>
  <c r="U193" i="1"/>
  <c r="W193" i="1"/>
  <c r="U188" i="1"/>
  <c r="W188" i="1"/>
  <c r="U177" i="1"/>
  <c r="W177" i="1"/>
  <c r="U172" i="1"/>
  <c r="W172" i="1"/>
  <c r="U163" i="1"/>
  <c r="W163" i="1"/>
  <c r="U233" i="1"/>
  <c r="W233" i="1"/>
  <c r="W227" i="1"/>
  <c r="U209" i="1"/>
  <c r="W209" i="1"/>
  <c r="U221" i="1"/>
  <c r="W221" i="1"/>
  <c r="U215" i="1"/>
  <c r="W215" i="1"/>
  <c r="U203" i="1"/>
  <c r="W203" i="1"/>
  <c r="U198" i="1"/>
  <c r="W198" i="1"/>
  <c r="U187" i="1"/>
  <c r="W187" i="1"/>
  <c r="U182" i="1"/>
  <c r="W182" i="1"/>
  <c r="U171" i="1"/>
  <c r="W171" i="1"/>
  <c r="U162" i="1"/>
  <c r="W162" i="1"/>
  <c r="U131" i="1"/>
  <c r="W131" i="1"/>
  <c r="U124" i="1"/>
  <c r="W124" i="1"/>
  <c r="U114" i="1"/>
  <c r="W114" i="1"/>
  <c r="U107" i="1"/>
  <c r="W107" i="1"/>
  <c r="U102" i="1"/>
  <c r="W102" i="1"/>
  <c r="U92" i="1"/>
  <c r="W92" i="1"/>
  <c r="U55" i="1"/>
  <c r="W55" i="1"/>
  <c r="U28" i="1"/>
  <c r="W28" i="1"/>
  <c r="W232" i="1"/>
  <c r="W224" i="1"/>
  <c r="U197" i="1"/>
  <c r="W197" i="1"/>
  <c r="U192" i="1"/>
  <c r="W192" i="1"/>
  <c r="U181" i="1"/>
  <c r="W181" i="1"/>
  <c r="U176" i="1"/>
  <c r="W176" i="1"/>
  <c r="U130" i="1"/>
  <c r="W130" i="1"/>
  <c r="U123" i="1"/>
  <c r="W123" i="1"/>
  <c r="U118" i="1"/>
  <c r="W118" i="1"/>
  <c r="U113" i="1"/>
  <c r="W113" i="1"/>
  <c r="U106" i="1"/>
  <c r="W106" i="1"/>
  <c r="U91" i="1"/>
  <c r="W91" i="1"/>
  <c r="W85" i="1"/>
  <c r="U202" i="1"/>
  <c r="W202" i="1"/>
  <c r="U191" i="1"/>
  <c r="W191" i="1"/>
  <c r="U186" i="1"/>
  <c r="W186" i="1"/>
  <c r="U175" i="1"/>
  <c r="W175" i="1"/>
  <c r="U158" i="1"/>
  <c r="W158" i="1"/>
  <c r="U149" i="1"/>
  <c r="W149" i="1"/>
  <c r="U129" i="1"/>
  <c r="W129" i="1"/>
  <c r="U122" i="1"/>
  <c r="W122" i="1"/>
  <c r="U112" i="1"/>
  <c r="W112" i="1"/>
  <c r="U97" i="1"/>
  <c r="W97" i="1"/>
  <c r="U60" i="1"/>
  <c r="W60" i="1"/>
  <c r="U12" i="1"/>
  <c r="W12" i="1"/>
  <c r="W234" i="1"/>
  <c r="W226" i="1"/>
  <c r="W218" i="1"/>
  <c r="W214" i="1"/>
  <c r="W210" i="1"/>
  <c r="W206" i="1"/>
  <c r="U201" i="1"/>
  <c r="W201" i="1"/>
  <c r="U196" i="1"/>
  <c r="W196" i="1"/>
  <c r="U185" i="1"/>
  <c r="W185" i="1"/>
  <c r="U180" i="1"/>
  <c r="W180" i="1"/>
  <c r="U157" i="1"/>
  <c r="U153" i="1"/>
  <c r="W153" i="1"/>
  <c r="U148" i="1"/>
  <c r="W148" i="1"/>
  <c r="U134" i="1"/>
  <c r="W134" i="1"/>
  <c r="U128" i="1"/>
  <c r="W128" i="1"/>
  <c r="W121" i="1"/>
  <c r="U96" i="1"/>
  <c r="W96" i="1"/>
  <c r="U71" i="1"/>
  <c r="W71" i="1"/>
  <c r="U195" i="1"/>
  <c r="W195" i="1"/>
  <c r="U190" i="1"/>
  <c r="W190" i="1"/>
  <c r="U179" i="1"/>
  <c r="W179" i="1"/>
  <c r="U174" i="1"/>
  <c r="W174" i="1"/>
  <c r="U165" i="1"/>
  <c r="W165" i="1"/>
  <c r="U139" i="1"/>
  <c r="W139" i="1"/>
  <c r="U39" i="1"/>
  <c r="W39" i="1"/>
  <c r="W228" i="1"/>
  <c r="W220" i="1"/>
  <c r="U200" i="1"/>
  <c r="W200" i="1"/>
  <c r="U189" i="1"/>
  <c r="W189" i="1"/>
  <c r="U184" i="1"/>
  <c r="W184" i="1"/>
  <c r="U173" i="1"/>
  <c r="W173" i="1"/>
  <c r="U169" i="1"/>
  <c r="W169" i="1"/>
  <c r="U164" i="1"/>
  <c r="W164" i="1"/>
  <c r="U156" i="1"/>
  <c r="W156" i="1"/>
  <c r="U147" i="1"/>
  <c r="W147" i="1"/>
  <c r="U138" i="1"/>
  <c r="W138" i="1"/>
  <c r="U116" i="1"/>
  <c r="W116" i="1"/>
  <c r="U110" i="1"/>
  <c r="W110" i="1"/>
  <c r="U100" i="1"/>
  <c r="W100" i="1"/>
  <c r="U199" i="1"/>
  <c r="W199" i="1"/>
  <c r="U194" i="1"/>
  <c r="W194" i="1"/>
  <c r="U183" i="1"/>
  <c r="W183" i="1"/>
  <c r="U178" i="1"/>
  <c r="W178" i="1"/>
  <c r="U155" i="1"/>
  <c r="W155" i="1"/>
  <c r="U146" i="1"/>
  <c r="W146" i="1"/>
  <c r="U137" i="1"/>
  <c r="W137" i="1"/>
  <c r="U126" i="1"/>
  <c r="W126" i="1"/>
  <c r="U115" i="1"/>
  <c r="W115" i="1"/>
  <c r="U109" i="1"/>
  <c r="W109" i="1"/>
  <c r="U99" i="1"/>
  <c r="W99" i="1"/>
  <c r="U94" i="1"/>
  <c r="W94" i="1"/>
  <c r="U76" i="1"/>
  <c r="W76" i="1"/>
  <c r="U44" i="1"/>
  <c r="W44" i="1"/>
  <c r="U23" i="1"/>
  <c r="W23" i="1"/>
  <c r="W168" i="1"/>
  <c r="W152" i="1"/>
  <c r="W127" i="1"/>
  <c r="W111" i="1"/>
  <c r="W95" i="1"/>
  <c r="W75" i="1"/>
  <c r="U70" i="1"/>
  <c r="W70" i="1"/>
  <c r="U54" i="1"/>
  <c r="W54" i="1"/>
  <c r="U38" i="1"/>
  <c r="W38" i="1"/>
  <c r="U22" i="1"/>
  <c r="W22" i="1"/>
  <c r="W11" i="1"/>
  <c r="U6" i="1"/>
  <c r="W6" i="1"/>
  <c r="W117" i="1"/>
  <c r="U98" i="1"/>
  <c r="W98" i="1"/>
  <c r="U80" i="1"/>
  <c r="W80" i="1"/>
  <c r="U64" i="1"/>
  <c r="W64" i="1"/>
  <c r="W53" i="1"/>
  <c r="U48" i="1"/>
  <c r="W48" i="1"/>
  <c r="W37" i="1"/>
  <c r="U32" i="1"/>
  <c r="W32" i="1"/>
  <c r="W21" i="1"/>
  <c r="U16" i="1"/>
  <c r="W16" i="1"/>
  <c r="U140" i="1"/>
  <c r="W140" i="1"/>
  <c r="U132" i="1"/>
  <c r="W132" i="1"/>
  <c r="U120" i="1"/>
  <c r="W120" i="1"/>
  <c r="U104" i="1"/>
  <c r="W104" i="1"/>
  <c r="U88" i="1"/>
  <c r="W88" i="1"/>
  <c r="U84" i="1"/>
  <c r="W84" i="1"/>
  <c r="U74" i="1"/>
  <c r="W74" i="1"/>
  <c r="U58" i="1"/>
  <c r="W58" i="1"/>
  <c r="U42" i="1"/>
  <c r="W42" i="1"/>
  <c r="W31" i="1"/>
  <c r="U26" i="1"/>
  <c r="W26" i="1"/>
  <c r="W15" i="1"/>
  <c r="U10" i="1"/>
  <c r="W10" i="1"/>
  <c r="W167" i="1"/>
  <c r="W151" i="1"/>
  <c r="W83" i="1"/>
  <c r="W73" i="1"/>
  <c r="U68" i="1"/>
  <c r="W68" i="1"/>
  <c r="W57" i="1"/>
  <c r="U52" i="1"/>
  <c r="W52" i="1"/>
  <c r="W41" i="1"/>
  <c r="U36" i="1"/>
  <c r="W36" i="1"/>
  <c r="W25" i="1"/>
  <c r="U20" i="1"/>
  <c r="W20" i="1"/>
  <c r="W9" i="1"/>
  <c r="U4" i="1"/>
  <c r="W4" i="1"/>
  <c r="W160" i="1"/>
  <c r="W144" i="1"/>
  <c r="W119" i="1"/>
  <c r="W103" i="1"/>
  <c r="U78" i="1"/>
  <c r="W78" i="1"/>
  <c r="W67" i="1"/>
  <c r="U62" i="1"/>
  <c r="W62" i="1"/>
  <c r="W51" i="1"/>
  <c r="U46" i="1"/>
  <c r="W46" i="1"/>
  <c r="W35" i="1"/>
  <c r="U30" i="1"/>
  <c r="W30" i="1"/>
  <c r="W19" i="1"/>
  <c r="U14" i="1"/>
  <c r="W14" i="1"/>
  <c r="U90" i="1"/>
  <c r="W90" i="1"/>
  <c r="W77" i="1"/>
  <c r="U72" i="1"/>
  <c r="W72" i="1"/>
  <c r="U56" i="1"/>
  <c r="W56" i="1"/>
  <c r="U40" i="1"/>
  <c r="W40" i="1"/>
  <c r="W29" i="1"/>
  <c r="U24" i="1"/>
  <c r="W24" i="1"/>
  <c r="W13" i="1"/>
  <c r="U8" i="1"/>
  <c r="W8" i="1"/>
  <c r="U86" i="1"/>
  <c r="W86" i="1"/>
  <c r="U82" i="1"/>
  <c r="W82" i="1"/>
  <c r="U66" i="1"/>
  <c r="W66" i="1"/>
  <c r="U50" i="1"/>
  <c r="W50" i="1"/>
  <c r="U34" i="1"/>
  <c r="W34" i="1"/>
  <c r="U18" i="1"/>
  <c r="W18" i="1"/>
  <c r="U2" i="1"/>
  <c r="W2" i="1"/>
  <c r="I1046" i="1" l="1"/>
  <c r="J1046" i="1"/>
  <c r="K1046" i="1"/>
  <c r="L1046" i="1"/>
  <c r="I1097" i="1"/>
  <c r="J1097" i="1"/>
  <c r="K1097" i="1"/>
  <c r="L1097" i="1"/>
  <c r="I486" i="1"/>
  <c r="J486" i="1"/>
  <c r="K486" i="1"/>
  <c r="L486" i="1"/>
  <c r="I175" i="1"/>
  <c r="J175" i="1"/>
  <c r="K175" i="1"/>
  <c r="L175" i="1"/>
  <c r="I338" i="1"/>
  <c r="J338" i="1"/>
  <c r="K338" i="1"/>
  <c r="L338" i="1"/>
  <c r="L769" i="1" l="1"/>
  <c r="L770" i="1"/>
  <c r="L771" i="1"/>
  <c r="L772" i="1"/>
  <c r="L773" i="1"/>
  <c r="L774" i="1"/>
  <c r="L775" i="1"/>
  <c r="L852" i="1"/>
  <c r="L853" i="1"/>
  <c r="L828" i="1"/>
  <c r="L826" i="1"/>
  <c r="L827" i="1"/>
  <c r="L825" i="1"/>
  <c r="L824" i="1"/>
  <c r="L856" i="1"/>
  <c r="L862" i="1"/>
  <c r="L863" i="1"/>
  <c r="L864" i="1"/>
  <c r="L865" i="1"/>
  <c r="L866" i="1"/>
  <c r="L867" i="1"/>
  <c r="L868" i="1"/>
  <c r="L869" i="1"/>
  <c r="L750" i="1"/>
  <c r="L851" i="1"/>
  <c r="L854" i="1"/>
  <c r="L855" i="1"/>
  <c r="L782" i="1"/>
  <c r="L780" i="1"/>
  <c r="L819" i="1"/>
  <c r="L820" i="1"/>
  <c r="L823" i="1"/>
  <c r="L821" i="1"/>
  <c r="L822" i="1"/>
  <c r="L817" i="1"/>
  <c r="L818" i="1"/>
  <c r="L326" i="1"/>
  <c r="L332" i="1"/>
  <c r="L327" i="1"/>
  <c r="L328" i="1"/>
  <c r="L329" i="1"/>
  <c r="L330" i="1"/>
  <c r="L331" i="1"/>
  <c r="L644" i="1"/>
  <c r="L645" i="1"/>
  <c r="L646" i="1"/>
  <c r="L242" i="1"/>
  <c r="L243" i="1"/>
  <c r="L246" i="1"/>
  <c r="L240" i="1"/>
  <c r="L247" i="1"/>
  <c r="L248" i="1"/>
  <c r="L245" i="1"/>
  <c r="L244" i="1"/>
  <c r="L668" i="1"/>
  <c r="L669" i="1"/>
  <c r="L275" i="1"/>
  <c r="L278" i="1"/>
  <c r="L279" i="1"/>
  <c r="L280" i="1"/>
  <c r="L277" i="1"/>
  <c r="L276" i="1"/>
  <c r="L778" i="1"/>
  <c r="L777" i="1"/>
  <c r="L704" i="1"/>
  <c r="L705" i="1"/>
  <c r="L703" i="1"/>
  <c r="L737" i="1"/>
  <c r="L745" i="1"/>
  <c r="L738" i="1"/>
  <c r="L746" i="1"/>
  <c r="L739" i="1"/>
  <c r="L740" i="1"/>
  <c r="L748" i="1"/>
  <c r="L741" i="1"/>
  <c r="L742" i="1"/>
  <c r="L743" i="1"/>
  <c r="L744" i="1"/>
  <c r="L803" i="1"/>
  <c r="L804" i="1"/>
  <c r="L802" i="1"/>
  <c r="L266" i="1"/>
  <c r="L267" i="1"/>
  <c r="L715" i="1"/>
  <c r="L716" i="1"/>
  <c r="L717" i="1"/>
  <c r="L712" i="1"/>
  <c r="L713" i="1"/>
  <c r="L714" i="1"/>
  <c r="L690" i="1"/>
  <c r="L691" i="1"/>
  <c r="L692" i="1"/>
  <c r="L693" i="1"/>
  <c r="L694" i="1"/>
  <c r="L695" i="1"/>
  <c r="L274" i="1"/>
  <c r="L270" i="1"/>
  <c r="L271" i="1"/>
  <c r="L272" i="1"/>
  <c r="L269" i="1"/>
  <c r="L268" i="1"/>
  <c r="L679" i="1"/>
  <c r="L680" i="1"/>
  <c r="L681" i="1"/>
  <c r="L682" i="1"/>
  <c r="L675" i="1"/>
  <c r="L683" i="1"/>
  <c r="L676" i="1"/>
  <c r="L684" i="1"/>
  <c r="L677" i="1"/>
  <c r="L685" i="1"/>
  <c r="L686" i="1"/>
  <c r="L678" i="1"/>
  <c r="L761" i="1"/>
  <c r="L762" i="1"/>
  <c r="L763" i="1"/>
  <c r="L764" i="1"/>
  <c r="L757" i="1"/>
  <c r="L765" i="1"/>
  <c r="L758" i="1"/>
  <c r="L759" i="1"/>
  <c r="L760" i="1"/>
  <c r="L829" i="1"/>
  <c r="L830" i="1"/>
  <c r="L655" i="1"/>
  <c r="L656" i="1"/>
  <c r="L659" i="1"/>
  <c r="L657" i="1"/>
  <c r="L658" i="1"/>
  <c r="L660" i="1"/>
  <c r="L661" i="1"/>
  <c r="L662" i="1"/>
  <c r="L630" i="1"/>
  <c r="L629" i="1"/>
  <c r="L631" i="1"/>
  <c r="L647" i="1"/>
  <c r="L648" i="1"/>
  <c r="L334" i="1"/>
  <c r="L333" i="1"/>
  <c r="L335" i="1"/>
  <c r="L336" i="1"/>
  <c r="L241" i="1"/>
  <c r="L323" i="1"/>
  <c r="L324" i="1"/>
  <c r="L325" i="1"/>
  <c r="L638" i="1"/>
  <c r="L636" i="1"/>
  <c r="L637" i="1"/>
  <c r="L632" i="1"/>
  <c r="L633" i="1"/>
  <c r="L634" i="1"/>
  <c r="L635" i="1"/>
  <c r="L622" i="1"/>
  <c r="L623" i="1"/>
  <c r="L624" i="1"/>
  <c r="L625" i="1"/>
  <c r="L626" i="1"/>
  <c r="L627" i="1"/>
  <c r="L628" i="1"/>
  <c r="L342" i="1"/>
  <c r="L350" i="1"/>
  <c r="L348" i="1"/>
  <c r="L349" i="1"/>
  <c r="L351" i="1"/>
  <c r="L352" i="1"/>
  <c r="L353" i="1"/>
  <c r="L355" i="1"/>
  <c r="L346" i="1"/>
  <c r="L347" i="1"/>
  <c r="L341" i="1"/>
  <c r="L345" i="1"/>
  <c r="L344" i="1"/>
  <c r="L354" i="1"/>
  <c r="L343" i="1"/>
  <c r="L281" i="1"/>
  <c r="L620" i="1"/>
  <c r="L618" i="1"/>
  <c r="L619" i="1"/>
  <c r="L613" i="1"/>
  <c r="L273" i="1"/>
  <c r="L288" i="1"/>
  <c r="L282" i="1"/>
  <c r="L283" i="1"/>
  <c r="L284" i="1"/>
  <c r="L1085" i="1"/>
  <c r="L943" i="1"/>
  <c r="L944" i="1"/>
  <c r="L458" i="1"/>
  <c r="L457" i="1"/>
  <c r="L461" i="1"/>
  <c r="L459" i="1"/>
  <c r="L460" i="1"/>
  <c r="L462" i="1"/>
  <c r="L413" i="1"/>
  <c r="L411" i="1"/>
  <c r="L412" i="1"/>
  <c r="L410" i="1"/>
  <c r="L1056" i="1"/>
  <c r="L885" i="1"/>
  <c r="L884" i="1"/>
  <c r="L886" i="1"/>
  <c r="L302" i="1"/>
  <c r="L303" i="1"/>
  <c r="L301" i="1"/>
  <c r="L299" i="1"/>
  <c r="L466" i="1"/>
  <c r="L467" i="1"/>
  <c r="L465" i="1"/>
  <c r="L464" i="1"/>
  <c r="L463" i="1"/>
  <c r="L938" i="1"/>
  <c r="L940" i="1"/>
  <c r="L444" i="1"/>
  <c r="L488" i="1"/>
  <c r="L1068" i="1"/>
  <c r="L1067" i="1"/>
  <c r="L905" i="1"/>
  <c r="L904" i="1"/>
  <c r="L907" i="1"/>
  <c r="L910" i="1"/>
  <c r="L903" i="1"/>
  <c r="L908" i="1"/>
  <c r="L383" i="1"/>
  <c r="L381" i="1"/>
  <c r="L382" i="1"/>
  <c r="L384" i="1"/>
  <c r="L388" i="1"/>
  <c r="L595" i="1"/>
  <c r="L589" i="1"/>
  <c r="L590" i="1"/>
  <c r="L591" i="1"/>
  <c r="L592" i="1"/>
  <c r="L593" i="1"/>
  <c r="L594" i="1"/>
  <c r="L385" i="1"/>
  <c r="L386" i="1"/>
  <c r="L518" i="1"/>
  <c r="L519" i="1"/>
  <c r="L1082" i="1"/>
  <c r="L1083" i="1"/>
  <c r="L930" i="1"/>
  <c r="L932" i="1"/>
  <c r="L931" i="1"/>
  <c r="L430" i="1"/>
  <c r="L394" i="1"/>
  <c r="L396" i="1"/>
  <c r="L395" i="1"/>
  <c r="L560" i="1"/>
  <c r="L558" i="1"/>
  <c r="L559" i="1"/>
  <c r="L561" i="1"/>
  <c r="L562" i="1"/>
  <c r="L554" i="1"/>
  <c r="L556" i="1"/>
  <c r="L557" i="1"/>
  <c r="L1086" i="1"/>
  <c r="L945" i="1"/>
  <c r="L947" i="1"/>
  <c r="L946" i="1"/>
  <c r="L469" i="1"/>
  <c r="L468" i="1"/>
  <c r="L450" i="1"/>
  <c r="L966" i="1"/>
  <c r="L965" i="1"/>
  <c r="L501" i="1"/>
  <c r="L503" i="1"/>
  <c r="L502" i="1"/>
  <c r="L959" i="1"/>
  <c r="L491" i="1"/>
  <c r="L596" i="1"/>
  <c r="L1008" i="1"/>
  <c r="L570" i="1"/>
  <c r="L555" i="1"/>
  <c r="L1076" i="1"/>
  <c r="L1075" i="1"/>
  <c r="L913" i="1"/>
  <c r="L914" i="1"/>
  <c r="L403" i="1"/>
  <c r="L401" i="1"/>
  <c r="L402" i="1"/>
  <c r="L546" i="1"/>
  <c r="L1078" i="1"/>
  <c r="L1079" i="1"/>
  <c r="L920" i="1"/>
  <c r="L917" i="1"/>
  <c r="L919" i="1"/>
  <c r="L918" i="1"/>
  <c r="L418" i="1"/>
  <c r="L419" i="1"/>
  <c r="L417" i="1"/>
  <c r="L992" i="1"/>
  <c r="L547" i="1"/>
  <c r="L548" i="1"/>
  <c r="L1102" i="1"/>
  <c r="L995" i="1"/>
  <c r="L998" i="1"/>
  <c r="L994" i="1"/>
  <c r="L996" i="1"/>
  <c r="L993" i="1"/>
  <c r="L997" i="1"/>
  <c r="L553" i="1"/>
  <c r="L674" i="1"/>
  <c r="L1022" i="1"/>
  <c r="L1020" i="1"/>
  <c r="L1023" i="1"/>
  <c r="L1025" i="1"/>
  <c r="L614" i="1"/>
  <c r="L615" i="1"/>
  <c r="L616" i="1"/>
  <c r="L1092" i="1"/>
  <c r="L968" i="1"/>
  <c r="L969" i="1"/>
  <c r="L506" i="1"/>
  <c r="L504" i="1"/>
  <c r="L1112" i="1"/>
  <c r="L1113" i="1"/>
  <c r="L1038" i="1"/>
  <c r="L709" i="1"/>
  <c r="L710" i="1"/>
  <c r="L711" i="1"/>
  <c r="L1063" i="1"/>
  <c r="L897" i="1"/>
  <c r="L896" i="1"/>
  <c r="L365" i="1"/>
  <c r="L367" i="1"/>
  <c r="L368" i="1"/>
  <c r="L366" i="1"/>
  <c r="L311" i="1"/>
  <c r="L586" i="1"/>
  <c r="L1057" i="1"/>
  <c r="L1058" i="1"/>
  <c r="L888" i="1"/>
  <c r="L887" i="1"/>
  <c r="L889" i="1"/>
  <c r="L310" i="1"/>
  <c r="L304" i="1"/>
  <c r="L306" i="1"/>
  <c r="L307" i="1"/>
  <c r="L305" i="1"/>
  <c r="L308" i="1"/>
  <c r="L249" i="1"/>
  <c r="L1107" i="1"/>
  <c r="L1013" i="1"/>
  <c r="L1014" i="1"/>
  <c r="L579" i="1"/>
  <c r="L578" i="1"/>
  <c r="L580" i="1"/>
  <c r="L1077" i="1"/>
  <c r="L916" i="1"/>
  <c r="L915" i="1"/>
  <c r="L415" i="1"/>
  <c r="L1104" i="1"/>
  <c r="L1007" i="1"/>
  <c r="L566" i="1"/>
  <c r="L568" i="1"/>
  <c r="L569" i="1"/>
  <c r="L1087" i="1"/>
  <c r="L950" i="1"/>
  <c r="L949" i="1"/>
  <c r="L471" i="1"/>
  <c r="L264" i="1"/>
  <c r="L265" i="1"/>
  <c r="L1012" i="1"/>
  <c r="L576" i="1"/>
  <c r="L577" i="1"/>
  <c r="L494" i="1"/>
  <c r="L493" i="1"/>
  <c r="L928" i="1"/>
  <c r="L927" i="1"/>
  <c r="L426" i="1"/>
  <c r="L489" i="1"/>
  <c r="L926" i="1"/>
  <c r="L424" i="1"/>
  <c r="L422" i="1"/>
  <c r="L423" i="1"/>
  <c r="L449" i="1"/>
  <c r="L447" i="1"/>
  <c r="L448" i="1"/>
  <c r="L755" i="1"/>
  <c r="L756" i="1"/>
  <c r="L941" i="1"/>
  <c r="L942" i="1"/>
  <c r="L456" i="1"/>
  <c r="L492" i="1"/>
  <c r="L811" i="1"/>
  <c r="L812" i="1"/>
  <c r="L806" i="1"/>
  <c r="L814" i="1"/>
  <c r="L807" i="1"/>
  <c r="L815" i="1"/>
  <c r="L809" i="1"/>
  <c r="L810" i="1"/>
  <c r="L808" i="1"/>
  <c r="L816" i="1"/>
  <c r="L813" i="1"/>
  <c r="L1065" i="1"/>
  <c r="L1064" i="1"/>
  <c r="L898" i="1"/>
  <c r="L369" i="1"/>
  <c r="L373" i="1"/>
  <c r="L374" i="1"/>
  <c r="L370" i="1"/>
  <c r="L371" i="1"/>
  <c r="L372" i="1"/>
  <c r="I844" i="1"/>
  <c r="I842" i="1"/>
  <c r="I843" i="1"/>
  <c r="K839" i="1"/>
  <c r="K852" i="1"/>
  <c r="K853" i="1"/>
  <c r="K824" i="1"/>
  <c r="K827" i="1"/>
  <c r="K828" i="1"/>
  <c r="K825" i="1"/>
  <c r="K826" i="1"/>
  <c r="K856" i="1"/>
  <c r="K863" i="1"/>
  <c r="K864" i="1"/>
  <c r="K865" i="1"/>
  <c r="K866" i="1"/>
  <c r="K867" i="1"/>
  <c r="K862" i="1"/>
  <c r="K868" i="1"/>
  <c r="K869" i="1"/>
  <c r="K750" i="1"/>
  <c r="K851" i="1"/>
  <c r="K854" i="1"/>
  <c r="K855" i="1"/>
  <c r="K782" i="1"/>
  <c r="K780" i="1"/>
  <c r="K820" i="1"/>
  <c r="K821" i="1"/>
  <c r="K822" i="1"/>
  <c r="K823" i="1"/>
  <c r="K817" i="1"/>
  <c r="K818" i="1"/>
  <c r="K819" i="1"/>
  <c r="K327" i="1"/>
  <c r="K328" i="1"/>
  <c r="K329" i="1"/>
  <c r="K326" i="1"/>
  <c r="K330" i="1"/>
  <c r="K331" i="1"/>
  <c r="K332" i="1"/>
  <c r="K644" i="1"/>
  <c r="K645" i="1"/>
  <c r="K646" i="1"/>
  <c r="K243" i="1"/>
  <c r="K244" i="1"/>
  <c r="K247" i="1"/>
  <c r="K240" i="1"/>
  <c r="K242" i="1"/>
  <c r="K248" i="1"/>
  <c r="K245" i="1"/>
  <c r="K246" i="1"/>
  <c r="K668" i="1"/>
  <c r="K669" i="1"/>
  <c r="K275" i="1"/>
  <c r="K276" i="1"/>
  <c r="K279" i="1"/>
  <c r="K280" i="1"/>
  <c r="K277" i="1"/>
  <c r="K278" i="1"/>
  <c r="K777" i="1"/>
  <c r="K778" i="1"/>
  <c r="K705" i="1"/>
  <c r="K703" i="1"/>
  <c r="K704" i="1"/>
  <c r="K738" i="1"/>
  <c r="K746" i="1"/>
  <c r="K739" i="1"/>
  <c r="K740" i="1"/>
  <c r="K748" i="1"/>
  <c r="K741" i="1"/>
  <c r="K742" i="1"/>
  <c r="K743" i="1"/>
  <c r="K744" i="1"/>
  <c r="K737" i="1"/>
  <c r="K745" i="1"/>
  <c r="K804" i="1"/>
  <c r="K802" i="1"/>
  <c r="K803" i="1"/>
  <c r="K267" i="1"/>
  <c r="K266" i="1"/>
  <c r="K716" i="1"/>
  <c r="K717" i="1"/>
  <c r="K712" i="1"/>
  <c r="K713" i="1"/>
  <c r="K714" i="1"/>
  <c r="K715" i="1"/>
  <c r="K690" i="1"/>
  <c r="K691" i="1"/>
  <c r="K692" i="1"/>
  <c r="K693" i="1"/>
  <c r="K694" i="1"/>
  <c r="K695" i="1"/>
  <c r="K268" i="1"/>
  <c r="K271" i="1"/>
  <c r="K272" i="1"/>
  <c r="K269" i="1"/>
  <c r="K270" i="1"/>
  <c r="K274" i="1"/>
  <c r="K680" i="1"/>
  <c r="K681" i="1"/>
  <c r="K682" i="1"/>
  <c r="K675" i="1"/>
  <c r="K683" i="1"/>
  <c r="K676" i="1"/>
  <c r="K684" i="1"/>
  <c r="K677" i="1"/>
  <c r="K685" i="1"/>
  <c r="K678" i="1"/>
  <c r="K686" i="1"/>
  <c r="K679" i="1"/>
  <c r="K762" i="1"/>
  <c r="K763" i="1"/>
  <c r="K764" i="1"/>
  <c r="K757" i="1"/>
  <c r="K765" i="1"/>
  <c r="K758" i="1"/>
  <c r="K759" i="1"/>
  <c r="K760" i="1"/>
  <c r="K761" i="1"/>
  <c r="K829" i="1"/>
  <c r="K830" i="1"/>
  <c r="K655" i="1"/>
  <c r="K656" i="1"/>
  <c r="K660" i="1"/>
  <c r="K658" i="1"/>
  <c r="K661" i="1"/>
  <c r="K662" i="1"/>
  <c r="K659" i="1"/>
  <c r="K657" i="1"/>
  <c r="K631" i="1"/>
  <c r="K629" i="1"/>
  <c r="K630" i="1"/>
  <c r="K647" i="1"/>
  <c r="K648" i="1"/>
  <c r="K335" i="1"/>
  <c r="K333" i="1"/>
  <c r="K336" i="1"/>
  <c r="K334" i="1"/>
  <c r="K241" i="1"/>
  <c r="K325" i="1"/>
  <c r="K323" i="1"/>
  <c r="K324" i="1"/>
  <c r="K637" i="1"/>
  <c r="K638" i="1"/>
  <c r="K632" i="1"/>
  <c r="K633" i="1"/>
  <c r="K634" i="1"/>
  <c r="K635" i="1"/>
  <c r="K636" i="1"/>
  <c r="K623" i="1"/>
  <c r="K624" i="1"/>
  <c r="K625" i="1"/>
  <c r="K622" i="1"/>
  <c r="K626" i="1"/>
  <c r="K627" i="1"/>
  <c r="K628" i="1"/>
  <c r="K343" i="1"/>
  <c r="K351" i="1"/>
  <c r="K349" i="1"/>
  <c r="K352" i="1"/>
  <c r="K353" i="1"/>
  <c r="K350" i="1"/>
  <c r="K354" i="1"/>
  <c r="K341" i="1"/>
  <c r="K344" i="1"/>
  <c r="K345" i="1"/>
  <c r="K347" i="1"/>
  <c r="K348" i="1"/>
  <c r="K355" i="1"/>
  <c r="K342" i="1"/>
  <c r="K346" i="1"/>
  <c r="K281" i="1"/>
  <c r="K618" i="1"/>
  <c r="K619" i="1"/>
  <c r="K620" i="1"/>
  <c r="K613" i="1"/>
  <c r="K273" i="1"/>
  <c r="K288" i="1"/>
  <c r="K283" i="1"/>
  <c r="K284" i="1"/>
  <c r="K282" i="1"/>
  <c r="K1085" i="1"/>
  <c r="K943" i="1"/>
  <c r="K944" i="1"/>
  <c r="K461" i="1"/>
  <c r="K459" i="1"/>
  <c r="K458" i="1"/>
  <c r="K460" i="1"/>
  <c r="K457" i="1"/>
  <c r="K462" i="1"/>
  <c r="K412" i="1"/>
  <c r="K413" i="1"/>
  <c r="K410" i="1"/>
  <c r="K411" i="1"/>
  <c r="K1056" i="1"/>
  <c r="K886" i="1"/>
  <c r="K884" i="1"/>
  <c r="K885" i="1"/>
  <c r="K299" i="1"/>
  <c r="K303" i="1"/>
  <c r="K301" i="1"/>
  <c r="K302" i="1"/>
  <c r="K467" i="1"/>
  <c r="K463" i="1"/>
  <c r="K464" i="1"/>
  <c r="K465" i="1"/>
  <c r="K466" i="1"/>
  <c r="K938" i="1"/>
  <c r="K940" i="1"/>
  <c r="K444" i="1"/>
  <c r="K488" i="1"/>
  <c r="K1068" i="1"/>
  <c r="K1067" i="1"/>
  <c r="K904" i="1"/>
  <c r="K907" i="1"/>
  <c r="K910" i="1"/>
  <c r="K903" i="1"/>
  <c r="K905" i="1"/>
  <c r="K908" i="1"/>
  <c r="K384" i="1"/>
  <c r="K382" i="1"/>
  <c r="K383" i="1"/>
  <c r="K388" i="1"/>
  <c r="K381" i="1"/>
  <c r="K589" i="1"/>
  <c r="K590" i="1"/>
  <c r="K591" i="1"/>
  <c r="K592" i="1"/>
  <c r="K593" i="1"/>
  <c r="K594" i="1"/>
  <c r="K595" i="1"/>
  <c r="K385" i="1"/>
  <c r="K386" i="1"/>
  <c r="K519" i="1"/>
  <c r="K518" i="1"/>
  <c r="K1082" i="1"/>
  <c r="K1083" i="1"/>
  <c r="K930" i="1"/>
  <c r="K932" i="1"/>
  <c r="K931" i="1"/>
  <c r="K430" i="1"/>
  <c r="K394" i="1"/>
  <c r="K395" i="1"/>
  <c r="K396" i="1"/>
  <c r="K561" i="1"/>
  <c r="K559" i="1"/>
  <c r="K562" i="1"/>
  <c r="K560" i="1"/>
  <c r="K554" i="1"/>
  <c r="K556" i="1"/>
  <c r="K557" i="1"/>
  <c r="K558" i="1"/>
  <c r="K1086" i="1"/>
  <c r="K945" i="1"/>
  <c r="K947" i="1"/>
  <c r="K946" i="1"/>
  <c r="K469" i="1"/>
  <c r="K468" i="1"/>
  <c r="K450" i="1"/>
  <c r="K965" i="1"/>
  <c r="K966" i="1"/>
  <c r="K502" i="1"/>
  <c r="K503" i="1"/>
  <c r="K501" i="1"/>
  <c r="K959" i="1"/>
  <c r="K491" i="1"/>
  <c r="K596" i="1"/>
  <c r="K1008" i="1"/>
  <c r="K570" i="1"/>
  <c r="K555" i="1"/>
  <c r="K1076" i="1"/>
  <c r="K1075" i="1"/>
  <c r="K913" i="1"/>
  <c r="K914" i="1"/>
  <c r="K403" i="1"/>
  <c r="K401" i="1"/>
  <c r="K402" i="1"/>
  <c r="K546" i="1"/>
  <c r="K1079" i="1"/>
  <c r="K1078" i="1"/>
  <c r="K919" i="1"/>
  <c r="K918" i="1"/>
  <c r="K920" i="1"/>
  <c r="K917" i="1"/>
  <c r="K418" i="1"/>
  <c r="K419" i="1"/>
  <c r="K417" i="1"/>
  <c r="K992" i="1"/>
  <c r="K547" i="1"/>
  <c r="K548" i="1"/>
  <c r="K1102" i="1"/>
  <c r="K998" i="1"/>
  <c r="K997" i="1"/>
  <c r="K996" i="1"/>
  <c r="K993" i="1"/>
  <c r="K994" i="1"/>
  <c r="K995" i="1"/>
  <c r="K553" i="1"/>
  <c r="K674" i="1"/>
  <c r="K1020" i="1"/>
  <c r="K1023" i="1"/>
  <c r="K1025" i="1"/>
  <c r="K1022" i="1"/>
  <c r="K614" i="1"/>
  <c r="K615" i="1"/>
  <c r="K616" i="1"/>
  <c r="K1092" i="1"/>
  <c r="K968" i="1"/>
  <c r="K969" i="1"/>
  <c r="K504" i="1"/>
  <c r="K506" i="1"/>
  <c r="K1113" i="1"/>
  <c r="K1112" i="1"/>
  <c r="K1038" i="1"/>
  <c r="K709" i="1"/>
  <c r="K710" i="1"/>
  <c r="K711" i="1"/>
  <c r="K1063" i="1"/>
  <c r="K897" i="1"/>
  <c r="K896" i="1"/>
  <c r="K365" i="1"/>
  <c r="K368" i="1"/>
  <c r="K366" i="1"/>
  <c r="K367" i="1"/>
  <c r="K311" i="1"/>
  <c r="K586" i="1"/>
  <c r="K1057" i="1"/>
  <c r="K1058" i="1"/>
  <c r="K889" i="1"/>
  <c r="K887" i="1"/>
  <c r="K888" i="1"/>
  <c r="K304" i="1"/>
  <c r="K305" i="1"/>
  <c r="K308" i="1"/>
  <c r="K310" i="1"/>
  <c r="K306" i="1"/>
  <c r="K307" i="1"/>
  <c r="K249" i="1"/>
  <c r="K1107" i="1"/>
  <c r="K1013" i="1"/>
  <c r="K1014" i="1"/>
  <c r="K580" i="1"/>
  <c r="K578" i="1"/>
  <c r="K579" i="1"/>
  <c r="K1077" i="1"/>
  <c r="K916" i="1"/>
  <c r="K915" i="1"/>
  <c r="K415" i="1"/>
  <c r="K1104" i="1"/>
  <c r="K1007" i="1"/>
  <c r="K568" i="1"/>
  <c r="K566" i="1"/>
  <c r="K569" i="1"/>
  <c r="K1087" i="1"/>
  <c r="K949" i="1"/>
  <c r="K950" i="1"/>
  <c r="K471" i="1"/>
  <c r="K264" i="1"/>
  <c r="K265" i="1"/>
  <c r="K1012" i="1"/>
  <c r="K576" i="1"/>
  <c r="K577" i="1"/>
  <c r="K493" i="1"/>
  <c r="K494" i="1"/>
  <c r="K928" i="1"/>
  <c r="K927" i="1"/>
  <c r="K426" i="1"/>
  <c r="K489" i="1"/>
  <c r="K926" i="1"/>
  <c r="K423" i="1"/>
  <c r="K424" i="1"/>
  <c r="K422" i="1"/>
  <c r="K447" i="1"/>
  <c r="K448" i="1"/>
  <c r="K449" i="1"/>
  <c r="K755" i="1"/>
  <c r="K756" i="1"/>
  <c r="K941" i="1"/>
  <c r="K942" i="1"/>
  <c r="K456" i="1"/>
  <c r="K492" i="1"/>
  <c r="K812" i="1"/>
  <c r="K813" i="1"/>
  <c r="K807" i="1"/>
  <c r="K815" i="1"/>
  <c r="K808" i="1"/>
  <c r="K816" i="1"/>
  <c r="K809" i="1"/>
  <c r="K810" i="1"/>
  <c r="K811" i="1"/>
  <c r="K806" i="1"/>
  <c r="K814" i="1"/>
  <c r="K1065" i="1"/>
  <c r="K1064" i="1"/>
  <c r="K898" i="1"/>
  <c r="K374" i="1"/>
  <c r="K370" i="1"/>
  <c r="K371" i="1"/>
  <c r="K369" i="1"/>
  <c r="K372" i="1"/>
  <c r="K373" i="1"/>
  <c r="K842" i="1"/>
  <c r="K843" i="1"/>
  <c r="K844" i="1"/>
  <c r="K770" i="1"/>
  <c r="K771" i="1"/>
  <c r="K772" i="1"/>
  <c r="K773" i="1"/>
  <c r="K774" i="1"/>
  <c r="K775" i="1"/>
  <c r="K769" i="1"/>
  <c r="J771" i="1"/>
  <c r="J772" i="1"/>
  <c r="J773" i="1"/>
  <c r="J774" i="1"/>
  <c r="J775" i="1"/>
  <c r="J769" i="1"/>
  <c r="J770" i="1"/>
  <c r="J839" i="1"/>
  <c r="J853" i="1"/>
  <c r="J852" i="1"/>
  <c r="J825" i="1"/>
  <c r="J828" i="1"/>
  <c r="J824" i="1"/>
  <c r="J826" i="1"/>
  <c r="J827" i="1"/>
  <c r="J856" i="1"/>
  <c r="J864" i="1"/>
  <c r="J865" i="1"/>
  <c r="J866" i="1"/>
  <c r="J867" i="1"/>
  <c r="J862" i="1"/>
  <c r="J863" i="1"/>
  <c r="J868" i="1"/>
  <c r="J869" i="1"/>
  <c r="J750" i="1"/>
  <c r="J851" i="1"/>
  <c r="J854" i="1"/>
  <c r="J855" i="1"/>
  <c r="J782" i="1"/>
  <c r="J780" i="1"/>
  <c r="J821" i="1"/>
  <c r="J822" i="1"/>
  <c r="J817" i="1"/>
  <c r="J818" i="1"/>
  <c r="J819" i="1"/>
  <c r="J820" i="1"/>
  <c r="J823" i="1"/>
  <c r="J328" i="1"/>
  <c r="J326" i="1"/>
  <c r="J327" i="1"/>
  <c r="J330" i="1"/>
  <c r="J331" i="1"/>
  <c r="J332" i="1"/>
  <c r="J329" i="1"/>
  <c r="J645" i="1"/>
  <c r="J646" i="1"/>
  <c r="J644" i="1"/>
  <c r="J244" i="1"/>
  <c r="J245" i="1"/>
  <c r="J240" i="1"/>
  <c r="J248" i="1"/>
  <c r="J242" i="1"/>
  <c r="J243" i="1"/>
  <c r="J246" i="1"/>
  <c r="J247" i="1"/>
  <c r="J668" i="1"/>
  <c r="J669" i="1"/>
  <c r="J276" i="1"/>
  <c r="J277" i="1"/>
  <c r="J280" i="1"/>
  <c r="J278" i="1"/>
  <c r="J279" i="1"/>
  <c r="J275" i="1"/>
  <c r="J777" i="1"/>
  <c r="J778" i="1"/>
  <c r="J703" i="1"/>
  <c r="J704" i="1"/>
  <c r="J705" i="1"/>
  <c r="J739" i="1"/>
  <c r="J740" i="1"/>
  <c r="J748" i="1"/>
  <c r="J741" i="1"/>
  <c r="J742" i="1"/>
  <c r="J743" i="1"/>
  <c r="J744" i="1"/>
  <c r="J737" i="1"/>
  <c r="J745" i="1"/>
  <c r="J746" i="1"/>
  <c r="J738" i="1"/>
  <c r="J803" i="1"/>
  <c r="J804" i="1"/>
  <c r="J802" i="1"/>
  <c r="J266" i="1"/>
  <c r="J267" i="1"/>
  <c r="J717" i="1"/>
  <c r="J712" i="1"/>
  <c r="J713" i="1"/>
  <c r="J714" i="1"/>
  <c r="J715" i="1"/>
  <c r="J716" i="1"/>
  <c r="J690" i="1"/>
  <c r="J691" i="1"/>
  <c r="J692" i="1"/>
  <c r="J693" i="1"/>
  <c r="J694" i="1"/>
  <c r="J695" i="1"/>
  <c r="J268" i="1"/>
  <c r="J269" i="1"/>
  <c r="J272" i="1"/>
  <c r="J270" i="1"/>
  <c r="J271" i="1"/>
  <c r="J274" i="1"/>
  <c r="J681" i="1"/>
  <c r="J682" i="1"/>
  <c r="J675" i="1"/>
  <c r="J683" i="1"/>
  <c r="J676" i="1"/>
  <c r="J684" i="1"/>
  <c r="J677" i="1"/>
  <c r="J685" i="1"/>
  <c r="J678" i="1"/>
  <c r="J686" i="1"/>
  <c r="J679" i="1"/>
  <c r="J680" i="1"/>
  <c r="J763" i="1"/>
  <c r="J764" i="1"/>
  <c r="J757" i="1"/>
  <c r="J765" i="1"/>
  <c r="J758" i="1"/>
  <c r="J759" i="1"/>
  <c r="J760" i="1"/>
  <c r="J761" i="1"/>
  <c r="J762" i="1"/>
  <c r="J830" i="1"/>
  <c r="J829" i="1"/>
  <c r="J655" i="1"/>
  <c r="J656" i="1"/>
  <c r="J661" i="1"/>
  <c r="J659" i="1"/>
  <c r="J660" i="1"/>
  <c r="J657" i="1"/>
  <c r="J658" i="1"/>
  <c r="J662" i="1"/>
  <c r="J629" i="1"/>
  <c r="J630" i="1"/>
  <c r="J631" i="1"/>
  <c r="J647" i="1"/>
  <c r="J648" i="1"/>
  <c r="J336" i="1"/>
  <c r="J334" i="1"/>
  <c r="J335" i="1"/>
  <c r="J333" i="1"/>
  <c r="J241" i="1"/>
  <c r="J323" i="1"/>
  <c r="J324" i="1"/>
  <c r="J325" i="1"/>
  <c r="J632" i="1"/>
  <c r="J638" i="1"/>
  <c r="J633" i="1"/>
  <c r="J634" i="1"/>
  <c r="J635" i="1"/>
  <c r="J636" i="1"/>
  <c r="J637" i="1"/>
  <c r="J624" i="1"/>
  <c r="J622" i="1"/>
  <c r="J623" i="1"/>
  <c r="J626" i="1"/>
  <c r="J627" i="1"/>
  <c r="J628" i="1"/>
  <c r="J625" i="1"/>
  <c r="J344" i="1"/>
  <c r="J352" i="1"/>
  <c r="J350" i="1"/>
  <c r="J351" i="1"/>
  <c r="J354" i="1"/>
  <c r="J355" i="1"/>
  <c r="J342" i="1"/>
  <c r="J343" i="1"/>
  <c r="J346" i="1"/>
  <c r="J348" i="1"/>
  <c r="J349" i="1"/>
  <c r="J353" i="1"/>
  <c r="J341" i="1"/>
  <c r="J345" i="1"/>
  <c r="J347" i="1"/>
  <c r="J281" i="1"/>
  <c r="J618" i="1"/>
  <c r="J619" i="1"/>
  <c r="J620" i="1"/>
  <c r="J613" i="1"/>
  <c r="J273" i="1"/>
  <c r="J288" i="1"/>
  <c r="J284" i="1"/>
  <c r="J282" i="1"/>
  <c r="J283" i="1"/>
  <c r="J1085" i="1"/>
  <c r="J944" i="1"/>
  <c r="J943" i="1"/>
  <c r="J462" i="1"/>
  <c r="J460" i="1"/>
  <c r="J458" i="1"/>
  <c r="J457" i="1"/>
  <c r="J459" i="1"/>
  <c r="J461" i="1"/>
  <c r="J413" i="1"/>
  <c r="J410" i="1"/>
  <c r="J411" i="1"/>
  <c r="J412" i="1"/>
  <c r="J1056" i="1"/>
  <c r="J886" i="1"/>
  <c r="J885" i="1"/>
  <c r="J884" i="1"/>
  <c r="J299" i="1"/>
  <c r="J303" i="1"/>
  <c r="J301" i="1"/>
  <c r="J302" i="1"/>
  <c r="J463" i="1"/>
  <c r="J464" i="1"/>
  <c r="J465" i="1"/>
  <c r="J466" i="1"/>
  <c r="J467" i="1"/>
  <c r="J938" i="1"/>
  <c r="J940" i="1"/>
  <c r="J444" i="1"/>
  <c r="J488" i="1"/>
  <c r="J1068" i="1"/>
  <c r="J1067" i="1"/>
  <c r="J908" i="1"/>
  <c r="J904" i="1"/>
  <c r="J907" i="1"/>
  <c r="J910" i="1"/>
  <c r="J903" i="1"/>
  <c r="J905" i="1"/>
  <c r="J383" i="1"/>
  <c r="J384" i="1"/>
  <c r="J388" i="1"/>
  <c r="J381" i="1"/>
  <c r="J382" i="1"/>
  <c r="J589" i="1"/>
  <c r="J591" i="1"/>
  <c r="J592" i="1"/>
  <c r="J593" i="1"/>
  <c r="J594" i="1"/>
  <c r="J595" i="1"/>
  <c r="J590" i="1"/>
  <c r="J385" i="1"/>
  <c r="J386" i="1"/>
  <c r="J518" i="1"/>
  <c r="J519" i="1"/>
  <c r="J1083" i="1"/>
  <c r="J1082" i="1"/>
  <c r="J932" i="1"/>
  <c r="J931" i="1"/>
  <c r="J930" i="1"/>
  <c r="J430" i="1"/>
  <c r="J394" i="1"/>
  <c r="J395" i="1"/>
  <c r="J396" i="1"/>
  <c r="J554" i="1"/>
  <c r="J562" i="1"/>
  <c r="J560" i="1"/>
  <c r="J561" i="1"/>
  <c r="J556" i="1"/>
  <c r="J557" i="1"/>
  <c r="J558" i="1"/>
  <c r="J559" i="1"/>
  <c r="J1086" i="1"/>
  <c r="J945" i="1"/>
  <c r="J947" i="1"/>
  <c r="J946" i="1"/>
  <c r="J468" i="1"/>
  <c r="J469" i="1"/>
  <c r="J450" i="1"/>
  <c r="J965" i="1"/>
  <c r="J966" i="1"/>
  <c r="J503" i="1"/>
  <c r="J502" i="1"/>
  <c r="J501" i="1"/>
  <c r="J959" i="1"/>
  <c r="J491" i="1"/>
  <c r="J596" i="1"/>
  <c r="J1008" i="1"/>
  <c r="J570" i="1"/>
  <c r="J555" i="1"/>
  <c r="J1076" i="1"/>
  <c r="J1075" i="1"/>
  <c r="J914" i="1"/>
  <c r="J913" i="1"/>
  <c r="J401" i="1"/>
  <c r="J403" i="1"/>
  <c r="J402" i="1"/>
  <c r="J546" i="1"/>
  <c r="J1079" i="1"/>
  <c r="J1078" i="1"/>
  <c r="J919" i="1"/>
  <c r="J918" i="1"/>
  <c r="J920" i="1"/>
  <c r="J917" i="1"/>
  <c r="J419" i="1"/>
  <c r="J418" i="1"/>
  <c r="J417" i="1"/>
  <c r="J992" i="1"/>
  <c r="J547" i="1"/>
  <c r="J548" i="1"/>
  <c r="J1102" i="1"/>
  <c r="J997" i="1"/>
  <c r="J994" i="1"/>
  <c r="J996" i="1"/>
  <c r="J993" i="1"/>
  <c r="J995" i="1"/>
  <c r="J998" i="1"/>
  <c r="J553" i="1"/>
  <c r="J674" i="1"/>
  <c r="J1020" i="1"/>
  <c r="J1023" i="1"/>
  <c r="J1025" i="1"/>
  <c r="J1022" i="1"/>
  <c r="J615" i="1"/>
  <c r="J616" i="1"/>
  <c r="J614" i="1"/>
  <c r="J1092" i="1"/>
  <c r="J969" i="1"/>
  <c r="J968" i="1"/>
  <c r="J504" i="1"/>
  <c r="J506" i="1"/>
  <c r="J1113" i="1"/>
  <c r="J1112" i="1"/>
  <c r="J1038" i="1"/>
  <c r="J709" i="1"/>
  <c r="J710" i="1"/>
  <c r="J711" i="1"/>
  <c r="J1063" i="1"/>
  <c r="J896" i="1"/>
  <c r="J897" i="1"/>
  <c r="J365" i="1"/>
  <c r="J366" i="1"/>
  <c r="J367" i="1"/>
  <c r="J368" i="1"/>
  <c r="J311" i="1"/>
  <c r="J586" i="1"/>
  <c r="J1057" i="1"/>
  <c r="J1058" i="1"/>
  <c r="J887" i="1"/>
  <c r="J888" i="1"/>
  <c r="J889" i="1"/>
  <c r="J305" i="1"/>
  <c r="J306" i="1"/>
  <c r="J310" i="1"/>
  <c r="J304" i="1"/>
  <c r="J307" i="1"/>
  <c r="J308" i="1"/>
  <c r="J249" i="1"/>
  <c r="J1107" i="1"/>
  <c r="J1014" i="1"/>
  <c r="J1013" i="1"/>
  <c r="J578" i="1"/>
  <c r="J579" i="1"/>
  <c r="J580" i="1"/>
  <c r="J1077" i="1"/>
  <c r="J916" i="1"/>
  <c r="J915" i="1"/>
  <c r="J415" i="1"/>
  <c r="J1104" i="1"/>
  <c r="J1007" i="1"/>
  <c r="J566" i="1"/>
  <c r="J568" i="1"/>
  <c r="J569" i="1"/>
  <c r="J1087" i="1"/>
  <c r="J950" i="1"/>
  <c r="J949" i="1"/>
  <c r="J471" i="1"/>
  <c r="J264" i="1"/>
  <c r="J265" i="1"/>
  <c r="J1012" i="1"/>
  <c r="J576" i="1"/>
  <c r="J577" i="1"/>
  <c r="J494" i="1"/>
  <c r="J493" i="1"/>
  <c r="J928" i="1"/>
  <c r="J927" i="1"/>
  <c r="J426" i="1"/>
  <c r="J489" i="1"/>
  <c r="J926" i="1"/>
  <c r="J422" i="1"/>
  <c r="J423" i="1"/>
  <c r="J424" i="1"/>
  <c r="J448" i="1"/>
  <c r="J449" i="1"/>
  <c r="J447" i="1"/>
  <c r="J755" i="1"/>
  <c r="J756" i="1"/>
  <c r="J942" i="1"/>
  <c r="J941" i="1"/>
  <c r="J456" i="1"/>
  <c r="J492" i="1"/>
  <c r="J813" i="1"/>
  <c r="J806" i="1"/>
  <c r="J814" i="1"/>
  <c r="J808" i="1"/>
  <c r="J809" i="1"/>
  <c r="J811" i="1"/>
  <c r="J812" i="1"/>
  <c r="J816" i="1"/>
  <c r="J807" i="1"/>
  <c r="J815" i="1"/>
  <c r="J810" i="1"/>
  <c r="J1065" i="1"/>
  <c r="J1064" i="1"/>
  <c r="J898" i="1"/>
  <c r="J370" i="1"/>
  <c r="J369" i="1"/>
  <c r="J372" i="1"/>
  <c r="J373" i="1"/>
  <c r="J374" i="1"/>
  <c r="J371" i="1"/>
  <c r="L839" i="1"/>
  <c r="I772" i="1"/>
  <c r="I773" i="1"/>
  <c r="I774" i="1"/>
  <c r="I775" i="1"/>
  <c r="I769" i="1"/>
  <c r="I770" i="1"/>
  <c r="I771" i="1"/>
  <c r="I839" i="1"/>
  <c r="I852" i="1"/>
  <c r="I853" i="1"/>
  <c r="I824" i="1"/>
  <c r="I825" i="1"/>
  <c r="I826" i="1"/>
  <c r="I827" i="1"/>
  <c r="I828" i="1"/>
  <c r="I856" i="1"/>
  <c r="I865" i="1"/>
  <c r="I866" i="1"/>
  <c r="I867" i="1"/>
  <c r="I862" i="1"/>
  <c r="I863" i="1"/>
  <c r="I864" i="1"/>
  <c r="I868" i="1"/>
  <c r="I869" i="1"/>
  <c r="I750" i="1"/>
  <c r="I854" i="1"/>
  <c r="I855" i="1"/>
  <c r="I851" i="1"/>
  <c r="I782" i="1"/>
  <c r="I780" i="1"/>
  <c r="I823" i="1"/>
  <c r="I818" i="1"/>
  <c r="I821" i="1"/>
  <c r="I817" i="1"/>
  <c r="I819" i="1"/>
  <c r="I820" i="1"/>
  <c r="I822" i="1"/>
  <c r="I329" i="1"/>
  <c r="I331" i="1"/>
  <c r="I332" i="1"/>
  <c r="I326" i="1"/>
  <c r="I327" i="1"/>
  <c r="I328" i="1"/>
  <c r="I330" i="1"/>
  <c r="I644" i="1"/>
  <c r="I646" i="1"/>
  <c r="I645" i="1"/>
  <c r="I245" i="1"/>
  <c r="I246" i="1"/>
  <c r="I240" i="1"/>
  <c r="I244" i="1"/>
  <c r="I248" i="1"/>
  <c r="I243" i="1"/>
  <c r="I247" i="1"/>
  <c r="I242" i="1"/>
  <c r="I668" i="1"/>
  <c r="I669" i="1"/>
  <c r="I277" i="1"/>
  <c r="I278" i="1"/>
  <c r="I276" i="1"/>
  <c r="I280" i="1"/>
  <c r="I275" i="1"/>
  <c r="I279" i="1"/>
  <c r="I777" i="1"/>
  <c r="I778" i="1"/>
  <c r="I703" i="1"/>
  <c r="I704" i="1"/>
  <c r="I705" i="1"/>
  <c r="I740" i="1"/>
  <c r="I748" i="1"/>
  <c r="I741" i="1"/>
  <c r="I742" i="1"/>
  <c r="I743" i="1"/>
  <c r="I744" i="1"/>
  <c r="I737" i="1"/>
  <c r="I745" i="1"/>
  <c r="I738" i="1"/>
  <c r="I746" i="1"/>
  <c r="I739" i="1"/>
  <c r="I802" i="1"/>
  <c r="I803" i="1"/>
  <c r="I804" i="1"/>
  <c r="I267" i="1"/>
  <c r="I266" i="1"/>
  <c r="I712" i="1"/>
  <c r="I713" i="1"/>
  <c r="I714" i="1"/>
  <c r="I715" i="1"/>
  <c r="I716" i="1"/>
  <c r="I717" i="1"/>
  <c r="I691" i="1"/>
  <c r="I692" i="1"/>
  <c r="I693" i="1"/>
  <c r="I694" i="1"/>
  <c r="I695" i="1"/>
  <c r="I690" i="1"/>
  <c r="I269" i="1"/>
  <c r="I270" i="1"/>
  <c r="I268" i="1"/>
  <c r="I272" i="1"/>
  <c r="I271" i="1"/>
  <c r="I274" i="1"/>
  <c r="I682" i="1"/>
  <c r="I675" i="1"/>
  <c r="I683" i="1"/>
  <c r="I676" i="1"/>
  <c r="I684" i="1"/>
  <c r="I677" i="1"/>
  <c r="I685" i="1"/>
  <c r="I678" i="1"/>
  <c r="I686" i="1"/>
  <c r="I679" i="1"/>
  <c r="I680" i="1"/>
  <c r="I681" i="1"/>
  <c r="I764" i="1"/>
  <c r="I757" i="1"/>
  <c r="I765" i="1"/>
  <c r="I758" i="1"/>
  <c r="I759" i="1"/>
  <c r="I760" i="1"/>
  <c r="I761" i="1"/>
  <c r="I762" i="1"/>
  <c r="I763" i="1"/>
  <c r="I829" i="1"/>
  <c r="I830" i="1"/>
  <c r="I655" i="1"/>
  <c r="I656" i="1"/>
  <c r="I662" i="1"/>
  <c r="I657" i="1"/>
  <c r="I658" i="1"/>
  <c r="I661" i="1"/>
  <c r="I660" i="1"/>
  <c r="I659" i="1"/>
  <c r="I629" i="1"/>
  <c r="I630" i="1"/>
  <c r="I631" i="1"/>
  <c r="I647" i="1"/>
  <c r="I648" i="1"/>
  <c r="I334" i="1"/>
  <c r="I333" i="1"/>
  <c r="I336" i="1"/>
  <c r="I335" i="1"/>
  <c r="I241" i="1"/>
  <c r="I323" i="1"/>
  <c r="I324" i="1"/>
  <c r="I325" i="1"/>
  <c r="I633" i="1"/>
  <c r="I632" i="1"/>
  <c r="I634" i="1"/>
  <c r="I635" i="1"/>
  <c r="I636" i="1"/>
  <c r="I637" i="1"/>
  <c r="I638" i="1"/>
  <c r="I625" i="1"/>
  <c r="I627" i="1"/>
  <c r="I628" i="1"/>
  <c r="I622" i="1"/>
  <c r="I623" i="1"/>
  <c r="I624" i="1"/>
  <c r="I626" i="1"/>
  <c r="I345" i="1"/>
  <c r="I353" i="1"/>
  <c r="I355" i="1"/>
  <c r="I347" i="1"/>
  <c r="I350" i="1"/>
  <c r="I354" i="1"/>
  <c r="I352" i="1"/>
  <c r="I341" i="1"/>
  <c r="I351" i="1"/>
  <c r="I342" i="1"/>
  <c r="I343" i="1"/>
  <c r="I344" i="1"/>
  <c r="I346" i="1"/>
  <c r="I349" i="1"/>
  <c r="I348" i="1"/>
  <c r="I281" i="1"/>
  <c r="I618" i="1"/>
  <c r="I619" i="1"/>
  <c r="I620" i="1"/>
  <c r="I613" i="1"/>
  <c r="I273" i="1"/>
  <c r="I288" i="1"/>
  <c r="I284" i="1"/>
  <c r="I283" i="1"/>
  <c r="I282" i="1"/>
  <c r="I1085" i="1"/>
  <c r="I943" i="1"/>
  <c r="I944" i="1"/>
  <c r="I459" i="1"/>
  <c r="I461" i="1"/>
  <c r="I462" i="1"/>
  <c r="I460" i="1"/>
  <c r="I457" i="1"/>
  <c r="I458" i="1"/>
  <c r="I410" i="1"/>
  <c r="I411" i="1"/>
  <c r="I413" i="1"/>
  <c r="I412" i="1"/>
  <c r="I1056" i="1"/>
  <c r="I885" i="1"/>
  <c r="I884" i="1"/>
  <c r="I886" i="1"/>
  <c r="I301" i="1"/>
  <c r="I302" i="1"/>
  <c r="I299" i="1"/>
  <c r="I303" i="1"/>
  <c r="I463" i="1"/>
  <c r="I464" i="1"/>
  <c r="I465" i="1"/>
  <c r="I466" i="1"/>
  <c r="I467" i="1"/>
  <c r="I940" i="1"/>
  <c r="I938" i="1"/>
  <c r="I444" i="1"/>
  <c r="I488" i="1"/>
  <c r="I1067" i="1"/>
  <c r="I1068" i="1"/>
  <c r="I904" i="1"/>
  <c r="I907" i="1"/>
  <c r="I910" i="1"/>
  <c r="I903" i="1"/>
  <c r="I905" i="1"/>
  <c r="I908" i="1"/>
  <c r="I381" i="1"/>
  <c r="I384" i="1"/>
  <c r="I383" i="1"/>
  <c r="I388" i="1"/>
  <c r="I382" i="1"/>
  <c r="I590" i="1"/>
  <c r="I592" i="1"/>
  <c r="I593" i="1"/>
  <c r="I594" i="1"/>
  <c r="I595" i="1"/>
  <c r="I589" i="1"/>
  <c r="I591" i="1"/>
  <c r="I386" i="1"/>
  <c r="I385" i="1"/>
  <c r="I518" i="1"/>
  <c r="I519" i="1"/>
  <c r="I1083" i="1"/>
  <c r="I1082" i="1"/>
  <c r="I932" i="1"/>
  <c r="I931" i="1"/>
  <c r="I930" i="1"/>
  <c r="I430" i="1"/>
  <c r="I394" i="1"/>
  <c r="I395" i="1"/>
  <c r="I396" i="1"/>
  <c r="I554" i="1"/>
  <c r="I556" i="1"/>
  <c r="I557" i="1"/>
  <c r="I558" i="1"/>
  <c r="I559" i="1"/>
  <c r="I560" i="1"/>
  <c r="I561" i="1"/>
  <c r="I562" i="1"/>
  <c r="I1086" i="1"/>
  <c r="I947" i="1"/>
  <c r="I946" i="1"/>
  <c r="I945" i="1"/>
  <c r="I469" i="1"/>
  <c r="I468" i="1"/>
  <c r="I450" i="1"/>
  <c r="I965" i="1"/>
  <c r="I966" i="1"/>
  <c r="I501" i="1"/>
  <c r="I502" i="1"/>
  <c r="I503" i="1"/>
  <c r="I959" i="1"/>
  <c r="I491" i="1"/>
  <c r="I596" i="1"/>
  <c r="I1008" i="1"/>
  <c r="I570" i="1"/>
  <c r="I555" i="1"/>
  <c r="I1076" i="1"/>
  <c r="I1075" i="1"/>
  <c r="I913" i="1"/>
  <c r="I914" i="1"/>
  <c r="I402" i="1"/>
  <c r="I403" i="1"/>
  <c r="I401" i="1"/>
  <c r="I546" i="1"/>
  <c r="I1079" i="1"/>
  <c r="I1078" i="1"/>
  <c r="I919" i="1"/>
  <c r="I918" i="1"/>
  <c r="I920" i="1"/>
  <c r="I917" i="1"/>
  <c r="I417" i="1"/>
  <c r="I418" i="1"/>
  <c r="I419" i="1"/>
  <c r="I992" i="1"/>
  <c r="I547" i="1"/>
  <c r="I548" i="1"/>
  <c r="I1102" i="1"/>
  <c r="I994" i="1"/>
  <c r="I993" i="1"/>
  <c r="I995" i="1"/>
  <c r="I998" i="1"/>
  <c r="I997" i="1"/>
  <c r="I996" i="1"/>
  <c r="I553" i="1"/>
  <c r="I674" i="1"/>
  <c r="I1020" i="1"/>
  <c r="I1023" i="1"/>
  <c r="I1025" i="1"/>
  <c r="I1022" i="1"/>
  <c r="I614" i="1"/>
  <c r="I616" i="1"/>
  <c r="I615" i="1"/>
  <c r="I1092" i="1"/>
  <c r="I969" i="1"/>
  <c r="I968" i="1"/>
  <c r="I504" i="1"/>
  <c r="I506" i="1"/>
  <c r="I1113" i="1"/>
  <c r="I1112" i="1"/>
  <c r="I1038" i="1"/>
  <c r="I710" i="1"/>
  <c r="I711" i="1"/>
  <c r="I709" i="1"/>
  <c r="I1063" i="1"/>
  <c r="I896" i="1"/>
  <c r="I897" i="1"/>
  <c r="I366" i="1"/>
  <c r="I365" i="1"/>
  <c r="I367" i="1"/>
  <c r="I368" i="1"/>
  <c r="I311" i="1"/>
  <c r="I586" i="1"/>
  <c r="I1057" i="1"/>
  <c r="I1058" i="1"/>
  <c r="I887" i="1"/>
  <c r="I888" i="1"/>
  <c r="I889" i="1"/>
  <c r="I304" i="1"/>
  <c r="I306" i="1"/>
  <c r="I307" i="1"/>
  <c r="I305" i="1"/>
  <c r="I308" i="1"/>
  <c r="I310" i="1"/>
  <c r="I249" i="1"/>
  <c r="I1107" i="1"/>
  <c r="I1013" i="1"/>
  <c r="I1014" i="1"/>
  <c r="I578" i="1"/>
  <c r="I579" i="1"/>
  <c r="I580" i="1"/>
  <c r="I1077" i="1"/>
  <c r="I916" i="1"/>
  <c r="I915" i="1"/>
  <c r="I415" i="1"/>
  <c r="I1104" i="1"/>
  <c r="I1007" i="1"/>
  <c r="I566" i="1"/>
  <c r="I568" i="1"/>
  <c r="I569" i="1"/>
  <c r="I1087" i="1"/>
  <c r="I949" i="1"/>
  <c r="I950" i="1"/>
  <c r="I471" i="1"/>
  <c r="I265" i="1"/>
  <c r="I264" i="1"/>
  <c r="I1012" i="1"/>
  <c r="I577" i="1"/>
  <c r="I576" i="1"/>
  <c r="I493" i="1"/>
  <c r="I494" i="1"/>
  <c r="I928" i="1"/>
  <c r="I927" i="1"/>
  <c r="I426" i="1"/>
  <c r="I489" i="1"/>
  <c r="I926" i="1"/>
  <c r="I422" i="1"/>
  <c r="I423" i="1"/>
  <c r="I424" i="1"/>
  <c r="I447" i="1"/>
  <c r="I449" i="1"/>
  <c r="I448" i="1"/>
  <c r="I756" i="1"/>
  <c r="I755" i="1"/>
  <c r="I942" i="1"/>
  <c r="I941" i="1"/>
  <c r="I456" i="1"/>
  <c r="I492" i="1"/>
  <c r="I806" i="1"/>
  <c r="I814" i="1"/>
  <c r="I807" i="1"/>
  <c r="I815" i="1"/>
  <c r="I809" i="1"/>
  <c r="I810" i="1"/>
  <c r="I808" i="1"/>
  <c r="I816" i="1"/>
  <c r="I813" i="1"/>
  <c r="I811" i="1"/>
  <c r="I812" i="1"/>
  <c r="I1065" i="1"/>
  <c r="I1064" i="1"/>
  <c r="I898" i="1"/>
  <c r="I371" i="1"/>
  <c r="I373" i="1"/>
  <c r="I374" i="1"/>
  <c r="I370" i="1"/>
  <c r="I369" i="1"/>
  <c r="I372" i="1"/>
  <c r="J843" i="1"/>
  <c r="J844" i="1"/>
  <c r="J842" i="1"/>
  <c r="L842" i="1"/>
  <c r="L843" i="1"/>
  <c r="L844" i="1"/>
  <c r="L857" i="1"/>
  <c r="L858" i="1"/>
  <c r="L859" i="1"/>
  <c r="L860" i="1"/>
  <c r="L861" i="1"/>
  <c r="L838" i="1"/>
  <c r="L834" i="1"/>
  <c r="L835" i="1"/>
  <c r="L836" i="1"/>
  <c r="L837" i="1"/>
  <c r="L845" i="1"/>
  <c r="L882" i="1"/>
  <c r="L786" i="1"/>
  <c r="L783" i="1"/>
  <c r="L781" i="1"/>
  <c r="L784" i="1"/>
  <c r="L766" i="1"/>
  <c r="L779" i="1"/>
  <c r="L767" i="1"/>
  <c r="L768" i="1"/>
  <c r="L787" i="1"/>
  <c r="L788" i="1"/>
  <c r="L790" i="1"/>
  <c r="L791" i="1"/>
  <c r="L793" i="1"/>
  <c r="L794" i="1"/>
  <c r="L785" i="1"/>
  <c r="L792" i="1"/>
  <c r="L789" i="1"/>
  <c r="L605" i="1"/>
  <c r="L250" i="1"/>
  <c r="L251" i="1"/>
  <c r="L726" i="1"/>
  <c r="L727" i="1"/>
  <c r="L728" i="1"/>
  <c r="L729" i="1"/>
  <c r="L730" i="1"/>
  <c r="L731" i="1"/>
  <c r="L724" i="1"/>
  <c r="L732" i="1"/>
  <c r="L725" i="1"/>
  <c r="L337" i="1"/>
  <c r="L318" i="1"/>
  <c r="L316" i="1"/>
  <c r="L317" i="1"/>
  <c r="L621" i="1"/>
  <c r="L749" i="1"/>
  <c r="L751" i="1"/>
  <c r="L747" i="1"/>
  <c r="L696" i="1"/>
  <c r="L697" i="1"/>
  <c r="L698" i="1"/>
  <c r="L699" i="1"/>
  <c r="L700" i="1"/>
  <c r="L701" i="1"/>
  <c r="L702" i="1"/>
  <c r="L805" i="1"/>
  <c r="L339" i="1"/>
  <c r="L340" i="1"/>
  <c r="L671" i="1"/>
  <c r="L672" i="1"/>
  <c r="L670" i="1"/>
  <c r="L667" i="1"/>
  <c r="L663" i="1"/>
  <c r="L664" i="1"/>
  <c r="L665" i="1"/>
  <c r="L666" i="1"/>
  <c r="L673" i="1"/>
  <c r="L286" i="1"/>
  <c r="L720" i="1"/>
  <c r="L236" i="1"/>
  <c r="L239" i="1"/>
  <c r="L238" i="1"/>
  <c r="L237" i="1"/>
  <c r="L312" i="1"/>
  <c r="L313" i="1"/>
  <c r="L314" i="1"/>
  <c r="L315" i="1"/>
  <c r="L649" i="1"/>
  <c r="L650" i="1"/>
  <c r="L654" i="1"/>
  <c r="L291" i="1"/>
  <c r="L294" i="1"/>
  <c r="L295" i="1"/>
  <c r="L293" i="1"/>
  <c r="L292" i="1"/>
  <c r="L259" i="1"/>
  <c r="L262" i="1"/>
  <c r="L263" i="1"/>
  <c r="L261" i="1"/>
  <c r="L260" i="1"/>
  <c r="L611" i="1"/>
  <c r="L609" i="1"/>
  <c r="L610" i="1"/>
  <c r="L612" i="1"/>
  <c r="L606" i="1"/>
  <c r="L607" i="1"/>
  <c r="L608" i="1"/>
  <c r="L319" i="1"/>
  <c r="L320" i="1"/>
  <c r="L321" i="1"/>
  <c r="L322" i="1"/>
  <c r="L285" i="1"/>
  <c r="L290" i="1"/>
  <c r="L287" i="1"/>
  <c r="L289" i="1"/>
  <c r="L796" i="1"/>
  <c r="L798" i="1"/>
  <c r="L799" i="1"/>
  <c r="L801" i="1"/>
  <c r="L800" i="1"/>
  <c r="L797" i="1"/>
  <c r="L1034" i="1"/>
  <c r="L1035" i="1"/>
  <c r="L688" i="1"/>
  <c r="L689" i="1"/>
  <c r="L924" i="1"/>
  <c r="L923" i="1"/>
  <c r="L925" i="1"/>
  <c r="L420" i="1"/>
  <c r="L421" i="1"/>
  <c r="L258" i="1"/>
  <c r="L254" i="1"/>
  <c r="L255" i="1"/>
  <c r="L256" i="1"/>
  <c r="L257" i="1"/>
  <c r="L253" i="1"/>
  <c r="L252" i="1"/>
  <c r="L1119" i="1"/>
  <c r="L1118" i="1"/>
  <c r="L1051" i="1"/>
  <c r="L1053" i="1"/>
  <c r="L1052" i="1"/>
  <c r="L831" i="1"/>
  <c r="L832" i="1"/>
  <c r="L833" i="1"/>
  <c r="L1098" i="1"/>
  <c r="L984" i="1"/>
  <c r="L986" i="1"/>
  <c r="L983" i="1"/>
  <c r="L982" i="1"/>
  <c r="L530" i="1"/>
  <c r="L531" i="1"/>
  <c r="L532" i="1"/>
  <c r="L534" i="1"/>
  <c r="L525" i="1"/>
  <c r="L1094" i="1"/>
  <c r="L974" i="1"/>
  <c r="L1062" i="1"/>
  <c r="L1061" i="1"/>
  <c r="L895" i="1"/>
  <c r="L894" i="1"/>
  <c r="L893" i="1"/>
  <c r="L364" i="1"/>
  <c r="L361" i="1"/>
  <c r="L362" i="1"/>
  <c r="L363" i="1"/>
  <c r="L976" i="1"/>
  <c r="L975" i="1"/>
  <c r="L977" i="1"/>
  <c r="L521" i="1"/>
  <c r="L535" i="1"/>
  <c r="L1084" i="1"/>
  <c r="L933" i="1"/>
  <c r="L431" i="1"/>
  <c r="L432" i="1"/>
  <c r="L1073" i="1"/>
  <c r="L1074" i="1"/>
  <c r="L1111" i="1"/>
  <c r="L1031" i="1"/>
  <c r="L1033" i="1"/>
  <c r="L1032" i="1"/>
  <c r="L1030" i="1"/>
  <c r="L653" i="1"/>
  <c r="L1100" i="1"/>
  <c r="L1099" i="1"/>
  <c r="L988" i="1"/>
  <c r="L987" i="1"/>
  <c r="L538" i="1"/>
  <c r="L617" i="1"/>
  <c r="L1101" i="1"/>
  <c r="L989" i="1"/>
  <c r="L990" i="1"/>
  <c r="L543" i="1"/>
  <c r="L544" i="1"/>
  <c r="L545" i="1"/>
  <c r="L1093" i="1"/>
  <c r="L970" i="1"/>
  <c r="L972" i="1"/>
  <c r="L971" i="1"/>
  <c r="L513" i="1"/>
  <c r="L512" i="1"/>
  <c r="L515" i="1"/>
  <c r="L1072" i="1"/>
  <c r="L912" i="1"/>
  <c r="L398" i="1"/>
  <c r="L1071" i="1"/>
  <c r="L392" i="1"/>
  <c r="L393" i="1"/>
  <c r="L1089" i="1"/>
  <c r="L960" i="1"/>
  <c r="L961" i="1"/>
  <c r="L495" i="1"/>
  <c r="L496" i="1"/>
  <c r="L439" i="1"/>
  <c r="L442" i="1"/>
  <c r="L443" i="1"/>
  <c r="L441" i="1"/>
  <c r="L440" i="1"/>
  <c r="L1003" i="1"/>
  <c r="L1004" i="1"/>
  <c r="L1006" i="1"/>
  <c r="L1005" i="1"/>
  <c r="L563" i="1"/>
  <c r="L564" i="1"/>
  <c r="L1105" i="1"/>
  <c r="L1009" i="1"/>
  <c r="L1011" i="1"/>
  <c r="L1010" i="1"/>
  <c r="L571" i="1"/>
  <c r="L572" i="1"/>
  <c r="L575" i="1"/>
  <c r="L1066" i="1"/>
  <c r="L899" i="1"/>
  <c r="L900" i="1"/>
  <c r="L376" i="1"/>
  <c r="L1055" i="1"/>
  <c r="L1054" i="1"/>
  <c r="L883" i="1"/>
  <c r="L297" i="1"/>
  <c r="L298" i="1"/>
  <c r="L296" i="1"/>
  <c r="L1090" i="1"/>
  <c r="L1091" i="1"/>
  <c r="L964" i="1"/>
  <c r="L500" i="1"/>
  <c r="L902" i="1"/>
  <c r="L901" i="1"/>
  <c r="L377" i="1"/>
  <c r="L380" i="1"/>
  <c r="L399" i="1"/>
  <c r="L400" i="1"/>
  <c r="L1109" i="1"/>
  <c r="L1108" i="1"/>
  <c r="L1015" i="1"/>
  <c r="L1016" i="1"/>
  <c r="L1017" i="1"/>
  <c r="L584" i="1"/>
  <c r="L585" i="1"/>
  <c r="L581" i="1"/>
  <c r="L582" i="1"/>
  <c r="L583" i="1"/>
  <c r="L1019" i="1"/>
  <c r="L1018" i="1"/>
  <c r="L588" i="1"/>
  <c r="L541" i="1"/>
  <c r="L542" i="1"/>
  <c r="L981" i="1"/>
  <c r="L979" i="1"/>
  <c r="L978" i="1"/>
  <c r="L1116" i="1"/>
  <c r="L1115" i="1"/>
  <c r="L1043" i="1"/>
  <c r="L1041" i="1"/>
  <c r="L736" i="1"/>
  <c r="L1081" i="1"/>
  <c r="L929" i="1"/>
  <c r="L427" i="1"/>
  <c r="L452" i="1"/>
  <c r="L451" i="1"/>
  <c r="L455" i="1"/>
  <c r="L453" i="1"/>
  <c r="L454" i="1"/>
  <c r="L1095" i="1"/>
  <c r="L517" i="1"/>
  <c r="L539" i="1"/>
  <c r="L540" i="1"/>
  <c r="L300" i="1"/>
  <c r="L510" i="1"/>
  <c r="L507" i="1"/>
  <c r="L511" i="1"/>
  <c r="L509" i="1"/>
  <c r="L508" i="1"/>
  <c r="L1110" i="1"/>
  <c r="L1029" i="1"/>
  <c r="L640" i="1"/>
  <c r="L643" i="1"/>
  <c r="L405" i="1"/>
  <c r="L404" i="1"/>
  <c r="L408" i="1"/>
  <c r="L407" i="1"/>
  <c r="L406" i="1"/>
  <c r="L409" i="1"/>
  <c r="L1117" i="1"/>
  <c r="L1050" i="1"/>
  <c r="L1047" i="1"/>
  <c r="L776" i="1"/>
  <c r="L934" i="1"/>
  <c r="L935" i="1"/>
  <c r="L937" i="1"/>
  <c r="L936" i="1"/>
  <c r="L435" i="1"/>
  <c r="L433" i="1"/>
  <c r="L434" i="1"/>
  <c r="L436" i="1"/>
  <c r="L437" i="1"/>
  <c r="L438" i="1"/>
  <c r="L1103" i="1"/>
  <c r="L1002" i="1"/>
  <c r="L795" i="1"/>
  <c r="L445" i="1"/>
  <c r="L446" i="1"/>
  <c r="L490" i="1"/>
  <c r="L425" i="1"/>
  <c r="L954" i="1"/>
  <c r="L951" i="1"/>
  <c r="L953" i="1"/>
  <c r="L955" i="1"/>
  <c r="L952" i="1"/>
  <c r="L473" i="1"/>
  <c r="L474" i="1"/>
  <c r="L475" i="1"/>
  <c r="L472" i="1"/>
  <c r="L476" i="1"/>
  <c r="L1069" i="1"/>
  <c r="L1070" i="1"/>
  <c r="L911" i="1"/>
  <c r="L391" i="1"/>
  <c r="L753" i="1"/>
  <c r="L754" i="1"/>
  <c r="L752" i="1"/>
  <c r="L523" i="1"/>
  <c r="L524" i="1"/>
  <c r="L522" i="1"/>
  <c r="L892" i="1"/>
  <c r="L891" i="1"/>
  <c r="L360" i="1"/>
  <c r="L1088" i="1"/>
  <c r="L957" i="1"/>
  <c r="L956" i="1"/>
  <c r="L958" i="1"/>
  <c r="L481" i="1"/>
  <c r="L478" i="1"/>
  <c r="L479" i="1"/>
  <c r="L480" i="1"/>
  <c r="L477" i="1"/>
  <c r="L482" i="1"/>
  <c r="L1114" i="1"/>
  <c r="L1040" i="1"/>
  <c r="L1039" i="1"/>
  <c r="L722" i="1"/>
  <c r="L721" i="1"/>
  <c r="K857" i="1"/>
  <c r="K858" i="1"/>
  <c r="K859" i="1"/>
  <c r="K860" i="1"/>
  <c r="K861" i="1"/>
  <c r="K838" i="1"/>
  <c r="K834" i="1"/>
  <c r="K835" i="1"/>
  <c r="K836" i="1"/>
  <c r="K837" i="1"/>
  <c r="K845" i="1"/>
  <c r="K882" i="1"/>
  <c r="K781" i="1"/>
  <c r="K783" i="1"/>
  <c r="K784" i="1"/>
  <c r="K786" i="1"/>
  <c r="K766" i="1"/>
  <c r="K779" i="1"/>
  <c r="K767" i="1"/>
  <c r="K768" i="1"/>
  <c r="K788" i="1"/>
  <c r="K789" i="1"/>
  <c r="K791" i="1"/>
  <c r="K792" i="1"/>
  <c r="K793" i="1"/>
  <c r="K794" i="1"/>
  <c r="K785" i="1"/>
  <c r="K787" i="1"/>
  <c r="K790" i="1"/>
  <c r="K605" i="1"/>
  <c r="K251" i="1"/>
  <c r="K250" i="1"/>
  <c r="K727" i="1"/>
  <c r="K728" i="1"/>
  <c r="K729" i="1"/>
  <c r="K730" i="1"/>
  <c r="K731" i="1"/>
  <c r="K724" i="1"/>
  <c r="K732" i="1"/>
  <c r="K725" i="1"/>
  <c r="K726" i="1"/>
  <c r="K337" i="1"/>
  <c r="K317" i="1"/>
  <c r="K318" i="1"/>
  <c r="K316" i="1"/>
  <c r="K621" i="1"/>
  <c r="K749" i="1"/>
  <c r="K751" i="1"/>
  <c r="K747" i="1"/>
  <c r="K697" i="1"/>
  <c r="K698" i="1"/>
  <c r="K699" i="1"/>
  <c r="K700" i="1"/>
  <c r="K701" i="1"/>
  <c r="K702" i="1"/>
  <c r="K696" i="1"/>
  <c r="K805" i="1"/>
  <c r="K339" i="1"/>
  <c r="K340" i="1"/>
  <c r="K672" i="1"/>
  <c r="K670" i="1"/>
  <c r="K671" i="1"/>
  <c r="K663" i="1"/>
  <c r="K664" i="1"/>
  <c r="K665" i="1"/>
  <c r="K666" i="1"/>
  <c r="K667" i="1"/>
  <c r="K673" i="1"/>
  <c r="K286" i="1"/>
  <c r="K720" i="1"/>
  <c r="K236" i="1"/>
  <c r="K237" i="1"/>
  <c r="K238" i="1"/>
  <c r="K239" i="1"/>
  <c r="K312" i="1"/>
  <c r="K313" i="1"/>
  <c r="K314" i="1"/>
  <c r="K315" i="1"/>
  <c r="K650" i="1"/>
  <c r="K654" i="1"/>
  <c r="K649" i="1"/>
  <c r="K291" i="1"/>
  <c r="K292" i="1"/>
  <c r="K295" i="1"/>
  <c r="K293" i="1"/>
  <c r="K294" i="1"/>
  <c r="K259" i="1"/>
  <c r="K260" i="1"/>
  <c r="K263" i="1"/>
  <c r="K261" i="1"/>
  <c r="K262" i="1"/>
  <c r="K612" i="1"/>
  <c r="K610" i="1"/>
  <c r="K611" i="1"/>
  <c r="K606" i="1"/>
  <c r="K607" i="1"/>
  <c r="K608" i="1"/>
  <c r="K609" i="1"/>
  <c r="K319" i="1"/>
  <c r="K320" i="1"/>
  <c r="K321" i="1"/>
  <c r="K322" i="1"/>
  <c r="K285" i="1"/>
  <c r="K287" i="1"/>
  <c r="K289" i="1"/>
  <c r="K290" i="1"/>
  <c r="K796" i="1"/>
  <c r="K797" i="1"/>
  <c r="K799" i="1"/>
  <c r="K800" i="1"/>
  <c r="K801" i="1"/>
  <c r="K798" i="1"/>
  <c r="K1034" i="1"/>
  <c r="K1035" i="1"/>
  <c r="K689" i="1"/>
  <c r="K688" i="1"/>
  <c r="K1080" i="1"/>
  <c r="K924" i="1"/>
  <c r="K923" i="1"/>
  <c r="K925" i="1"/>
  <c r="K421" i="1"/>
  <c r="K420" i="1"/>
  <c r="K252" i="1"/>
  <c r="K255" i="1"/>
  <c r="K256" i="1"/>
  <c r="K257" i="1"/>
  <c r="K253" i="1"/>
  <c r="K254" i="1"/>
  <c r="K258" i="1"/>
  <c r="K1119" i="1"/>
  <c r="K1118" i="1"/>
  <c r="K1051" i="1"/>
  <c r="K1053" i="1"/>
  <c r="K1052" i="1"/>
  <c r="K831" i="1"/>
  <c r="K832" i="1"/>
  <c r="K833" i="1"/>
  <c r="K1098" i="1"/>
  <c r="K986" i="1"/>
  <c r="K982" i="1"/>
  <c r="K983" i="1"/>
  <c r="K984" i="1"/>
  <c r="K531" i="1"/>
  <c r="K532" i="1"/>
  <c r="K530" i="1"/>
  <c r="K534" i="1"/>
  <c r="K525" i="1"/>
  <c r="K1094" i="1"/>
  <c r="K974" i="1"/>
  <c r="K1062" i="1"/>
  <c r="K1061" i="1"/>
  <c r="K894" i="1"/>
  <c r="K895" i="1"/>
  <c r="K893" i="1"/>
  <c r="K361" i="1"/>
  <c r="K362" i="1"/>
  <c r="K363" i="1"/>
  <c r="K364" i="1"/>
  <c r="K977" i="1"/>
  <c r="K975" i="1"/>
  <c r="K976" i="1"/>
  <c r="K521" i="1"/>
  <c r="K535" i="1"/>
  <c r="K1084" i="1"/>
  <c r="K933" i="1"/>
  <c r="K431" i="1"/>
  <c r="K432" i="1"/>
  <c r="K1074" i="1"/>
  <c r="K1073" i="1"/>
  <c r="K1111" i="1"/>
  <c r="K1033" i="1"/>
  <c r="K1032" i="1"/>
  <c r="K1030" i="1"/>
  <c r="K1031" i="1"/>
  <c r="K653" i="1"/>
  <c r="K1100" i="1"/>
  <c r="K1099" i="1"/>
  <c r="K988" i="1"/>
  <c r="K987" i="1"/>
  <c r="K538" i="1"/>
  <c r="K617" i="1"/>
  <c r="K1101" i="1"/>
  <c r="K989" i="1"/>
  <c r="K990" i="1"/>
  <c r="K543" i="1"/>
  <c r="K544" i="1"/>
  <c r="K545" i="1"/>
  <c r="K1093" i="1"/>
  <c r="K970" i="1"/>
  <c r="K972" i="1"/>
  <c r="K971" i="1"/>
  <c r="K515" i="1"/>
  <c r="K512" i="1"/>
  <c r="K513" i="1"/>
  <c r="K1072" i="1"/>
  <c r="K912" i="1"/>
  <c r="K398" i="1"/>
  <c r="K1071" i="1"/>
  <c r="K392" i="1"/>
  <c r="K393" i="1"/>
  <c r="K1089" i="1"/>
  <c r="K960" i="1"/>
  <c r="K961" i="1"/>
  <c r="K496" i="1"/>
  <c r="K495" i="1"/>
  <c r="K439" i="1"/>
  <c r="K443" i="1"/>
  <c r="K441" i="1"/>
  <c r="K442" i="1"/>
  <c r="K440" i="1"/>
  <c r="K1004" i="1"/>
  <c r="K1006" i="1"/>
  <c r="K1005" i="1"/>
  <c r="K1003" i="1"/>
  <c r="K563" i="1"/>
  <c r="K564" i="1"/>
  <c r="K1105" i="1"/>
  <c r="K1009" i="1"/>
  <c r="K1011" i="1"/>
  <c r="K1010" i="1"/>
  <c r="K571" i="1"/>
  <c r="K572" i="1"/>
  <c r="K575" i="1"/>
  <c r="K1066" i="1"/>
  <c r="K899" i="1"/>
  <c r="K900" i="1"/>
  <c r="K376" i="1"/>
  <c r="K1055" i="1"/>
  <c r="K1054" i="1"/>
  <c r="K883" i="1"/>
  <c r="K298" i="1"/>
  <c r="K296" i="1"/>
  <c r="K297" i="1"/>
  <c r="K1090" i="1"/>
  <c r="K1091" i="1"/>
  <c r="K964" i="1"/>
  <c r="K500" i="1"/>
  <c r="K902" i="1"/>
  <c r="K901" i="1"/>
  <c r="K380" i="1"/>
  <c r="K377" i="1"/>
  <c r="K400" i="1"/>
  <c r="K399" i="1"/>
  <c r="K1109" i="1"/>
  <c r="K1108" i="1"/>
  <c r="K1016" i="1"/>
  <c r="K1017" i="1"/>
  <c r="K1015" i="1"/>
  <c r="K585" i="1"/>
  <c r="K581" i="1"/>
  <c r="K582" i="1"/>
  <c r="K583" i="1"/>
  <c r="K584" i="1"/>
  <c r="K1019" i="1"/>
  <c r="K1018" i="1"/>
  <c r="K588" i="1"/>
  <c r="K542" i="1"/>
  <c r="K541" i="1"/>
  <c r="K979" i="1"/>
  <c r="K978" i="1"/>
  <c r="K981" i="1"/>
  <c r="K1116" i="1"/>
  <c r="K1115" i="1"/>
  <c r="K1041" i="1"/>
  <c r="K1043" i="1"/>
  <c r="K736" i="1"/>
  <c r="K1081" i="1"/>
  <c r="K929" i="1"/>
  <c r="K427" i="1"/>
  <c r="K453" i="1"/>
  <c r="K451" i="1"/>
  <c r="K454" i="1"/>
  <c r="K455" i="1"/>
  <c r="K452" i="1"/>
  <c r="K1095" i="1"/>
  <c r="K517" i="1"/>
  <c r="K539" i="1"/>
  <c r="K540" i="1"/>
  <c r="K300" i="1"/>
  <c r="K507" i="1"/>
  <c r="K508" i="1"/>
  <c r="K511" i="1"/>
  <c r="K509" i="1"/>
  <c r="K510" i="1"/>
  <c r="K1110" i="1"/>
  <c r="K1029" i="1"/>
  <c r="K640" i="1"/>
  <c r="K643" i="1"/>
  <c r="K406" i="1"/>
  <c r="K404" i="1"/>
  <c r="K407" i="1"/>
  <c r="K408" i="1"/>
  <c r="K405" i="1"/>
  <c r="K409" i="1"/>
  <c r="K1117" i="1"/>
  <c r="K1050" i="1"/>
  <c r="K1047" i="1"/>
  <c r="K776" i="1"/>
  <c r="K937" i="1"/>
  <c r="K936" i="1"/>
  <c r="K935" i="1"/>
  <c r="K934" i="1"/>
  <c r="K436" i="1"/>
  <c r="K437" i="1"/>
  <c r="K438" i="1"/>
  <c r="K434" i="1"/>
  <c r="K435" i="1"/>
  <c r="K433" i="1"/>
  <c r="K1103" i="1"/>
  <c r="K1002" i="1"/>
  <c r="K795" i="1"/>
  <c r="K445" i="1"/>
  <c r="K446" i="1"/>
  <c r="K490" i="1"/>
  <c r="K425" i="1"/>
  <c r="K955" i="1"/>
  <c r="K951" i="1"/>
  <c r="K953" i="1"/>
  <c r="K952" i="1"/>
  <c r="K954" i="1"/>
  <c r="K472" i="1"/>
  <c r="K474" i="1"/>
  <c r="K475" i="1"/>
  <c r="K476" i="1"/>
  <c r="K473" i="1"/>
  <c r="K1069" i="1"/>
  <c r="K1070" i="1"/>
  <c r="K911" i="1"/>
  <c r="K391" i="1"/>
  <c r="K754" i="1"/>
  <c r="K752" i="1"/>
  <c r="K753" i="1"/>
  <c r="K524" i="1"/>
  <c r="K522" i="1"/>
  <c r="K523" i="1"/>
  <c r="K892" i="1"/>
  <c r="K891" i="1"/>
  <c r="K360" i="1"/>
  <c r="K1088" i="1"/>
  <c r="K957" i="1"/>
  <c r="K956" i="1"/>
  <c r="K958" i="1"/>
  <c r="K482" i="1"/>
  <c r="K479" i="1"/>
  <c r="K480" i="1"/>
  <c r="K481" i="1"/>
  <c r="K477" i="1"/>
  <c r="K478" i="1"/>
  <c r="K1114" i="1"/>
  <c r="K1039" i="1"/>
  <c r="K1040" i="1"/>
  <c r="K721" i="1"/>
  <c r="K722" i="1"/>
  <c r="J858" i="1"/>
  <c r="J859" i="1"/>
  <c r="J857" i="1"/>
  <c r="J860" i="1"/>
  <c r="J861" i="1"/>
  <c r="J838" i="1"/>
  <c r="J835" i="1"/>
  <c r="J836" i="1"/>
  <c r="J834" i="1"/>
  <c r="J837" i="1"/>
  <c r="J845" i="1"/>
  <c r="J882" i="1"/>
  <c r="J781" i="1"/>
  <c r="J784" i="1"/>
  <c r="J786" i="1"/>
  <c r="J783" i="1"/>
  <c r="J766" i="1"/>
  <c r="J779" i="1"/>
  <c r="J767" i="1"/>
  <c r="J768" i="1"/>
  <c r="J789" i="1"/>
  <c r="J790" i="1"/>
  <c r="J792" i="1"/>
  <c r="J785" i="1"/>
  <c r="J793" i="1"/>
  <c r="J787" i="1"/>
  <c r="J788" i="1"/>
  <c r="J791" i="1"/>
  <c r="J794" i="1"/>
  <c r="J605" i="1"/>
  <c r="J250" i="1"/>
  <c r="J251" i="1"/>
  <c r="J728" i="1"/>
  <c r="J729" i="1"/>
  <c r="J730" i="1"/>
  <c r="J731" i="1"/>
  <c r="J724" i="1"/>
  <c r="J732" i="1"/>
  <c r="J725" i="1"/>
  <c r="J726" i="1"/>
  <c r="J727" i="1"/>
  <c r="J337" i="1"/>
  <c r="J318" i="1"/>
  <c r="J316" i="1"/>
  <c r="J317" i="1"/>
  <c r="J621" i="1"/>
  <c r="J749" i="1"/>
  <c r="J751" i="1"/>
  <c r="J747" i="1"/>
  <c r="J698" i="1"/>
  <c r="J699" i="1"/>
  <c r="J700" i="1"/>
  <c r="J701" i="1"/>
  <c r="J702" i="1"/>
  <c r="J696" i="1"/>
  <c r="J697" i="1"/>
  <c r="J805" i="1"/>
  <c r="J339" i="1"/>
  <c r="J340" i="1"/>
  <c r="J670" i="1"/>
  <c r="J671" i="1"/>
  <c r="J672" i="1"/>
  <c r="J663" i="1"/>
  <c r="J664" i="1"/>
  <c r="J665" i="1"/>
  <c r="J666" i="1"/>
  <c r="J667" i="1"/>
  <c r="J673" i="1"/>
  <c r="J286" i="1"/>
  <c r="J720" i="1"/>
  <c r="J237" i="1"/>
  <c r="J238" i="1"/>
  <c r="J236" i="1"/>
  <c r="J239" i="1"/>
  <c r="J312" i="1"/>
  <c r="J314" i="1"/>
  <c r="J315" i="1"/>
  <c r="J313" i="1"/>
  <c r="J654" i="1"/>
  <c r="J649" i="1"/>
  <c r="J650" i="1"/>
  <c r="J292" i="1"/>
  <c r="J293" i="1"/>
  <c r="J294" i="1"/>
  <c r="J295" i="1"/>
  <c r="J291" i="1"/>
  <c r="J260" i="1"/>
  <c r="J261" i="1"/>
  <c r="J259" i="1"/>
  <c r="J262" i="1"/>
  <c r="J263" i="1"/>
  <c r="J611" i="1"/>
  <c r="J612" i="1"/>
  <c r="J606" i="1"/>
  <c r="J607" i="1"/>
  <c r="J608" i="1"/>
  <c r="J609" i="1"/>
  <c r="J610" i="1"/>
  <c r="J320" i="1"/>
  <c r="J319" i="1"/>
  <c r="J322" i="1"/>
  <c r="J321" i="1"/>
  <c r="J285" i="1"/>
  <c r="J289" i="1"/>
  <c r="J290" i="1"/>
  <c r="J287" i="1"/>
  <c r="J797" i="1"/>
  <c r="J798" i="1"/>
  <c r="J800" i="1"/>
  <c r="J801" i="1"/>
  <c r="J796" i="1"/>
  <c r="J799" i="1"/>
  <c r="J1035" i="1"/>
  <c r="J1034" i="1"/>
  <c r="J688" i="1"/>
  <c r="J689" i="1"/>
  <c r="J1080" i="1"/>
  <c r="J924" i="1"/>
  <c r="J923" i="1"/>
  <c r="J925" i="1"/>
  <c r="J421" i="1"/>
  <c r="J420" i="1"/>
  <c r="J252" i="1"/>
  <c r="J253" i="1"/>
  <c r="J256" i="1"/>
  <c r="J254" i="1"/>
  <c r="J255" i="1"/>
  <c r="J258" i="1"/>
  <c r="J257" i="1"/>
  <c r="J1118" i="1"/>
  <c r="J1119" i="1"/>
  <c r="J1052" i="1"/>
  <c r="J1051" i="1"/>
  <c r="J1053" i="1"/>
  <c r="J832" i="1"/>
  <c r="J833" i="1"/>
  <c r="J831" i="1"/>
  <c r="J1098" i="1"/>
  <c r="J982" i="1"/>
  <c r="J983" i="1"/>
  <c r="J984" i="1"/>
  <c r="J986" i="1"/>
  <c r="J525" i="1"/>
  <c r="J532" i="1"/>
  <c r="J530" i="1"/>
  <c r="J531" i="1"/>
  <c r="J534" i="1"/>
  <c r="J1094" i="1"/>
  <c r="J974" i="1"/>
  <c r="J1062" i="1"/>
  <c r="J1061" i="1"/>
  <c r="J893" i="1"/>
  <c r="J895" i="1"/>
  <c r="J894" i="1"/>
  <c r="J361" i="1"/>
  <c r="J363" i="1"/>
  <c r="J364" i="1"/>
  <c r="J362" i="1"/>
  <c r="J975" i="1"/>
  <c r="J977" i="1"/>
  <c r="J976" i="1"/>
  <c r="J521" i="1"/>
  <c r="J535" i="1"/>
  <c r="J1084" i="1"/>
  <c r="J933" i="1"/>
  <c r="J431" i="1"/>
  <c r="J432" i="1"/>
  <c r="J1074" i="1"/>
  <c r="J1073" i="1"/>
  <c r="J1111" i="1"/>
  <c r="J1032" i="1"/>
  <c r="J1030" i="1"/>
  <c r="J1031" i="1"/>
  <c r="J1033" i="1"/>
  <c r="J653" i="1"/>
  <c r="J1100" i="1"/>
  <c r="J1099" i="1"/>
  <c r="J987" i="1"/>
  <c r="J988" i="1"/>
  <c r="J538" i="1"/>
  <c r="J617" i="1"/>
  <c r="J1101" i="1"/>
  <c r="J990" i="1"/>
  <c r="J989" i="1"/>
  <c r="J544" i="1"/>
  <c r="J543" i="1"/>
  <c r="J545" i="1"/>
  <c r="J1093" i="1"/>
  <c r="J972" i="1"/>
  <c r="J970" i="1"/>
  <c r="J971" i="1"/>
  <c r="J515" i="1"/>
  <c r="J512" i="1"/>
  <c r="J513" i="1"/>
  <c r="J1072" i="1"/>
  <c r="J912" i="1"/>
  <c r="J398" i="1"/>
  <c r="J1071" i="1"/>
  <c r="J393" i="1"/>
  <c r="J392" i="1"/>
  <c r="J1089" i="1"/>
  <c r="J960" i="1"/>
  <c r="J961" i="1"/>
  <c r="J496" i="1"/>
  <c r="J495" i="1"/>
  <c r="J439" i="1"/>
  <c r="J440" i="1"/>
  <c r="J441" i="1"/>
  <c r="J442" i="1"/>
  <c r="J443" i="1"/>
  <c r="J1004" i="1"/>
  <c r="J1005" i="1"/>
  <c r="J1003" i="1"/>
  <c r="J1006" i="1"/>
  <c r="J564" i="1"/>
  <c r="J563" i="1"/>
  <c r="J1105" i="1"/>
  <c r="J1011" i="1"/>
  <c r="J1010" i="1"/>
  <c r="J1009" i="1"/>
  <c r="J572" i="1"/>
  <c r="J571" i="1"/>
  <c r="J575" i="1"/>
  <c r="J1066" i="1"/>
  <c r="J899" i="1"/>
  <c r="J900" i="1"/>
  <c r="J376" i="1"/>
  <c r="J1055" i="1"/>
  <c r="J1054" i="1"/>
  <c r="J883" i="1"/>
  <c r="J297" i="1"/>
  <c r="J298" i="1"/>
  <c r="J296" i="1"/>
  <c r="J1090" i="1"/>
  <c r="J1091" i="1"/>
  <c r="J964" i="1"/>
  <c r="J500" i="1"/>
  <c r="J902" i="1"/>
  <c r="J901" i="1"/>
  <c r="J377" i="1"/>
  <c r="J380" i="1"/>
  <c r="J399" i="1"/>
  <c r="J400" i="1"/>
  <c r="J1109" i="1"/>
  <c r="J1108" i="1"/>
  <c r="J1017" i="1"/>
  <c r="J1015" i="1"/>
  <c r="J1016" i="1"/>
  <c r="J581" i="1"/>
  <c r="J582" i="1"/>
  <c r="J583" i="1"/>
  <c r="J584" i="1"/>
  <c r="J585" i="1"/>
  <c r="J1018" i="1"/>
  <c r="J1019" i="1"/>
  <c r="J588" i="1"/>
  <c r="J541" i="1"/>
  <c r="J542" i="1"/>
  <c r="J978" i="1"/>
  <c r="J981" i="1"/>
  <c r="J979" i="1"/>
  <c r="J1116" i="1"/>
  <c r="J1115" i="1"/>
  <c r="J1041" i="1"/>
  <c r="J1043" i="1"/>
  <c r="J736" i="1"/>
  <c r="J1081" i="1"/>
  <c r="J929" i="1"/>
  <c r="J427" i="1"/>
  <c r="J454" i="1"/>
  <c r="J451" i="1"/>
  <c r="J455" i="1"/>
  <c r="J452" i="1"/>
  <c r="J453" i="1"/>
  <c r="J1095" i="1"/>
  <c r="J517" i="1"/>
  <c r="J539" i="1"/>
  <c r="J540" i="1"/>
  <c r="J300" i="1"/>
  <c r="J511" i="1"/>
  <c r="J508" i="1"/>
  <c r="J509" i="1"/>
  <c r="J507" i="1"/>
  <c r="J510" i="1"/>
  <c r="J1110" i="1"/>
  <c r="J1029" i="1"/>
  <c r="J643" i="1"/>
  <c r="J640" i="1"/>
  <c r="J407" i="1"/>
  <c r="J404" i="1"/>
  <c r="J408" i="1"/>
  <c r="J405" i="1"/>
  <c r="J406" i="1"/>
  <c r="J409" i="1"/>
  <c r="J1117" i="1"/>
  <c r="J1050" i="1"/>
  <c r="J1047" i="1"/>
  <c r="J776" i="1"/>
  <c r="J935" i="1"/>
  <c r="J937" i="1"/>
  <c r="J936" i="1"/>
  <c r="J934" i="1"/>
  <c r="J438" i="1"/>
  <c r="J437" i="1"/>
  <c r="J435" i="1"/>
  <c r="J436" i="1"/>
  <c r="J433" i="1"/>
  <c r="J434" i="1"/>
  <c r="J1103" i="1"/>
  <c r="J1002" i="1"/>
  <c r="J795" i="1"/>
  <c r="J446" i="1"/>
  <c r="J445" i="1"/>
  <c r="J490" i="1"/>
  <c r="J425" i="1"/>
  <c r="J952" i="1"/>
  <c r="J951" i="1"/>
  <c r="J953" i="1"/>
  <c r="J955" i="1"/>
  <c r="J954" i="1"/>
  <c r="J475" i="1"/>
  <c r="J472" i="1"/>
  <c r="J473" i="1"/>
  <c r="J476" i="1"/>
  <c r="J474" i="1"/>
  <c r="J1070" i="1"/>
  <c r="J1069" i="1"/>
  <c r="J911" i="1"/>
  <c r="J391" i="1"/>
  <c r="J752" i="1"/>
  <c r="J753" i="1"/>
  <c r="J754" i="1"/>
  <c r="J522" i="1"/>
  <c r="J524" i="1"/>
  <c r="J523" i="1"/>
  <c r="J892" i="1"/>
  <c r="J891" i="1"/>
  <c r="J360" i="1"/>
  <c r="J1088" i="1"/>
  <c r="J957" i="1"/>
  <c r="J956" i="1"/>
  <c r="J958" i="1"/>
  <c r="J480" i="1"/>
  <c r="J481" i="1"/>
  <c r="J482" i="1"/>
  <c r="J477" i="1"/>
  <c r="J478" i="1"/>
  <c r="J479" i="1"/>
  <c r="J1114" i="1"/>
  <c r="J1039" i="1"/>
  <c r="J1040" i="1"/>
  <c r="J721" i="1"/>
  <c r="J722" i="1"/>
  <c r="I859" i="1"/>
  <c r="I857" i="1"/>
  <c r="I858" i="1"/>
  <c r="I860" i="1"/>
  <c r="I861" i="1"/>
  <c r="I838" i="1"/>
  <c r="I836" i="1"/>
  <c r="I834" i="1"/>
  <c r="I835" i="1"/>
  <c r="I837" i="1"/>
  <c r="I845" i="1"/>
  <c r="I882" i="1"/>
  <c r="I781" i="1"/>
  <c r="I783" i="1"/>
  <c r="I786" i="1"/>
  <c r="I784" i="1"/>
  <c r="I766" i="1"/>
  <c r="I779" i="1"/>
  <c r="I767" i="1"/>
  <c r="I768" i="1"/>
  <c r="I790" i="1"/>
  <c r="I791" i="1"/>
  <c r="I785" i="1"/>
  <c r="I793" i="1"/>
  <c r="I794" i="1"/>
  <c r="I792" i="1"/>
  <c r="I789" i="1"/>
  <c r="I787" i="1"/>
  <c r="I788" i="1"/>
  <c r="I605" i="1"/>
  <c r="I251" i="1"/>
  <c r="I250" i="1"/>
  <c r="I729" i="1"/>
  <c r="I730" i="1"/>
  <c r="I731" i="1"/>
  <c r="I724" i="1"/>
  <c r="I732" i="1"/>
  <c r="I725" i="1"/>
  <c r="I726" i="1"/>
  <c r="I727" i="1"/>
  <c r="I728" i="1"/>
  <c r="I337" i="1"/>
  <c r="I318" i="1"/>
  <c r="I316" i="1"/>
  <c r="I317" i="1"/>
  <c r="I621" i="1"/>
  <c r="I749" i="1"/>
  <c r="I751" i="1"/>
  <c r="I747" i="1"/>
  <c r="I699" i="1"/>
  <c r="I700" i="1"/>
  <c r="I701" i="1"/>
  <c r="I702" i="1"/>
  <c r="I696" i="1"/>
  <c r="I697" i="1"/>
  <c r="I698" i="1"/>
  <c r="I805" i="1"/>
  <c r="I339" i="1"/>
  <c r="I340" i="1"/>
  <c r="I670" i="1"/>
  <c r="I671" i="1"/>
  <c r="I672" i="1"/>
  <c r="I664" i="1"/>
  <c r="I665" i="1"/>
  <c r="I666" i="1"/>
  <c r="I667" i="1"/>
  <c r="I663" i="1"/>
  <c r="I673" i="1"/>
  <c r="I286" i="1"/>
  <c r="I720" i="1"/>
  <c r="I238" i="1"/>
  <c r="I239" i="1"/>
  <c r="I237" i="1"/>
  <c r="I236" i="1"/>
  <c r="I313" i="1"/>
  <c r="I315" i="1"/>
  <c r="I312" i="1"/>
  <c r="I314" i="1"/>
  <c r="I654" i="1"/>
  <c r="I649" i="1"/>
  <c r="I650" i="1"/>
  <c r="I293" i="1"/>
  <c r="I294" i="1"/>
  <c r="I292" i="1"/>
  <c r="I291" i="1"/>
  <c r="I295" i="1"/>
  <c r="I261" i="1"/>
  <c r="I262" i="1"/>
  <c r="I260" i="1"/>
  <c r="I259" i="1"/>
  <c r="I263" i="1"/>
  <c r="I606" i="1"/>
  <c r="I607" i="1"/>
  <c r="I608" i="1"/>
  <c r="I609" i="1"/>
  <c r="I610" i="1"/>
  <c r="I611" i="1"/>
  <c r="I612" i="1"/>
  <c r="I321" i="1"/>
  <c r="I322" i="1"/>
  <c r="I320" i="1"/>
  <c r="I319" i="1"/>
  <c r="I285" i="1"/>
  <c r="I289" i="1"/>
  <c r="I290" i="1"/>
  <c r="I287" i="1"/>
  <c r="I798" i="1"/>
  <c r="I799" i="1"/>
  <c r="I801" i="1"/>
  <c r="I800" i="1"/>
  <c r="I797" i="1"/>
  <c r="I796" i="1"/>
  <c r="I1034" i="1"/>
  <c r="I1035" i="1"/>
  <c r="I688" i="1"/>
  <c r="I689" i="1"/>
  <c r="I1080" i="1"/>
  <c r="I924" i="1"/>
  <c r="I923" i="1"/>
  <c r="I925" i="1"/>
  <c r="I421" i="1"/>
  <c r="I420" i="1"/>
  <c r="I253" i="1"/>
  <c r="I254" i="1"/>
  <c r="I257" i="1"/>
  <c r="I252" i="1"/>
  <c r="I256" i="1"/>
  <c r="I255" i="1"/>
  <c r="I258" i="1"/>
  <c r="I1118" i="1"/>
  <c r="I1119" i="1"/>
  <c r="I1053" i="1"/>
  <c r="I1052" i="1"/>
  <c r="I1051" i="1"/>
  <c r="I831" i="1"/>
  <c r="I833" i="1"/>
  <c r="I832" i="1"/>
  <c r="I1098" i="1"/>
  <c r="I983" i="1"/>
  <c r="I984" i="1"/>
  <c r="I986" i="1"/>
  <c r="I982" i="1"/>
  <c r="I525" i="1"/>
  <c r="I530" i="1"/>
  <c r="I531" i="1"/>
  <c r="I532" i="1"/>
  <c r="I534" i="1"/>
  <c r="I1094" i="1"/>
  <c r="I974" i="1"/>
  <c r="I1062" i="1"/>
  <c r="I1061" i="1"/>
  <c r="I894" i="1"/>
  <c r="I895" i="1"/>
  <c r="I893" i="1"/>
  <c r="I362" i="1"/>
  <c r="I364" i="1"/>
  <c r="I361" i="1"/>
  <c r="I363" i="1"/>
  <c r="I975" i="1"/>
  <c r="I976" i="1"/>
  <c r="I977" i="1"/>
  <c r="I521" i="1"/>
  <c r="I535" i="1"/>
  <c r="I1084" i="1"/>
  <c r="I933" i="1"/>
  <c r="I432" i="1"/>
  <c r="I431" i="1"/>
  <c r="I1074" i="1"/>
  <c r="I1073" i="1"/>
  <c r="I1111" i="1"/>
  <c r="I1032" i="1"/>
  <c r="I1030" i="1"/>
  <c r="I1031" i="1"/>
  <c r="I1033" i="1"/>
  <c r="I653" i="1"/>
  <c r="I1099" i="1"/>
  <c r="I1100" i="1"/>
  <c r="I988" i="1"/>
  <c r="I987" i="1"/>
  <c r="I538" i="1"/>
  <c r="I617" i="1"/>
  <c r="I1101" i="1"/>
  <c r="I989" i="1"/>
  <c r="I990" i="1"/>
  <c r="I545" i="1"/>
  <c r="I543" i="1"/>
  <c r="I544" i="1"/>
  <c r="I1093" i="1"/>
  <c r="I972" i="1"/>
  <c r="I971" i="1"/>
  <c r="I970" i="1"/>
  <c r="I512" i="1"/>
  <c r="I513" i="1"/>
  <c r="I515" i="1"/>
  <c r="I1072" i="1"/>
  <c r="I912" i="1"/>
  <c r="I398" i="1"/>
  <c r="I1071" i="1"/>
  <c r="I393" i="1"/>
  <c r="I392" i="1"/>
  <c r="I1089" i="1"/>
  <c r="I961" i="1"/>
  <c r="I960" i="1"/>
  <c r="I495" i="1"/>
  <c r="I496" i="1"/>
  <c r="I439" i="1"/>
  <c r="I440" i="1"/>
  <c r="I441" i="1"/>
  <c r="I442" i="1"/>
  <c r="I443" i="1"/>
  <c r="I1005" i="1"/>
  <c r="I1003" i="1"/>
  <c r="I1004" i="1"/>
  <c r="I1006" i="1"/>
  <c r="I563" i="1"/>
  <c r="I564" i="1"/>
  <c r="I1105" i="1"/>
  <c r="I1010" i="1"/>
  <c r="I1011" i="1"/>
  <c r="I1009" i="1"/>
  <c r="I575" i="1"/>
  <c r="I571" i="1"/>
  <c r="I572" i="1"/>
  <c r="I1066" i="1"/>
  <c r="I899" i="1"/>
  <c r="I900" i="1"/>
  <c r="I376" i="1"/>
  <c r="I1054" i="1"/>
  <c r="I1055" i="1"/>
  <c r="I883" i="1"/>
  <c r="I296" i="1"/>
  <c r="I298" i="1"/>
  <c r="I297" i="1"/>
  <c r="I1091" i="1"/>
  <c r="I1090" i="1"/>
  <c r="I964" i="1"/>
  <c r="I500" i="1"/>
  <c r="I901" i="1"/>
  <c r="I902" i="1"/>
  <c r="I377" i="1"/>
  <c r="I380" i="1"/>
  <c r="I400" i="1"/>
  <c r="I399" i="1"/>
  <c r="I1108" i="1"/>
  <c r="I1109" i="1"/>
  <c r="I1017" i="1"/>
  <c r="I1015" i="1"/>
  <c r="I1016" i="1"/>
  <c r="I581" i="1"/>
  <c r="I582" i="1"/>
  <c r="I583" i="1"/>
  <c r="I584" i="1"/>
  <c r="I585" i="1"/>
  <c r="I1018" i="1"/>
  <c r="I1019" i="1"/>
  <c r="I588" i="1"/>
  <c r="I541" i="1"/>
  <c r="I542" i="1"/>
  <c r="I979" i="1"/>
  <c r="I981" i="1"/>
  <c r="I978" i="1"/>
  <c r="I1115" i="1"/>
  <c r="I1116" i="1"/>
  <c r="I1041" i="1"/>
  <c r="I1043" i="1"/>
  <c r="I736" i="1"/>
  <c r="I1081" i="1"/>
  <c r="I929" i="1"/>
  <c r="I427" i="1"/>
  <c r="I455" i="1"/>
  <c r="I452" i="1"/>
  <c r="I453" i="1"/>
  <c r="I454" i="1"/>
  <c r="I451" i="1"/>
  <c r="I1095" i="1"/>
  <c r="I517" i="1"/>
  <c r="I540" i="1"/>
  <c r="I539" i="1"/>
  <c r="I300" i="1"/>
  <c r="I509" i="1"/>
  <c r="I510" i="1"/>
  <c r="I511" i="1"/>
  <c r="I508" i="1"/>
  <c r="I507" i="1"/>
  <c r="I1110" i="1"/>
  <c r="I1029" i="1"/>
  <c r="I640" i="1"/>
  <c r="I643" i="1"/>
  <c r="I408" i="1"/>
  <c r="I405" i="1"/>
  <c r="I406" i="1"/>
  <c r="I407" i="1"/>
  <c r="I409" i="1"/>
  <c r="I404" i="1"/>
  <c r="I1117" i="1"/>
  <c r="I1050" i="1"/>
  <c r="I1047" i="1"/>
  <c r="I776" i="1"/>
  <c r="I936" i="1"/>
  <c r="I934" i="1"/>
  <c r="I935" i="1"/>
  <c r="I937" i="1"/>
  <c r="I437" i="1"/>
  <c r="I438" i="1"/>
  <c r="I433" i="1"/>
  <c r="I436" i="1"/>
  <c r="I435" i="1"/>
  <c r="I434" i="1"/>
  <c r="I1103" i="1"/>
  <c r="I1002" i="1"/>
  <c r="I795" i="1"/>
  <c r="I446" i="1"/>
  <c r="I445" i="1"/>
  <c r="I490" i="1"/>
  <c r="I425" i="1"/>
  <c r="I953" i="1"/>
  <c r="I955" i="1"/>
  <c r="I952" i="1"/>
  <c r="I954" i="1"/>
  <c r="I951" i="1"/>
  <c r="I472" i="1"/>
  <c r="I476" i="1"/>
  <c r="I473" i="1"/>
  <c r="I474" i="1"/>
  <c r="I475" i="1"/>
  <c r="I1070" i="1"/>
  <c r="I1069" i="1"/>
  <c r="I911" i="1"/>
  <c r="I391" i="1"/>
  <c r="I752" i="1"/>
  <c r="I753" i="1"/>
  <c r="I754" i="1"/>
  <c r="I522" i="1"/>
  <c r="I523" i="1"/>
  <c r="I524" i="1"/>
  <c r="I892" i="1"/>
  <c r="I891" i="1"/>
  <c r="I360" i="1"/>
  <c r="I1088" i="1"/>
  <c r="I956" i="1"/>
  <c r="I958" i="1"/>
  <c r="I957" i="1"/>
  <c r="I481" i="1"/>
  <c r="I482" i="1"/>
  <c r="I477" i="1"/>
  <c r="I478" i="1"/>
  <c r="I480" i="1"/>
  <c r="I479" i="1"/>
  <c r="I1114" i="1"/>
  <c r="I1039" i="1"/>
  <c r="I1040" i="1"/>
  <c r="I721" i="1"/>
  <c r="I722" i="1"/>
  <c r="J132" i="1"/>
  <c r="J133" i="1"/>
  <c r="J126" i="1"/>
  <c r="J127" i="1"/>
  <c r="J128" i="1"/>
  <c r="J129" i="1"/>
  <c r="J130" i="1"/>
  <c r="J131" i="1"/>
  <c r="J12" i="1"/>
  <c r="J13" i="1"/>
  <c r="J14" i="1"/>
  <c r="J15" i="1"/>
  <c r="J16" i="1"/>
  <c r="J10" i="1"/>
  <c r="J11" i="1"/>
  <c r="J17" i="1"/>
  <c r="J18" i="1"/>
  <c r="J54" i="1"/>
  <c r="J55" i="1"/>
  <c r="J45" i="1"/>
  <c r="J47" i="1"/>
  <c r="J52" i="1"/>
  <c r="J53" i="1"/>
  <c r="J46" i="1"/>
  <c r="J48" i="1"/>
  <c r="J49" i="1"/>
  <c r="J50" i="1"/>
  <c r="J51" i="1"/>
  <c r="J68" i="1"/>
  <c r="J69" i="1"/>
  <c r="J67" i="1"/>
  <c r="J4" i="1"/>
  <c r="J5" i="1"/>
  <c r="J8" i="1"/>
  <c r="J2" i="1"/>
  <c r="J3" i="1"/>
  <c r="J110" i="1"/>
  <c r="J111" i="1"/>
  <c r="J112" i="1"/>
  <c r="J113" i="1"/>
  <c r="J114" i="1"/>
  <c r="J84" i="1"/>
  <c r="J92" i="1"/>
  <c r="J85" i="1"/>
  <c r="J93" i="1"/>
  <c r="J86" i="1"/>
  <c r="J94" i="1"/>
  <c r="J87" i="1"/>
  <c r="J95" i="1"/>
  <c r="J88" i="1"/>
  <c r="J89" i="1"/>
  <c r="J90" i="1"/>
  <c r="J91" i="1"/>
  <c r="J44" i="1"/>
  <c r="J43" i="1"/>
  <c r="J124" i="1"/>
  <c r="J122" i="1"/>
  <c r="J123" i="1"/>
  <c r="J66" i="1"/>
  <c r="J61" i="1"/>
  <c r="J62" i="1"/>
  <c r="J63" i="1"/>
  <c r="J75" i="1"/>
  <c r="J76" i="1"/>
  <c r="J77" i="1"/>
  <c r="J78" i="1"/>
  <c r="J79" i="1"/>
  <c r="J80" i="1"/>
  <c r="J81" i="1"/>
  <c r="J82" i="1"/>
  <c r="J83" i="1"/>
  <c r="J36" i="1"/>
  <c r="J37" i="1"/>
  <c r="J38" i="1"/>
  <c r="J39" i="1"/>
  <c r="J40" i="1"/>
  <c r="J41" i="1"/>
  <c r="J42" i="1"/>
  <c r="J35" i="1"/>
  <c r="J180" i="1"/>
  <c r="J181" i="1"/>
  <c r="J176" i="1"/>
  <c r="J177" i="1"/>
  <c r="J178" i="1"/>
  <c r="J179" i="1"/>
  <c r="J182" i="1"/>
  <c r="J228" i="1"/>
  <c r="J226" i="1"/>
  <c r="J217" i="1"/>
  <c r="J196" i="1"/>
  <c r="J197" i="1"/>
  <c r="J199" i="1"/>
  <c r="J198" i="1"/>
  <c r="J96" i="1"/>
  <c r="J97" i="1"/>
  <c r="J98" i="1"/>
  <c r="J99" i="1"/>
  <c r="J204" i="1"/>
  <c r="J205" i="1"/>
  <c r="J200" i="1"/>
  <c r="J201" i="1"/>
  <c r="J202" i="1"/>
  <c r="J203" i="1"/>
  <c r="J227" i="1"/>
  <c r="J188" i="1"/>
  <c r="J189" i="1"/>
  <c r="J183" i="1"/>
  <c r="J184" i="1"/>
  <c r="J185" i="1"/>
  <c r="J186" i="1"/>
  <c r="J187" i="1"/>
  <c r="J109" i="1"/>
  <c r="J108" i="1"/>
  <c r="J102" i="1"/>
  <c r="J103" i="1"/>
  <c r="J104" i="1"/>
  <c r="J105" i="1"/>
  <c r="J106" i="1"/>
  <c r="J107" i="1"/>
  <c r="J20" i="1"/>
  <c r="J21" i="1"/>
  <c r="J22" i="1"/>
  <c r="J23" i="1"/>
  <c r="J24" i="1"/>
  <c r="J25" i="1"/>
  <c r="J19" i="1"/>
  <c r="J191" i="1"/>
  <c r="J192" i="1"/>
  <c r="J193" i="1"/>
  <c r="J194" i="1"/>
  <c r="J195" i="1"/>
  <c r="J190" i="1"/>
  <c r="I133" i="1"/>
  <c r="I126" i="1"/>
  <c r="I127" i="1"/>
  <c r="I128" i="1"/>
  <c r="I129" i="1"/>
  <c r="I130" i="1"/>
  <c r="I131" i="1"/>
  <c r="I132" i="1"/>
  <c r="I14" i="1"/>
  <c r="I13" i="1"/>
  <c r="I15" i="1"/>
  <c r="I12" i="1"/>
  <c r="I16" i="1"/>
  <c r="I10" i="1"/>
  <c r="I11" i="1"/>
  <c r="I17" i="1"/>
  <c r="I18" i="1"/>
  <c r="I54" i="1"/>
  <c r="I55" i="1"/>
  <c r="I45" i="1"/>
  <c r="I47" i="1"/>
  <c r="I53" i="1"/>
  <c r="I46" i="1"/>
  <c r="I48" i="1"/>
  <c r="I49" i="1"/>
  <c r="I50" i="1"/>
  <c r="I51" i="1"/>
  <c r="I52" i="1"/>
  <c r="I69" i="1"/>
  <c r="I67" i="1"/>
  <c r="I68" i="1"/>
  <c r="I5" i="1"/>
  <c r="I8" i="1"/>
  <c r="I4" i="1"/>
  <c r="I2" i="1"/>
  <c r="I3" i="1"/>
  <c r="I110" i="1"/>
  <c r="I111" i="1"/>
  <c r="I112" i="1"/>
  <c r="I113" i="1"/>
  <c r="I114" i="1"/>
  <c r="I85" i="1"/>
  <c r="I93" i="1"/>
  <c r="I86" i="1"/>
  <c r="I94" i="1"/>
  <c r="I87" i="1"/>
  <c r="I95" i="1"/>
  <c r="I88" i="1"/>
  <c r="I89" i="1"/>
  <c r="I90" i="1"/>
  <c r="I91" i="1"/>
  <c r="I84" i="1"/>
  <c r="I92" i="1"/>
  <c r="I43" i="1"/>
  <c r="I44" i="1"/>
  <c r="I122" i="1"/>
  <c r="I123" i="1"/>
  <c r="I124" i="1"/>
  <c r="I66" i="1"/>
  <c r="I61" i="1"/>
  <c r="I62" i="1"/>
  <c r="I63" i="1"/>
  <c r="I75" i="1"/>
  <c r="I77" i="1"/>
  <c r="I78" i="1"/>
  <c r="I79" i="1"/>
  <c r="I80" i="1"/>
  <c r="I81" i="1"/>
  <c r="I82" i="1"/>
  <c r="I83" i="1"/>
  <c r="I76" i="1"/>
  <c r="I37" i="1"/>
  <c r="I38" i="1"/>
  <c r="I39" i="1"/>
  <c r="I40" i="1"/>
  <c r="I41" i="1"/>
  <c r="I42" i="1"/>
  <c r="I35" i="1"/>
  <c r="I36" i="1"/>
  <c r="I181" i="1"/>
  <c r="I182" i="1"/>
  <c r="I176" i="1"/>
  <c r="I177" i="1"/>
  <c r="I178" i="1"/>
  <c r="I179" i="1"/>
  <c r="I180" i="1"/>
  <c r="I228" i="1"/>
  <c r="I226" i="1"/>
  <c r="I217" i="1"/>
  <c r="I197" i="1"/>
  <c r="I198" i="1"/>
  <c r="I196" i="1"/>
  <c r="I199" i="1"/>
  <c r="I96" i="1"/>
  <c r="I97" i="1"/>
  <c r="I98" i="1"/>
  <c r="I99" i="1"/>
  <c r="I205" i="1"/>
  <c r="I200" i="1"/>
  <c r="I201" i="1"/>
  <c r="I202" i="1"/>
  <c r="I203" i="1"/>
  <c r="I204" i="1"/>
  <c r="I227" i="1"/>
  <c r="I189" i="1"/>
  <c r="I184" i="1"/>
  <c r="I185" i="1"/>
  <c r="I186" i="1"/>
  <c r="I187" i="1"/>
  <c r="I188" i="1"/>
  <c r="I183" i="1"/>
  <c r="I109" i="1"/>
  <c r="I102" i="1"/>
  <c r="I103" i="1"/>
  <c r="I104" i="1"/>
  <c r="I105" i="1"/>
  <c r="I106" i="1"/>
  <c r="I107" i="1"/>
  <c r="I108" i="1"/>
  <c r="I21" i="1"/>
  <c r="I22" i="1"/>
  <c r="I23" i="1"/>
  <c r="I24" i="1"/>
  <c r="I25" i="1"/>
  <c r="I19" i="1"/>
  <c r="I20" i="1"/>
  <c r="I190" i="1"/>
  <c r="I192" i="1"/>
  <c r="I193" i="1"/>
  <c r="I194" i="1"/>
  <c r="I195" i="1"/>
  <c r="I191" i="1"/>
  <c r="L34" i="1"/>
  <c r="L27" i="1"/>
  <c r="L28" i="1"/>
  <c r="L29" i="1"/>
  <c r="L30" i="1"/>
  <c r="L31" i="1"/>
  <c r="L32" i="1"/>
  <c r="L33" i="1"/>
  <c r="L146" i="1"/>
  <c r="L141" i="1"/>
  <c r="L142" i="1"/>
  <c r="L143" i="1"/>
  <c r="L140" i="1"/>
  <c r="L115" i="1"/>
  <c r="L116" i="1"/>
  <c r="L117" i="1"/>
  <c r="L118" i="1"/>
  <c r="L119" i="1"/>
  <c r="L120" i="1"/>
  <c r="L121" i="1"/>
  <c r="L144" i="1"/>
  <c r="L145" i="1"/>
  <c r="L147" i="1"/>
  <c r="L148" i="1"/>
  <c r="L26" i="1"/>
  <c r="L138" i="1"/>
  <c r="L139" i="1"/>
  <c r="L134" i="1"/>
  <c r="L135" i="1"/>
  <c r="L136" i="1"/>
  <c r="L137" i="1"/>
  <c r="L6" i="1"/>
  <c r="L7" i="1"/>
  <c r="L9" i="1"/>
  <c r="L125" i="1"/>
  <c r="L74" i="1"/>
  <c r="L70" i="1"/>
  <c r="L72" i="1"/>
  <c r="L73" i="1"/>
  <c r="L154" i="1"/>
  <c r="L162" i="1"/>
  <c r="L155" i="1"/>
  <c r="L163" i="1"/>
  <c r="L149" i="1"/>
  <c r="L157" i="1"/>
  <c r="L165" i="1"/>
  <c r="L150" i="1"/>
  <c r="L158" i="1"/>
  <c r="L166" i="1"/>
  <c r="L151" i="1"/>
  <c r="L159" i="1"/>
  <c r="L167" i="1"/>
  <c r="L152" i="1"/>
  <c r="L160" i="1"/>
  <c r="L153" i="1"/>
  <c r="L161" i="1"/>
  <c r="L164" i="1"/>
  <c r="L156" i="1"/>
  <c r="L64" i="1"/>
  <c r="L71" i="1"/>
  <c r="L65" i="1"/>
  <c r="L101" i="1"/>
  <c r="L210" i="1"/>
  <c r="L211" i="1"/>
  <c r="L213" i="1"/>
  <c r="L206" i="1"/>
  <c r="L207" i="1"/>
  <c r="L208" i="1"/>
  <c r="L209" i="1"/>
  <c r="L212" i="1"/>
  <c r="L214" i="1"/>
  <c r="L215" i="1"/>
  <c r="L218" i="1"/>
  <c r="L219" i="1"/>
  <c r="L221" i="1"/>
  <c r="L222" i="1"/>
  <c r="L224" i="1"/>
  <c r="L225" i="1"/>
  <c r="L220" i="1"/>
  <c r="L223" i="1"/>
  <c r="L234" i="1"/>
  <c r="L235" i="1"/>
  <c r="L229" i="1"/>
  <c r="L230" i="1"/>
  <c r="L232" i="1"/>
  <c r="L233" i="1"/>
  <c r="L231" i="1"/>
  <c r="L100" i="1"/>
  <c r="L216" i="1"/>
  <c r="L173" i="1"/>
  <c r="L174" i="1"/>
  <c r="K27" i="1"/>
  <c r="K28" i="1"/>
  <c r="K29" i="1"/>
  <c r="K30" i="1"/>
  <c r="K31" i="1"/>
  <c r="K32" i="1"/>
  <c r="K33" i="1"/>
  <c r="K34" i="1"/>
  <c r="K140" i="1"/>
  <c r="K142" i="1"/>
  <c r="K143" i="1"/>
  <c r="K146" i="1"/>
  <c r="K141" i="1"/>
  <c r="K115" i="1"/>
  <c r="K116" i="1"/>
  <c r="K117" i="1"/>
  <c r="K118" i="1"/>
  <c r="K119" i="1"/>
  <c r="K120" i="1"/>
  <c r="K121" i="1"/>
  <c r="K144" i="1"/>
  <c r="K145" i="1"/>
  <c r="K147" i="1"/>
  <c r="K148" i="1"/>
  <c r="K26" i="1"/>
  <c r="K139" i="1"/>
  <c r="K134" i="1"/>
  <c r="K135" i="1"/>
  <c r="K136" i="1"/>
  <c r="K137" i="1"/>
  <c r="K138" i="1"/>
  <c r="K6" i="1"/>
  <c r="K7" i="1"/>
  <c r="K9" i="1"/>
  <c r="K125" i="1"/>
  <c r="K70" i="1"/>
  <c r="K72" i="1"/>
  <c r="K73" i="1"/>
  <c r="K74" i="1"/>
  <c r="K155" i="1"/>
  <c r="K163" i="1"/>
  <c r="K156" i="1"/>
  <c r="K164" i="1"/>
  <c r="K150" i="1"/>
  <c r="K158" i="1"/>
  <c r="K166" i="1"/>
  <c r="K151" i="1"/>
  <c r="K159" i="1"/>
  <c r="K167" i="1"/>
  <c r="K152" i="1"/>
  <c r="K160" i="1"/>
  <c r="K153" i="1"/>
  <c r="K161" i="1"/>
  <c r="K154" i="1"/>
  <c r="K162" i="1"/>
  <c r="K157" i="1"/>
  <c r="K149" i="1"/>
  <c r="K165" i="1"/>
  <c r="K64" i="1"/>
  <c r="K71" i="1"/>
  <c r="K65" i="1"/>
  <c r="K101" i="1"/>
  <c r="K211" i="1"/>
  <c r="K212" i="1"/>
  <c r="K206" i="1"/>
  <c r="K207" i="1"/>
  <c r="K208" i="1"/>
  <c r="K209" i="1"/>
  <c r="K210" i="1"/>
  <c r="K213" i="1"/>
  <c r="K214" i="1"/>
  <c r="K215" i="1"/>
  <c r="K219" i="1"/>
  <c r="K220" i="1"/>
  <c r="K222" i="1"/>
  <c r="K223" i="1"/>
  <c r="K225" i="1"/>
  <c r="K218" i="1"/>
  <c r="K221" i="1"/>
  <c r="K224" i="1"/>
  <c r="K235" i="1"/>
  <c r="K230" i="1"/>
  <c r="K231" i="1"/>
  <c r="K233" i="1"/>
  <c r="K234" i="1"/>
  <c r="K229" i="1"/>
  <c r="K232" i="1"/>
  <c r="K100" i="1"/>
  <c r="K216" i="1"/>
  <c r="K174" i="1"/>
  <c r="K173" i="1"/>
  <c r="J28" i="1"/>
  <c r="J29" i="1"/>
  <c r="J30" i="1"/>
  <c r="J31" i="1"/>
  <c r="J32" i="1"/>
  <c r="J33" i="1"/>
  <c r="J34" i="1"/>
  <c r="J27" i="1"/>
  <c r="J140" i="1"/>
  <c r="J141" i="1"/>
  <c r="J143" i="1"/>
  <c r="J146" i="1"/>
  <c r="J142" i="1"/>
  <c r="J116" i="1"/>
  <c r="J117" i="1"/>
  <c r="J118" i="1"/>
  <c r="J119" i="1"/>
  <c r="J120" i="1"/>
  <c r="J121" i="1"/>
  <c r="J115" i="1"/>
  <c r="J144" i="1"/>
  <c r="J145" i="1"/>
  <c r="J148" i="1"/>
  <c r="J147" i="1"/>
  <c r="J26" i="1"/>
  <c r="J134" i="1"/>
  <c r="J135" i="1"/>
  <c r="J136" i="1"/>
  <c r="J137" i="1"/>
  <c r="J138" i="1"/>
  <c r="J139" i="1"/>
  <c r="J6" i="1"/>
  <c r="J7" i="1"/>
  <c r="J9" i="1"/>
  <c r="J125" i="1"/>
  <c r="J70" i="1"/>
  <c r="J72" i="1"/>
  <c r="J73" i="1"/>
  <c r="J74" i="1"/>
  <c r="J156" i="1"/>
  <c r="J164" i="1"/>
  <c r="J149" i="1"/>
  <c r="J157" i="1"/>
  <c r="J165" i="1"/>
  <c r="J151" i="1"/>
  <c r="J159" i="1"/>
  <c r="J167" i="1"/>
  <c r="J152" i="1"/>
  <c r="J160" i="1"/>
  <c r="J153" i="1"/>
  <c r="J161" i="1"/>
  <c r="J154" i="1"/>
  <c r="J162" i="1"/>
  <c r="J155" i="1"/>
  <c r="J163" i="1"/>
  <c r="J158" i="1"/>
  <c r="J150" i="1"/>
  <c r="J166" i="1"/>
  <c r="J64" i="1"/>
  <c r="J71" i="1"/>
  <c r="J65" i="1"/>
  <c r="J101" i="1"/>
  <c r="J212" i="1"/>
  <c r="J213" i="1"/>
  <c r="J207" i="1"/>
  <c r="J208" i="1"/>
  <c r="J209" i="1"/>
  <c r="J210" i="1"/>
  <c r="J211" i="1"/>
  <c r="J206" i="1"/>
  <c r="J215" i="1"/>
  <c r="J214" i="1"/>
  <c r="J220" i="1"/>
  <c r="J221" i="1"/>
  <c r="J223" i="1"/>
  <c r="J224" i="1"/>
  <c r="J218" i="1"/>
  <c r="J219" i="1"/>
  <c r="J225" i="1"/>
  <c r="J222" i="1"/>
  <c r="J229" i="1"/>
  <c r="J231" i="1"/>
  <c r="J232" i="1"/>
  <c r="J234" i="1"/>
  <c r="J235" i="1"/>
  <c r="J233" i="1"/>
  <c r="J230" i="1"/>
  <c r="J100" i="1"/>
  <c r="J216" i="1"/>
  <c r="J173" i="1"/>
  <c r="J174" i="1"/>
  <c r="I29" i="1"/>
  <c r="I30" i="1"/>
  <c r="I31" i="1"/>
  <c r="I32" i="1"/>
  <c r="I33" i="1"/>
  <c r="I34" i="1"/>
  <c r="I27" i="1"/>
  <c r="I28" i="1"/>
  <c r="I141" i="1"/>
  <c r="I142" i="1"/>
  <c r="I146" i="1"/>
  <c r="I140" i="1"/>
  <c r="I143" i="1"/>
  <c r="I117" i="1"/>
  <c r="I118" i="1"/>
  <c r="I119" i="1"/>
  <c r="I120" i="1"/>
  <c r="I121" i="1"/>
  <c r="I115" i="1"/>
  <c r="I116" i="1"/>
  <c r="I144" i="1"/>
  <c r="I145" i="1"/>
  <c r="I147" i="1"/>
  <c r="I148" i="1"/>
  <c r="I26" i="1"/>
  <c r="I134" i="1"/>
  <c r="I135" i="1"/>
  <c r="I136" i="1"/>
  <c r="I137" i="1"/>
  <c r="I138" i="1"/>
  <c r="I139" i="1"/>
  <c r="I6" i="1"/>
  <c r="I7" i="1"/>
  <c r="I9" i="1"/>
  <c r="I125" i="1"/>
  <c r="I70" i="1"/>
  <c r="I72" i="1"/>
  <c r="I73" i="1"/>
  <c r="I74" i="1"/>
  <c r="I149" i="1"/>
  <c r="I157" i="1"/>
  <c r="I165" i="1"/>
  <c r="I150" i="1"/>
  <c r="I158" i="1"/>
  <c r="I166" i="1"/>
  <c r="I152" i="1"/>
  <c r="I160" i="1"/>
  <c r="I153" i="1"/>
  <c r="I161" i="1"/>
  <c r="I154" i="1"/>
  <c r="I162" i="1"/>
  <c r="I155" i="1"/>
  <c r="I163" i="1"/>
  <c r="I156" i="1"/>
  <c r="I164" i="1"/>
  <c r="I151" i="1"/>
  <c r="I167" i="1"/>
  <c r="I159" i="1"/>
  <c r="I64" i="1"/>
  <c r="I71" i="1"/>
  <c r="I65" i="1"/>
  <c r="I101" i="1"/>
  <c r="I213" i="1"/>
  <c r="I206" i="1"/>
  <c r="I208" i="1"/>
  <c r="I209" i="1"/>
  <c r="I210" i="1"/>
  <c r="I211" i="1"/>
  <c r="I212" i="1"/>
  <c r="I207" i="1"/>
  <c r="I214" i="1"/>
  <c r="I215" i="1"/>
  <c r="I221" i="1"/>
  <c r="I222" i="1"/>
  <c r="I224" i="1"/>
  <c r="I225" i="1"/>
  <c r="I219" i="1"/>
  <c r="I220" i="1"/>
  <c r="I223" i="1"/>
  <c r="I218" i="1"/>
  <c r="I229" i="1"/>
  <c r="I230" i="1"/>
  <c r="I232" i="1"/>
  <c r="I233" i="1"/>
  <c r="I235" i="1"/>
  <c r="I231" i="1"/>
  <c r="I234" i="1"/>
  <c r="I100" i="1"/>
  <c r="I216" i="1"/>
  <c r="I173" i="1"/>
  <c r="I174" i="1"/>
  <c r="L130" i="1"/>
  <c r="L131" i="1"/>
  <c r="L132" i="1"/>
  <c r="L133" i="1"/>
  <c r="L126" i="1"/>
  <c r="L127" i="1"/>
  <c r="L128" i="1"/>
  <c r="L129" i="1"/>
  <c r="L10" i="1"/>
  <c r="L11" i="1"/>
  <c r="L18" i="1"/>
  <c r="L12" i="1"/>
  <c r="L13" i="1"/>
  <c r="L14" i="1"/>
  <c r="L15" i="1"/>
  <c r="L16" i="1"/>
  <c r="L17" i="1"/>
  <c r="L54" i="1"/>
  <c r="L55" i="1"/>
  <c r="L45" i="1"/>
  <c r="L47" i="1"/>
  <c r="L50" i="1"/>
  <c r="L51" i="1"/>
  <c r="L52" i="1"/>
  <c r="L53" i="1"/>
  <c r="L46" i="1"/>
  <c r="L48" i="1"/>
  <c r="L49" i="1"/>
  <c r="L67" i="1"/>
  <c r="L68" i="1"/>
  <c r="L69" i="1"/>
  <c r="L2" i="1"/>
  <c r="L3" i="1"/>
  <c r="L5" i="1"/>
  <c r="L4" i="1"/>
  <c r="L8" i="1"/>
  <c r="L114" i="1"/>
  <c r="L110" i="1"/>
  <c r="L111" i="1"/>
  <c r="L112" i="1"/>
  <c r="L113" i="1"/>
  <c r="L90" i="1"/>
  <c r="L91" i="1"/>
  <c r="L84" i="1"/>
  <c r="L92" i="1"/>
  <c r="L85" i="1"/>
  <c r="L93" i="1"/>
  <c r="L86" i="1"/>
  <c r="L94" i="1"/>
  <c r="L87" i="1"/>
  <c r="L95" i="1"/>
  <c r="L88" i="1"/>
  <c r="L89" i="1"/>
  <c r="L43" i="1"/>
  <c r="L44" i="1"/>
  <c r="L122" i="1"/>
  <c r="L123" i="1"/>
  <c r="L124" i="1"/>
  <c r="L66" i="1"/>
  <c r="L61" i="1"/>
  <c r="L62" i="1"/>
  <c r="L63" i="1"/>
  <c r="L75" i="1"/>
  <c r="L82" i="1"/>
  <c r="L83" i="1"/>
  <c r="L76" i="1"/>
  <c r="L77" i="1"/>
  <c r="L78" i="1"/>
  <c r="L79" i="1"/>
  <c r="L80" i="1"/>
  <c r="L81" i="1"/>
  <c r="L42" i="1"/>
  <c r="L35" i="1"/>
  <c r="L36" i="1"/>
  <c r="L37" i="1"/>
  <c r="L38" i="1"/>
  <c r="L39" i="1"/>
  <c r="L40" i="1"/>
  <c r="L41" i="1"/>
  <c r="L178" i="1"/>
  <c r="L179" i="1"/>
  <c r="L181" i="1"/>
  <c r="L182" i="1"/>
  <c r="L176" i="1"/>
  <c r="L177" i="1"/>
  <c r="L180" i="1"/>
  <c r="L228" i="1"/>
  <c r="L226" i="1"/>
  <c r="L217" i="1"/>
  <c r="L197" i="1"/>
  <c r="L198" i="1"/>
  <c r="L199" i="1"/>
  <c r="L196" i="1"/>
  <c r="L98" i="1"/>
  <c r="L99" i="1"/>
  <c r="L96" i="1"/>
  <c r="L97" i="1"/>
  <c r="L202" i="1"/>
  <c r="L203" i="1"/>
  <c r="L205" i="1"/>
  <c r="L200" i="1"/>
  <c r="L201" i="1"/>
  <c r="L204" i="1"/>
  <c r="L227" i="1"/>
  <c r="L186" i="1"/>
  <c r="L187" i="1"/>
  <c r="L189" i="1"/>
  <c r="L183" i="1"/>
  <c r="L184" i="1"/>
  <c r="L185" i="1"/>
  <c r="L188" i="1"/>
  <c r="L109" i="1"/>
  <c r="L106" i="1"/>
  <c r="L107" i="1"/>
  <c r="L108" i="1"/>
  <c r="L102" i="1"/>
  <c r="L103" i="1"/>
  <c r="L104" i="1"/>
  <c r="L105" i="1"/>
  <c r="L19" i="1"/>
  <c r="L20" i="1"/>
  <c r="L21" i="1"/>
  <c r="L22" i="1"/>
  <c r="L23" i="1"/>
  <c r="L24" i="1"/>
  <c r="L25" i="1"/>
  <c r="L194" i="1"/>
  <c r="L195" i="1"/>
  <c r="L190" i="1"/>
  <c r="L191" i="1"/>
  <c r="L192" i="1"/>
  <c r="L193" i="1"/>
  <c r="K131" i="1"/>
  <c r="K132" i="1"/>
  <c r="K133" i="1"/>
  <c r="K126" i="1"/>
  <c r="K127" i="1"/>
  <c r="K128" i="1"/>
  <c r="K129" i="1"/>
  <c r="K130" i="1"/>
  <c r="K11" i="1"/>
  <c r="K12" i="1"/>
  <c r="K13" i="1"/>
  <c r="K14" i="1"/>
  <c r="K15" i="1"/>
  <c r="K16" i="1"/>
  <c r="K10" i="1"/>
  <c r="K17" i="1"/>
  <c r="K18" i="1"/>
  <c r="K54" i="1"/>
  <c r="K55" i="1"/>
  <c r="K45" i="1"/>
  <c r="K47" i="1"/>
  <c r="K51" i="1"/>
  <c r="K52" i="1"/>
  <c r="K53" i="1"/>
  <c r="K46" i="1"/>
  <c r="K48" i="1"/>
  <c r="K49" i="1"/>
  <c r="K50" i="1"/>
  <c r="K67" i="1"/>
  <c r="K68" i="1"/>
  <c r="K69" i="1"/>
  <c r="K3" i="1"/>
  <c r="K4" i="1"/>
  <c r="K5" i="1"/>
  <c r="K8" i="1"/>
  <c r="K2" i="1"/>
  <c r="K110" i="1"/>
  <c r="K111" i="1"/>
  <c r="K112" i="1"/>
  <c r="K113" i="1"/>
  <c r="K114" i="1"/>
  <c r="K91" i="1"/>
  <c r="K84" i="1"/>
  <c r="K92" i="1"/>
  <c r="K85" i="1"/>
  <c r="K93" i="1"/>
  <c r="K86" i="1"/>
  <c r="K94" i="1"/>
  <c r="K87" i="1"/>
  <c r="K95" i="1"/>
  <c r="K88" i="1"/>
  <c r="K89" i="1"/>
  <c r="K90" i="1"/>
  <c r="K43" i="1"/>
  <c r="K44" i="1"/>
  <c r="K123" i="1"/>
  <c r="K124" i="1"/>
  <c r="K122" i="1"/>
  <c r="K66" i="1"/>
  <c r="K61" i="1"/>
  <c r="K62" i="1"/>
  <c r="K63" i="1"/>
  <c r="K75" i="1"/>
  <c r="K83" i="1"/>
  <c r="K76" i="1"/>
  <c r="K77" i="1"/>
  <c r="K78" i="1"/>
  <c r="K79" i="1"/>
  <c r="K80" i="1"/>
  <c r="K81" i="1"/>
  <c r="K82" i="1"/>
  <c r="K35" i="1"/>
  <c r="K36" i="1"/>
  <c r="K37" i="1"/>
  <c r="K38" i="1"/>
  <c r="K39" i="1"/>
  <c r="K40" i="1"/>
  <c r="K41" i="1"/>
  <c r="K42" i="1"/>
  <c r="K179" i="1"/>
  <c r="K180" i="1"/>
  <c r="K182" i="1"/>
  <c r="K176" i="1"/>
  <c r="K177" i="1"/>
  <c r="K178" i="1"/>
  <c r="K181" i="1"/>
  <c r="K228" i="1"/>
  <c r="K226" i="1"/>
  <c r="K217" i="1"/>
  <c r="K196" i="1"/>
  <c r="K198" i="1"/>
  <c r="K199" i="1"/>
  <c r="K197" i="1"/>
  <c r="K99" i="1"/>
  <c r="K96" i="1"/>
  <c r="K97" i="1"/>
  <c r="K98" i="1"/>
  <c r="K203" i="1"/>
  <c r="K204" i="1"/>
  <c r="K200" i="1"/>
  <c r="K201" i="1"/>
  <c r="K202" i="1"/>
  <c r="K205" i="1"/>
  <c r="K227" i="1"/>
  <c r="K187" i="1"/>
  <c r="K188" i="1"/>
  <c r="K183" i="1"/>
  <c r="K184" i="1"/>
  <c r="K185" i="1"/>
  <c r="K186" i="1"/>
  <c r="K189" i="1"/>
  <c r="K109" i="1"/>
  <c r="K107" i="1"/>
  <c r="K108" i="1"/>
  <c r="K102" i="1"/>
  <c r="K103" i="1"/>
  <c r="K104" i="1"/>
  <c r="K105" i="1"/>
  <c r="K106" i="1"/>
  <c r="K19" i="1"/>
  <c r="K20" i="1"/>
  <c r="K21" i="1"/>
  <c r="K22" i="1"/>
  <c r="K23" i="1"/>
  <c r="K24" i="1"/>
  <c r="K25" i="1"/>
  <c r="K195" i="1"/>
  <c r="K190" i="1"/>
  <c r="K191" i="1"/>
  <c r="K192" i="1"/>
  <c r="K193" i="1"/>
  <c r="K194" i="1"/>
</calcChain>
</file>

<file path=xl/sharedStrings.xml><?xml version="1.0" encoding="utf-8"?>
<sst xmlns="http://schemas.openxmlformats.org/spreadsheetml/2006/main" count="17487" uniqueCount="864">
  <si>
    <t>Branche</t>
  </si>
  <si>
    <t>Code site</t>
  </si>
  <si>
    <t>Monoprix</t>
  </si>
  <si>
    <t>MO0108</t>
  </si>
  <si>
    <t>MO0039</t>
  </si>
  <si>
    <t>MO0210</t>
  </si>
  <si>
    <t>MO0054</t>
  </si>
  <si>
    <t>MO0303</t>
  </si>
  <si>
    <t>MO0122</t>
  </si>
  <si>
    <t>MO0197</t>
  </si>
  <si>
    <t>MO0142</t>
  </si>
  <si>
    <t>MO2327</t>
  </si>
  <si>
    <t>MO0162</t>
  </si>
  <si>
    <t>MO2323</t>
  </si>
  <si>
    <t>MO0296</t>
  </si>
  <si>
    <t>MO0253</t>
  </si>
  <si>
    <t>MO0055</t>
  </si>
  <si>
    <t>MO0037</t>
  </si>
  <si>
    <t>MO0456</t>
  </si>
  <si>
    <t>MO1247</t>
  </si>
  <si>
    <t>MO1318</t>
  </si>
  <si>
    <t>MO2326</t>
  </si>
  <si>
    <t>MO2810</t>
  </si>
  <si>
    <t>MO2324</t>
  </si>
  <si>
    <t>MO0344</t>
  </si>
  <si>
    <t>MO0522</t>
  </si>
  <si>
    <t>MO2321</t>
  </si>
  <si>
    <t>MO1321</t>
  </si>
  <si>
    <t>MO2709</t>
  </si>
  <si>
    <t>MO0191</t>
  </si>
  <si>
    <t>MO0258</t>
  </si>
  <si>
    <t>MO2318</t>
  </si>
  <si>
    <t>MO0157</t>
  </si>
  <si>
    <t>MO0034</t>
  </si>
  <si>
    <t>MO2759</t>
  </si>
  <si>
    <t>MO0080</t>
  </si>
  <si>
    <t>MO0158</t>
  </si>
  <si>
    <t>MO0035</t>
  </si>
  <si>
    <t>MO0156</t>
  </si>
  <si>
    <t>Monop</t>
  </si>
  <si>
    <t>MP2043</t>
  </si>
  <si>
    <t>Talons de référence - ELECTRICITE</t>
  </si>
  <si>
    <t>Talons de référence - GAZ</t>
  </si>
  <si>
    <t>Chargé d'exploitation</t>
  </si>
  <si>
    <t>Site</t>
  </si>
  <si>
    <t>Saison de chauffe</t>
  </si>
  <si>
    <t>Mi-saison</t>
  </si>
  <si>
    <t>Saison de climatisation</t>
  </si>
  <si>
    <t>Contact site</t>
  </si>
  <si>
    <t>ABBEVILLE</t>
  </si>
  <si>
    <t>MO0386</t>
  </si>
  <si>
    <t>SES8</t>
  </si>
  <si>
    <t>AIX SEXTIUS</t>
  </si>
  <si>
    <t>ALES</t>
  </si>
  <si>
    <t>MO2701</t>
  </si>
  <si>
    <t>ALESIA ALI</t>
  </si>
  <si>
    <t>MO0320</t>
  </si>
  <si>
    <t>ANGERS LES HALLES</t>
  </si>
  <si>
    <t>ANNECY COURRIER</t>
  </si>
  <si>
    <t>MO0332</t>
  </si>
  <si>
    <t>ANNECY MG</t>
  </si>
  <si>
    <t>MO2814</t>
  </si>
  <si>
    <t>ARCUEIL</t>
  </si>
  <si>
    <t>MO0030</t>
  </si>
  <si>
    <t>ARRAS</t>
  </si>
  <si>
    <t>MO0427</t>
  </si>
  <si>
    <t>ASNIERES BOURGUIGNON</t>
  </si>
  <si>
    <t>MO1238</t>
  </si>
  <si>
    <t>ASNIERES MARCHE</t>
  </si>
  <si>
    <t>AURAY</t>
  </si>
  <si>
    <t>MO0026</t>
  </si>
  <si>
    <t>AUXERRE</t>
  </si>
  <si>
    <t>BAGNERES DE BIGORRE</t>
  </si>
  <si>
    <t>MO0345</t>
  </si>
  <si>
    <t>BELFORT</t>
  </si>
  <si>
    <t>MO0327</t>
  </si>
  <si>
    <t>BIEVRE</t>
  </si>
  <si>
    <t>MO0150</t>
  </si>
  <si>
    <t>BONDY</t>
  </si>
  <si>
    <t>MO0181</t>
  </si>
  <si>
    <t>BORDEAUX ST CHRISTOLY</t>
  </si>
  <si>
    <t>BOULOGNE SEMBAT</t>
  </si>
  <si>
    <t>BOULOGNE LES PASSAGES</t>
  </si>
  <si>
    <t>BOURG LA REINE</t>
  </si>
  <si>
    <t>BREST</t>
  </si>
  <si>
    <t>MO0141</t>
  </si>
  <si>
    <t>BROTTEAUX</t>
  </si>
  <si>
    <t>MO0405</t>
  </si>
  <si>
    <t>BRUNOY</t>
  </si>
  <si>
    <t>MO0420</t>
  </si>
  <si>
    <t>CAEN</t>
  </si>
  <si>
    <t>CARCASSONNE</t>
  </si>
  <si>
    <t>MO0173</t>
  </si>
  <si>
    <t>CASTRES</t>
  </si>
  <si>
    <t>MO0506</t>
  </si>
  <si>
    <t>CAUMARTIN</t>
  </si>
  <si>
    <t>MO1119</t>
  </si>
  <si>
    <t>CHALON SUR SAONE</t>
  </si>
  <si>
    <t>MO2802</t>
  </si>
  <si>
    <t>CHAMBERY LES HALLES</t>
  </si>
  <si>
    <t>CHAMPIGNY</t>
  </si>
  <si>
    <t>MO1338</t>
  </si>
  <si>
    <t>CHAVILLE</t>
  </si>
  <si>
    <t>CLERMONT FERRAND</t>
  </si>
  <si>
    <t>MO2401</t>
  </si>
  <si>
    <t>CNIT LA DEFENSE</t>
  </si>
  <si>
    <t>COLMAR</t>
  </si>
  <si>
    <t>MO0095</t>
  </si>
  <si>
    <t>COLOMBES</t>
  </si>
  <si>
    <t>COMMERCE</t>
  </si>
  <si>
    <t>MO0304</t>
  </si>
  <si>
    <t>COURCELLES</t>
  </si>
  <si>
    <t>MO1265</t>
  </si>
  <si>
    <t>CREPY</t>
  </si>
  <si>
    <t>MO0100</t>
  </si>
  <si>
    <t>CROIX ROUSSE</t>
  </si>
  <si>
    <t>MO0106</t>
  </si>
  <si>
    <t>DAUMESNIL</t>
  </si>
  <si>
    <t>DIJON</t>
  </si>
  <si>
    <t>MO2804</t>
  </si>
  <si>
    <t>DRANCY</t>
  </si>
  <si>
    <t>MO1106</t>
  </si>
  <si>
    <t>DUNKERQUE</t>
  </si>
  <si>
    <t>MO0416</t>
  </si>
  <si>
    <t>EPINAL</t>
  </si>
  <si>
    <t>MO2914</t>
  </si>
  <si>
    <t>FONTAINEBLEAU</t>
  </si>
  <si>
    <t>MO2147</t>
  </si>
  <si>
    <t>FONTENAY LE COMTE</t>
  </si>
  <si>
    <t>MO2261</t>
  </si>
  <si>
    <t>FONTENAY SOUS BOIS</t>
  </si>
  <si>
    <t>MO1134</t>
  </si>
  <si>
    <t>MO0131</t>
  </si>
  <si>
    <t>GRASSE</t>
  </si>
  <si>
    <t>GRENOBLE CASERNE</t>
  </si>
  <si>
    <t>MO2317</t>
  </si>
  <si>
    <t>GRENOBLE VALLIER</t>
  </si>
  <si>
    <t>MO2834</t>
  </si>
  <si>
    <t>GUERET</t>
  </si>
  <si>
    <t>MO0199</t>
  </si>
  <si>
    <t>HERBLAY</t>
  </si>
  <si>
    <t>MO1254</t>
  </si>
  <si>
    <t>ISSOIRE</t>
  </si>
  <si>
    <t>MO2415</t>
  </si>
  <si>
    <t>ISSY GAMBETTA</t>
  </si>
  <si>
    <t>ISSY LES MOULINEAUX</t>
  </si>
  <si>
    <t>ITALIE</t>
  </si>
  <si>
    <t>MO1319</t>
  </si>
  <si>
    <t>-</t>
  </si>
  <si>
    <t>LANNEMEZAN</t>
  </si>
  <si>
    <t>MO0348</t>
  </si>
  <si>
    <t>LE HAVRE</t>
  </si>
  <si>
    <t>MO0147</t>
  </si>
  <si>
    <t>LE VESINET</t>
  </si>
  <si>
    <t>LE COURBE</t>
  </si>
  <si>
    <t>LES HUISSIERS</t>
  </si>
  <si>
    <t>MO0559</t>
  </si>
  <si>
    <t>LES TOITS DE BOULOGNE</t>
  </si>
  <si>
    <t>MO1304</t>
  </si>
  <si>
    <t>LILLE LES TANNEURS</t>
  </si>
  <si>
    <t>MO0060</t>
  </si>
  <si>
    <t>LISIEUX ALI</t>
  </si>
  <si>
    <t>LORIENT</t>
  </si>
  <si>
    <t>MO2316</t>
  </si>
  <si>
    <t>LUNEVILLE</t>
  </si>
  <si>
    <t>MO2917</t>
  </si>
  <si>
    <t>LYON GBL</t>
  </si>
  <si>
    <t>MO2878</t>
  </si>
  <si>
    <t>LYON LA PART DIEU</t>
  </si>
  <si>
    <t>LYON VALMY</t>
  </si>
  <si>
    <t>MANTES LA JOLIE</t>
  </si>
  <si>
    <t>MARSEILLE BLANCARDE</t>
  </si>
  <si>
    <t>MO2719</t>
  </si>
  <si>
    <t>MARSEILLE CANNEBIERE</t>
  </si>
  <si>
    <t>MONTLUCON</t>
  </si>
  <si>
    <t>MO0152</t>
  </si>
  <si>
    <t>MONTPARNASSE</t>
  </si>
  <si>
    <t>MO0044</t>
  </si>
  <si>
    <t>MONTPELLIER COMEDIE</t>
  </si>
  <si>
    <t>MO0107</t>
  </si>
  <si>
    <t>MONTREUIL</t>
  </si>
  <si>
    <t>MOULINS LES HALLES</t>
  </si>
  <si>
    <t>MOZART</t>
  </si>
  <si>
    <t>MULHOUSE</t>
  </si>
  <si>
    <t>MO0081</t>
  </si>
  <si>
    <t>NANCY ST SEBASTIEN</t>
  </si>
  <si>
    <t>MO0041</t>
  </si>
  <si>
    <t>NANTES DECRE</t>
  </si>
  <si>
    <t>MO2335</t>
  </si>
  <si>
    <t>NARBONNE</t>
  </si>
  <si>
    <t>MO0512</t>
  </si>
  <si>
    <t>NEVERS</t>
  </si>
  <si>
    <t>MO2408</t>
  </si>
  <si>
    <t>NICE CIMIEZ</t>
  </si>
  <si>
    <t>MO2735</t>
  </si>
  <si>
    <t>NICE GORBELLA</t>
  </si>
  <si>
    <t>MO2733</t>
  </si>
  <si>
    <t>NICE VICTOIRE</t>
  </si>
  <si>
    <t>NOYON</t>
  </si>
  <si>
    <t>MO3027</t>
  </si>
  <si>
    <t>OPERA</t>
  </si>
  <si>
    <t>MO0189</t>
  </si>
  <si>
    <t>OULLINS</t>
  </si>
  <si>
    <t>MO0426</t>
  </si>
  <si>
    <t>PELLEPORT</t>
  </si>
  <si>
    <t>MO1163</t>
  </si>
  <si>
    <t>PERIGUEUX</t>
  </si>
  <si>
    <t>PERPIGNAN</t>
  </si>
  <si>
    <t>MO0164</t>
  </si>
  <si>
    <t>PLACE DES FETES</t>
  </si>
  <si>
    <t>MO0555</t>
  </si>
  <si>
    <t>POITIERS</t>
  </si>
  <si>
    <t>MO0514</t>
  </si>
  <si>
    <t>PORTE DE CHATILLON</t>
  </si>
  <si>
    <t>MO0193</t>
  </si>
  <si>
    <t>PROVINS</t>
  </si>
  <si>
    <t>MO0314</t>
  </si>
  <si>
    <t>REIMS</t>
  </si>
  <si>
    <t>MO0056</t>
  </si>
  <si>
    <t>RENNES COLOMBIA</t>
  </si>
  <si>
    <t>REPUBLIQUE</t>
  </si>
  <si>
    <t>MO0074</t>
  </si>
  <si>
    <t>ROCHEFORT</t>
  </si>
  <si>
    <t>MO2502</t>
  </si>
  <si>
    <t>ROQUETTE</t>
  </si>
  <si>
    <t>MO1149</t>
  </si>
  <si>
    <t>ROUEN</t>
  </si>
  <si>
    <t>MO0070</t>
  </si>
  <si>
    <t>RUEIL MALMAISON</t>
  </si>
  <si>
    <t>SABLONS</t>
  </si>
  <si>
    <t>SAINT BRIEUC</t>
  </si>
  <si>
    <t>MO2315</t>
  </si>
  <si>
    <t>SAINT MARCEL</t>
  </si>
  <si>
    <t>MO1170</t>
  </si>
  <si>
    <t>SAINT MAUR</t>
  </si>
  <si>
    <t>MO1357</t>
  </si>
  <si>
    <t>SAINT QUENTIN</t>
  </si>
  <si>
    <t>MO0051</t>
  </si>
  <si>
    <t>SETE</t>
  </si>
  <si>
    <t>SOISSONS</t>
  </si>
  <si>
    <t>MO0099</t>
  </si>
  <si>
    <t>ST GERMAIN</t>
  </si>
  <si>
    <t>SAINT MICHEL</t>
  </si>
  <si>
    <t>SAINT RAPHAEL</t>
  </si>
  <si>
    <t>STRASBOURG NEUDROF</t>
  </si>
  <si>
    <t>MO2911</t>
  </si>
  <si>
    <t>SUCY EN BRIE</t>
  </si>
  <si>
    <t>MO1337</t>
  </si>
  <si>
    <t>TARBES</t>
  </si>
  <si>
    <t>MO2622</t>
  </si>
  <si>
    <t>TERNES</t>
  </si>
  <si>
    <t>MO1209</t>
  </si>
  <si>
    <t>TOLBIAC</t>
  </si>
  <si>
    <t>MO0049</t>
  </si>
  <si>
    <t>TOURS NATIONALE</t>
  </si>
  <si>
    <t>TROUVILLE</t>
  </si>
  <si>
    <t>MO0382</t>
  </si>
  <si>
    <t>UNI POTEAU</t>
  </si>
  <si>
    <t>MO1162</t>
  </si>
  <si>
    <t>VANNES</t>
  </si>
  <si>
    <t>MO0168</t>
  </si>
  <si>
    <t>VAUGIRARD</t>
  </si>
  <si>
    <t>MO1329</t>
  </si>
  <si>
    <t>VERNON</t>
  </si>
  <si>
    <t>MO0243</t>
  </si>
  <si>
    <t>VERSAILLES</t>
  </si>
  <si>
    <t>VESOUL</t>
  </si>
  <si>
    <t>MO2923</t>
  </si>
  <si>
    <t>VICHY</t>
  </si>
  <si>
    <t>MO2404</t>
  </si>
  <si>
    <t>VIENNE PYRAMIDE</t>
  </si>
  <si>
    <t>MO0284</t>
  </si>
  <si>
    <t>VILLEJUIF</t>
  </si>
  <si>
    <t>MO0111</t>
  </si>
  <si>
    <t>VILLEURBANNE</t>
  </si>
  <si>
    <t>MO0105</t>
  </si>
  <si>
    <t>VINCENNES</t>
  </si>
  <si>
    <t>MO1153</t>
  </si>
  <si>
    <t>VINCI COURBEVOIE</t>
  </si>
  <si>
    <t>MO0216</t>
  </si>
  <si>
    <t>VICTOR HUGO</t>
  </si>
  <si>
    <t>Mois de l'alerte</t>
  </si>
  <si>
    <t>Energie</t>
  </si>
  <si>
    <t>A définir</t>
  </si>
  <si>
    <t>Impact Client</t>
  </si>
  <si>
    <t>Impact GY</t>
  </si>
  <si>
    <t>Type de surconso</t>
  </si>
  <si>
    <t>Semaine de l'alerte</t>
  </si>
  <si>
    <t>Période Talon</t>
  </si>
  <si>
    <t>Talon ref</t>
  </si>
  <si>
    <t>Début surconsommation</t>
  </si>
  <si>
    <t>Fin surconsommation</t>
  </si>
  <si>
    <t>Talon déréglé (kW)</t>
  </si>
  <si>
    <t>DP Surconso</t>
  </si>
  <si>
    <t>Nb d'heures</t>
  </si>
  <si>
    <t>Nb nuits/jours concernés</t>
  </si>
  <si>
    <t>Impact conso (kWh)</t>
  </si>
  <si>
    <t>Type d'impact</t>
  </si>
  <si>
    <t>% Surconso</t>
  </si>
  <si>
    <t>Période d'alerte</t>
  </si>
  <si>
    <t>Catégorie</t>
  </si>
  <si>
    <t>Justification</t>
  </si>
  <si>
    <t>Commentaires</t>
  </si>
  <si>
    <t>Electricité</t>
  </si>
  <si>
    <t>Nuit</t>
  </si>
  <si>
    <t>CVC</t>
  </si>
  <si>
    <t> </t>
  </si>
  <si>
    <t>Changement de comportement</t>
  </si>
  <si>
    <t>Ouverture dimanche</t>
  </si>
  <si>
    <t>Froid</t>
  </si>
  <si>
    <t>Effet température centrales froid</t>
  </si>
  <si>
    <t>Eclairage</t>
  </si>
  <si>
    <t>Multi-usage</t>
  </si>
  <si>
    <t>Ouverture prolongée</t>
  </si>
  <si>
    <t>Exploitation</t>
  </si>
  <si>
    <t>Inventaire</t>
  </si>
  <si>
    <t>Problème électrique</t>
  </si>
  <si>
    <t>Implantation</t>
  </si>
  <si>
    <t>Maintenance équipements</t>
  </si>
  <si>
    <t>Type</t>
  </si>
  <si>
    <t>Travaux GY</t>
  </si>
  <si>
    <t>Modification programmation GTC</t>
  </si>
  <si>
    <t>Process</t>
  </si>
  <si>
    <t>Projet 247 -24h/24</t>
  </si>
  <si>
    <t>Travaux optimal lighting GY</t>
  </si>
  <si>
    <t>MO2501</t>
  </si>
  <si>
    <t>MO0478</t>
  </si>
  <si>
    <t>MP2034</t>
  </si>
  <si>
    <t>MO0515</t>
  </si>
  <si>
    <t>MP2042</t>
  </si>
  <si>
    <t>MO0071</t>
  </si>
  <si>
    <t>MO0411</t>
  </si>
  <si>
    <t>MP2049</t>
  </si>
  <si>
    <t>MO0102</t>
  </si>
  <si>
    <t>MO0421</t>
  </si>
  <si>
    <t>MO0336</t>
  </si>
  <si>
    <t>MO2721</t>
  </si>
  <si>
    <t>MO0033</t>
  </si>
  <si>
    <t>MO2301</t>
  </si>
  <si>
    <t>MO2367</t>
  </si>
  <si>
    <t>MP2064</t>
  </si>
  <si>
    <t>MO2809</t>
  </si>
  <si>
    <t>MP2051</t>
  </si>
  <si>
    <t>MO0299</t>
  </si>
  <si>
    <t>MP2026</t>
  </si>
  <si>
    <t>MO2334</t>
  </si>
  <si>
    <t>MO0036</t>
  </si>
  <si>
    <t>MO0308</t>
  </si>
  <si>
    <t>MO0161</t>
  </si>
  <si>
    <t>MO1126</t>
  </si>
  <si>
    <t>MO1216</t>
  </si>
  <si>
    <t>MO1236</t>
  </si>
  <si>
    <t>MO0160</t>
  </si>
  <si>
    <t>MO0022</t>
  </si>
  <si>
    <t>MO1244</t>
  </si>
  <si>
    <t>MO2105</t>
  </si>
  <si>
    <t>MO2320</t>
  </si>
  <si>
    <t>MO0109</t>
  </si>
  <si>
    <t>MO1343</t>
  </si>
  <si>
    <t>MO0027</t>
  </si>
  <si>
    <t>MO0154</t>
  </si>
  <si>
    <t>MO1241</t>
  </si>
  <si>
    <t>MO1229</t>
  </si>
  <si>
    <t>MO0085</t>
  </si>
  <si>
    <t>MP2065</t>
  </si>
  <si>
    <t>MO1203</t>
  </si>
  <si>
    <t>MO1001</t>
  </si>
  <si>
    <t>MO1246</t>
  </si>
  <si>
    <t>MO1133</t>
  </si>
  <si>
    <t>MO0409</t>
  </si>
  <si>
    <t>MO0249</t>
  </si>
  <si>
    <t>MO2801</t>
  </si>
  <si>
    <t>LA ROCHELLE</t>
  </si>
  <si>
    <t>OYONNAX</t>
  </si>
  <si>
    <t>SOLDAT LABOUREUR</t>
  </si>
  <si>
    <t>MO1139</t>
  </si>
  <si>
    <t>MO0078</t>
  </si>
  <si>
    <t>MO2360</t>
  </si>
  <si>
    <t>Reims</t>
  </si>
  <si>
    <t>Austerlitz</t>
  </si>
  <si>
    <t>Passy MG</t>
  </si>
  <si>
    <t>Marseille Prado</t>
  </si>
  <si>
    <t>Alésia 2</t>
  </si>
  <si>
    <t>Chalons en champagne</t>
  </si>
  <si>
    <t>Secrétan</t>
  </si>
  <si>
    <t>MO0394</t>
  </si>
  <si>
    <t>Aubagne</t>
  </si>
  <si>
    <t>MO2778</t>
  </si>
  <si>
    <t>MP2056</t>
  </si>
  <si>
    <t>MP3456</t>
  </si>
  <si>
    <t>MO2712</t>
  </si>
  <si>
    <t>MO0325</t>
  </si>
  <si>
    <t>MO0143</t>
  </si>
  <si>
    <t>MO2704</t>
  </si>
  <si>
    <t>MO2346</t>
  </si>
  <si>
    <t>MO1204</t>
  </si>
  <si>
    <t xml:space="preserve">Marseille rond point </t>
  </si>
  <si>
    <t>MO0459</t>
  </si>
  <si>
    <t>MP2028</t>
  </si>
  <si>
    <t>MO0225</t>
  </si>
  <si>
    <t>Beaubourg</t>
  </si>
  <si>
    <t>MP2023</t>
  </si>
  <si>
    <t>Rue de Lyon</t>
  </si>
  <si>
    <t>Garches</t>
  </si>
  <si>
    <t>MO1219</t>
  </si>
  <si>
    <t>Marseille Joliiette</t>
  </si>
  <si>
    <t>Suresnes    </t>
  </si>
  <si>
    <t>Nimes</t>
  </si>
  <si>
    <t>Cannes</t>
  </si>
  <si>
    <t>Belvédère</t>
  </si>
  <si>
    <t>MO2332</t>
  </si>
  <si>
    <t>Romainville</t>
  </si>
  <si>
    <t>MO2330</t>
  </si>
  <si>
    <t>MP2074</t>
  </si>
  <si>
    <t>Ouverture avancée</t>
  </si>
  <si>
    <t>GRENOBLE LAFAYETTE</t>
  </si>
  <si>
    <t>LA CELLE SAINT CLOUD</t>
  </si>
  <si>
    <t>AUBERVILLIERS</t>
  </si>
  <si>
    <t>Chelles</t>
  </si>
  <si>
    <t>CHÂTEAU ST GERMAIN</t>
  </si>
  <si>
    <t>GAP</t>
  </si>
  <si>
    <t>RODEZ</t>
  </si>
  <si>
    <t>TOURS 2 LIONS</t>
  </si>
  <si>
    <t>LE MANS</t>
  </si>
  <si>
    <t>CHATOU</t>
  </si>
  <si>
    <t>NEUILLY</t>
  </si>
  <si>
    <t>RUE DE LAPPE</t>
  </si>
  <si>
    <t>CHÂTELLERAULT</t>
  </si>
  <si>
    <t>ROMORANTIN</t>
  </si>
  <si>
    <t>BOURSE</t>
  </si>
  <si>
    <t>RUE DE MARSEILLE</t>
  </si>
  <si>
    <t>VENDÔME</t>
  </si>
  <si>
    <t>PLEYEL</t>
  </si>
  <si>
    <t>MARSEILLE NOTRE DAME</t>
  </si>
  <si>
    <t>BOIS COLOMBES</t>
  </si>
  <si>
    <t>LA FOURCHE</t>
  </si>
  <si>
    <t>SAINT CLOUD</t>
  </si>
  <si>
    <t>LE RAINCY</t>
  </si>
  <si>
    <t>MEUDON</t>
  </si>
  <si>
    <t>DRAGON</t>
  </si>
  <si>
    <t>ST AUGUSTIN</t>
  </si>
  <si>
    <t>ST ANTOINE</t>
  </si>
  <si>
    <t xml:space="preserve">LYON GUILLOTIÈRE </t>
  </si>
  <si>
    <t>PUTEAUX</t>
  </si>
  <si>
    <t>TROYES ZOLA</t>
  </si>
  <si>
    <t>LE PRÉ ST GERVAIS</t>
  </si>
  <si>
    <t>CHARENTON</t>
  </si>
  <si>
    <t>SAINT MANDÉ</t>
  </si>
  <si>
    <t>RAMBOUILLET</t>
  </si>
  <si>
    <t>SANNOIS</t>
  </si>
  <si>
    <t>ENGHIEN LES BAINS</t>
  </si>
  <si>
    <t>NANTERRE</t>
  </si>
  <si>
    <t>LA GARENNE</t>
  </si>
  <si>
    <t>Monop NANTERRE</t>
  </si>
  <si>
    <t>ORDENER</t>
  </si>
  <si>
    <t>VINCENNES VIGNERONS</t>
  </si>
  <si>
    <t>SAINT OUEN</t>
  </si>
  <si>
    <t>TOUT VA BIEN</t>
  </si>
  <si>
    <t>CASTELANNE</t>
  </si>
  <si>
    <t>ANNEMASSE GARE</t>
  </si>
  <si>
    <t>Lagny</t>
  </si>
  <si>
    <t xml:space="preserve">La Celle Saint Cloud 2 </t>
  </si>
  <si>
    <t>Rue du Bac</t>
  </si>
  <si>
    <t>Terrasse du Port</t>
  </si>
  <si>
    <t>MO2343</t>
  </si>
  <si>
    <t>Valence</t>
  </si>
  <si>
    <t>Aix les Bains</t>
  </si>
  <si>
    <t>Le Pecq</t>
  </si>
  <si>
    <t>Dames</t>
  </si>
  <si>
    <t>Reuilly</t>
  </si>
  <si>
    <t>Saint Cyr L'Ecole</t>
  </si>
  <si>
    <t>Argenteuil</t>
  </si>
  <si>
    <t>Jasmin</t>
  </si>
  <si>
    <t>Convention</t>
  </si>
  <si>
    <t>Passy Plaza</t>
  </si>
  <si>
    <t>MO0079</t>
  </si>
  <si>
    <t>MO2821</t>
  </si>
  <si>
    <t>MO2357</t>
  </si>
  <si>
    <t>MO0171</t>
  </si>
  <si>
    <t>MO2366</t>
  </si>
  <si>
    <t>MO2358</t>
  </si>
  <si>
    <t>MO0151</t>
  </si>
  <si>
    <t>MO2331</t>
  </si>
  <si>
    <t>MO0324</t>
  </si>
  <si>
    <t>MO0042</t>
  </si>
  <si>
    <t>MO2764</t>
  </si>
  <si>
    <t>Nice Garibaldi</t>
  </si>
  <si>
    <t>MO2390</t>
  </si>
  <si>
    <t>Pau</t>
  </si>
  <si>
    <t>MO0165</t>
  </si>
  <si>
    <t>Toulouse</t>
  </si>
  <si>
    <t>MO2767</t>
  </si>
  <si>
    <t>Saint Tropez</t>
  </si>
  <si>
    <t>MP3419</t>
  </si>
  <si>
    <t>Monop Marseille Paradis</t>
  </si>
  <si>
    <t>MO2385</t>
  </si>
  <si>
    <t>Saint Etienne</t>
  </si>
  <si>
    <t>MO2388</t>
  </si>
  <si>
    <t>Vitry</t>
  </si>
  <si>
    <t>Franchisés</t>
  </si>
  <si>
    <t>MO2355</t>
  </si>
  <si>
    <t>Montpellier JCoeur</t>
  </si>
  <si>
    <t>MO0135</t>
  </si>
  <si>
    <t>Avignon</t>
  </si>
  <si>
    <t>MP2060</t>
  </si>
  <si>
    <t>Marseille Montgrand</t>
  </si>
  <si>
    <t>MP2057</t>
  </si>
  <si>
    <t>Monop Louise Michel</t>
  </si>
  <si>
    <t>MP2079</t>
  </si>
  <si>
    <t>Monop Paris Versailles</t>
  </si>
  <si>
    <t>MP2036</t>
  </si>
  <si>
    <t>Nice Thiers</t>
  </si>
  <si>
    <t>MP3405</t>
  </si>
  <si>
    <t>Versailles Carnot</t>
  </si>
  <si>
    <t>MP3444</t>
  </si>
  <si>
    <t>Monop Nice Borriglione</t>
  </si>
  <si>
    <t>MP3433</t>
  </si>
  <si>
    <t>Monop Nantes Tour de Bretagne</t>
  </si>
  <si>
    <t>MP2076</t>
  </si>
  <si>
    <t>Monop Marseille Mazagran</t>
  </si>
  <si>
    <t>MP2058</t>
  </si>
  <si>
    <t>Toulouse Victor Hugo</t>
  </si>
  <si>
    <t>Matin</t>
  </si>
  <si>
    <t>Fermé</t>
  </si>
  <si>
    <t>fermé</t>
  </si>
  <si>
    <t>Poissy 2</t>
  </si>
  <si>
    <t>MO2359</t>
  </si>
  <si>
    <t>MO0048</t>
  </si>
  <si>
    <t>Commentaires BO</t>
  </si>
  <si>
    <t>Commentaires EM</t>
  </si>
  <si>
    <t>JG</t>
  </si>
  <si>
    <t>0386dir@monoprix.fr</t>
  </si>
  <si>
    <t>0108dir@monoprix.fr</t>
  </si>
  <si>
    <t>AD</t>
  </si>
  <si>
    <t>0320dir@monoprix.fr</t>
  </si>
  <si>
    <t>0039dir@monoprix.fr</t>
  </si>
  <si>
    <t>0332dir@monoprix.fr</t>
  </si>
  <si>
    <t>2814dir@monoprix.fr</t>
  </si>
  <si>
    <t>0030dir@monoprix.fr</t>
  </si>
  <si>
    <t>0427dir@monoprix.fr</t>
  </si>
  <si>
    <t>1238dir@monoprix.fr</t>
  </si>
  <si>
    <t>0210dir@monoprix.fr</t>
  </si>
  <si>
    <t>0026dir@monoprix.fr</t>
  </si>
  <si>
    <t>0225dir@monoprix.fr</t>
  </si>
  <si>
    <t>0345dir@monoprix.fr</t>
  </si>
  <si>
    <t>0327dir@monoprix.fr</t>
  </si>
  <si>
    <t>0150dir@monoprix.fr</t>
  </si>
  <si>
    <t>0181dir@monoprix.fr</t>
  </si>
  <si>
    <t>0054dir@monoprix.fr</t>
  </si>
  <si>
    <t>0122dir@monoprix.fr</t>
  </si>
  <si>
    <t>0303dir@monoprix.fr</t>
  </si>
  <si>
    <t>0197dir@monoprix.fr</t>
  </si>
  <si>
    <t>0141dir@monoprix.fr</t>
  </si>
  <si>
    <t>0405dir@monoprix.fr</t>
  </si>
  <si>
    <t>0420dir@monoprix.fr</t>
  </si>
  <si>
    <t>0142dir@monoprix.fr</t>
  </si>
  <si>
    <t>0506dir@monoprix.fr</t>
  </si>
  <si>
    <t>1119dir@monoprix.fr</t>
  </si>
  <si>
    <t>2802dir@monoprix.fr</t>
  </si>
  <si>
    <t>2327dir@monoprix.fr</t>
  </si>
  <si>
    <t>1338dir@monoprix.fr</t>
  </si>
  <si>
    <t>0162dir@monoprix.fr</t>
  </si>
  <si>
    <t>2401dir@monoprix.fr</t>
  </si>
  <si>
    <t>2323dir@monoprix.fr</t>
  </si>
  <si>
    <t>0095dir@monoprix.fr</t>
  </si>
  <si>
    <t>0296dir@monoprix.fr</t>
  </si>
  <si>
    <t>0304dir@monoprix.fr</t>
  </si>
  <si>
    <t>1265dir@monoprix.fr</t>
  </si>
  <si>
    <t>0106dir@monoprix.fr</t>
  </si>
  <si>
    <t>0253dir@monoprix.fr</t>
  </si>
  <si>
    <t>2804dir@monoprix.fr</t>
  </si>
  <si>
    <t>1106dir@monoprix.fr</t>
  </si>
  <si>
    <t>0416dir@monoprix.fr</t>
  </si>
  <si>
    <t>2147dir@monoprix.fr</t>
  </si>
  <si>
    <t>2261dir@monoprix.fr</t>
  </si>
  <si>
    <t>1134dir@monoprix.fr</t>
  </si>
  <si>
    <t>0055dir@monoprix.fr</t>
  </si>
  <si>
    <t>2317dir@monoprix.fr</t>
  </si>
  <si>
    <t>2834dir@monoprix.fr</t>
  </si>
  <si>
    <t>0199dir@monoprix.fr</t>
  </si>
  <si>
    <t>1254dir@monoprix.fr</t>
  </si>
  <si>
    <t>2415dir@monoprix.fr</t>
  </si>
  <si>
    <t>0037dir@monoprix.fr</t>
  </si>
  <si>
    <t>0456dir@monoprix.fr</t>
  </si>
  <si>
    <t>1319dir@monoprix.fr</t>
  </si>
  <si>
    <t>0348dir@monoprix.fr</t>
  </si>
  <si>
    <t>0147dir@monoprix.fr</t>
  </si>
  <si>
    <t>1247dir@monoprix.fr</t>
  </si>
  <si>
    <t>1318dir@monoprix.fr</t>
  </si>
  <si>
    <t>0559dir@monoprix.fr</t>
  </si>
  <si>
    <t>1304dir@monoprix.fr</t>
  </si>
  <si>
    <t>0060dir@monoprix.fr</t>
  </si>
  <si>
    <t>0058dir@monoprix.fr</t>
  </si>
  <si>
    <t>2316dir@monoprix.fr</t>
  </si>
  <si>
    <t>2917dir@monoprix.fr</t>
  </si>
  <si>
    <t>2878dir@monoprix.fr</t>
  </si>
  <si>
    <t>2326dir@monoprix.fr</t>
  </si>
  <si>
    <t>2810dir@monoprix.fr</t>
  </si>
  <si>
    <t>2324dir@monoprix.fr</t>
  </si>
  <si>
    <t>2719dir@monoprix.fr</t>
  </si>
  <si>
    <t>0344dir@monoprix.fr</t>
  </si>
  <si>
    <t>0152dir@monoprix.fr</t>
  </si>
  <si>
    <t>0044dir@monoprix.fr</t>
  </si>
  <si>
    <t>0107dir@monoprix.fr</t>
  </si>
  <si>
    <t>0522dir@monoprix.fr</t>
  </si>
  <si>
    <t>2321dir@monoprix.fr</t>
  </si>
  <si>
    <t>1321dir@monoprix.fr</t>
  </si>
  <si>
    <t>0081dir@monoprix.fr</t>
  </si>
  <si>
    <t>0041dir@monoprix.fr</t>
  </si>
  <si>
    <t>2335dir@monoprix.fr</t>
  </si>
  <si>
    <t>0512dir@monoprix.fr</t>
  </si>
  <si>
    <t>2408dir@monoprix.fr</t>
  </si>
  <si>
    <t>2735dir@monoprix.fr</t>
  </si>
  <si>
    <t>2733dir@monoprix.fr</t>
  </si>
  <si>
    <t>2709dir@monoprix.fr</t>
  </si>
  <si>
    <t>3027dir@monoprix.fr</t>
  </si>
  <si>
    <t>0189dir@monoprix.fr</t>
  </si>
  <si>
    <t>0426dir@monoprix.fr</t>
  </si>
  <si>
    <t>1163dir@monoprix.fr</t>
  </si>
  <si>
    <t>0191dir@monoprix.fr</t>
  </si>
  <si>
    <t>0555dir@monoprix.fr</t>
  </si>
  <si>
    <t>0514dir@monoprix.fr</t>
  </si>
  <si>
    <t>0193dir@monoprix.fr</t>
  </si>
  <si>
    <t>0056dir@monoprix.fr</t>
  </si>
  <si>
    <t>0258dir@monoprix.fr</t>
  </si>
  <si>
    <t>0074dir@monoprix.fr</t>
  </si>
  <si>
    <t>2502dir@monoprix.fr</t>
  </si>
  <si>
    <t>1149dir@monoprix.fr</t>
  </si>
  <si>
    <t>0070dir@monoprix.fr</t>
  </si>
  <si>
    <t>2318dir@monoprix.fr</t>
  </si>
  <si>
    <t>0157dir@monoprix.fr</t>
  </si>
  <si>
    <t>2315dir@monoprix.fr</t>
  </si>
  <si>
    <t>1170dir@monoprix.fr</t>
  </si>
  <si>
    <t>1357dir@monoprix.fr</t>
  </si>
  <si>
    <t>2759dir@monoprix.fr</t>
  </si>
  <si>
    <t>0099dir@monoprix.fr</t>
  </si>
  <si>
    <t>0080dir@monoprix.fr</t>
  </si>
  <si>
    <t>0034dir@monoprix.fr</t>
  </si>
  <si>
    <t>0158dir@monoprix.fr</t>
  </si>
  <si>
    <t>2911dir@monoprix.fr</t>
  </si>
  <si>
    <t>1337dir@monoprix.fr</t>
  </si>
  <si>
    <t>2622dir@monoprix.fr</t>
  </si>
  <si>
    <t>1209dir@monoprix.fr</t>
  </si>
  <si>
    <t>0049dir@monoprix.fr</t>
  </si>
  <si>
    <t>0035dir@monoprix.fr</t>
  </si>
  <si>
    <t>0382dir@monoprix.fr</t>
  </si>
  <si>
    <t>1162dir@monoprix.fr</t>
  </si>
  <si>
    <t>0168dir@monoprix.fr</t>
  </si>
  <si>
    <t>1329dir@monoprix.fr</t>
  </si>
  <si>
    <t>0243dir@monoprix.fr</t>
  </si>
  <si>
    <t>0156dir@monoprix.fr</t>
  </si>
  <si>
    <t>2923dir@monoprix.fr</t>
  </si>
  <si>
    <t>2404dir@monoprix.fr</t>
  </si>
  <si>
    <t>0111dir@monoprix.fr</t>
  </si>
  <si>
    <t>0105dir@monoprix.fr</t>
  </si>
  <si>
    <t>1153dir@monoprix.fr</t>
  </si>
  <si>
    <t>0216dir@monoprix.fr</t>
  </si>
  <si>
    <t>2501dir@monoprix.fr</t>
  </si>
  <si>
    <t>0033dir@monoprix.fr</t>
  </si>
  <si>
    <t>2367dir@monoprix.fr</t>
  </si>
  <si>
    <t>0071dir@monoprix.fr</t>
  </si>
  <si>
    <t>2809dir@monoprix.fr</t>
  </si>
  <si>
    <t>0411dir@monoprix.fr</t>
  </si>
  <si>
    <t>0299dir@monoprix.fr</t>
  </si>
  <si>
    <t>2334dir@monoprix.fr</t>
  </si>
  <si>
    <t>Ouverture exceptionnelle le 1 Mai</t>
  </si>
  <si>
    <t>0036dir@monoprix.fr</t>
  </si>
  <si>
    <t>0308dir@monoprix.fr</t>
  </si>
  <si>
    <t>0161dir@monoprix.fr</t>
  </si>
  <si>
    <t>1126dir@monoprix.fr</t>
  </si>
  <si>
    <t>1216dir@monoprix.fr</t>
  </si>
  <si>
    <t>0102dir@monoprix.fr</t>
  </si>
  <si>
    <t>0421dir@monoprix.fr</t>
  </si>
  <si>
    <t>1236dir@monoprix.fr</t>
  </si>
  <si>
    <t>0160dir@monoprix.fr</t>
  </si>
  <si>
    <t>0022dir@monoprix.fr</t>
  </si>
  <si>
    <t>2105dir@monoprix.fr</t>
  </si>
  <si>
    <t>2320dir@monoprix.fr</t>
  </si>
  <si>
    <t>0109dir@monoprix.fr</t>
  </si>
  <si>
    <t>1343dir@monoprix.fr</t>
  </si>
  <si>
    <t>0027dir@monoprix.fr</t>
  </si>
  <si>
    <t>0154dir@monoprix.fr</t>
  </si>
  <si>
    <t>1241dir@monoprix.fr</t>
  </si>
  <si>
    <t>1229dir@monoprix.fr</t>
  </si>
  <si>
    <t>0085dir@monoprix.fr</t>
  </si>
  <si>
    <t>0336dir@monoprix.fr</t>
  </si>
  <si>
    <t>1203dir@monoprix.fr</t>
  </si>
  <si>
    <t>1001dir@monoprix.fr</t>
  </si>
  <si>
    <t>1246dir@monoprix.fr</t>
  </si>
  <si>
    <t>1133dir@monoprix.fr</t>
  </si>
  <si>
    <t>0409dir@monoprix.fr</t>
  </si>
  <si>
    <t>0249dir@monoprix.fr</t>
  </si>
  <si>
    <t>2801dir@monoprix.fr</t>
  </si>
  <si>
    <t>1139dir@monoprix.fr</t>
  </si>
  <si>
    <t>0078dir@monoprix.fr</t>
  </si>
  <si>
    <t>2360dir@monoprix.fr</t>
  </si>
  <si>
    <t>2346dir@monoprix.fr</t>
  </si>
  <si>
    <t>2704dir@monoprix.fr</t>
  </si>
  <si>
    <t>0143dir@monoprix.fr</t>
  </si>
  <si>
    <t>0325dir@monoprix.fr</t>
  </si>
  <si>
    <t>2712dir@monoprix.fr</t>
  </si>
  <si>
    <t>0048dir@monoprix.fr</t>
  </si>
  <si>
    <t>0394dir@monoprix.fr</t>
  </si>
  <si>
    <t>2778dir@monoprix.fr</t>
  </si>
  <si>
    <t>0459dir@monoprix.fr</t>
  </si>
  <si>
    <t>1219dir@monoprix.fr</t>
  </si>
  <si>
    <t>2330dir@monoprix.fr</t>
  </si>
  <si>
    <t>2332dir@monoprix.fr</t>
  </si>
  <si>
    <t>1204dir@monoprix.fr</t>
  </si>
  <si>
    <t>2343dir@monoprix.fr</t>
  </si>
  <si>
    <t>CPE éclairage sans GTB</t>
  </si>
  <si>
    <t>0079dir@monoprix.fr</t>
  </si>
  <si>
    <t>2821dir@monoprix.fr</t>
  </si>
  <si>
    <t>2357dir@monoprix.fr</t>
  </si>
  <si>
    <t>0171dir@monoprix.fr</t>
  </si>
  <si>
    <t>1244dir@monoprix.fr</t>
  </si>
  <si>
    <t>2358dir@monoprix.fr</t>
  </si>
  <si>
    <t>0151dir@monoprix.fr</t>
  </si>
  <si>
    <t>2331dir@monoprix.fr</t>
  </si>
  <si>
    <t>0324dir@monoprix.fr</t>
  </si>
  <si>
    <t>0042dir@monoprix.fr</t>
  </si>
  <si>
    <t>2764dir@monoprix.fr</t>
  </si>
  <si>
    <t>2390dir@monoprix.fr</t>
  </si>
  <si>
    <t>0165dir@monoprix.fr</t>
  </si>
  <si>
    <t>2767dir@monoprix.fr</t>
  </si>
  <si>
    <t>2385dir@monoprix.fr</t>
  </si>
  <si>
    <t>2388dir@monoprix.fr</t>
  </si>
  <si>
    <t>2355dir@monoprix.fr</t>
  </si>
  <si>
    <t>0135dir@monoprix.fr</t>
  </si>
  <si>
    <t>2359dir@monoprix.fr</t>
  </si>
  <si>
    <t>Dim</t>
  </si>
  <si>
    <t>MP2068</t>
  </si>
  <si>
    <t>Suffren</t>
  </si>
  <si>
    <t>MO0230</t>
  </si>
  <si>
    <t>Quimper</t>
  </si>
  <si>
    <t>MO0113</t>
  </si>
  <si>
    <t>Gobelins</t>
  </si>
  <si>
    <t>MP3439</t>
  </si>
  <si>
    <t>Nice Guisol</t>
  </si>
  <si>
    <t>MO0267</t>
  </si>
  <si>
    <t>LA CHAPELLE</t>
  </si>
  <si>
    <t>MP3406</t>
  </si>
  <si>
    <t>Nice Saint Roch</t>
  </si>
  <si>
    <t>MO2363</t>
  </si>
  <si>
    <t>La Ciotat</t>
  </si>
  <si>
    <t>MO0502</t>
  </si>
  <si>
    <t>Bayonne</t>
  </si>
  <si>
    <t>Commentaire</t>
  </si>
  <si>
    <t>Type surconso</t>
  </si>
  <si>
    <t>Investigation en cours</t>
  </si>
  <si>
    <t xml:space="preserve">A mettre en A définir et ne plus laisser de case vide pour ce genre de catégorisation </t>
  </si>
  <si>
    <t>Ajout d'équipements Froid</t>
  </si>
  <si>
    <t xml:space="preserve">A mettre en changement d'équipement </t>
  </si>
  <si>
    <t>Ajout d'équipements CVC</t>
  </si>
  <si>
    <t xml:space="preserve">Changement d'équipement froid </t>
  </si>
  <si>
    <t xml:space="preserve">Changement d'équipement CVC </t>
  </si>
  <si>
    <t>A mettre en Exploitation</t>
  </si>
  <si>
    <t>Effet température CVC</t>
  </si>
  <si>
    <t>Celle-ci concerne le forçage Hors gel et est à mettre en Exploitation</t>
  </si>
  <si>
    <t>Production PV</t>
  </si>
  <si>
    <t>Comme pour les jours fériés par exemple</t>
  </si>
  <si>
    <t xml:space="preserve">Impact OL </t>
  </si>
  <si>
    <t>Forçage sur BPF</t>
  </si>
  <si>
    <t>Quand cela concerne un forçage manuel sur site (A vérifier sur l'historique de la GTC)</t>
  </si>
  <si>
    <t xml:space="preserve">Si l'info est dispo </t>
  </si>
  <si>
    <t>Nettoyage magasin</t>
  </si>
  <si>
    <t>Travaux Remplacement GTC</t>
  </si>
  <si>
    <t>Problème GTC</t>
  </si>
  <si>
    <t>Remplissage rayons de nuit</t>
  </si>
  <si>
    <t>Travaux client</t>
  </si>
  <si>
    <t>Shunt équipement</t>
  </si>
  <si>
    <t>CVC en marche forcée sur GTC</t>
  </si>
  <si>
    <t>Modification consignes sur GTC</t>
  </si>
  <si>
    <t>Intervention exceptionnelle de nuit</t>
  </si>
  <si>
    <t>Démarrage anticipé des fours</t>
  </si>
  <si>
    <t>éclairage en marche forcée sur GTC</t>
  </si>
  <si>
    <t>Paramétres centrales Froid déréglés</t>
  </si>
  <si>
    <t>Forçage autres équipements (laboratoire,…)</t>
  </si>
  <si>
    <t>Projet 247 -18h/24</t>
  </si>
  <si>
    <t>Projet 247 -DimAPM</t>
  </si>
  <si>
    <t>Projet 247 -V/S</t>
  </si>
  <si>
    <t>Projet 247 -V/S/D</t>
  </si>
  <si>
    <t>Non concenée par Rawa</t>
  </si>
  <si>
    <t xml:space="preserve">Production des panneaux déduite de la performance site </t>
  </si>
  <si>
    <t>Gain relamping déduit de la performance site</t>
  </si>
  <si>
    <t>Coupure chauffage tardive</t>
  </si>
  <si>
    <t>Problème alarme</t>
  </si>
  <si>
    <t>Ouverture site</t>
  </si>
  <si>
    <t>Mise en arrêt d'un équipement CVC</t>
  </si>
  <si>
    <t>A voir avec GY</t>
  </si>
  <si>
    <t>MO0098</t>
  </si>
  <si>
    <t>Beaugrenelle</t>
  </si>
  <si>
    <t>Fin CPE</t>
  </si>
  <si>
    <t>MO0058</t>
  </si>
  <si>
    <t>RL</t>
  </si>
  <si>
    <t>Les champs</t>
  </si>
  <si>
    <t>MO2342</t>
  </si>
  <si>
    <t>Asnières Station</t>
  </si>
  <si>
    <t>MO2362</t>
  </si>
  <si>
    <t>AL</t>
  </si>
  <si>
    <t>Lisieux</t>
  </si>
  <si>
    <t>Lebouscat Maronniers</t>
  </si>
  <si>
    <t>MO2356</t>
  </si>
  <si>
    <t>Monop Amiens</t>
  </si>
  <si>
    <t>MP2073</t>
  </si>
  <si>
    <t>Bordeaux Sainte Catherine</t>
  </si>
  <si>
    <t>MP3412</t>
  </si>
  <si>
    <t>Monop Saint Etienne</t>
  </si>
  <si>
    <t>MP2047</t>
  </si>
  <si>
    <t>Monop Toulouse Matabiau</t>
  </si>
  <si>
    <t>MP3404</t>
  </si>
  <si>
    <t>Hiver</t>
  </si>
  <si>
    <t>Strasbourg Kleber</t>
  </si>
  <si>
    <t>Montauban</t>
  </si>
  <si>
    <t>MO0047</t>
  </si>
  <si>
    <t>MP3443</t>
  </si>
  <si>
    <t>Commentaires RAWA</t>
  </si>
  <si>
    <t>CVC non pilotée par GY</t>
  </si>
  <si>
    <t>Horaire Ouv S</t>
  </si>
  <si>
    <t>Horaire Ferm S</t>
  </si>
  <si>
    <t>Horaire Ouv D</t>
  </si>
  <si>
    <t>Horaire Ferm D</t>
  </si>
  <si>
    <t>Introuvable sur la new BD horaires GY</t>
  </si>
  <si>
    <t>non précisé sur la new BD horaires GY</t>
  </si>
  <si>
    <t>Durée de fermeture Nuit</t>
  </si>
  <si>
    <t>MP2052</t>
  </si>
  <si>
    <t>Monop Toulouse Esquirol</t>
  </si>
  <si>
    <t>Récurrent</t>
  </si>
  <si>
    <t>CAGNY</t>
  </si>
  <si>
    <t>MP2013</t>
  </si>
  <si>
    <t>à 2:00</t>
  </si>
  <si>
    <t>Ouv pro avant S14?</t>
  </si>
  <si>
    <t>Ouv av avant S14?</t>
  </si>
  <si>
    <t>CVC ou av?</t>
  </si>
  <si>
    <t>écl?</t>
  </si>
  <si>
    <t>Baisse con, talon à revoir?</t>
  </si>
  <si>
    <t>CVC?</t>
  </si>
  <si>
    <t>Urgent CVC ou ecl?</t>
  </si>
  <si>
    <t>éclai</t>
  </si>
  <si>
    <t>Urgent : rempli ou cvc</t>
  </si>
  <si>
    <t>Urgent ecl</t>
  </si>
  <si>
    <t>Changement de conso en journée début Avril (Autoconso?)</t>
  </si>
  <si>
    <t>Urgent</t>
  </si>
  <si>
    <t>Urgent environs 5:30</t>
  </si>
  <si>
    <t>Urgent à 4:00</t>
  </si>
  <si>
    <t>Urgent à 4:30</t>
  </si>
  <si>
    <t>Urgent à 4:20</t>
  </si>
  <si>
    <t>Corriger la cat de mars</t>
  </si>
  <si>
    <t>Urgent écl</t>
  </si>
  <si>
    <t xml:space="preserve">Urgent </t>
  </si>
  <si>
    <t>Urgent ecl CVC</t>
  </si>
  <si>
    <t>Urgent rempli</t>
  </si>
  <si>
    <t>Urgent forçage</t>
  </si>
  <si>
    <t>CVC pour cat</t>
  </si>
  <si>
    <t>Urgent Ecl et le reste CVC</t>
  </si>
  <si>
    <t>Ouv dim cat</t>
  </si>
  <si>
    <t>Urgent eclairage à 2/3h</t>
  </si>
  <si>
    <t>écl S15</t>
  </si>
  <si>
    <t>Urgent rempli ou cvc</t>
  </si>
  <si>
    <t>Urgent ecl et CVC</t>
  </si>
  <si>
    <t>à 23h</t>
  </si>
  <si>
    <t>Urgent : rempli ou cvc (gross surconso)</t>
  </si>
  <si>
    <t>Ouv pro à vérifier &lt;S16</t>
  </si>
  <si>
    <t>Nbr hr à corriger &lt;S16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</si>
</sst>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mbria"/>
      <family val="1"/>
    </font>
    <font>
      <b/>
      <sz val="10"/>
      <color rgb="FF000000"/>
      <name val="Cambria"/>
      <family val="1"/>
    </font>
    <font>
      <b/>
      <sz val="11"/>
      <color rgb="FFFFFFFF"/>
      <name val="Cambria"/>
      <family val="1"/>
    </font>
    <font>
      <b/>
      <sz val="11"/>
      <color rgb="FF000000"/>
      <name val="Cambria"/>
      <family val="1"/>
    </font>
    <font>
      <sz val="10"/>
      <name val="Arial"/>
      <family val="2"/>
    </font>
    <font>
      <sz val="10"/>
      <color theme="1"/>
      <name val="Cambria"/>
      <family val="1"/>
    </font>
    <font>
      <u/>
      <sz val="11"/>
      <color theme="10"/>
      <name val="Calibri"/>
      <family val="2"/>
      <scheme val="minor"/>
    </font>
    <font>
      <b/>
      <sz val="10"/>
      <color rgb="FFCC0000"/>
      <name val="Cambria"/>
      <family val="1"/>
    </font>
    <font>
      <sz val="10"/>
      <color rgb="FF00B0F0"/>
      <name val="Cambria"/>
      <family val="1"/>
    </font>
    <font>
      <sz val="11"/>
      <color rgb="FF000000"/>
      <name val="Calibri"/>
      <family val="2"/>
    </font>
    <font>
      <sz val="10"/>
      <color rgb="FFED7D31"/>
      <name val="Cambria"/>
      <family val="1"/>
    </font>
    <font>
      <b/>
      <sz val="11"/>
      <color theme="1"/>
      <name val="Cambria"/>
      <family val="1"/>
    </font>
    <font>
      <sz val="10"/>
      <color rgb="FF4472C4"/>
      <name val="Cambria"/>
      <family val="1"/>
    </font>
    <font>
      <b/>
      <sz val="11"/>
      <color rgb="FFFFFFFF"/>
      <name val="Cambria"/>
      <family val="1"/>
    </font>
    <font>
      <sz val="10"/>
      <name val="Cambria"/>
      <family val="1"/>
    </font>
    <font>
      <sz val="11"/>
      <color rgb="FF000000"/>
      <name val="Calibri"/>
      <family val="2"/>
      <scheme val="minor"/>
    </font>
    <font>
      <b/>
      <sz val="10"/>
      <color theme="5" tint="-0.249977111117893"/>
      <name val="Cambria"/>
      <family val="1"/>
    </font>
    <font>
      <b/>
      <sz val="11"/>
      <color theme="0"/>
      <name val="Cambria"/>
      <family val="1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44062"/>
        <bgColor rgb="FF244062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4F81BD"/>
        <bgColor rgb="FF4F81BD"/>
      </patternFill>
    </fill>
    <fill>
      <patternFill patternType="solid">
        <fgColor rgb="FFB7B7B7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rgb="FFFF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rgb="FF244062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168">
    <xf numFmtId="0" fontId="0" fillId="0" borderId="0" xfId="0"/>
    <xf numFmtId="0" fontId="4" fillId="7" borderId="1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1" fillId="2" borderId="0" xfId="1" applyFill="1" applyAlignment="1">
      <alignment vertical="center"/>
    </xf>
    <xf numFmtId="0" fontId="1" fillId="0" borderId="0" xfId="1" applyAlignment="1">
      <alignment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6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7" borderId="13" xfId="0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4" fillId="8" borderId="10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11" fillId="0" borderId="1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0" fillId="10" borderId="1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10" fillId="10" borderId="1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/>
    </xf>
    <xf numFmtId="9" fontId="3" fillId="2" borderId="12" xfId="0" applyNumberFormat="1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/>
    </xf>
    <xf numFmtId="0" fontId="7" fillId="11" borderId="12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0" fillId="12" borderId="12" xfId="0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0" fillId="0" borderId="1" xfId="0" applyBorder="1"/>
    <xf numFmtId="0" fontId="10" fillId="12" borderId="5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0" fillId="10" borderId="1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/>
    <xf numFmtId="0" fontId="11" fillId="0" borderId="14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 wrapText="1"/>
    </xf>
    <xf numFmtId="0" fontId="11" fillId="14" borderId="22" xfId="0" applyFont="1" applyFill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 wrapText="1"/>
    </xf>
    <xf numFmtId="0" fontId="11" fillId="14" borderId="6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4" borderId="9" xfId="0" quotePrefix="1" applyFont="1" applyFill="1" applyBorder="1" applyAlignment="1">
      <alignment horizontal="center" vertical="center"/>
    </xf>
    <xf numFmtId="0" fontId="2" fillId="14" borderId="15" xfId="0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27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8" xfId="0" applyBorder="1"/>
    <xf numFmtId="0" fontId="16" fillId="0" borderId="14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9" borderId="14" xfId="0" applyFont="1" applyFill="1" applyBorder="1" applyAlignment="1">
      <alignment vertical="center" wrapText="1"/>
    </xf>
    <xf numFmtId="0" fontId="0" fillId="0" borderId="12" xfId="0" applyBorder="1" applyAlignment="1">
      <alignment horizontal="center" wrapText="1"/>
    </xf>
    <xf numFmtId="0" fontId="16" fillId="0" borderId="12" xfId="0" applyFont="1" applyBorder="1" applyAlignment="1">
      <alignment vertical="center"/>
    </xf>
    <xf numFmtId="0" fontId="16" fillId="0" borderId="28" xfId="0" applyFont="1" applyBorder="1" applyAlignment="1">
      <alignment vertical="center"/>
    </xf>
    <xf numFmtId="0" fontId="17" fillId="0" borderId="0" xfId="0" applyFont="1"/>
    <xf numFmtId="0" fontId="16" fillId="0" borderId="16" xfId="0" applyFont="1" applyBorder="1" applyAlignment="1">
      <alignment vertical="center" wrapText="1"/>
    </xf>
    <xf numFmtId="0" fontId="0" fillId="0" borderId="26" xfId="0" applyBorder="1" applyAlignment="1">
      <alignment wrapText="1"/>
    </xf>
    <xf numFmtId="0" fontId="0" fillId="0" borderId="26" xfId="0" applyBorder="1"/>
    <xf numFmtId="0" fontId="0" fillId="0" borderId="29" xfId="0" applyBorder="1"/>
    <xf numFmtId="0" fontId="0" fillId="0" borderId="0" xfId="0" applyAlignment="1">
      <alignment wrapText="1"/>
    </xf>
    <xf numFmtId="0" fontId="4" fillId="8" borderId="30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12" fillId="9" borderId="1" xfId="1" applyFont="1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9" fillId="16" borderId="3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20" fontId="4" fillId="17" borderId="25" xfId="0" applyNumberFormat="1" applyFont="1" applyFill="1" applyBorder="1" applyAlignment="1">
      <alignment horizontal="center" vertical="center" wrapText="1"/>
    </xf>
    <xf numFmtId="20" fontId="2" fillId="2" borderId="1" xfId="0" applyNumberFormat="1" applyFont="1" applyFill="1" applyBorder="1" applyAlignment="1">
      <alignment horizontal="center" vertical="center" wrapText="1"/>
    </xf>
    <xf numFmtId="20" fontId="0" fillId="0" borderId="1" xfId="0" applyNumberFormat="1" applyBorder="1" applyAlignment="1">
      <alignment horizontal="right" vertical="center"/>
    </xf>
    <xf numFmtId="14" fontId="0" fillId="0" borderId="1" xfId="0" applyNumberFormat="1" applyBorder="1"/>
    <xf numFmtId="20" fontId="7" fillId="11" borderId="12" xfId="0" applyNumberFormat="1" applyFont="1" applyFill="1" applyBorder="1" applyAlignment="1">
      <alignment horizontal="center" vertical="center"/>
    </xf>
    <xf numFmtId="20" fontId="4" fillId="17" borderId="0" xfId="0" applyNumberFormat="1" applyFont="1" applyFill="1" applyAlignment="1">
      <alignment horizontal="center" vertical="center" wrapText="1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0" borderId="8" xfId="1" applyNumberFormat="1" applyFont="1" applyBorder="1" applyAlignment="1">
      <alignment horizontal="right" vertical="center"/>
    </xf>
    <xf numFmtId="20" fontId="2" fillId="2" borderId="8" xfId="1" applyNumberFormat="1" applyFont="1" applyFill="1" applyBorder="1" applyAlignment="1">
      <alignment horizontal="right" vertical="center"/>
    </xf>
    <xf numFmtId="0" fontId="2" fillId="2" borderId="9" xfId="1" applyFont="1" applyFill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wrapText="1"/>
    </xf>
    <xf numFmtId="20" fontId="4" fillId="17" borderId="12" xfId="0" applyNumberFormat="1" applyFont="1" applyFill="1" applyBorder="1" applyAlignment="1">
      <alignment horizontal="center" vertical="center" wrapText="1"/>
    </xf>
    <xf numFmtId="0" fontId="4" fillId="3" borderId="12" xfId="1" applyFont="1" applyFill="1" applyBorder="1" applyAlignment="1">
      <alignment horizontal="center" vertical="center" wrapText="1"/>
    </xf>
    <xf numFmtId="20" fontId="2" fillId="2" borderId="12" xfId="0" applyNumberFormat="1" applyFont="1" applyFill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20" fontId="0" fillId="0" borderId="12" xfId="0" applyNumberFormat="1" applyBorder="1" applyAlignment="1">
      <alignment horizontal="right" vertical="center"/>
    </xf>
    <xf numFmtId="20" fontId="2" fillId="0" borderId="12" xfId="1" applyNumberFormat="1" applyFont="1" applyBorder="1" applyAlignment="1">
      <alignment horizontal="right" vertical="center"/>
    </xf>
    <xf numFmtId="20" fontId="2" fillId="2" borderId="12" xfId="1" applyNumberFormat="1" applyFont="1" applyFill="1" applyBorder="1" applyAlignment="1">
      <alignment horizontal="right" vertical="center"/>
    </xf>
    <xf numFmtId="0" fontId="4" fillId="8" borderId="13" xfId="0" applyFont="1" applyFill="1" applyBorder="1" applyAlignment="1">
      <alignment horizontal="center" vertical="center" wrapText="1"/>
    </xf>
    <xf numFmtId="20" fontId="4" fillId="8" borderId="13" xfId="0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4" fontId="0" fillId="0" borderId="5" xfId="0" applyNumberFormat="1" applyBorder="1"/>
    <xf numFmtId="20" fontId="0" fillId="0" borderId="5" xfId="0" applyNumberFormat="1" applyBorder="1" applyAlignment="1">
      <alignment horizontal="right" vertical="center"/>
    </xf>
    <xf numFmtId="20" fontId="2" fillId="2" borderId="32" xfId="1" applyNumberFormat="1" applyFont="1" applyFill="1" applyBorder="1" applyAlignment="1">
      <alignment horizontal="right" vertical="center"/>
    </xf>
    <xf numFmtId="0" fontId="2" fillId="2" borderId="26" xfId="1" applyFont="1" applyFill="1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0" fontId="3" fillId="2" borderId="12" xfId="1" applyFont="1" applyFill="1" applyBorder="1" applyAlignment="1">
      <alignment horizontal="center" vertical="center"/>
    </xf>
    <xf numFmtId="14" fontId="0" fillId="0" borderId="12" xfId="0" applyNumberFormat="1" applyBorder="1"/>
    <xf numFmtId="20" fontId="0" fillId="0" borderId="12" xfId="0" applyNumberFormat="1" applyBorder="1"/>
    <xf numFmtId="0" fontId="0" fillId="0" borderId="12" xfId="0" applyBorder="1" applyAlignment="1">
      <alignment horizont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</cellXfs>
  <cellStyles count="3">
    <cellStyle name="Hyperlink" xfId="2" xr:uid="{00000000-0005-0000-0000-000000000000}"/>
    <cellStyle name="Normal" xfId="0" builtinId="0"/>
    <cellStyle name="Normal 2" xfId="1" xr:uid="{00000000-0005-0000-0000-000002000000}"/>
  </cellStyles>
  <dxfs count="20">
    <dxf>
      <font>
        <b/>
        <color rgb="FFCC0000"/>
      </font>
      <fill>
        <patternFill patternType="none"/>
      </fill>
    </dxf>
    <dxf>
      <font>
        <b/>
        <color rgb="FFFF9900"/>
      </font>
      <fill>
        <patternFill patternType="none"/>
      </fill>
    </dxf>
    <dxf>
      <font>
        <b/>
        <color rgb="FFF1C232"/>
      </font>
      <fill>
        <patternFill patternType="none"/>
      </fill>
    </dxf>
    <dxf>
      <font>
        <b/>
        <color rgb="FFF1C232"/>
      </font>
      <fill>
        <patternFill patternType="none"/>
      </fill>
    </dxf>
    <dxf>
      <font>
        <b/>
        <color rgb="FF999999"/>
      </font>
      <fill>
        <patternFill patternType="none"/>
      </fill>
    </dxf>
    <dxf>
      <font>
        <b/>
        <color rgb="FF073763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FF9900"/>
      </font>
      <fill>
        <patternFill patternType="none"/>
      </fill>
    </dxf>
    <dxf>
      <font>
        <b/>
        <color rgb="FFF1C232"/>
      </font>
      <fill>
        <patternFill patternType="none"/>
      </fill>
    </dxf>
    <dxf>
      <font>
        <b/>
        <color rgb="FFF1C232"/>
      </font>
      <fill>
        <patternFill patternType="none"/>
      </fill>
    </dxf>
    <dxf>
      <font>
        <b/>
        <color rgb="FF999999"/>
      </font>
      <fill>
        <patternFill patternType="none"/>
      </fill>
    </dxf>
    <dxf>
      <font>
        <b/>
        <color rgb="FF073763"/>
      </font>
      <fill>
        <patternFill patternType="none"/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scheme val="none"/>
      </font>
      <fill>
        <patternFill patternType="solid">
          <fgColor rgb="FF244062"/>
          <bgColor rgb="FF2440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cuments/BD%20horaires%20CPE%202023%20-%20Mo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oprix"/>
      <sheetName val="Index"/>
    </sheetNames>
    <sheetDataSet>
      <sheetData sheetId="0">
        <row r="1">
          <cell r="C1" t="str">
            <v>Code site</v>
          </cell>
          <cell r="F1" t="str">
            <v>Horaire Ouv S</v>
          </cell>
          <cell r="G1" t="str">
            <v>Horaire Ferm S</v>
          </cell>
          <cell r="H1" t="str">
            <v>Horaire Ouv D</v>
          </cell>
          <cell r="I1" t="str">
            <v>Horaire Ferm D</v>
          </cell>
        </row>
        <row r="2">
          <cell r="C2" t="str">
            <v>MO0386</v>
          </cell>
          <cell r="F2">
            <v>0.1875</v>
          </cell>
          <cell r="G2">
            <v>0.79166666666666663</v>
          </cell>
          <cell r="H2">
            <v>0.25</v>
          </cell>
          <cell r="I2">
            <v>0.5</v>
          </cell>
        </row>
        <row r="3">
          <cell r="C3" t="str">
            <v>MO0108</v>
          </cell>
          <cell r="F3">
            <v>0.1875</v>
          </cell>
          <cell r="G3">
            <v>0.83333333333333337</v>
          </cell>
          <cell r="H3">
            <v>0.25</v>
          </cell>
          <cell r="I3">
            <v>0.79166666666666663</v>
          </cell>
        </row>
        <row r="4">
          <cell r="C4" t="str">
            <v>MO2701</v>
          </cell>
          <cell r="F4">
            <v>0.20833333333333334</v>
          </cell>
          <cell r="G4">
            <v>0.79166666666666663</v>
          </cell>
          <cell r="H4">
            <v>0.29166666666666702</v>
          </cell>
          <cell r="I4">
            <v>0.54166666666666696</v>
          </cell>
        </row>
        <row r="5">
          <cell r="C5" t="str">
            <v>MO0320</v>
          </cell>
          <cell r="F5">
            <v>0.20833333333333334</v>
          </cell>
          <cell r="G5">
            <v>0.83333333333333337</v>
          </cell>
          <cell r="H5">
            <v>0.25</v>
          </cell>
          <cell r="I5">
            <v>0.54166666666666663</v>
          </cell>
        </row>
        <row r="6">
          <cell r="C6" t="str">
            <v>MO0039</v>
          </cell>
          <cell r="F6">
            <v>0.20833333333333334</v>
          </cell>
          <cell r="G6">
            <v>0.875</v>
          </cell>
          <cell r="H6" t="str">
            <v>-</v>
          </cell>
          <cell r="I6" t="str">
            <v>-</v>
          </cell>
        </row>
        <row r="7">
          <cell r="C7" t="str">
            <v>MO0332</v>
          </cell>
          <cell r="F7">
            <v>0.20833333333333334</v>
          </cell>
          <cell r="G7">
            <v>0.83333333333333304</v>
          </cell>
          <cell r="H7" t="str">
            <v>-</v>
          </cell>
          <cell r="I7" t="str">
            <v>-</v>
          </cell>
        </row>
        <row r="8">
          <cell r="C8" t="str">
            <v>MO2814</v>
          </cell>
          <cell r="F8">
            <v>0.20833333333333334</v>
          </cell>
          <cell r="G8">
            <v>0.83333333333333304</v>
          </cell>
          <cell r="H8" t="str">
            <v>-</v>
          </cell>
          <cell r="I8" t="str">
            <v>-</v>
          </cell>
        </row>
        <row r="9">
          <cell r="C9" t="str">
            <v>MO0030</v>
          </cell>
          <cell r="F9">
            <v>0.1875</v>
          </cell>
          <cell r="G9">
            <v>0.83333333333333337</v>
          </cell>
          <cell r="H9">
            <v>0.24305555555555555</v>
          </cell>
          <cell r="I9">
            <v>0.54166666666666696</v>
          </cell>
        </row>
        <row r="10">
          <cell r="C10" t="str">
            <v>MO0427</v>
          </cell>
          <cell r="F10">
            <v>0.1875</v>
          </cell>
          <cell r="G10">
            <v>0.83333333333333337</v>
          </cell>
          <cell r="H10">
            <v>0.24305555555555555</v>
          </cell>
          <cell r="I10">
            <v>0.54166666666666696</v>
          </cell>
        </row>
        <row r="11">
          <cell r="C11" t="str">
            <v>MO1238</v>
          </cell>
          <cell r="F11">
            <v>0.1875</v>
          </cell>
          <cell r="G11">
            <v>0.85416666666666663</v>
          </cell>
          <cell r="H11">
            <v>0.25</v>
          </cell>
          <cell r="I11">
            <v>0.54166666666666663</v>
          </cell>
        </row>
        <row r="12">
          <cell r="C12" t="str">
            <v>MO0210</v>
          </cell>
          <cell r="F12">
            <v>0.20833333333333334</v>
          </cell>
          <cell r="G12">
            <v>0.83333333333333337</v>
          </cell>
          <cell r="H12">
            <v>0.25</v>
          </cell>
          <cell r="I12">
            <v>0.79166666666666663</v>
          </cell>
        </row>
        <row r="13">
          <cell r="C13" t="str">
            <v>MO0026</v>
          </cell>
          <cell r="F13">
            <v>0.20833333333333334</v>
          </cell>
          <cell r="G13">
            <v>0.83333333333333304</v>
          </cell>
          <cell r="H13" t="str">
            <v>-</v>
          </cell>
          <cell r="I13" t="str">
            <v>-</v>
          </cell>
        </row>
        <row r="14">
          <cell r="C14" t="str">
            <v>MO0225</v>
          </cell>
          <cell r="F14">
            <v>0.1875</v>
          </cell>
          <cell r="G14">
            <v>0.8125</v>
          </cell>
          <cell r="H14">
            <v>0.25</v>
          </cell>
          <cell r="I14">
            <v>0.52083333333333337</v>
          </cell>
        </row>
        <row r="15">
          <cell r="C15" t="str">
            <v>MO0345</v>
          </cell>
          <cell r="F15">
            <v>0.27083333333333331</v>
          </cell>
          <cell r="G15">
            <v>0.77083333333333337</v>
          </cell>
          <cell r="H15" t="str">
            <v>-</v>
          </cell>
          <cell r="I15" t="str">
            <v>-</v>
          </cell>
        </row>
        <row r="16">
          <cell r="C16" t="str">
            <v>MO0327</v>
          </cell>
          <cell r="F16">
            <v>0.1875</v>
          </cell>
          <cell r="G16">
            <v>0.83333333333333304</v>
          </cell>
          <cell r="H16">
            <v>0.20833333333333334</v>
          </cell>
          <cell r="I16">
            <v>0.5625</v>
          </cell>
        </row>
        <row r="17">
          <cell r="C17" t="str">
            <v>MO0150</v>
          </cell>
          <cell r="F17">
            <v>0.1875</v>
          </cell>
          <cell r="G17">
            <v>0.83333333333333304</v>
          </cell>
          <cell r="H17">
            <v>0.25</v>
          </cell>
          <cell r="I17">
            <v>0.54166666666666696</v>
          </cell>
        </row>
        <row r="18">
          <cell r="C18" t="str">
            <v>MO0181</v>
          </cell>
          <cell r="F18">
            <v>0.20833333333333334</v>
          </cell>
          <cell r="G18">
            <v>0.875</v>
          </cell>
          <cell r="H18">
            <v>0.27083333333333331</v>
          </cell>
          <cell r="I18">
            <v>0.5625</v>
          </cell>
        </row>
        <row r="19">
          <cell r="C19" t="str">
            <v>MO0054</v>
          </cell>
          <cell r="F19">
            <v>0.16666666666666666</v>
          </cell>
          <cell r="G19">
            <v>0.875</v>
          </cell>
          <cell r="H19">
            <v>0.20833333333333334</v>
          </cell>
          <cell r="I19">
            <v>0.54166666666666696</v>
          </cell>
        </row>
        <row r="20">
          <cell r="C20" t="str">
            <v>MO0122</v>
          </cell>
          <cell r="F20">
            <v>0.20138888888888887</v>
          </cell>
          <cell r="G20">
            <v>0.97916666666666663</v>
          </cell>
          <cell r="H20">
            <v>0.2638888888888889</v>
          </cell>
          <cell r="I20">
            <v>0.85416666666666663</v>
          </cell>
        </row>
        <row r="21">
          <cell r="C21" t="str">
            <v>MO0303</v>
          </cell>
          <cell r="F21">
            <v>0.20833333333333334</v>
          </cell>
          <cell r="G21">
            <v>0.85416666666666663</v>
          </cell>
          <cell r="H21" t="str">
            <v>-</v>
          </cell>
          <cell r="I21" t="str">
            <v>-</v>
          </cell>
        </row>
        <row r="22">
          <cell r="C22" t="str">
            <v>MO0197</v>
          </cell>
          <cell r="F22">
            <v>0.1875</v>
          </cell>
          <cell r="G22">
            <v>0.875</v>
          </cell>
          <cell r="H22">
            <v>0.27083333333333331</v>
          </cell>
          <cell r="I22">
            <v>0.77083333333333337</v>
          </cell>
        </row>
        <row r="23">
          <cell r="C23" t="str">
            <v>MO0141</v>
          </cell>
          <cell r="F23">
            <v>0.25</v>
          </cell>
          <cell r="G23">
            <v>0.83333333333333304</v>
          </cell>
          <cell r="H23" t="str">
            <v>-</v>
          </cell>
          <cell r="I23" t="str">
            <v>-</v>
          </cell>
        </row>
        <row r="24">
          <cell r="C24" t="str">
            <v>MO0405</v>
          </cell>
          <cell r="F24">
            <v>0.25</v>
          </cell>
          <cell r="G24">
            <v>0.89583333333333337</v>
          </cell>
          <cell r="H24">
            <v>0.29166666666666669</v>
          </cell>
          <cell r="I24">
            <v>0.54166666666666696</v>
          </cell>
        </row>
        <row r="25">
          <cell r="C25" t="str">
            <v>MO0420</v>
          </cell>
          <cell r="F25">
            <v>0.25</v>
          </cell>
          <cell r="G25">
            <v>0.875</v>
          </cell>
          <cell r="H25">
            <v>0.28472222222222221</v>
          </cell>
          <cell r="I25">
            <v>0.54166666666666663</v>
          </cell>
        </row>
        <row r="26">
          <cell r="C26" t="str">
            <v>MO0142</v>
          </cell>
          <cell r="F26">
            <v>0.22222222222222221</v>
          </cell>
          <cell r="G26">
            <v>0.875</v>
          </cell>
          <cell r="H26">
            <v>0.29166666666666702</v>
          </cell>
          <cell r="I26">
            <v>0.54166666666666663</v>
          </cell>
        </row>
        <row r="27">
          <cell r="C27" t="str">
            <v>MO0173</v>
          </cell>
          <cell r="F27">
            <v>0.25</v>
          </cell>
          <cell r="G27">
            <v>0.83333333333333337</v>
          </cell>
          <cell r="H27">
            <v>0.27083333333333331</v>
          </cell>
          <cell r="I27">
            <v>0.83333333333333337</v>
          </cell>
        </row>
        <row r="28">
          <cell r="C28" t="str">
            <v>MO0506</v>
          </cell>
          <cell r="F28">
            <v>0.25</v>
          </cell>
          <cell r="G28">
            <v>0.85416666666666663</v>
          </cell>
          <cell r="H28" t="str">
            <v>-</v>
          </cell>
          <cell r="I28" t="str">
            <v>-</v>
          </cell>
        </row>
        <row r="29">
          <cell r="C29" t="str">
            <v>MO1119</v>
          </cell>
          <cell r="F29">
            <v>0.16666666666666666</v>
          </cell>
          <cell r="G29">
            <v>0.82291666666666663</v>
          </cell>
          <cell r="H29">
            <v>0.29166666666666669</v>
          </cell>
          <cell r="I29">
            <v>0.58333333333333337</v>
          </cell>
        </row>
        <row r="30">
          <cell r="C30" t="str">
            <v>MO2802</v>
          </cell>
          <cell r="F30">
            <v>0.25</v>
          </cell>
          <cell r="G30">
            <v>0.83333333333333304</v>
          </cell>
          <cell r="H30" t="str">
            <v>-</v>
          </cell>
          <cell r="I30" t="str">
            <v>-</v>
          </cell>
        </row>
        <row r="31">
          <cell r="C31" t="str">
            <v>MO2327</v>
          </cell>
          <cell r="F31">
            <v>0.20833333333333334</v>
          </cell>
          <cell r="G31">
            <v>0.86458333333333337</v>
          </cell>
          <cell r="H31">
            <v>0.29166666666666669</v>
          </cell>
          <cell r="I31">
            <v>0.53125</v>
          </cell>
        </row>
        <row r="32">
          <cell r="C32" t="str">
            <v>MO1338</v>
          </cell>
          <cell r="F32">
            <v>0.25</v>
          </cell>
          <cell r="G32">
            <v>0.83333333333333304</v>
          </cell>
          <cell r="H32">
            <v>0.375</v>
          </cell>
          <cell r="I32">
            <v>0.54166666666666696</v>
          </cell>
        </row>
        <row r="33">
          <cell r="C33" t="str">
            <v>MO0162</v>
          </cell>
          <cell r="F33">
            <v>0.25</v>
          </cell>
          <cell r="G33">
            <v>0.89583333333333337</v>
          </cell>
          <cell r="H33">
            <v>0.29166666666666702</v>
          </cell>
          <cell r="I33">
            <v>0.80208333333333337</v>
          </cell>
        </row>
        <row r="34">
          <cell r="C34" t="str">
            <v>MO2323</v>
          </cell>
          <cell r="F34">
            <v>0.25</v>
          </cell>
          <cell r="G34">
            <v>0.875</v>
          </cell>
          <cell r="H34">
            <v>0.33333333333333331</v>
          </cell>
          <cell r="I34">
            <v>0.83333333333333337</v>
          </cell>
        </row>
        <row r="35">
          <cell r="C35" t="str">
            <v>MO0095</v>
          </cell>
          <cell r="F35">
            <v>0.24305555555555555</v>
          </cell>
          <cell r="G35">
            <v>0.83333333333333337</v>
          </cell>
          <cell r="H35" t="str">
            <v>-</v>
          </cell>
          <cell r="I35" t="str">
            <v>-</v>
          </cell>
        </row>
        <row r="36">
          <cell r="C36" t="str">
            <v>MO0296</v>
          </cell>
          <cell r="F36">
            <v>0.24305555555555555</v>
          </cell>
          <cell r="G36">
            <v>0.89583333333333337</v>
          </cell>
          <cell r="H36">
            <v>0.27083333333333331</v>
          </cell>
          <cell r="I36">
            <v>0.55902777777777779</v>
          </cell>
        </row>
        <row r="37">
          <cell r="C37" t="str">
            <v>MO0304</v>
          </cell>
          <cell r="F37">
            <v>0.20833333333333334</v>
          </cell>
          <cell r="G37">
            <v>0.89583333333333337</v>
          </cell>
          <cell r="H37">
            <v>0.27083333333333331</v>
          </cell>
          <cell r="I37">
            <v>0.55902777777777779</v>
          </cell>
        </row>
        <row r="38">
          <cell r="C38" t="str">
            <v>MO1265</v>
          </cell>
          <cell r="F38">
            <v>0.25</v>
          </cell>
          <cell r="G38">
            <v>0.86458333333333337</v>
          </cell>
          <cell r="H38" t="str">
            <v>-</v>
          </cell>
          <cell r="I38" t="str">
            <v>-</v>
          </cell>
        </row>
        <row r="39">
          <cell r="C39" t="str">
            <v>MO0100</v>
          </cell>
          <cell r="F39">
            <v>0.25</v>
          </cell>
          <cell r="G39">
            <v>0.85416666666666663</v>
          </cell>
          <cell r="H39">
            <v>0.27083333333333331</v>
          </cell>
          <cell r="I39">
            <v>0.5625</v>
          </cell>
        </row>
        <row r="40">
          <cell r="C40" t="str">
            <v>MO0106</v>
          </cell>
          <cell r="F40">
            <v>0.20486111111111113</v>
          </cell>
          <cell r="G40">
            <v>0.89583333333333337</v>
          </cell>
          <cell r="H40">
            <v>0.29166666666666669</v>
          </cell>
          <cell r="I40">
            <v>0.5625</v>
          </cell>
        </row>
        <row r="41">
          <cell r="C41" t="str">
            <v>MO0253</v>
          </cell>
          <cell r="F41">
            <v>0.24305555555555555</v>
          </cell>
          <cell r="G41">
            <v>0.92013888888888884</v>
          </cell>
          <cell r="H41">
            <v>0.28472222222222221</v>
          </cell>
          <cell r="I41">
            <v>0.54166666666666663</v>
          </cell>
        </row>
        <row r="42">
          <cell r="C42" t="str">
            <v>MO2804</v>
          </cell>
          <cell r="F42">
            <v>0.24305555555555555</v>
          </cell>
          <cell r="G42">
            <v>0.875</v>
          </cell>
          <cell r="H42">
            <v>0.3125</v>
          </cell>
          <cell r="I42">
            <v>0.54166666666666663</v>
          </cell>
        </row>
        <row r="43">
          <cell r="C43" t="str">
            <v>MO1106</v>
          </cell>
          <cell r="F43">
            <v>0.25</v>
          </cell>
          <cell r="G43">
            <v>0.86458333333333337</v>
          </cell>
          <cell r="H43">
            <v>0.33333333333333331</v>
          </cell>
          <cell r="I43">
            <v>0.55555555555555558</v>
          </cell>
        </row>
        <row r="44">
          <cell r="C44" t="str">
            <v>MO0416</v>
          </cell>
          <cell r="F44">
            <v>0.23611111111111113</v>
          </cell>
          <cell r="G44">
            <v>0.875</v>
          </cell>
          <cell r="H44">
            <v>0.3125</v>
          </cell>
          <cell r="I44">
            <v>0.55208333333333337</v>
          </cell>
        </row>
        <row r="45">
          <cell r="C45" t="str">
            <v>MO2914</v>
          </cell>
          <cell r="F45">
            <v>0.25</v>
          </cell>
          <cell r="G45">
            <v>0.82291666666666663</v>
          </cell>
          <cell r="H45">
            <v>0.32291666666666669</v>
          </cell>
          <cell r="I45">
            <v>0.53125</v>
          </cell>
        </row>
        <row r="46">
          <cell r="C46" t="str">
            <v>MO2147</v>
          </cell>
          <cell r="F46">
            <v>0.25</v>
          </cell>
          <cell r="G46">
            <v>0.82291666666666663</v>
          </cell>
          <cell r="H46">
            <v>0.3125</v>
          </cell>
          <cell r="I46">
            <v>0.55208333333333337</v>
          </cell>
        </row>
        <row r="47">
          <cell r="C47" t="str">
            <v>MO2261</v>
          </cell>
          <cell r="F47">
            <v>0.29166666666666669</v>
          </cell>
          <cell r="G47">
            <v>0.8125</v>
          </cell>
          <cell r="H47">
            <v>0.3125</v>
          </cell>
          <cell r="I47">
            <v>0.53125</v>
          </cell>
        </row>
        <row r="48">
          <cell r="C48" t="str">
            <v>MO1134</v>
          </cell>
          <cell r="F48">
            <v>0.24305555555555555</v>
          </cell>
          <cell r="G48">
            <v>0.89583333333333337</v>
          </cell>
          <cell r="H48">
            <v>0.27083333333333331</v>
          </cell>
          <cell r="I48">
            <v>0.5625</v>
          </cell>
        </row>
        <row r="49">
          <cell r="C49" t="str">
            <v>MO2317</v>
          </cell>
          <cell r="F49">
            <v>0.22222222222222221</v>
          </cell>
          <cell r="G49">
            <v>0.89583333333333337</v>
          </cell>
          <cell r="H49">
            <v>0.3125</v>
          </cell>
          <cell r="I49">
            <v>0.55208333333333337</v>
          </cell>
        </row>
        <row r="50">
          <cell r="C50" t="str">
            <v>MO2834</v>
          </cell>
          <cell r="F50">
            <v>0.24305555555555555</v>
          </cell>
          <cell r="G50">
            <v>0.91666666666666663</v>
          </cell>
          <cell r="H50">
            <v>0.24305555555555555</v>
          </cell>
          <cell r="I50">
            <v>0.5625</v>
          </cell>
        </row>
        <row r="51">
          <cell r="C51" t="str">
            <v>MO0199</v>
          </cell>
          <cell r="F51">
            <v>0.27083333333333331</v>
          </cell>
          <cell r="G51">
            <v>0.84375</v>
          </cell>
          <cell r="H51">
            <v>0.34375</v>
          </cell>
          <cell r="I51">
            <v>0.54166666666666663</v>
          </cell>
        </row>
        <row r="52">
          <cell r="C52" t="str">
            <v>MO1254</v>
          </cell>
          <cell r="F52">
            <v>0.25</v>
          </cell>
          <cell r="G52">
            <v>0.83333333333333337</v>
          </cell>
          <cell r="H52">
            <v>0.25</v>
          </cell>
          <cell r="I52">
            <v>0.55208333333333337</v>
          </cell>
        </row>
        <row r="53">
          <cell r="C53" t="str">
            <v>MO2415</v>
          </cell>
          <cell r="F53">
            <v>0.20833333333333334</v>
          </cell>
          <cell r="G53">
            <v>0.83333333333333337</v>
          </cell>
          <cell r="H53">
            <v>0.3125</v>
          </cell>
          <cell r="I53">
            <v>0.53125</v>
          </cell>
        </row>
        <row r="54">
          <cell r="C54" t="str">
            <v>MO0037</v>
          </cell>
          <cell r="F54">
            <v>0.25</v>
          </cell>
          <cell r="G54">
            <v>0.90625</v>
          </cell>
          <cell r="H54">
            <v>0.3263888888888889</v>
          </cell>
          <cell r="I54">
            <v>0.54166666666666663</v>
          </cell>
        </row>
        <row r="55">
          <cell r="C55" t="str">
            <v>MO0456</v>
          </cell>
          <cell r="F55">
            <v>0.20833333333333334</v>
          </cell>
          <cell r="G55">
            <v>0.91666666666666663</v>
          </cell>
          <cell r="H55">
            <v>0.20833333333333334</v>
          </cell>
          <cell r="I55">
            <v>0.57291666666666663</v>
          </cell>
        </row>
        <row r="56">
          <cell r="C56" t="str">
            <v>MO1319</v>
          </cell>
          <cell r="F56">
            <v>0.24305555555555555</v>
          </cell>
          <cell r="G56">
            <v>0.9375</v>
          </cell>
          <cell r="H56" t="str">
            <v>-</v>
          </cell>
          <cell r="I56" t="str">
            <v>-</v>
          </cell>
        </row>
        <row r="57">
          <cell r="C57" t="str">
            <v>MO0348</v>
          </cell>
          <cell r="F57" t="str">
            <v>-</v>
          </cell>
          <cell r="G57" t="str">
            <v>-</v>
          </cell>
          <cell r="H57" t="str">
            <v>-</v>
          </cell>
          <cell r="I57" t="str">
            <v>-</v>
          </cell>
        </row>
        <row r="58">
          <cell r="C58" t="str">
            <v>MO0147</v>
          </cell>
          <cell r="F58">
            <v>0.1875</v>
          </cell>
          <cell r="G58">
            <v>0.88541666666666663</v>
          </cell>
          <cell r="H58" t="str">
            <v>-</v>
          </cell>
          <cell r="I58" t="str">
            <v>-</v>
          </cell>
        </row>
        <row r="59">
          <cell r="C59" t="str">
            <v>MO1247</v>
          </cell>
          <cell r="F59">
            <v>0.24305555555555555</v>
          </cell>
          <cell r="G59">
            <v>0.89583333333333337</v>
          </cell>
          <cell r="H59">
            <v>0.29166666666666669</v>
          </cell>
          <cell r="I59">
            <v>0.5625</v>
          </cell>
        </row>
        <row r="60">
          <cell r="C60" t="str">
            <v>MO1318</v>
          </cell>
          <cell r="F60">
            <v>0.24305555555555555</v>
          </cell>
          <cell r="G60">
            <v>0.875</v>
          </cell>
          <cell r="H60" t="str">
            <v>-</v>
          </cell>
          <cell r="I60" t="str">
            <v>-</v>
          </cell>
        </row>
        <row r="61">
          <cell r="C61" t="str">
            <v>MO0559</v>
          </cell>
          <cell r="F61">
            <v>0.22916666666666666</v>
          </cell>
          <cell r="G61">
            <v>0.89583333333333337</v>
          </cell>
          <cell r="H61">
            <v>0.27777777777777779</v>
          </cell>
          <cell r="I61">
            <v>0.5625</v>
          </cell>
        </row>
        <row r="62">
          <cell r="C62" t="str">
            <v>MO1304</v>
          </cell>
          <cell r="F62">
            <v>0.22916666666666666</v>
          </cell>
          <cell r="G62">
            <v>0.875</v>
          </cell>
          <cell r="H62">
            <v>0.29166666666666669</v>
          </cell>
          <cell r="I62">
            <v>0.83333333333333337</v>
          </cell>
        </row>
        <row r="63">
          <cell r="C63" t="str">
            <v>MO0060</v>
          </cell>
          <cell r="F63">
            <v>0.16666666666666666</v>
          </cell>
          <cell r="G63">
            <v>0.83333333333333337</v>
          </cell>
          <cell r="H63">
            <v>0.29166666666666669</v>
          </cell>
          <cell r="I63">
            <v>0.79166666666666663</v>
          </cell>
        </row>
        <row r="64">
          <cell r="C64" t="str">
            <v>MO0263</v>
          </cell>
          <cell r="F64">
            <v>0.20138888888888887</v>
          </cell>
          <cell r="G64">
            <v>0.85416666666666663</v>
          </cell>
          <cell r="H64">
            <v>0.3125</v>
          </cell>
          <cell r="I64">
            <v>0.54166666666666663</v>
          </cell>
        </row>
        <row r="65">
          <cell r="C65" t="str">
            <v>MO2316</v>
          </cell>
          <cell r="F65">
            <v>0.1875</v>
          </cell>
          <cell r="G65">
            <v>0.83333333333333337</v>
          </cell>
          <cell r="H65" t="str">
            <v>-</v>
          </cell>
          <cell r="I65" t="str">
            <v>-</v>
          </cell>
        </row>
        <row r="66">
          <cell r="C66" t="str">
            <v>MO2917</v>
          </cell>
          <cell r="F66">
            <v>0.30555555555555552</v>
          </cell>
          <cell r="G66">
            <v>0.83333333333333337</v>
          </cell>
          <cell r="H66">
            <v>0.33333333333333331</v>
          </cell>
          <cell r="I66">
            <v>0.54166666666666663</v>
          </cell>
        </row>
        <row r="67">
          <cell r="C67" t="str">
            <v>MO2878</v>
          </cell>
          <cell r="F67">
            <v>0.19791666666666666</v>
          </cell>
          <cell r="G67">
            <v>0.89583333333333337</v>
          </cell>
          <cell r="H67">
            <v>0.27083333333333331</v>
          </cell>
          <cell r="I67">
            <v>0.54166666666666663</v>
          </cell>
        </row>
        <row r="68">
          <cell r="C68" t="str">
            <v>MO2326</v>
          </cell>
          <cell r="F68">
            <v>0.1875</v>
          </cell>
          <cell r="G68">
            <v>0.83333333333333337</v>
          </cell>
          <cell r="H68">
            <v>0.25</v>
          </cell>
          <cell r="I68">
            <v>0.5</v>
          </cell>
        </row>
        <row r="69">
          <cell r="C69" t="str">
            <v>MO2810</v>
          </cell>
          <cell r="F69">
            <v>0.20833333333333334</v>
          </cell>
          <cell r="G69">
            <v>0.88541666666666663</v>
          </cell>
          <cell r="H69">
            <v>0.31944444444444448</v>
          </cell>
          <cell r="I69">
            <v>0.55208333333333337</v>
          </cell>
        </row>
        <row r="70">
          <cell r="C70" t="str">
            <v>MO2324</v>
          </cell>
          <cell r="F70">
            <v>0.20138888888888887</v>
          </cell>
          <cell r="G70">
            <v>0.875</v>
          </cell>
          <cell r="H70">
            <v>0.24305555555555555</v>
          </cell>
          <cell r="I70">
            <v>0.83333333333333337</v>
          </cell>
        </row>
        <row r="71">
          <cell r="C71" t="str">
            <v>MO2719</v>
          </cell>
          <cell r="F71">
            <v>0.23611111111111113</v>
          </cell>
          <cell r="G71">
            <v>0.875</v>
          </cell>
          <cell r="H71">
            <v>0.3125</v>
          </cell>
          <cell r="I71">
            <v>0.54166666666666663</v>
          </cell>
        </row>
        <row r="72">
          <cell r="C72" t="str">
            <v>MO0344</v>
          </cell>
          <cell r="F72">
            <v>0.14583333333333334</v>
          </cell>
          <cell r="G72">
            <v>0.875</v>
          </cell>
          <cell r="H72">
            <v>0.28472222222222221</v>
          </cell>
          <cell r="I72">
            <v>0.54166666666666663</v>
          </cell>
        </row>
        <row r="73">
          <cell r="C73" t="str">
            <v>MO0044</v>
          </cell>
          <cell r="F73">
            <v>0.23611111111111113</v>
          </cell>
          <cell r="G73">
            <v>0.875</v>
          </cell>
          <cell r="H73">
            <v>0.25</v>
          </cell>
          <cell r="I73">
            <v>0.85416666666666663</v>
          </cell>
        </row>
        <row r="74">
          <cell r="C74" t="str">
            <v>MO0107</v>
          </cell>
          <cell r="F74">
            <v>0.1875</v>
          </cell>
          <cell r="G74">
            <v>0.91666666666666663</v>
          </cell>
          <cell r="H74">
            <v>0.29166666666666669</v>
          </cell>
          <cell r="I74">
            <v>0.54166666666666663</v>
          </cell>
        </row>
        <row r="75">
          <cell r="C75" t="str">
            <v>MO0522</v>
          </cell>
          <cell r="F75">
            <v>0.24305555555555555</v>
          </cell>
          <cell r="G75">
            <v>0.875</v>
          </cell>
          <cell r="H75">
            <v>0.27083333333333331</v>
          </cell>
          <cell r="I75">
            <v>0.55902777777777779</v>
          </cell>
        </row>
        <row r="76">
          <cell r="C76" t="str">
            <v>MO2321</v>
          </cell>
          <cell r="F76">
            <v>0.20138888888888887</v>
          </cell>
          <cell r="G76">
            <v>0.85416666666666663</v>
          </cell>
          <cell r="H76">
            <v>0.20833333333333334</v>
          </cell>
          <cell r="I76">
            <v>0.54166666666666663</v>
          </cell>
        </row>
        <row r="77">
          <cell r="C77" t="str">
            <v>MO1321</v>
          </cell>
          <cell r="F77">
            <v>0.23611111111111113</v>
          </cell>
          <cell r="G77">
            <v>0.92708333333333337</v>
          </cell>
          <cell r="H77">
            <v>0.23611111111111113</v>
          </cell>
          <cell r="I77">
            <v>0.54166666666666663</v>
          </cell>
        </row>
        <row r="78">
          <cell r="C78" t="str">
            <v>MO0081</v>
          </cell>
          <cell r="F78">
            <v>0.24305555555555555</v>
          </cell>
          <cell r="G78">
            <v>0.84375</v>
          </cell>
          <cell r="H78" t="str">
            <v>-</v>
          </cell>
          <cell r="I78" t="str">
            <v>-</v>
          </cell>
        </row>
        <row r="79">
          <cell r="C79" t="str">
            <v>MO0041</v>
          </cell>
          <cell r="F79">
            <v>0.23611111111111113</v>
          </cell>
          <cell r="G79">
            <v>0.86458333333333337</v>
          </cell>
          <cell r="H79" t="str">
            <v>-</v>
          </cell>
          <cell r="I79" t="str">
            <v>-</v>
          </cell>
        </row>
        <row r="80">
          <cell r="C80" t="str">
            <v>MO2335</v>
          </cell>
          <cell r="F80">
            <v>0.24305555555555555</v>
          </cell>
          <cell r="G80">
            <v>0.875</v>
          </cell>
          <cell r="H80" t="str">
            <v>-</v>
          </cell>
          <cell r="I80" t="str">
            <v>-</v>
          </cell>
        </row>
        <row r="81">
          <cell r="C81" t="str">
            <v>MO0512</v>
          </cell>
          <cell r="F81">
            <v>0.24305555555555555</v>
          </cell>
          <cell r="G81">
            <v>0.83333333333333337</v>
          </cell>
          <cell r="H81">
            <v>0.29166666666666669</v>
          </cell>
          <cell r="I81">
            <v>0.54166666666666663</v>
          </cell>
        </row>
        <row r="82">
          <cell r="C82" t="str">
            <v>MO2408</v>
          </cell>
          <cell r="F82">
            <v>0.24305555555555555</v>
          </cell>
          <cell r="G82">
            <v>0.83333333333333337</v>
          </cell>
          <cell r="H82">
            <v>0.29166666666666669</v>
          </cell>
          <cell r="I82">
            <v>0.53125</v>
          </cell>
        </row>
        <row r="83">
          <cell r="C83" t="str">
            <v>MO2735</v>
          </cell>
          <cell r="F83">
            <v>0.23611111111111113</v>
          </cell>
          <cell r="G83">
            <v>0.875</v>
          </cell>
          <cell r="H83">
            <v>0.28472222222222221</v>
          </cell>
          <cell r="I83">
            <v>0.54166666666666663</v>
          </cell>
        </row>
        <row r="84">
          <cell r="C84" t="str">
            <v>MO2733</v>
          </cell>
          <cell r="F84">
            <v>0.20138888888888887</v>
          </cell>
          <cell r="G84">
            <v>0.89583333333333337</v>
          </cell>
          <cell r="H84">
            <v>0.27777777777777779</v>
          </cell>
          <cell r="I84">
            <v>0.55208333333333337</v>
          </cell>
        </row>
        <row r="85">
          <cell r="C85" t="str">
            <v>MO2709</v>
          </cell>
          <cell r="F85">
            <v>0.20138888888888887</v>
          </cell>
          <cell r="G85">
            <v>0.89583333333333337</v>
          </cell>
          <cell r="H85">
            <v>0.28472222222222221</v>
          </cell>
          <cell r="I85">
            <v>0.85416666666666663</v>
          </cell>
        </row>
        <row r="86">
          <cell r="C86" t="str">
            <v>MO3027</v>
          </cell>
          <cell r="F86">
            <v>0.3125</v>
          </cell>
          <cell r="G86">
            <v>0.80208333333333337</v>
          </cell>
          <cell r="H86">
            <v>0.36805555555555558</v>
          </cell>
          <cell r="I86">
            <v>0.52083333333333337</v>
          </cell>
        </row>
        <row r="87">
          <cell r="C87" t="str">
            <v>MO0189</v>
          </cell>
          <cell r="F87">
            <v>0.24305555555555555</v>
          </cell>
          <cell r="G87">
            <v>0.9375</v>
          </cell>
          <cell r="H87">
            <v>0.3125</v>
          </cell>
          <cell r="I87">
            <v>0.87152777777777779</v>
          </cell>
        </row>
        <row r="88">
          <cell r="C88" t="str">
            <v>MO0426</v>
          </cell>
          <cell r="F88">
            <v>0.1875</v>
          </cell>
          <cell r="G88">
            <v>0.83333333333333337</v>
          </cell>
          <cell r="H88">
            <v>0.27083333333333331</v>
          </cell>
          <cell r="I88">
            <v>0.8125</v>
          </cell>
        </row>
        <row r="89">
          <cell r="C89" t="str">
            <v>MO1163</v>
          </cell>
          <cell r="F89">
            <v>0.20833333333333334</v>
          </cell>
          <cell r="G89">
            <v>0.93055555555555547</v>
          </cell>
          <cell r="H89">
            <v>0.28472222222222221</v>
          </cell>
          <cell r="I89">
            <v>0.83333333333333337</v>
          </cell>
        </row>
        <row r="90">
          <cell r="C90" t="str">
            <v>MO0191</v>
          </cell>
          <cell r="F90">
            <v>0.24305555555555555</v>
          </cell>
          <cell r="G90">
            <v>0.84375</v>
          </cell>
          <cell r="H90" t="str">
            <v>-</v>
          </cell>
          <cell r="I90" t="str">
            <v>-</v>
          </cell>
        </row>
        <row r="91">
          <cell r="C91" t="str">
            <v>MO0164</v>
          </cell>
          <cell r="F91">
            <v>0.25</v>
          </cell>
          <cell r="G91">
            <v>0.84375</v>
          </cell>
          <cell r="H91">
            <v>0.3263888888888889</v>
          </cell>
          <cell r="I91">
            <v>0.54166666666666663</v>
          </cell>
        </row>
        <row r="92">
          <cell r="C92" t="str">
            <v>MO0555</v>
          </cell>
          <cell r="F92">
            <v>0.22916666666666666</v>
          </cell>
          <cell r="G92">
            <v>0.86111111111111116</v>
          </cell>
          <cell r="H92">
            <v>0.27777777777777779</v>
          </cell>
          <cell r="I92">
            <v>0.77777777777777779</v>
          </cell>
        </row>
        <row r="93">
          <cell r="C93" t="str">
            <v>MO0514</v>
          </cell>
          <cell r="F93">
            <v>0.22916666666666666</v>
          </cell>
          <cell r="G93">
            <v>0.875</v>
          </cell>
          <cell r="H93">
            <v>0.22916666666666666</v>
          </cell>
          <cell r="I93">
            <v>0.54166666666666663</v>
          </cell>
        </row>
        <row r="94">
          <cell r="C94" t="str">
            <v>MO0193</v>
          </cell>
          <cell r="F94">
            <v>0.1875</v>
          </cell>
          <cell r="G94">
            <v>0.9375</v>
          </cell>
          <cell r="H94">
            <v>0.25</v>
          </cell>
          <cell r="I94">
            <v>0.875</v>
          </cell>
        </row>
        <row r="95">
          <cell r="C95" t="str">
            <v>MO0056</v>
          </cell>
          <cell r="F95">
            <v>0.22916666666666666</v>
          </cell>
          <cell r="G95">
            <v>0.85416666666666663</v>
          </cell>
          <cell r="H95">
            <v>0.3125</v>
          </cell>
          <cell r="I95">
            <v>0.5625</v>
          </cell>
        </row>
        <row r="96">
          <cell r="C96" t="str">
            <v>MO0258</v>
          </cell>
          <cell r="F96">
            <v>0.22916666666666666</v>
          </cell>
          <cell r="G96">
            <v>0.86458333333333337</v>
          </cell>
          <cell r="H96" t="str">
            <v>-</v>
          </cell>
          <cell r="I96" t="str">
            <v>-</v>
          </cell>
        </row>
        <row r="97">
          <cell r="C97" t="str">
            <v>MO0074</v>
          </cell>
          <cell r="F97">
            <v>0.24305555555555555</v>
          </cell>
          <cell r="G97">
            <v>0.94791666666666663</v>
          </cell>
          <cell r="H97">
            <v>0.25</v>
          </cell>
          <cell r="I97">
            <v>0.54166666666666663</v>
          </cell>
        </row>
        <row r="98">
          <cell r="C98" t="str">
            <v>MO2502</v>
          </cell>
          <cell r="F98">
            <v>0.25</v>
          </cell>
          <cell r="G98">
            <v>0.83333333333333337</v>
          </cell>
          <cell r="H98">
            <v>0.3263888888888889</v>
          </cell>
          <cell r="I98">
            <v>0.55208333333333337</v>
          </cell>
        </row>
        <row r="99">
          <cell r="C99" t="str">
            <v>MO1149</v>
          </cell>
          <cell r="F99">
            <v>0.25</v>
          </cell>
          <cell r="G99">
            <v>0.91666666666666663</v>
          </cell>
          <cell r="H99">
            <v>0.29166666666666669</v>
          </cell>
          <cell r="I99">
            <v>0.55208333333333337</v>
          </cell>
        </row>
        <row r="100">
          <cell r="C100" t="str">
            <v>MO0070</v>
          </cell>
          <cell r="F100">
            <v>0.23611111111111113</v>
          </cell>
          <cell r="G100">
            <v>0.875</v>
          </cell>
          <cell r="H100">
            <v>0.28472222222222221</v>
          </cell>
          <cell r="I100">
            <v>0.55208333333333337</v>
          </cell>
        </row>
        <row r="101">
          <cell r="C101" t="str">
            <v>MO2318</v>
          </cell>
          <cell r="F101">
            <v>0.26041666666666669</v>
          </cell>
          <cell r="G101">
            <v>0.92708333333333337</v>
          </cell>
          <cell r="H101">
            <v>0.27777777777777779</v>
          </cell>
          <cell r="I101">
            <v>0.59375</v>
          </cell>
        </row>
        <row r="102">
          <cell r="C102" t="str">
            <v>MO0157</v>
          </cell>
          <cell r="F102">
            <v>0.23611111111111113</v>
          </cell>
          <cell r="G102">
            <v>0.91666666666666663</v>
          </cell>
          <cell r="H102">
            <v>0.25694444444444448</v>
          </cell>
          <cell r="I102">
            <v>0.60069444444444442</v>
          </cell>
        </row>
        <row r="103">
          <cell r="C103" t="str">
            <v>MO2315</v>
          </cell>
          <cell r="F103">
            <v>0.23611111111111113</v>
          </cell>
          <cell r="G103">
            <v>0.82291666666666663</v>
          </cell>
          <cell r="H103" t="str">
            <v>-</v>
          </cell>
          <cell r="I103" t="str">
            <v>-</v>
          </cell>
        </row>
        <row r="104">
          <cell r="C104" t="str">
            <v>MO1170</v>
          </cell>
          <cell r="F104">
            <v>0.25</v>
          </cell>
          <cell r="G104">
            <v>0.91666666666666663</v>
          </cell>
          <cell r="H104">
            <v>0.28472222222222221</v>
          </cell>
          <cell r="I104">
            <v>0.83333333333333337</v>
          </cell>
        </row>
        <row r="105">
          <cell r="C105" t="str">
            <v>MO1357</v>
          </cell>
          <cell r="F105">
            <v>0.24305555555555555</v>
          </cell>
          <cell r="G105">
            <v>0.875</v>
          </cell>
          <cell r="H105">
            <v>0.28472222222222221</v>
          </cell>
          <cell r="I105">
            <v>0.55208333333333337</v>
          </cell>
        </row>
        <row r="106">
          <cell r="C106" t="str">
            <v>MO0051</v>
          </cell>
          <cell r="F106">
            <v>0.25694444444444448</v>
          </cell>
          <cell r="G106">
            <v>0.875</v>
          </cell>
          <cell r="H106">
            <v>0.35416666666666669</v>
          </cell>
          <cell r="I106">
            <v>0.55208333333333337</v>
          </cell>
        </row>
        <row r="107">
          <cell r="C107" t="str">
            <v>MO2759</v>
          </cell>
          <cell r="F107">
            <v>0.23611111111111113</v>
          </cell>
          <cell r="G107">
            <v>0.85416666666666663</v>
          </cell>
          <cell r="H107">
            <v>0.29166666666666669</v>
          </cell>
          <cell r="I107">
            <v>0.54166666666666663</v>
          </cell>
        </row>
        <row r="108">
          <cell r="C108" t="str">
            <v>MO0099</v>
          </cell>
          <cell r="F108">
            <v>0.20138888888888887</v>
          </cell>
          <cell r="G108">
            <v>0.85416666666666663</v>
          </cell>
          <cell r="H108">
            <v>0.29166666666666669</v>
          </cell>
          <cell r="I108">
            <v>0.5625</v>
          </cell>
        </row>
        <row r="109">
          <cell r="C109" t="str">
            <v>MO0080</v>
          </cell>
          <cell r="F109">
            <v>0.24305555555555555</v>
          </cell>
          <cell r="G109">
            <v>0.90625</v>
          </cell>
          <cell r="H109">
            <v>0.28125</v>
          </cell>
          <cell r="I109">
            <v>0.5625</v>
          </cell>
        </row>
        <row r="110">
          <cell r="C110" t="str">
            <v>MO0034</v>
          </cell>
          <cell r="F110">
            <v>0.24305555555555555</v>
          </cell>
          <cell r="G110">
            <v>0</v>
          </cell>
          <cell r="H110">
            <v>0.27083333333333331</v>
          </cell>
          <cell r="I110">
            <v>0.54166666666666663</v>
          </cell>
        </row>
        <row r="111">
          <cell r="C111" t="str">
            <v>MO0158</v>
          </cell>
          <cell r="F111">
            <v>0.20833333333333334</v>
          </cell>
          <cell r="G111">
            <v>0.85416666666666663</v>
          </cell>
          <cell r="H111">
            <v>0.3125</v>
          </cell>
          <cell r="I111">
            <v>0.55902777777777779</v>
          </cell>
        </row>
        <row r="112">
          <cell r="C112" t="str">
            <v>MO2911</v>
          </cell>
          <cell r="F112">
            <v>0.25</v>
          </cell>
          <cell r="G112">
            <v>0.86458333333333337</v>
          </cell>
          <cell r="H112" t="str">
            <v>-</v>
          </cell>
          <cell r="I112" t="str">
            <v>-</v>
          </cell>
        </row>
        <row r="113">
          <cell r="C113" t="str">
            <v>MO1337</v>
          </cell>
          <cell r="F113">
            <v>0.25</v>
          </cell>
          <cell r="G113">
            <v>0.84722222222222221</v>
          </cell>
          <cell r="H113">
            <v>0.36805555555555558</v>
          </cell>
          <cell r="I113">
            <v>0.55208333333333337</v>
          </cell>
        </row>
        <row r="114">
          <cell r="C114" t="str">
            <v>MO2622</v>
          </cell>
          <cell r="F114">
            <v>0.23611111111111113</v>
          </cell>
          <cell r="G114">
            <v>0.85416666666666663</v>
          </cell>
          <cell r="H114" t="str">
            <v>-</v>
          </cell>
          <cell r="I114" t="str">
            <v>-</v>
          </cell>
        </row>
        <row r="115">
          <cell r="C115" t="str">
            <v>MO1209</v>
          </cell>
          <cell r="F115">
            <v>0.1875</v>
          </cell>
          <cell r="G115">
            <v>0.89583333333333337</v>
          </cell>
          <cell r="H115">
            <v>0.22916666666666666</v>
          </cell>
          <cell r="I115">
            <v>0.8125</v>
          </cell>
        </row>
        <row r="116">
          <cell r="C116" t="str">
            <v>MO0049</v>
          </cell>
          <cell r="F116">
            <v>0.24305555555555555</v>
          </cell>
          <cell r="G116">
            <v>0.92708333333333337</v>
          </cell>
          <cell r="H116" t="str">
            <v>-</v>
          </cell>
          <cell r="I116" t="str">
            <v>-</v>
          </cell>
        </row>
        <row r="117">
          <cell r="C117" t="str">
            <v>MO0035</v>
          </cell>
          <cell r="F117">
            <v>0.22916666666666666</v>
          </cell>
          <cell r="G117">
            <v>0.88541666666666663</v>
          </cell>
          <cell r="H117">
            <v>0.31944444444444448</v>
          </cell>
          <cell r="I117">
            <v>0.55208333333333337</v>
          </cell>
        </row>
        <row r="118">
          <cell r="C118" t="str">
            <v>MO0382</v>
          </cell>
          <cell r="F118">
            <v>0.22916666666666666</v>
          </cell>
          <cell r="G118">
            <v>0.88541666666666663</v>
          </cell>
          <cell r="H118">
            <v>0.29166666666666669</v>
          </cell>
          <cell r="I118">
            <v>0.55208333333333337</v>
          </cell>
        </row>
        <row r="119">
          <cell r="C119" t="str">
            <v>MO1162</v>
          </cell>
          <cell r="F119">
            <v>0.20138888888888887</v>
          </cell>
          <cell r="G119">
            <v>0.92013888888888884</v>
          </cell>
          <cell r="H119">
            <v>0.27777777777777779</v>
          </cell>
          <cell r="I119">
            <v>0.55208333333333337</v>
          </cell>
        </row>
        <row r="120">
          <cell r="C120" t="str">
            <v>MO0168</v>
          </cell>
          <cell r="F120">
            <v>0.24305555555555555</v>
          </cell>
          <cell r="G120">
            <v>0.83333333333333337</v>
          </cell>
          <cell r="H120">
            <v>0.34722222222222227</v>
          </cell>
          <cell r="I120">
            <v>0.57986111111111105</v>
          </cell>
        </row>
        <row r="121">
          <cell r="C121" t="str">
            <v>MO1329</v>
          </cell>
          <cell r="F121">
            <v>0.20138888888888887</v>
          </cell>
          <cell r="G121">
            <v>0.92708333333333337</v>
          </cell>
          <cell r="H121">
            <v>0.2638888888888889</v>
          </cell>
          <cell r="I121">
            <v>0.5625</v>
          </cell>
        </row>
        <row r="122">
          <cell r="C122" t="str">
            <v>MO0243</v>
          </cell>
          <cell r="F122">
            <v>0.25</v>
          </cell>
          <cell r="G122">
            <v>0.875</v>
          </cell>
          <cell r="H122">
            <v>0.30555555555555552</v>
          </cell>
          <cell r="I122">
            <v>0.54166666666666663</v>
          </cell>
        </row>
        <row r="123">
          <cell r="C123" t="str">
            <v>MO0156</v>
          </cell>
          <cell r="F123">
            <v>0.1875</v>
          </cell>
          <cell r="G123">
            <v>0.85416666666666663</v>
          </cell>
          <cell r="H123" t="str">
            <v>-</v>
          </cell>
          <cell r="I123" t="str">
            <v>-</v>
          </cell>
        </row>
        <row r="124">
          <cell r="C124" t="str">
            <v>MO2923</v>
          </cell>
          <cell r="F124">
            <v>0.24305555555555555</v>
          </cell>
          <cell r="G124">
            <v>0.85416666666666663</v>
          </cell>
          <cell r="H124">
            <v>0.33333333333333331</v>
          </cell>
          <cell r="I124">
            <v>0.5625</v>
          </cell>
        </row>
        <row r="125">
          <cell r="C125" t="str">
            <v>MO2404</v>
          </cell>
          <cell r="F125">
            <v>0.25</v>
          </cell>
          <cell r="G125">
            <v>0.85416666666666663</v>
          </cell>
          <cell r="H125">
            <v>0.30555555555555552</v>
          </cell>
          <cell r="I125">
            <v>0.8125</v>
          </cell>
        </row>
        <row r="126">
          <cell r="C126" t="str">
            <v>MO0284</v>
          </cell>
          <cell r="F126">
            <v>0.24305555555555555</v>
          </cell>
          <cell r="G126">
            <v>0.83333333333333337</v>
          </cell>
          <cell r="H126">
            <v>0.29166666666666669</v>
          </cell>
          <cell r="I126">
            <v>0.54166666666666663</v>
          </cell>
        </row>
        <row r="127">
          <cell r="C127" t="str">
            <v>MO0111</v>
          </cell>
          <cell r="F127">
            <v>0.23611111111111113</v>
          </cell>
          <cell r="G127">
            <v>0.85416666666666663</v>
          </cell>
          <cell r="H127">
            <v>0.31944444444444448</v>
          </cell>
          <cell r="I127">
            <v>0.55208333333333337</v>
          </cell>
        </row>
        <row r="128">
          <cell r="C128" t="str">
            <v>MO0105</v>
          </cell>
          <cell r="F128">
            <v>0.22916666666666666</v>
          </cell>
          <cell r="G128">
            <v>0.89583333333333337</v>
          </cell>
          <cell r="H128">
            <v>0.28472222222222221</v>
          </cell>
          <cell r="I128">
            <v>0.54166666666666663</v>
          </cell>
        </row>
        <row r="129">
          <cell r="C129" t="str">
            <v>MO1153</v>
          </cell>
          <cell r="F129">
            <v>0.24305555555555555</v>
          </cell>
          <cell r="G129">
            <v>0.91666666666666663</v>
          </cell>
          <cell r="H129">
            <v>0.28472222222222221</v>
          </cell>
          <cell r="I129">
            <v>0.56944444444444442</v>
          </cell>
        </row>
        <row r="130">
          <cell r="C130" t="str">
            <v>MO0216</v>
          </cell>
          <cell r="F130">
            <v>0.25</v>
          </cell>
          <cell r="G130">
            <v>0.91666666666666663</v>
          </cell>
          <cell r="H130">
            <v>0.27777777777777779</v>
          </cell>
          <cell r="I130">
            <v>0.5625</v>
          </cell>
        </row>
        <row r="131">
          <cell r="C131" t="str">
            <v>MP2043</v>
          </cell>
          <cell r="F131" t="str">
            <v>-</v>
          </cell>
          <cell r="G131" t="str">
            <v>-</v>
          </cell>
          <cell r="H131" t="str">
            <v>-</v>
          </cell>
          <cell r="I131" t="str">
            <v>-</v>
          </cell>
        </row>
        <row r="132">
          <cell r="C132" t="str">
            <v>MO2501</v>
          </cell>
          <cell r="F132">
            <v>0.25</v>
          </cell>
          <cell r="G132">
            <v>0.83333333333333337</v>
          </cell>
          <cell r="H132">
            <v>0.28472222222222221</v>
          </cell>
          <cell r="I132">
            <v>0.54861111111111105</v>
          </cell>
        </row>
        <row r="133">
          <cell r="C133" t="str">
            <v>MO0478</v>
          </cell>
          <cell r="F133">
            <v>0.28472222222222221</v>
          </cell>
          <cell r="G133">
            <v>0.85416666666666663</v>
          </cell>
          <cell r="H133">
            <v>0.3263888888888889</v>
          </cell>
          <cell r="I133">
            <v>0.5625</v>
          </cell>
        </row>
        <row r="134">
          <cell r="C134" t="str">
            <v>MP2034</v>
          </cell>
          <cell r="F134">
            <v>0.27083333333333331</v>
          </cell>
          <cell r="G134">
            <v>0.85416666666666663</v>
          </cell>
          <cell r="H134" t="str">
            <v>-</v>
          </cell>
          <cell r="I134" t="str">
            <v>-</v>
          </cell>
        </row>
        <row r="135">
          <cell r="C135" t="str">
            <v>MO2721</v>
          </cell>
          <cell r="F135">
            <v>0.22916666666666666</v>
          </cell>
          <cell r="G135">
            <v>0.83333333333333337</v>
          </cell>
          <cell r="H135">
            <v>0.33333333333333331</v>
          </cell>
          <cell r="I135">
            <v>0.54166666666666663</v>
          </cell>
        </row>
        <row r="136">
          <cell r="C136" t="str">
            <v>MO0515</v>
          </cell>
          <cell r="F136">
            <v>0.27083333333333331</v>
          </cell>
          <cell r="G136">
            <v>0.83333333333333337</v>
          </cell>
          <cell r="H136" t="str">
            <v>-</v>
          </cell>
          <cell r="I136" t="str">
            <v>-</v>
          </cell>
        </row>
        <row r="137">
          <cell r="C137" t="str">
            <v>MO0033</v>
          </cell>
          <cell r="F137">
            <v>0.22916666666666666</v>
          </cell>
          <cell r="G137">
            <v>0.875</v>
          </cell>
          <cell r="H137" t="str">
            <v>-</v>
          </cell>
          <cell r="I137" t="str">
            <v>-</v>
          </cell>
        </row>
        <row r="138">
          <cell r="C138" t="str">
            <v>MO2301</v>
          </cell>
          <cell r="F138">
            <v>0.22916666666666666</v>
          </cell>
          <cell r="G138">
            <v>0.875</v>
          </cell>
          <cell r="H138">
            <v>0.3125</v>
          </cell>
          <cell r="I138">
            <v>0.5625</v>
          </cell>
        </row>
        <row r="139">
          <cell r="C139" t="str">
            <v>MO2367</v>
          </cell>
          <cell r="F139">
            <v>0.25</v>
          </cell>
          <cell r="G139">
            <v>0.875</v>
          </cell>
          <cell r="H139">
            <v>0.25</v>
          </cell>
          <cell r="I139">
            <v>0.54166666666666663</v>
          </cell>
        </row>
        <row r="140">
          <cell r="C140" t="str">
            <v>MP2042</v>
          </cell>
          <cell r="F140">
            <v>0.27083333333333331</v>
          </cell>
          <cell r="G140">
            <v>2.0833333333333332E-2</v>
          </cell>
          <cell r="H140" t="str">
            <v>-</v>
          </cell>
          <cell r="I140" t="str">
            <v>-</v>
          </cell>
        </row>
        <row r="141">
          <cell r="C141" t="str">
            <v>MP2064</v>
          </cell>
          <cell r="F141">
            <v>0.27083333333333331</v>
          </cell>
          <cell r="G141">
            <v>0.85416666666666663</v>
          </cell>
          <cell r="H141">
            <v>0.3125</v>
          </cell>
          <cell r="I141">
            <v>0.5625</v>
          </cell>
        </row>
        <row r="142">
          <cell r="C142" t="str">
            <v>MO0071</v>
          </cell>
          <cell r="F142">
            <v>0.29166666666666669</v>
          </cell>
          <cell r="G142">
            <v>0.83333333333333337</v>
          </cell>
          <cell r="H142">
            <v>0.33333333333333331</v>
          </cell>
          <cell r="I142">
            <v>0.5625</v>
          </cell>
        </row>
        <row r="143">
          <cell r="C143" t="str">
            <v>MO2809</v>
          </cell>
          <cell r="F143">
            <v>0.14583333333333334</v>
          </cell>
          <cell r="G143">
            <v>0.89583333333333337</v>
          </cell>
          <cell r="H143">
            <v>0.29166666666666669</v>
          </cell>
          <cell r="I143">
            <v>0.58333333333333337</v>
          </cell>
        </row>
        <row r="144">
          <cell r="C144" t="str">
            <v>MO0411</v>
          </cell>
          <cell r="F144">
            <v>0.25</v>
          </cell>
          <cell r="G144">
            <v>0.8125</v>
          </cell>
          <cell r="H144" t="str">
            <v>-</v>
          </cell>
          <cell r="I144" t="str">
            <v>-</v>
          </cell>
        </row>
        <row r="145">
          <cell r="C145" t="str">
            <v>MP2049</v>
          </cell>
          <cell r="F145">
            <v>0.25</v>
          </cell>
          <cell r="G145">
            <v>0.95833333333333337</v>
          </cell>
          <cell r="H145" t="str">
            <v>-</v>
          </cell>
          <cell r="I145" t="str">
            <v>-</v>
          </cell>
        </row>
        <row r="146">
          <cell r="C146" t="str">
            <v>MP2051</v>
          </cell>
          <cell r="F146">
            <v>0.25</v>
          </cell>
          <cell r="G146">
            <v>0.875</v>
          </cell>
          <cell r="H146">
            <v>0.29166666666666669</v>
          </cell>
          <cell r="I146">
            <v>0.5625</v>
          </cell>
        </row>
        <row r="147">
          <cell r="C147" t="str">
            <v>MO0299</v>
          </cell>
          <cell r="F147">
            <v>0.27083333333333331</v>
          </cell>
          <cell r="G147">
            <v>0.83333333333333337</v>
          </cell>
          <cell r="H147">
            <v>0.33333333333333331</v>
          </cell>
          <cell r="I147">
            <v>0.54166666666666663</v>
          </cell>
        </row>
        <row r="148">
          <cell r="C148" t="str">
            <v>MP2026</v>
          </cell>
          <cell r="F148">
            <v>0.25</v>
          </cell>
          <cell r="G148">
            <v>0.9375</v>
          </cell>
          <cell r="H148" t="str">
            <v>-</v>
          </cell>
          <cell r="I148" t="str">
            <v>-</v>
          </cell>
        </row>
        <row r="149">
          <cell r="C149" t="str">
            <v>MO2334</v>
          </cell>
          <cell r="F149">
            <v>0.22916666666666666</v>
          </cell>
          <cell r="G149">
            <v>0.83333333333333337</v>
          </cell>
          <cell r="H149">
            <v>0.29166666666666669</v>
          </cell>
          <cell r="I149">
            <v>0.54166666666666663</v>
          </cell>
        </row>
        <row r="150">
          <cell r="C150" t="str">
            <v>MO0036</v>
          </cell>
          <cell r="F150">
            <v>0.20138888888888887</v>
          </cell>
          <cell r="G150">
            <v>0.83333333333333337</v>
          </cell>
          <cell r="H150">
            <v>0.29166666666666669</v>
          </cell>
          <cell r="I150">
            <v>0.79166666666666663</v>
          </cell>
        </row>
        <row r="151">
          <cell r="C151" t="str">
            <v>MO0308</v>
          </cell>
          <cell r="F151">
            <v>0.25</v>
          </cell>
          <cell r="G151">
            <v>0.83333333333333337</v>
          </cell>
          <cell r="H151">
            <v>0.29166666666666669</v>
          </cell>
          <cell r="I151">
            <v>0.79166666666666663</v>
          </cell>
        </row>
        <row r="152">
          <cell r="C152" t="str">
            <v>MO0161</v>
          </cell>
          <cell r="F152">
            <v>0.16666666666666666</v>
          </cell>
          <cell r="G152">
            <v>0.83333333333333337</v>
          </cell>
          <cell r="H152">
            <v>0.27083333333333331</v>
          </cell>
          <cell r="I152">
            <v>0.8125</v>
          </cell>
        </row>
        <row r="153">
          <cell r="C153" t="str">
            <v>MO1126</v>
          </cell>
          <cell r="F153">
            <v>0.1875</v>
          </cell>
          <cell r="G153">
            <v>0.83333333333333337</v>
          </cell>
          <cell r="H153">
            <v>0.29166666666666669</v>
          </cell>
          <cell r="I153">
            <v>0.8125</v>
          </cell>
        </row>
        <row r="154">
          <cell r="C154" t="str">
            <v>MO1216</v>
          </cell>
          <cell r="F154">
            <v>0.22916666666666666</v>
          </cell>
          <cell r="G154">
            <v>0.9375</v>
          </cell>
          <cell r="H154">
            <v>0.25</v>
          </cell>
          <cell r="I154">
            <v>0.9375</v>
          </cell>
        </row>
        <row r="155">
          <cell r="C155" t="str">
            <v>MO0102</v>
          </cell>
          <cell r="F155">
            <v>0.1875</v>
          </cell>
          <cell r="G155">
            <v>0.9375</v>
          </cell>
          <cell r="H155">
            <v>0.27083333333333331</v>
          </cell>
          <cell r="I155">
            <v>0.79166666666666663</v>
          </cell>
        </row>
        <row r="156">
          <cell r="C156" t="str">
            <v>MO0421</v>
          </cell>
          <cell r="F156">
            <v>0.20833333333333334</v>
          </cell>
          <cell r="G156">
            <v>0.97916666666666663</v>
          </cell>
          <cell r="H156">
            <v>0.25</v>
          </cell>
          <cell r="I156">
            <v>0.85416666666666663</v>
          </cell>
        </row>
        <row r="157">
          <cell r="C157" t="str">
            <v>MO1236</v>
          </cell>
          <cell r="F157">
            <v>0.20833333333333334</v>
          </cell>
          <cell r="G157">
            <v>0.9375</v>
          </cell>
          <cell r="H157">
            <v>0.29166666666666669</v>
          </cell>
          <cell r="I157">
            <v>0.84027777777777779</v>
          </cell>
        </row>
        <row r="158">
          <cell r="C158" t="str">
            <v>MO0160</v>
          </cell>
          <cell r="F158">
            <v>0.24305555555555555</v>
          </cell>
          <cell r="G158">
            <v>0.84027777777777779</v>
          </cell>
          <cell r="H158">
            <v>0.28472222222222221</v>
          </cell>
          <cell r="I158">
            <v>0.54861111111111105</v>
          </cell>
        </row>
        <row r="159">
          <cell r="C159" t="str">
            <v>MO0022</v>
          </cell>
          <cell r="F159">
            <v>0.1875</v>
          </cell>
          <cell r="G159">
            <v>0.85416666666666663</v>
          </cell>
          <cell r="H159">
            <v>0.24305555555555555</v>
          </cell>
          <cell r="I159">
            <v>0.81944444444444453</v>
          </cell>
        </row>
        <row r="160">
          <cell r="C160" t="str">
            <v>MO1244</v>
          </cell>
          <cell r="F160">
            <v>0.25</v>
          </cell>
          <cell r="G160">
            <v>0.91666666666666663</v>
          </cell>
          <cell r="H160">
            <v>0.28472222222222221</v>
          </cell>
          <cell r="I160">
            <v>0.79861111111111116</v>
          </cell>
        </row>
        <row r="161">
          <cell r="C161" t="str">
            <v>MO2105</v>
          </cell>
          <cell r="F161">
            <v>0.25</v>
          </cell>
          <cell r="G161">
            <v>0.79166666666666663</v>
          </cell>
          <cell r="H161">
            <v>0.33333333333333331</v>
          </cell>
          <cell r="I161">
            <v>0.52083333333333337</v>
          </cell>
        </row>
        <row r="162">
          <cell r="C162" t="str">
            <v>MO2320</v>
          </cell>
          <cell r="F162">
            <v>0.25</v>
          </cell>
          <cell r="G162">
            <v>0.89583333333333337</v>
          </cell>
          <cell r="H162">
            <v>0.33333333333333331</v>
          </cell>
          <cell r="I162">
            <v>0.5625</v>
          </cell>
        </row>
        <row r="163">
          <cell r="C163" t="str">
            <v>MO0109</v>
          </cell>
          <cell r="F163">
            <v>0.22916666666666666</v>
          </cell>
          <cell r="G163">
            <v>0.90625</v>
          </cell>
          <cell r="H163">
            <v>0.27777777777777779</v>
          </cell>
          <cell r="I163">
            <v>0.55555555555555558</v>
          </cell>
        </row>
        <row r="164">
          <cell r="C164" t="str">
            <v>MO1343</v>
          </cell>
          <cell r="F164">
            <v>0.25</v>
          </cell>
          <cell r="G164">
            <v>0.90972222222222221</v>
          </cell>
          <cell r="H164">
            <v>0.29166666666666669</v>
          </cell>
          <cell r="I164">
            <v>0.85416666666666663</v>
          </cell>
        </row>
        <row r="165">
          <cell r="C165" t="str">
            <v>MO0027</v>
          </cell>
          <cell r="F165">
            <v>0.20833333333333334</v>
          </cell>
          <cell r="G165">
            <v>0.92361111111111116</v>
          </cell>
          <cell r="H165">
            <v>0.20833333333333334</v>
          </cell>
          <cell r="I165">
            <v>0.83333333333333337</v>
          </cell>
        </row>
        <row r="166">
          <cell r="C166" t="str">
            <v>MO0154</v>
          </cell>
          <cell r="F166">
            <v>0.25</v>
          </cell>
          <cell r="G166">
            <v>0.86805555555555547</v>
          </cell>
          <cell r="H166">
            <v>0.3125</v>
          </cell>
          <cell r="I166">
            <v>0.5625</v>
          </cell>
        </row>
        <row r="167">
          <cell r="C167" t="str">
            <v>MO1241</v>
          </cell>
          <cell r="F167">
            <v>0.27083333333333331</v>
          </cell>
          <cell r="G167">
            <v>0.85416666666666663</v>
          </cell>
          <cell r="H167">
            <v>0.2986111111111111</v>
          </cell>
          <cell r="I167">
            <v>0.54861111111111105</v>
          </cell>
        </row>
        <row r="168">
          <cell r="C168" t="str">
            <v>MO1229</v>
          </cell>
          <cell r="F168">
            <v>0.25</v>
          </cell>
          <cell r="G168">
            <v>0.89583333333333337</v>
          </cell>
          <cell r="H168">
            <v>0.28472222222222221</v>
          </cell>
          <cell r="I168">
            <v>0.81944444444444453</v>
          </cell>
        </row>
        <row r="169">
          <cell r="C169" t="str">
            <v>MO0085</v>
          </cell>
          <cell r="F169">
            <v>0.23611111111111113</v>
          </cell>
          <cell r="G169">
            <v>0.90277777777777779</v>
          </cell>
          <cell r="H169">
            <v>0.27083333333333331</v>
          </cell>
          <cell r="I169">
            <v>0.82638888888888884</v>
          </cell>
        </row>
        <row r="170">
          <cell r="C170" t="str">
            <v>MP2065</v>
          </cell>
          <cell r="F170">
            <v>0.27083333333333331</v>
          </cell>
          <cell r="G170">
            <v>0.89583333333333337</v>
          </cell>
          <cell r="H170" t="str">
            <v>-</v>
          </cell>
          <cell r="I170" t="str">
            <v>-</v>
          </cell>
        </row>
        <row r="171">
          <cell r="C171" t="str">
            <v>MO0336</v>
          </cell>
          <cell r="F171">
            <v>0.25</v>
          </cell>
          <cell r="G171">
            <v>0.91666666666666663</v>
          </cell>
          <cell r="H171">
            <v>0.25</v>
          </cell>
          <cell r="I171">
            <v>0.83333333333333337</v>
          </cell>
        </row>
        <row r="172">
          <cell r="C172" t="str">
            <v>MO1203</v>
          </cell>
          <cell r="F172">
            <v>0.25</v>
          </cell>
          <cell r="G172">
            <v>0.91666666666666663</v>
          </cell>
          <cell r="H172">
            <v>0.27083333333333331</v>
          </cell>
          <cell r="I172">
            <v>0.85416666666666663</v>
          </cell>
        </row>
        <row r="173">
          <cell r="C173" t="str">
            <v>MO1001</v>
          </cell>
          <cell r="F173">
            <v>0.22916666666666666</v>
          </cell>
          <cell r="G173">
            <v>0.89583333333333337</v>
          </cell>
          <cell r="H173">
            <v>0.3125</v>
          </cell>
          <cell r="I173">
            <v>0.83333333333333337</v>
          </cell>
        </row>
        <row r="174">
          <cell r="C174" t="str">
            <v>MO1246</v>
          </cell>
          <cell r="F174">
            <v>0.25</v>
          </cell>
          <cell r="G174">
            <v>0.90972222222222221</v>
          </cell>
          <cell r="H174">
            <v>0.29166666666666669</v>
          </cell>
          <cell r="I174">
            <v>0.83333333333333337</v>
          </cell>
        </row>
        <row r="175">
          <cell r="C175" t="str">
            <v>MO1133</v>
          </cell>
          <cell r="F175">
            <v>0.24305555555555555</v>
          </cell>
          <cell r="G175">
            <v>0.92361111111111116</v>
          </cell>
          <cell r="H175">
            <v>0.29166666666666669</v>
          </cell>
          <cell r="I175">
            <v>0.83333333333333337</v>
          </cell>
        </row>
        <row r="176">
          <cell r="C176" t="str">
            <v>MO0409</v>
          </cell>
          <cell r="F176" t="str">
            <v>-</v>
          </cell>
          <cell r="G176" t="str">
            <v>-</v>
          </cell>
          <cell r="H176" t="str">
            <v>-</v>
          </cell>
          <cell r="I176" t="str">
            <v>-</v>
          </cell>
        </row>
        <row r="177">
          <cell r="C177" t="str">
            <v>MO0249</v>
          </cell>
          <cell r="F177">
            <v>0.22916666666666666</v>
          </cell>
          <cell r="G177">
            <v>0.85416666666666663</v>
          </cell>
          <cell r="H177">
            <v>0.32291666666666669</v>
          </cell>
          <cell r="I177">
            <v>0.55555555555555558</v>
          </cell>
        </row>
        <row r="178">
          <cell r="C178" t="str">
            <v>MO2801</v>
          </cell>
          <cell r="F178">
            <v>0.25</v>
          </cell>
          <cell r="G178">
            <v>0.88888888888888884</v>
          </cell>
          <cell r="H178" t="str">
            <v>-</v>
          </cell>
          <cell r="I178" t="str">
            <v>-</v>
          </cell>
        </row>
        <row r="179">
          <cell r="C179" t="str">
            <v>MO1139</v>
          </cell>
          <cell r="F179">
            <v>0.25</v>
          </cell>
          <cell r="G179">
            <v>0.88888888888888884</v>
          </cell>
          <cell r="H179">
            <v>0.29166666666666669</v>
          </cell>
          <cell r="I179">
            <v>0.54166666666666663</v>
          </cell>
        </row>
        <row r="180">
          <cell r="C180" t="str">
            <v>MO0078</v>
          </cell>
          <cell r="F180">
            <v>0.22916666666666666</v>
          </cell>
          <cell r="G180">
            <v>0.875</v>
          </cell>
          <cell r="H180">
            <v>0.29166666666666669</v>
          </cell>
          <cell r="I180">
            <v>0.5625</v>
          </cell>
        </row>
        <row r="181">
          <cell r="C181" t="str">
            <v>MO2360</v>
          </cell>
          <cell r="F181">
            <v>0.27083333333333331</v>
          </cell>
          <cell r="G181">
            <v>0.875</v>
          </cell>
          <cell r="H181">
            <v>0.3125</v>
          </cell>
          <cell r="I181">
            <v>0.83333333333333337</v>
          </cell>
        </row>
        <row r="182">
          <cell r="C182" t="str">
            <v>MP2056</v>
          </cell>
          <cell r="F182">
            <v>0.23611111111111113</v>
          </cell>
          <cell r="G182">
            <v>0.95833333333333337</v>
          </cell>
          <cell r="H182" t="str">
            <v>-</v>
          </cell>
          <cell r="I182" t="str">
            <v>-</v>
          </cell>
        </row>
        <row r="183">
          <cell r="C183" t="str">
            <v>MO2346</v>
          </cell>
          <cell r="F183">
            <v>0.25</v>
          </cell>
          <cell r="G183">
            <v>0.89583333333333337</v>
          </cell>
          <cell r="H183">
            <v>0.29166666666666669</v>
          </cell>
          <cell r="I183">
            <v>0.5625</v>
          </cell>
        </row>
        <row r="184">
          <cell r="C184" t="str">
            <v>MO2704</v>
          </cell>
          <cell r="F184">
            <v>0.23958333333333334</v>
          </cell>
          <cell r="G184">
            <v>0.85416666666666663</v>
          </cell>
          <cell r="H184">
            <v>0.3125</v>
          </cell>
          <cell r="I184">
            <v>0.54861111111111105</v>
          </cell>
        </row>
        <row r="185">
          <cell r="C185" t="str">
            <v>MO0143</v>
          </cell>
          <cell r="F185">
            <v>0.20833333333333334</v>
          </cell>
          <cell r="G185">
            <v>0.83333333333333337</v>
          </cell>
          <cell r="H185">
            <v>0.28472222222222221</v>
          </cell>
          <cell r="I185">
            <v>0.77083333333333337</v>
          </cell>
        </row>
        <row r="186">
          <cell r="C186" t="str">
            <v>MO0325</v>
          </cell>
          <cell r="F186">
            <v>0.21527777777777779</v>
          </cell>
          <cell r="G186">
            <v>0.77083333333333337</v>
          </cell>
          <cell r="H186">
            <v>0.25</v>
          </cell>
          <cell r="I186">
            <v>0.77083333333333337</v>
          </cell>
        </row>
        <row r="187">
          <cell r="C187" t="str">
            <v>MO2712</v>
          </cell>
          <cell r="F187">
            <v>0.23611111111111113</v>
          </cell>
          <cell r="G187">
            <v>0.875</v>
          </cell>
          <cell r="H187">
            <v>0.28472222222222221</v>
          </cell>
          <cell r="I187">
            <v>0.54861111111111105</v>
          </cell>
        </row>
        <row r="188">
          <cell r="C188" t="str">
            <v>MO0048</v>
          </cell>
          <cell r="F188">
            <v>0.19444444444444445</v>
          </cell>
          <cell r="G188">
            <v>0.95833333333333337</v>
          </cell>
          <cell r="H188">
            <v>0.27777777777777779</v>
          </cell>
          <cell r="I188">
            <v>0.85416666666666663</v>
          </cell>
        </row>
        <row r="189">
          <cell r="C189" t="str">
            <v>MP2074</v>
          </cell>
          <cell r="F189">
            <v>0.24305555555555555</v>
          </cell>
          <cell r="G189">
            <v>0.86111111111111116</v>
          </cell>
          <cell r="H189">
            <v>0.28472222222222221</v>
          </cell>
          <cell r="I189">
            <v>0.55555555555555558</v>
          </cell>
        </row>
        <row r="190">
          <cell r="C190" t="str">
            <v>MP2028</v>
          </cell>
          <cell r="F190">
            <v>0.25</v>
          </cell>
          <cell r="G190">
            <v>0.95833333333333337</v>
          </cell>
          <cell r="H190" t="str">
            <v>-</v>
          </cell>
          <cell r="I190" t="str">
            <v>-</v>
          </cell>
        </row>
        <row r="191">
          <cell r="C191" t="str">
            <v>MO0394</v>
          </cell>
          <cell r="F191">
            <v>0.23611111111111113</v>
          </cell>
          <cell r="G191">
            <v>0.91666666666666663</v>
          </cell>
          <cell r="H191">
            <v>0.2638888888888889</v>
          </cell>
          <cell r="I191">
            <v>0.83333333333333337</v>
          </cell>
        </row>
        <row r="192">
          <cell r="C192" t="str">
            <v>MO2778</v>
          </cell>
          <cell r="F192">
            <v>0.24305555555555555</v>
          </cell>
          <cell r="G192">
            <v>0.84027777777777779</v>
          </cell>
          <cell r="H192">
            <v>0.2986111111111111</v>
          </cell>
          <cell r="I192">
            <v>0.54861111111111105</v>
          </cell>
        </row>
        <row r="193">
          <cell r="C193" t="str">
            <v>MO0459</v>
          </cell>
          <cell r="F193">
            <v>0.17361111111111113</v>
          </cell>
          <cell r="G193">
            <v>0.90277777777777779</v>
          </cell>
          <cell r="H193">
            <v>0.25</v>
          </cell>
          <cell r="I193">
            <v>0.55555555555555558</v>
          </cell>
        </row>
        <row r="194">
          <cell r="C194" t="str">
            <v>MP2013</v>
          </cell>
          <cell r="F194">
            <v>0.23611111111111113</v>
          </cell>
          <cell r="G194">
            <v>0.99305555555555547</v>
          </cell>
          <cell r="H194">
            <v>0.3125</v>
          </cell>
          <cell r="I194">
            <v>0.79166666666666663</v>
          </cell>
        </row>
        <row r="195">
          <cell r="C195" t="str">
            <v>MO1219</v>
          </cell>
          <cell r="F195">
            <v>0.24305555555555555</v>
          </cell>
          <cell r="G195">
            <v>0.90625</v>
          </cell>
          <cell r="H195">
            <v>0.31944444444444448</v>
          </cell>
          <cell r="I195">
            <v>0.54861111111111105</v>
          </cell>
        </row>
        <row r="196">
          <cell r="C196" t="str">
            <v>MO2330</v>
          </cell>
          <cell r="F196">
            <v>0.24305555555555555</v>
          </cell>
          <cell r="G196">
            <v>0.875</v>
          </cell>
          <cell r="H196">
            <v>0.31944444444444448</v>
          </cell>
          <cell r="I196">
            <v>0.5625</v>
          </cell>
        </row>
        <row r="197">
          <cell r="C197" t="str">
            <v>MO2332</v>
          </cell>
          <cell r="F197" t="str">
            <v>-</v>
          </cell>
          <cell r="G197" t="str">
            <v>-</v>
          </cell>
          <cell r="H197" t="str">
            <v>-</v>
          </cell>
          <cell r="I197" t="str">
            <v>-</v>
          </cell>
        </row>
        <row r="198">
          <cell r="C198" t="str">
            <v>MO1204</v>
          </cell>
          <cell r="F198">
            <v>0.2638888888888889</v>
          </cell>
          <cell r="G198">
            <v>0.95138888888888884</v>
          </cell>
          <cell r="H198">
            <v>0.2638888888888889</v>
          </cell>
          <cell r="I198">
            <v>0.82638888888888884</v>
          </cell>
        </row>
        <row r="199">
          <cell r="C199" t="str">
            <v>MO2343</v>
          </cell>
          <cell r="F199">
            <v>0.25</v>
          </cell>
          <cell r="G199">
            <v>0.88194444444444453</v>
          </cell>
          <cell r="H199">
            <v>0.28472222222222221</v>
          </cell>
          <cell r="I199">
            <v>0.88194444444444453</v>
          </cell>
        </row>
        <row r="200">
          <cell r="C200" t="str">
            <v>MO0079</v>
          </cell>
          <cell r="F200">
            <v>0.25</v>
          </cell>
          <cell r="G200">
            <v>0.81944444444444453</v>
          </cell>
          <cell r="H200" t="str">
            <v>-</v>
          </cell>
          <cell r="I200" t="str">
            <v>-</v>
          </cell>
        </row>
        <row r="201">
          <cell r="C201" t="str">
            <v>MO2821</v>
          </cell>
          <cell r="F201">
            <v>0.24305555555555555</v>
          </cell>
          <cell r="G201">
            <v>0.84027777777777779</v>
          </cell>
          <cell r="H201">
            <v>0.2986111111111111</v>
          </cell>
          <cell r="I201">
            <v>0.54861111111111105</v>
          </cell>
        </row>
        <row r="202">
          <cell r="C202" t="str">
            <v>MO2357</v>
          </cell>
          <cell r="F202">
            <v>0.23611111111111113</v>
          </cell>
          <cell r="G202">
            <v>0.88194444444444453</v>
          </cell>
          <cell r="H202">
            <v>0.3263888888888889</v>
          </cell>
          <cell r="I202">
            <v>0.54861111111111105</v>
          </cell>
        </row>
        <row r="203">
          <cell r="C203" t="str">
            <v>MO0171</v>
          </cell>
          <cell r="F203">
            <v>0.22916666666666666</v>
          </cell>
          <cell r="G203">
            <v>0.95138888888888884</v>
          </cell>
          <cell r="H203">
            <v>0.28472222222222221</v>
          </cell>
          <cell r="I203">
            <v>0.98611111111111116</v>
          </cell>
        </row>
        <row r="204">
          <cell r="C204" t="str">
            <v>MO2366</v>
          </cell>
          <cell r="F204">
            <v>0.24305555555555555</v>
          </cell>
          <cell r="G204">
            <v>0.90972222222222221</v>
          </cell>
          <cell r="H204">
            <v>0.31944444444444448</v>
          </cell>
          <cell r="I204">
            <v>0.55555555555555558</v>
          </cell>
        </row>
        <row r="205">
          <cell r="C205" t="str">
            <v>MO1244</v>
          </cell>
          <cell r="F205">
            <v>0.25694444444444448</v>
          </cell>
          <cell r="G205">
            <v>0.90972222222222221</v>
          </cell>
          <cell r="H205">
            <v>0.27083333333333331</v>
          </cell>
          <cell r="I205">
            <v>0.5625</v>
          </cell>
        </row>
        <row r="206">
          <cell r="C206" t="str">
            <v>MO2358</v>
          </cell>
          <cell r="F206">
            <v>0.2638888888888889</v>
          </cell>
          <cell r="G206">
            <v>0.86111111111111116</v>
          </cell>
          <cell r="H206">
            <v>0.27083333333333331</v>
          </cell>
          <cell r="I206">
            <v>0.54861111111111105</v>
          </cell>
        </row>
        <row r="207">
          <cell r="C207" t="str">
            <v>MO0151</v>
          </cell>
          <cell r="F207">
            <v>0.22916666666666666</v>
          </cell>
          <cell r="G207">
            <v>0.88194444444444453</v>
          </cell>
          <cell r="H207">
            <v>0.30555555555555552</v>
          </cell>
          <cell r="I207">
            <v>0.54166666666666663</v>
          </cell>
        </row>
        <row r="208">
          <cell r="C208" t="str">
            <v>MO2331</v>
          </cell>
          <cell r="F208">
            <v>0.25</v>
          </cell>
          <cell r="G208">
            <v>0.91666666666666663</v>
          </cell>
          <cell r="H208">
            <v>0.27777777777777779</v>
          </cell>
          <cell r="I208">
            <v>0.84027777777777779</v>
          </cell>
        </row>
        <row r="209">
          <cell r="C209" t="str">
            <v>MO0324</v>
          </cell>
          <cell r="F209">
            <v>0.27083333333333331</v>
          </cell>
          <cell r="G209">
            <v>0.9375</v>
          </cell>
          <cell r="H209">
            <v>0.29166666666666669</v>
          </cell>
          <cell r="I209">
            <v>0.83333333333333337</v>
          </cell>
        </row>
        <row r="210">
          <cell r="C210" t="str">
            <v>MO0042</v>
          </cell>
          <cell r="F210">
            <v>0.20833333333333334</v>
          </cell>
          <cell r="G210">
            <v>0.875</v>
          </cell>
          <cell r="H210">
            <v>0.25</v>
          </cell>
          <cell r="I210">
            <v>0.83333333333333337</v>
          </cell>
        </row>
        <row r="211">
          <cell r="C211" t="str">
            <v>MO2764</v>
          </cell>
          <cell r="F211">
            <v>0.22916666666666666</v>
          </cell>
          <cell r="G211">
            <v>0.90972222222222221</v>
          </cell>
          <cell r="H211">
            <v>0.24305555555555555</v>
          </cell>
          <cell r="I211">
            <v>0.88888888888888884</v>
          </cell>
        </row>
        <row r="212">
          <cell r="C212" t="str">
            <v>MO2390</v>
          </cell>
          <cell r="F212">
            <v>0.23611111111111113</v>
          </cell>
          <cell r="G212">
            <v>0.86111111111111116</v>
          </cell>
          <cell r="H212">
            <v>0.3125</v>
          </cell>
          <cell r="I212">
            <v>0.54861111111111105</v>
          </cell>
        </row>
        <row r="213">
          <cell r="C213" t="str">
            <v>MO0165</v>
          </cell>
          <cell r="F213">
            <v>0.23611111111111113</v>
          </cell>
          <cell r="G213">
            <v>0.91666666666666663</v>
          </cell>
          <cell r="H213">
            <v>0.29166666666666669</v>
          </cell>
          <cell r="I213">
            <v>0.55555555555555558</v>
          </cell>
        </row>
        <row r="214">
          <cell r="C214" t="str">
            <v>MO2767</v>
          </cell>
          <cell r="F214">
            <v>0.16666666666666666</v>
          </cell>
          <cell r="G214">
            <v>0.86111111111111116</v>
          </cell>
          <cell r="H214">
            <v>0.24305555555555555</v>
          </cell>
          <cell r="I214">
            <v>0.55555555555555558</v>
          </cell>
        </row>
        <row r="215">
          <cell r="C215" t="str">
            <v>MP3419</v>
          </cell>
          <cell r="F215">
            <v>0.25</v>
          </cell>
          <cell r="G215">
            <v>0.95833333333333337</v>
          </cell>
          <cell r="H215">
            <v>0.30555555555555552</v>
          </cell>
          <cell r="I215">
            <v>0.86111111111111116</v>
          </cell>
        </row>
        <row r="216">
          <cell r="C216" t="str">
            <v>MO2385</v>
          </cell>
          <cell r="F216">
            <v>0.24305555555555555</v>
          </cell>
          <cell r="G216">
            <v>0.80555555555555547</v>
          </cell>
          <cell r="H216">
            <v>0.29166666666666669</v>
          </cell>
          <cell r="I216">
            <v>0.90972222222222221</v>
          </cell>
        </row>
        <row r="217">
          <cell r="C217" t="str">
            <v>MO2388</v>
          </cell>
          <cell r="F217">
            <v>0.22916666666666666</v>
          </cell>
          <cell r="G217">
            <v>0.92361111111111116</v>
          </cell>
          <cell r="H217">
            <v>0.25</v>
          </cell>
          <cell r="I217">
            <v>0.54166666666666663</v>
          </cell>
        </row>
        <row r="218">
          <cell r="C218" t="str">
            <v>MO2355</v>
          </cell>
          <cell r="F218">
            <v>0.23611111111111113</v>
          </cell>
          <cell r="G218">
            <v>0.88888888888888884</v>
          </cell>
          <cell r="H218">
            <v>0.31944444444444448</v>
          </cell>
          <cell r="I218">
            <v>0.54861111111111105</v>
          </cell>
        </row>
        <row r="219">
          <cell r="C219" t="str">
            <v>MO0135</v>
          </cell>
          <cell r="F219">
            <v>0.25694444444444448</v>
          </cell>
          <cell r="G219">
            <v>0.81944444444444453</v>
          </cell>
          <cell r="H219" t="str">
            <v>-</v>
          </cell>
          <cell r="I219" t="str">
            <v>-</v>
          </cell>
        </row>
        <row r="220">
          <cell r="C220" t="str">
            <v>MP2060</v>
          </cell>
          <cell r="F220">
            <v>0.20833333333333334</v>
          </cell>
          <cell r="G220">
            <v>0.97222222222222221</v>
          </cell>
          <cell r="H220" t="str">
            <v>-</v>
          </cell>
          <cell r="I220" t="str">
            <v>-</v>
          </cell>
        </row>
        <row r="221">
          <cell r="C221" t="str">
            <v>MP2057</v>
          </cell>
          <cell r="F221">
            <v>0.25</v>
          </cell>
          <cell r="G221">
            <v>6.9444444444444441E-3</v>
          </cell>
          <cell r="H221">
            <v>0.28472222222222221</v>
          </cell>
          <cell r="I221">
            <v>0.88194444444444453</v>
          </cell>
        </row>
        <row r="222">
          <cell r="C222" t="str">
            <v>MP2079</v>
          </cell>
          <cell r="F222">
            <v>0.29166666666666669</v>
          </cell>
          <cell r="G222">
            <v>4.1666666666666664E-2</v>
          </cell>
          <cell r="H222">
            <v>0.39583333333333331</v>
          </cell>
          <cell r="I222">
            <v>0.97916666666666663</v>
          </cell>
        </row>
        <row r="223">
          <cell r="C223" t="str">
            <v>MP2036</v>
          </cell>
          <cell r="F223">
            <v>0.25694444444444448</v>
          </cell>
          <cell r="G223">
            <v>1.3888888888888888E-2</v>
          </cell>
          <cell r="H223">
            <v>0.29166666666666669</v>
          </cell>
          <cell r="I223">
            <v>0.93055555555555547</v>
          </cell>
        </row>
        <row r="224">
          <cell r="C224" t="str">
            <v>MP3405</v>
          </cell>
          <cell r="F224">
            <v>0.22916666666666666</v>
          </cell>
          <cell r="G224">
            <v>0.85416666666666663</v>
          </cell>
          <cell r="H224">
            <v>0.3263888888888889</v>
          </cell>
          <cell r="I224">
            <v>0.55555555555555558</v>
          </cell>
        </row>
        <row r="225">
          <cell r="C225" t="str">
            <v>MP3444</v>
          </cell>
          <cell r="F225">
            <v>0.2638888888888889</v>
          </cell>
          <cell r="G225">
            <v>0.875</v>
          </cell>
          <cell r="H225">
            <v>0.3125</v>
          </cell>
          <cell r="I225">
            <v>0.79166666666666663</v>
          </cell>
        </row>
        <row r="226">
          <cell r="C226" t="str">
            <v>MP3433</v>
          </cell>
          <cell r="F226">
            <v>0.30555555555555552</v>
          </cell>
          <cell r="G226">
            <v>0.9375</v>
          </cell>
          <cell r="H226">
            <v>0.33333333333333331</v>
          </cell>
          <cell r="I226">
            <v>0.875</v>
          </cell>
        </row>
        <row r="227">
          <cell r="C227" t="str">
            <v>MP2076</v>
          </cell>
          <cell r="F227">
            <v>0.22222222222222221</v>
          </cell>
          <cell r="G227">
            <v>0.82638888888888884</v>
          </cell>
          <cell r="H227">
            <v>0.3263888888888889</v>
          </cell>
          <cell r="I227">
            <v>0.77777777777777779</v>
          </cell>
        </row>
        <row r="228">
          <cell r="C228" t="str">
            <v>MP2058</v>
          </cell>
          <cell r="F228">
            <v>0.1875</v>
          </cell>
          <cell r="G228">
            <v>0.89583333333333337</v>
          </cell>
          <cell r="H228">
            <v>0.3125</v>
          </cell>
          <cell r="I228">
            <v>0.875</v>
          </cell>
        </row>
        <row r="229">
          <cell r="C229" t="str">
            <v>MO2359</v>
          </cell>
          <cell r="F229">
            <v>0.25</v>
          </cell>
          <cell r="G229">
            <v>0.95138888888888884</v>
          </cell>
          <cell r="H229">
            <v>0.28472222222222221</v>
          </cell>
          <cell r="I229">
            <v>0.875</v>
          </cell>
        </row>
        <row r="230">
          <cell r="C230" t="str">
            <v>MP2068</v>
          </cell>
          <cell r="F230">
            <v>0.23611111111111113</v>
          </cell>
          <cell r="G230">
            <v>0.875</v>
          </cell>
          <cell r="H230" t="str">
            <v>-</v>
          </cell>
          <cell r="I230" t="str">
            <v>-</v>
          </cell>
        </row>
        <row r="231">
          <cell r="C231" t="str">
            <v>MO0230</v>
          </cell>
          <cell r="F231">
            <v>0.27777777777777779</v>
          </cell>
          <cell r="G231">
            <v>0.81944444444444453</v>
          </cell>
          <cell r="H231" t="str">
            <v>-</v>
          </cell>
          <cell r="I231" t="str">
            <v>-</v>
          </cell>
        </row>
        <row r="232">
          <cell r="C232" t="str">
            <v>MO0113</v>
          </cell>
          <cell r="F232">
            <v>0.3125</v>
          </cell>
          <cell r="G232">
            <v>0.83333333333333337</v>
          </cell>
          <cell r="H232" t="str">
            <v>-</v>
          </cell>
          <cell r="I232" t="str">
            <v>-</v>
          </cell>
        </row>
        <row r="233">
          <cell r="C233" t="str">
            <v>MP3439</v>
          </cell>
          <cell r="F233">
            <v>0.27083333333333331</v>
          </cell>
          <cell r="G233">
            <v>0.89583333333333337</v>
          </cell>
          <cell r="H233">
            <v>0.29166666666666669</v>
          </cell>
          <cell r="I233">
            <v>0.55555555555555558</v>
          </cell>
        </row>
        <row r="234">
          <cell r="C234" t="str">
            <v>MO0267</v>
          </cell>
          <cell r="F234">
            <v>0.23611111111111113</v>
          </cell>
          <cell r="G234">
            <v>0.79861111111111116</v>
          </cell>
          <cell r="H234">
            <v>0.28472222222222221</v>
          </cell>
          <cell r="I234">
            <v>0.78472222222222221</v>
          </cell>
        </row>
        <row r="235">
          <cell r="C235" t="str">
            <v>MP3406</v>
          </cell>
          <cell r="F235">
            <v>0.19444444444444445</v>
          </cell>
          <cell r="G235">
            <v>0.84722222222222221</v>
          </cell>
          <cell r="H235">
            <v>0.29166666666666669</v>
          </cell>
          <cell r="I235">
            <v>0.79861111111111116</v>
          </cell>
        </row>
        <row r="236">
          <cell r="C236" t="str">
            <v>MO2363</v>
          </cell>
          <cell r="F236">
            <v>0.23611111111111113</v>
          </cell>
          <cell r="G236">
            <v>0.84722222222222221</v>
          </cell>
          <cell r="H236">
            <v>0.33333333333333331</v>
          </cell>
          <cell r="I236">
            <v>0.79166666666666663</v>
          </cell>
        </row>
        <row r="237">
          <cell r="C237" t="str">
            <v>MO0502</v>
          </cell>
          <cell r="F237">
            <v>0.25</v>
          </cell>
          <cell r="G237">
            <v>0.84722222222222221</v>
          </cell>
          <cell r="H237">
            <v>0.33333333333333331</v>
          </cell>
          <cell r="I237">
            <v>0.54166666666666663</v>
          </cell>
        </row>
        <row r="238">
          <cell r="C238" t="str">
            <v>MO0098</v>
          </cell>
          <cell r="F238">
            <v>0.21527777777777779</v>
          </cell>
          <cell r="G238">
            <v>0.97916666666666663</v>
          </cell>
          <cell r="H238">
            <v>0.24305555555555555</v>
          </cell>
          <cell r="I238">
            <v>0.95833333333333337</v>
          </cell>
        </row>
        <row r="239">
          <cell r="F239">
            <v>0</v>
          </cell>
          <cell r="G239">
            <v>0</v>
          </cell>
          <cell r="H239">
            <v>0</v>
          </cell>
          <cell r="I239">
            <v>0</v>
          </cell>
        </row>
      </sheetData>
      <sheetData sheetId="1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Mélanie G" id="{74104FEC-F22C-4ACD-89FD-A4C317A22DDE}">
    <nsvFilter filterId="{00000000-0009-0000-0000-000001000000}" ref="A1:AC1678" tableId="0">
      <columnFilter colId="0">
        <filter colId="0">
          <x:filters>
            <x:filter val="ASNIERES MARCHE"/>
            <x:filter val="BOULOGNE LES PASSAGES"/>
            <x:filter val="BOULOGNE SEMBAT"/>
            <x:filter val="BOURG LA REINE"/>
            <x:filter val="CAEN"/>
            <x:filter val="CHAVILLE"/>
            <x:filter val="COLOMBES"/>
            <x:filter val="COMMERCE"/>
            <x:filter val="COURCELLES"/>
            <x:filter val="ISSY GAMBETTA"/>
            <x:filter val="ISSY LES MOULINEAUX"/>
            <x:filter val="LE COURBE"/>
            <x:filter val="LE VESINET"/>
            <x:filter val="LES HUISSIERS"/>
            <x:filter val="LES TOITS DE BOULOGNE"/>
            <x:filter val="MANTES LA JOLIE"/>
            <x:filter val="MONTPARNASSE"/>
            <x:filter val="MONTPELLIER COMEDIE"/>
            <x:filter val="MOZART"/>
            <x:filter val="PERIGUEUX"/>
            <x:filter val="POITIERS"/>
            <x:filter val="RENNES COLOMBIA"/>
            <x:filter val="RUEIL MALMAISON"/>
            <x:filter val="SABLONS"/>
            <x:filter val="ST GERMAIN"/>
            <x:filter val="TERNES"/>
            <x:filter val="VANNES"/>
            <x:filter val="VAUGIRARD"/>
            <x:filter val="VERSAILLES"/>
            <x:filter val="VINCI COURBEVOIE"/>
          </x:filters>
        </filter>
      </columnFilter>
      <columnFilter colId="2">
        <filter colId="2">
          <x:filters>
            <x:filter val="SES8"/>
          </x:filters>
        </filter>
      </columnFilter>
      <columnFilter colId="3">
        <filter colId="3">
          <x:filters>
            <x:filter val="MG"/>
          </x:filters>
        </filter>
      </columnFilter>
      <columnFilter colId="6">
        <filter colId="6">
          <x:filters>
            <x:filter val="9"/>
          </x:filters>
        </filter>
      </columnFilter>
      <sortRules>
        <sortRule colId="0">
          <sortCondition ref="A1:A1678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3" displayName="Tableau3" ref="A1:D44" totalsRowShown="0" headerRowDxfId="19" headerRowBorderDxfId="18" tableBorderDxfId="17" totalsRowBorderDxfId="16">
  <autoFilter ref="A1:D44" xr:uid="{00000000-0009-0000-0100-000001000000}"/>
  <tableColumns count="4">
    <tableColumn id="1" xr3:uid="{00000000-0010-0000-0000-000001000000}" name="Justification" dataDxfId="15"/>
    <tableColumn id="2" xr3:uid="{00000000-0010-0000-0000-000002000000}" name="Commentaire" dataDxfId="14"/>
    <tableColumn id="3" xr3:uid="{00000000-0010-0000-0000-000003000000}" name="Type surconso" dataDxfId="13"/>
    <tableColumn id="4" xr3:uid="{00000000-0010-0000-0000-000004000000}" name="Catégorie" dataDxfId="1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9"/>
  </sheetPr>
  <dimension ref="A1:V256"/>
  <sheetViews>
    <sheetView topLeftCell="A103" zoomScaleNormal="100" workbookViewId="0">
      <selection activeCell="C117" sqref="C117"/>
    </sheetView>
  </sheetViews>
  <sheetFormatPr baseColWidth="10" defaultColWidth="11.42578125" defaultRowHeight="15" x14ac:dyDescent="0.25"/>
  <cols>
    <col min="1" max="1" width="10.140625" customWidth="1"/>
    <col min="3" max="3" width="27.85546875" bestFit="1" customWidth="1"/>
    <col min="4" max="4" width="9.42578125" bestFit="1" customWidth="1"/>
    <col min="7" max="9" width="11.7109375" customWidth="1"/>
    <col min="12" max="12" width="9.28515625" customWidth="1"/>
    <col min="13" max="13" width="10.28515625" customWidth="1"/>
    <col min="14" max="14" width="10.7109375" customWidth="1"/>
    <col min="15" max="15" width="15.28515625" customWidth="1"/>
    <col min="16" max="16" width="17" customWidth="1"/>
    <col min="17" max="17" width="18.5703125" bestFit="1" customWidth="1"/>
  </cols>
  <sheetData>
    <row r="1" spans="1:22" x14ac:dyDescent="0.25">
      <c r="A1" s="43"/>
      <c r="B1" s="44"/>
      <c r="C1" s="43"/>
      <c r="D1" s="43"/>
      <c r="E1" s="165" t="s">
        <v>41</v>
      </c>
      <c r="F1" s="166"/>
      <c r="G1" s="167"/>
      <c r="H1" s="165" t="s">
        <v>42</v>
      </c>
      <c r="I1" s="166"/>
      <c r="J1" s="167"/>
      <c r="K1" s="126"/>
      <c r="L1" s="45"/>
      <c r="M1" s="45"/>
      <c r="N1" s="45"/>
      <c r="O1" s="46"/>
      <c r="P1" s="47"/>
      <c r="Q1" s="48"/>
      <c r="R1" s="4"/>
      <c r="S1" s="4"/>
      <c r="T1" s="4"/>
      <c r="U1" s="4"/>
      <c r="V1" s="4"/>
    </row>
    <row r="2" spans="1:22" ht="42.75" x14ac:dyDescent="0.25">
      <c r="A2" s="11" t="s">
        <v>43</v>
      </c>
      <c r="B2" s="10" t="s">
        <v>0</v>
      </c>
      <c r="C2" s="10" t="s">
        <v>44</v>
      </c>
      <c r="D2" s="10" t="s">
        <v>1</v>
      </c>
      <c r="E2" s="9" t="s">
        <v>45</v>
      </c>
      <c r="F2" s="8" t="s">
        <v>46</v>
      </c>
      <c r="G2" s="7" t="s">
        <v>47</v>
      </c>
      <c r="H2" s="9" t="s">
        <v>45</v>
      </c>
      <c r="I2" s="8" t="s">
        <v>46</v>
      </c>
      <c r="J2" s="7" t="s">
        <v>47</v>
      </c>
      <c r="K2" s="127" t="s">
        <v>818</v>
      </c>
      <c r="L2" s="132" t="s">
        <v>819</v>
      </c>
      <c r="M2" s="141" t="s">
        <v>820</v>
      </c>
      <c r="N2" s="141" t="s">
        <v>821</v>
      </c>
      <c r="O2" s="142" t="s">
        <v>528</v>
      </c>
      <c r="P2" s="142" t="s">
        <v>529</v>
      </c>
      <c r="Q2" s="142" t="s">
        <v>48</v>
      </c>
      <c r="R2" s="6"/>
      <c r="S2" s="6"/>
      <c r="T2" s="6"/>
      <c r="U2" s="6"/>
      <c r="V2" s="6"/>
    </row>
    <row r="3" spans="1:22" x14ac:dyDescent="0.25">
      <c r="A3" s="12" t="s">
        <v>530</v>
      </c>
      <c r="B3" s="25" t="s">
        <v>2</v>
      </c>
      <c r="C3" s="29" t="s">
        <v>49</v>
      </c>
      <c r="D3" s="49" t="s">
        <v>50</v>
      </c>
      <c r="E3" s="42">
        <v>35</v>
      </c>
      <c r="F3" s="50">
        <v>35</v>
      </c>
      <c r="G3" s="51">
        <v>35</v>
      </c>
      <c r="H3" s="52"/>
      <c r="I3" s="52"/>
      <c r="J3" s="13"/>
      <c r="K3" s="128">
        <f>INDEX([1]Monoprix!$F:$F,MATCH(D3,[1]Monoprix!$C:$C,0))</f>
        <v>0.1875</v>
      </c>
      <c r="L3" s="133">
        <f>INDEX([1]Monoprix!$G:$G,MATCH(D3,[1]Monoprix!$C:$C,0))</f>
        <v>0.79166666666666663</v>
      </c>
      <c r="M3" s="143">
        <f>INDEX([1]Monoprix!$H:$H,MATCH(D3,[1]Monoprix!$C:$C,0))</f>
        <v>0.25</v>
      </c>
      <c r="N3" s="143">
        <f>INDEX([1]Monoprix!$I:$I,MATCH(D3,[1]Monoprix!$C:$C,0))</f>
        <v>0.5</v>
      </c>
      <c r="O3" s="144"/>
      <c r="P3" s="145"/>
      <c r="Q3" s="94" t="s">
        <v>531</v>
      </c>
      <c r="R3" s="4"/>
      <c r="S3" s="4"/>
      <c r="T3" s="4"/>
      <c r="U3" s="4"/>
      <c r="V3" s="4"/>
    </row>
    <row r="4" spans="1:22" x14ac:dyDescent="0.25">
      <c r="A4" s="12" t="s">
        <v>530</v>
      </c>
      <c r="B4" s="25" t="s">
        <v>51</v>
      </c>
      <c r="C4" s="53" t="s">
        <v>52</v>
      </c>
      <c r="D4" s="54" t="s">
        <v>3</v>
      </c>
      <c r="E4" s="55">
        <v>70</v>
      </c>
      <c r="F4" s="87">
        <v>60</v>
      </c>
      <c r="G4" s="51">
        <v>85</v>
      </c>
      <c r="H4" s="52"/>
      <c r="I4" s="52"/>
      <c r="J4" s="13"/>
      <c r="K4" s="128">
        <f>INDEX([1]Monoprix!$F:$F,MATCH(D4,[1]Monoprix!$C:$C,0))</f>
        <v>0.1875</v>
      </c>
      <c r="L4" s="133">
        <f>INDEX([1]Monoprix!$G:$G,MATCH(D4,[1]Monoprix!$C:$C,0))</f>
        <v>0.83333333333333337</v>
      </c>
      <c r="M4" s="143">
        <f>INDEX([1]Monoprix!$H:$H,MATCH(D4,[1]Monoprix!$C:$C,0))</f>
        <v>0.25</v>
      </c>
      <c r="N4" s="143">
        <f>INDEX([1]Monoprix!$I:$I,MATCH(D4,[1]Monoprix!$C:$C,0))</f>
        <v>0.79166666666666663</v>
      </c>
      <c r="O4" s="144"/>
      <c r="P4" s="145"/>
      <c r="Q4" s="94" t="s">
        <v>532</v>
      </c>
      <c r="R4" s="4"/>
      <c r="S4" s="4"/>
      <c r="T4" s="4"/>
      <c r="U4" s="4"/>
      <c r="V4" s="4"/>
    </row>
    <row r="5" spans="1:22" hidden="1" x14ac:dyDescent="0.25">
      <c r="A5" s="12" t="s">
        <v>533</v>
      </c>
      <c r="B5" s="25" t="s">
        <v>792</v>
      </c>
      <c r="C5" s="53" t="s">
        <v>53</v>
      </c>
      <c r="D5" s="54" t="s">
        <v>54</v>
      </c>
      <c r="E5" s="42">
        <v>30</v>
      </c>
      <c r="F5" s="23">
        <v>40</v>
      </c>
      <c r="G5" s="51">
        <v>40</v>
      </c>
      <c r="H5" s="52"/>
      <c r="I5" s="52"/>
      <c r="J5" s="13"/>
      <c r="K5" s="128">
        <f>INDEX([1]Monoprix!$F:$F,MATCH(D5,[1]Monoprix!$C:$C,0))</f>
        <v>0.20833333333333334</v>
      </c>
      <c r="L5" s="133">
        <f>INDEX([1]Monoprix!$G:$G,MATCH(D5,[1]Monoprix!$C:$C,0))</f>
        <v>0.79166666666666663</v>
      </c>
      <c r="M5" s="143">
        <f>INDEX([1]Monoprix!$H:$H,MATCH(D5,[1]Monoprix!$C:$C,0))</f>
        <v>0.29166666666666702</v>
      </c>
      <c r="N5" s="143">
        <f>INDEX([1]Monoprix!$I:$I,MATCH(D5,[1]Monoprix!$C:$C,0))</f>
        <v>0.54166666666666696</v>
      </c>
      <c r="O5" s="144"/>
      <c r="P5" s="145"/>
      <c r="Q5" s="94" t="s">
        <v>148</v>
      </c>
      <c r="R5" s="4"/>
      <c r="S5" s="4"/>
      <c r="T5" s="4"/>
      <c r="U5" s="4"/>
      <c r="V5" s="4"/>
    </row>
    <row r="6" spans="1:22" x14ac:dyDescent="0.25">
      <c r="A6" s="12" t="s">
        <v>533</v>
      </c>
      <c r="B6" s="25" t="s">
        <v>51</v>
      </c>
      <c r="C6" s="53" t="s">
        <v>55</v>
      </c>
      <c r="D6" s="53" t="s">
        <v>56</v>
      </c>
      <c r="E6" s="55">
        <v>45</v>
      </c>
      <c r="F6" s="87">
        <v>55</v>
      </c>
      <c r="G6" s="51">
        <v>65</v>
      </c>
      <c r="H6" s="52"/>
      <c r="I6" s="52"/>
      <c r="J6" s="13"/>
      <c r="K6" s="128">
        <f>INDEX([1]Monoprix!$F:$F,MATCH(D6,[1]Monoprix!$C:$C,0))</f>
        <v>0.20833333333333334</v>
      </c>
      <c r="L6" s="133">
        <f>INDEX([1]Monoprix!$G:$G,MATCH(D6,[1]Monoprix!$C:$C,0))</f>
        <v>0.83333333333333337</v>
      </c>
      <c r="M6" s="143">
        <f>INDEX([1]Monoprix!$H:$H,MATCH(D6,[1]Monoprix!$C:$C,0))</f>
        <v>0.25</v>
      </c>
      <c r="N6" s="143">
        <f>INDEX([1]Monoprix!$I:$I,MATCH(D6,[1]Monoprix!$C:$C,0))</f>
        <v>0.54166666666666663</v>
      </c>
      <c r="O6" s="144"/>
      <c r="P6" s="145"/>
      <c r="Q6" s="94" t="s">
        <v>534</v>
      </c>
      <c r="R6" s="4"/>
      <c r="S6" s="4"/>
      <c r="T6" s="4"/>
      <c r="U6" s="4"/>
      <c r="V6" s="4"/>
    </row>
    <row r="7" spans="1:22" x14ac:dyDescent="0.25">
      <c r="A7" s="12" t="s">
        <v>533</v>
      </c>
      <c r="B7" s="25" t="s">
        <v>51</v>
      </c>
      <c r="C7" s="53" t="s">
        <v>57</v>
      </c>
      <c r="D7" s="54" t="s">
        <v>4</v>
      </c>
      <c r="E7" s="55">
        <v>60</v>
      </c>
      <c r="F7" s="23">
        <v>60</v>
      </c>
      <c r="G7" s="51">
        <v>65</v>
      </c>
      <c r="H7" s="52"/>
      <c r="I7" s="52"/>
      <c r="J7" s="13"/>
      <c r="K7" s="128">
        <f>INDEX([1]Monoprix!$F:$F,MATCH(D7,[1]Monoprix!$C:$C,0))</f>
        <v>0.20833333333333334</v>
      </c>
      <c r="L7" s="133">
        <f>INDEX([1]Monoprix!$G:$G,MATCH(D7,[1]Monoprix!$C:$C,0))</f>
        <v>0.875</v>
      </c>
      <c r="M7" s="143" t="str">
        <f>INDEX([1]Monoprix!$H:$H,MATCH(D7,[1]Monoprix!$C:$C,0))</f>
        <v>-</v>
      </c>
      <c r="N7" s="143" t="str">
        <f>INDEX([1]Monoprix!$I:$I,MATCH(D7,[1]Monoprix!$C:$C,0))</f>
        <v>-</v>
      </c>
      <c r="O7" s="144"/>
      <c r="P7" s="145"/>
      <c r="Q7" s="94" t="s">
        <v>535</v>
      </c>
      <c r="R7" s="4"/>
      <c r="S7" s="4"/>
      <c r="T7" s="4"/>
      <c r="U7" s="4"/>
      <c r="V7" s="4"/>
    </row>
    <row r="8" spans="1:22" x14ac:dyDescent="0.25">
      <c r="A8" s="12" t="s">
        <v>530</v>
      </c>
      <c r="B8" s="25" t="s">
        <v>51</v>
      </c>
      <c r="C8" s="53" t="s">
        <v>58</v>
      </c>
      <c r="D8" s="54" t="s">
        <v>59</v>
      </c>
      <c r="E8" s="42">
        <v>110</v>
      </c>
      <c r="F8" s="23">
        <v>110</v>
      </c>
      <c r="G8" s="51">
        <v>130</v>
      </c>
      <c r="H8" s="52"/>
      <c r="I8" s="52"/>
      <c r="J8" s="13"/>
      <c r="K8" s="128">
        <f>INDEX([1]Monoprix!$F:$F,MATCH(D8,[1]Monoprix!$C:$C,0))</f>
        <v>0.20833333333333334</v>
      </c>
      <c r="L8" s="133">
        <f>INDEX([1]Monoprix!$G:$G,MATCH(D8,[1]Monoprix!$C:$C,0))</f>
        <v>0.83333333333333304</v>
      </c>
      <c r="M8" s="143" t="str">
        <f>INDEX([1]Monoprix!$H:$H,MATCH(D8,[1]Monoprix!$C:$C,0))</f>
        <v>-</v>
      </c>
      <c r="N8" s="143" t="str">
        <f>INDEX([1]Monoprix!$I:$I,MATCH(D8,[1]Monoprix!$C:$C,0))</f>
        <v>-</v>
      </c>
      <c r="O8" s="144"/>
      <c r="P8" s="145"/>
      <c r="Q8" s="94" t="s">
        <v>536</v>
      </c>
      <c r="R8" s="4"/>
      <c r="S8" s="4"/>
      <c r="T8" s="4"/>
      <c r="U8" s="4"/>
      <c r="V8" s="4"/>
    </row>
    <row r="9" spans="1:22" x14ac:dyDescent="0.25">
      <c r="A9" s="12" t="s">
        <v>530</v>
      </c>
      <c r="B9" s="25" t="s">
        <v>2</v>
      </c>
      <c r="C9" s="53" t="s">
        <v>60</v>
      </c>
      <c r="D9" s="53" t="s">
        <v>61</v>
      </c>
      <c r="E9" s="42">
        <v>40</v>
      </c>
      <c r="F9" s="23">
        <v>45</v>
      </c>
      <c r="G9" s="121">
        <v>50</v>
      </c>
      <c r="H9" s="52"/>
      <c r="I9" s="52"/>
      <c r="J9" s="13"/>
      <c r="K9" s="128">
        <f>INDEX([1]Monoprix!$F:$F,MATCH(D9,[1]Monoprix!$C:$C,0))</f>
        <v>0.20833333333333334</v>
      </c>
      <c r="L9" s="133">
        <f>INDEX([1]Monoprix!$G:$G,MATCH(D9,[1]Monoprix!$C:$C,0))</f>
        <v>0.83333333333333304</v>
      </c>
      <c r="M9" s="143" t="str">
        <f>INDEX([1]Monoprix!$H:$H,MATCH(D9,[1]Monoprix!$C:$C,0))</f>
        <v>-</v>
      </c>
      <c r="N9" s="143" t="str">
        <f>INDEX([1]Monoprix!$I:$I,MATCH(D9,[1]Monoprix!$C:$C,0))</f>
        <v>-</v>
      </c>
      <c r="O9" s="144"/>
      <c r="P9" s="145"/>
      <c r="Q9" s="94" t="s">
        <v>537</v>
      </c>
      <c r="R9" s="4"/>
      <c r="S9" s="4"/>
      <c r="T9" s="4"/>
      <c r="U9" s="4"/>
      <c r="V9" s="4"/>
    </row>
    <row r="10" spans="1:22" x14ac:dyDescent="0.25">
      <c r="A10" s="12" t="s">
        <v>530</v>
      </c>
      <c r="B10" s="25" t="s">
        <v>51</v>
      </c>
      <c r="C10" s="53" t="s">
        <v>62</v>
      </c>
      <c r="D10" s="54" t="s">
        <v>63</v>
      </c>
      <c r="E10" s="55">
        <v>80</v>
      </c>
      <c r="F10" s="87">
        <v>80</v>
      </c>
      <c r="G10" s="51">
        <v>105</v>
      </c>
      <c r="H10" s="52"/>
      <c r="I10" s="52"/>
      <c r="J10" s="13"/>
      <c r="K10" s="128">
        <f>INDEX([1]Monoprix!$F:$F,MATCH(D10,[1]Monoprix!$C:$C,0))</f>
        <v>0.1875</v>
      </c>
      <c r="L10" s="133">
        <f>INDEX([1]Monoprix!$G:$G,MATCH(D10,[1]Monoprix!$C:$C,0))</f>
        <v>0.83333333333333337</v>
      </c>
      <c r="M10" s="143">
        <f>INDEX([1]Monoprix!$H:$H,MATCH(D10,[1]Monoprix!$C:$C,0))</f>
        <v>0.24305555555555555</v>
      </c>
      <c r="N10" s="143">
        <f>INDEX([1]Monoprix!$I:$I,MATCH(D10,[1]Monoprix!$C:$C,0))</f>
        <v>0.54166666666666696</v>
      </c>
      <c r="O10" s="144"/>
      <c r="P10" s="145"/>
      <c r="Q10" s="94" t="s">
        <v>538</v>
      </c>
      <c r="R10" s="4"/>
      <c r="S10" s="4"/>
      <c r="T10" s="4"/>
      <c r="U10" s="5"/>
      <c r="V10" s="5"/>
    </row>
    <row r="11" spans="1:22" x14ac:dyDescent="0.25">
      <c r="A11" s="12" t="s">
        <v>530</v>
      </c>
      <c r="B11" s="25" t="s">
        <v>2</v>
      </c>
      <c r="C11" s="53" t="s">
        <v>64</v>
      </c>
      <c r="D11" s="53" t="s">
        <v>65</v>
      </c>
      <c r="E11" s="42">
        <v>40</v>
      </c>
      <c r="F11" s="23">
        <v>40</v>
      </c>
      <c r="G11" s="121">
        <v>45</v>
      </c>
      <c r="H11" s="52"/>
      <c r="I11" s="52"/>
      <c r="J11" s="13"/>
      <c r="K11" s="128">
        <f>INDEX([1]Monoprix!$F:$F,MATCH(D11,[1]Monoprix!$C:$C,0))</f>
        <v>0.1875</v>
      </c>
      <c r="L11" s="133">
        <f>INDEX([1]Monoprix!$G:$G,MATCH(D11,[1]Monoprix!$C:$C,0))</f>
        <v>0.83333333333333337</v>
      </c>
      <c r="M11" s="143">
        <f>INDEX([1]Monoprix!$H:$H,MATCH(D11,[1]Monoprix!$C:$C,0))</f>
        <v>0.24305555555555555</v>
      </c>
      <c r="N11" s="143">
        <f>INDEX([1]Monoprix!$I:$I,MATCH(D11,[1]Monoprix!$C:$C,0))</f>
        <v>0.54166666666666696</v>
      </c>
      <c r="O11" s="144"/>
      <c r="P11" s="145"/>
      <c r="Q11" s="94" t="s">
        <v>539</v>
      </c>
      <c r="R11" s="4"/>
      <c r="S11" s="4"/>
      <c r="T11" s="4"/>
      <c r="U11" s="5"/>
      <c r="V11" s="5"/>
    </row>
    <row r="12" spans="1:22" x14ac:dyDescent="0.25">
      <c r="A12" s="12" t="s">
        <v>533</v>
      </c>
      <c r="B12" s="25" t="s">
        <v>2</v>
      </c>
      <c r="C12" s="53" t="s">
        <v>66</v>
      </c>
      <c r="D12" s="53" t="s">
        <v>67</v>
      </c>
      <c r="E12" s="42">
        <v>55</v>
      </c>
      <c r="F12" s="23">
        <v>55</v>
      </c>
      <c r="G12" s="121">
        <v>60</v>
      </c>
      <c r="H12" s="52"/>
      <c r="I12" s="52"/>
      <c r="J12" s="52"/>
      <c r="K12" s="128">
        <f>INDEX([1]Monoprix!$F:$F,MATCH(D12,[1]Monoprix!$C:$C,0))</f>
        <v>0.1875</v>
      </c>
      <c r="L12" s="133">
        <f>INDEX([1]Monoprix!$G:$G,MATCH(D12,[1]Monoprix!$C:$C,0))</f>
        <v>0.85416666666666663</v>
      </c>
      <c r="M12" s="143">
        <f>INDEX([1]Monoprix!$H:$H,MATCH(D12,[1]Monoprix!$C:$C,0))</f>
        <v>0.25</v>
      </c>
      <c r="N12" s="143">
        <f>INDEX([1]Monoprix!$I:$I,MATCH(D12,[1]Monoprix!$C:$C,0))</f>
        <v>0.54166666666666663</v>
      </c>
      <c r="O12" s="146"/>
      <c r="P12" s="94"/>
      <c r="Q12" s="94" t="s">
        <v>540</v>
      </c>
      <c r="R12" s="5"/>
      <c r="S12" s="5"/>
      <c r="T12" s="5"/>
      <c r="U12" s="5"/>
      <c r="V12" s="5"/>
    </row>
    <row r="13" spans="1:22" x14ac:dyDescent="0.25">
      <c r="A13" s="12" t="s">
        <v>533</v>
      </c>
      <c r="B13" s="25" t="s">
        <v>51</v>
      </c>
      <c r="C13" s="53" t="s">
        <v>68</v>
      </c>
      <c r="D13" s="53" t="s">
        <v>5</v>
      </c>
      <c r="E13" s="42">
        <v>45</v>
      </c>
      <c r="F13" s="23">
        <v>45</v>
      </c>
      <c r="G13" s="51">
        <v>50</v>
      </c>
      <c r="H13" s="52"/>
      <c r="I13" s="52"/>
      <c r="J13" s="52"/>
      <c r="K13" s="128">
        <f>INDEX([1]Monoprix!$F:$F,MATCH(D13,[1]Monoprix!$C:$C,0))</f>
        <v>0.20833333333333334</v>
      </c>
      <c r="L13" s="133">
        <f>INDEX([1]Monoprix!$G:$G,MATCH(D13,[1]Monoprix!$C:$C,0))</f>
        <v>0.83333333333333337</v>
      </c>
      <c r="M13" s="143">
        <f>INDEX([1]Monoprix!$H:$H,MATCH(D13,[1]Monoprix!$C:$C,0))</f>
        <v>0.25</v>
      </c>
      <c r="N13" s="143">
        <f>INDEX([1]Monoprix!$I:$I,MATCH(D13,[1]Monoprix!$C:$C,0))</f>
        <v>0.79166666666666663</v>
      </c>
      <c r="O13" s="146"/>
      <c r="P13" s="94"/>
      <c r="Q13" s="94" t="s">
        <v>541</v>
      </c>
      <c r="R13" s="5"/>
      <c r="S13" s="5"/>
      <c r="T13" s="5"/>
      <c r="U13" s="5"/>
      <c r="V13" s="5"/>
    </row>
    <row r="14" spans="1:22" x14ac:dyDescent="0.25">
      <c r="A14" s="12" t="s">
        <v>533</v>
      </c>
      <c r="B14" s="25" t="s">
        <v>2</v>
      </c>
      <c r="C14" s="124" t="s">
        <v>69</v>
      </c>
      <c r="D14" s="53" t="s">
        <v>70</v>
      </c>
      <c r="E14" s="42">
        <v>20</v>
      </c>
      <c r="F14" s="23">
        <v>25</v>
      </c>
      <c r="G14" s="51">
        <v>30</v>
      </c>
      <c r="H14" s="52"/>
      <c r="I14" s="52"/>
      <c r="J14" s="52"/>
      <c r="K14" s="128">
        <f>INDEX([1]Monoprix!$F:$F,MATCH(D14,[1]Monoprix!$C:$C,0))</f>
        <v>0.20833333333333334</v>
      </c>
      <c r="L14" s="133">
        <f>INDEX([1]Monoprix!$G:$G,MATCH(D14,[1]Monoprix!$C:$C,0))</f>
        <v>0.83333333333333304</v>
      </c>
      <c r="M14" s="143" t="str">
        <f>INDEX([1]Monoprix!$H:$H,MATCH(D14,[1]Monoprix!$C:$C,0))</f>
        <v>-</v>
      </c>
      <c r="N14" s="143" t="str">
        <f>INDEX([1]Monoprix!$I:$I,MATCH(D14,[1]Monoprix!$C:$C,0))</f>
        <v>-</v>
      </c>
      <c r="O14" s="146"/>
      <c r="P14" s="94"/>
      <c r="Q14" s="94" t="s">
        <v>542</v>
      </c>
      <c r="R14" s="5"/>
      <c r="S14" s="5"/>
      <c r="T14" s="5"/>
      <c r="U14" s="4"/>
      <c r="V14" s="4"/>
    </row>
    <row r="15" spans="1:22" x14ac:dyDescent="0.25">
      <c r="A15" s="12" t="s">
        <v>530</v>
      </c>
      <c r="B15" s="25" t="s">
        <v>51</v>
      </c>
      <c r="C15" s="53" t="s">
        <v>71</v>
      </c>
      <c r="D15" s="53" t="s">
        <v>399</v>
      </c>
      <c r="E15" s="55">
        <v>65</v>
      </c>
      <c r="F15" s="23">
        <v>60</v>
      </c>
      <c r="G15" s="51">
        <v>70</v>
      </c>
      <c r="H15" s="52"/>
      <c r="I15" s="52"/>
      <c r="J15" s="52"/>
      <c r="K15" s="128">
        <f>INDEX([1]Monoprix!$F:$F,MATCH(D15,[1]Monoprix!$C:$C,0))</f>
        <v>0.1875</v>
      </c>
      <c r="L15" s="133">
        <f>INDEX([1]Monoprix!$G:$G,MATCH(D15,[1]Monoprix!$C:$C,0))</f>
        <v>0.8125</v>
      </c>
      <c r="M15" s="143">
        <f>INDEX([1]Monoprix!$H:$H,MATCH(D15,[1]Monoprix!$C:$C,0))</f>
        <v>0.25</v>
      </c>
      <c r="N15" s="143">
        <f>INDEX([1]Monoprix!$I:$I,MATCH(D15,[1]Monoprix!$C:$C,0))</f>
        <v>0.52083333333333337</v>
      </c>
      <c r="O15" s="146"/>
      <c r="P15" s="94"/>
      <c r="Q15" s="94" t="s">
        <v>543</v>
      </c>
      <c r="R15" s="5"/>
      <c r="S15" s="5"/>
      <c r="T15" s="5"/>
      <c r="U15" s="5"/>
      <c r="V15" s="5"/>
    </row>
    <row r="16" spans="1:22" x14ac:dyDescent="0.25">
      <c r="A16" s="12" t="s">
        <v>533</v>
      </c>
      <c r="B16" s="25" t="s">
        <v>2</v>
      </c>
      <c r="C16" s="53" t="s">
        <v>72</v>
      </c>
      <c r="D16" s="53" t="s">
        <v>73</v>
      </c>
      <c r="E16" s="42">
        <v>10</v>
      </c>
      <c r="F16" s="23">
        <v>10</v>
      </c>
      <c r="G16" s="51">
        <v>10</v>
      </c>
      <c r="H16" s="52"/>
      <c r="I16" s="52"/>
      <c r="J16" s="52"/>
      <c r="K16" s="128">
        <f>INDEX([1]Monoprix!$F:$F,MATCH(D16,[1]Monoprix!$C:$C,0))</f>
        <v>0.27083333333333331</v>
      </c>
      <c r="L16" s="133">
        <f>INDEX([1]Monoprix!$G:$G,MATCH(D16,[1]Monoprix!$C:$C,0))</f>
        <v>0.77083333333333337</v>
      </c>
      <c r="M16" s="143" t="str">
        <f>INDEX([1]Monoprix!$H:$H,MATCH(D16,[1]Monoprix!$C:$C,0))</f>
        <v>-</v>
      </c>
      <c r="N16" s="143" t="str">
        <f>INDEX([1]Monoprix!$I:$I,MATCH(D16,[1]Monoprix!$C:$C,0))</f>
        <v>-</v>
      </c>
      <c r="O16" s="146"/>
      <c r="P16" s="94"/>
      <c r="Q16" s="94" t="s">
        <v>544</v>
      </c>
      <c r="R16" s="5"/>
      <c r="S16" s="5"/>
      <c r="T16" s="5"/>
      <c r="U16" s="5"/>
      <c r="V16" s="5"/>
    </row>
    <row r="17" spans="1:22" x14ac:dyDescent="0.25">
      <c r="A17" s="12" t="s">
        <v>530</v>
      </c>
      <c r="B17" s="25" t="s">
        <v>2</v>
      </c>
      <c r="C17" s="53" t="s">
        <v>74</v>
      </c>
      <c r="D17" s="53" t="s">
        <v>75</v>
      </c>
      <c r="E17" s="42">
        <v>35</v>
      </c>
      <c r="F17" s="23">
        <v>45</v>
      </c>
      <c r="G17" s="121">
        <v>45</v>
      </c>
      <c r="H17" s="52"/>
      <c r="I17" s="52"/>
      <c r="J17" s="52"/>
      <c r="K17" s="128">
        <f>INDEX([1]Monoprix!$F:$F,MATCH(D17,[1]Monoprix!$C:$C,0))</f>
        <v>0.1875</v>
      </c>
      <c r="L17" s="133">
        <f>INDEX([1]Monoprix!$G:$G,MATCH(D17,[1]Monoprix!$C:$C,0))</f>
        <v>0.83333333333333304</v>
      </c>
      <c r="M17" s="143">
        <f>INDEX([1]Monoprix!$H:$H,MATCH(D17,[1]Monoprix!$C:$C,0))</f>
        <v>0.20833333333333334</v>
      </c>
      <c r="N17" s="143">
        <f>INDEX([1]Monoprix!$I:$I,MATCH(D17,[1]Monoprix!$C:$C,0))</f>
        <v>0.5625</v>
      </c>
      <c r="O17" s="146"/>
      <c r="P17" s="94"/>
      <c r="Q17" s="94" t="s">
        <v>545</v>
      </c>
      <c r="R17" s="5"/>
      <c r="S17" s="5"/>
      <c r="T17" s="5"/>
      <c r="U17" s="4"/>
      <c r="V17" s="4"/>
    </row>
    <row r="18" spans="1:22" x14ac:dyDescent="0.25">
      <c r="A18" s="12" t="s">
        <v>530</v>
      </c>
      <c r="B18" s="25" t="s">
        <v>2</v>
      </c>
      <c r="C18" s="53" t="s">
        <v>76</v>
      </c>
      <c r="D18" s="53" t="s">
        <v>77</v>
      </c>
      <c r="E18" s="55">
        <v>60</v>
      </c>
      <c r="F18" s="23">
        <v>60</v>
      </c>
      <c r="G18" s="121">
        <v>60</v>
      </c>
      <c r="H18" s="52"/>
      <c r="I18" s="52"/>
      <c r="J18" s="13"/>
      <c r="K18" s="128">
        <f>INDEX([1]Monoprix!$F:$F,MATCH(D18,[1]Monoprix!$C:$C,0))</f>
        <v>0.1875</v>
      </c>
      <c r="L18" s="133">
        <f>INDEX([1]Monoprix!$G:$G,MATCH(D18,[1]Monoprix!$C:$C,0))</f>
        <v>0.83333333333333304</v>
      </c>
      <c r="M18" s="143">
        <f>INDEX([1]Monoprix!$H:$H,MATCH(D18,[1]Monoprix!$C:$C,0))</f>
        <v>0.25</v>
      </c>
      <c r="N18" s="143">
        <f>INDEX([1]Monoprix!$I:$I,MATCH(D18,[1]Monoprix!$C:$C,0))</f>
        <v>0.54166666666666696</v>
      </c>
      <c r="O18" s="144"/>
      <c r="P18" s="145"/>
      <c r="Q18" s="94" t="s">
        <v>546</v>
      </c>
      <c r="R18" s="4"/>
      <c r="S18" s="4"/>
      <c r="T18" s="4"/>
      <c r="U18" s="4"/>
      <c r="V18" s="4"/>
    </row>
    <row r="19" spans="1:22" x14ac:dyDescent="0.25">
      <c r="A19" s="12" t="s">
        <v>530</v>
      </c>
      <c r="B19" s="25" t="s">
        <v>2</v>
      </c>
      <c r="C19" s="53" t="s">
        <v>78</v>
      </c>
      <c r="D19" s="53" t="s">
        <v>79</v>
      </c>
      <c r="E19" s="55">
        <v>50</v>
      </c>
      <c r="F19" s="23">
        <v>45</v>
      </c>
      <c r="G19" s="121">
        <v>65</v>
      </c>
      <c r="H19" s="52"/>
      <c r="I19" s="52"/>
      <c r="J19" s="52"/>
      <c r="K19" s="128">
        <f>INDEX([1]Monoprix!$F:$F,MATCH(D19,[1]Monoprix!$C:$C,0))</f>
        <v>0.20833333333333334</v>
      </c>
      <c r="L19" s="133">
        <f>INDEX([1]Monoprix!$G:$G,MATCH(D19,[1]Monoprix!$C:$C,0))</f>
        <v>0.875</v>
      </c>
      <c r="M19" s="143">
        <f>INDEX([1]Monoprix!$H:$H,MATCH(D19,[1]Monoprix!$C:$C,0))</f>
        <v>0.27083333333333331</v>
      </c>
      <c r="N19" s="143">
        <f>INDEX([1]Monoprix!$I:$I,MATCH(D19,[1]Monoprix!$C:$C,0))</f>
        <v>0.5625</v>
      </c>
      <c r="O19" s="146"/>
      <c r="P19" s="94"/>
      <c r="Q19" s="94" t="s">
        <v>547</v>
      </c>
      <c r="R19" s="5"/>
      <c r="S19" s="5"/>
      <c r="T19" s="5"/>
      <c r="U19" s="4"/>
      <c r="V19" s="4"/>
    </row>
    <row r="20" spans="1:22" x14ac:dyDescent="0.25">
      <c r="A20" s="12" t="s">
        <v>533</v>
      </c>
      <c r="B20" s="25" t="s">
        <v>51</v>
      </c>
      <c r="C20" s="53" t="s">
        <v>80</v>
      </c>
      <c r="D20" s="53" t="s">
        <v>6</v>
      </c>
      <c r="E20" s="55">
        <v>70</v>
      </c>
      <c r="F20" s="87">
        <v>75</v>
      </c>
      <c r="G20" s="51">
        <v>100</v>
      </c>
      <c r="H20" s="52"/>
      <c r="I20" s="52"/>
      <c r="J20" s="52"/>
      <c r="K20" s="128">
        <f>INDEX([1]Monoprix!$F:$F,MATCH(D20,[1]Monoprix!$C:$C,0))</f>
        <v>0.16666666666666666</v>
      </c>
      <c r="L20" s="133">
        <f>INDEX([1]Monoprix!$G:$G,MATCH(D20,[1]Monoprix!$C:$C,0))</f>
        <v>0.875</v>
      </c>
      <c r="M20" s="143">
        <f>INDEX([1]Monoprix!$H:$H,MATCH(D20,[1]Monoprix!$C:$C,0))</f>
        <v>0.20833333333333334</v>
      </c>
      <c r="N20" s="143">
        <f>INDEX([1]Monoprix!$I:$I,MATCH(D20,[1]Monoprix!$C:$C,0))</f>
        <v>0.54166666666666696</v>
      </c>
      <c r="O20" s="146"/>
      <c r="P20" s="94"/>
      <c r="Q20" s="94" t="s">
        <v>548</v>
      </c>
      <c r="R20" s="5"/>
      <c r="S20" s="5"/>
      <c r="T20" s="5"/>
      <c r="U20" s="4"/>
      <c r="V20" s="4"/>
    </row>
    <row r="21" spans="1:22" x14ac:dyDescent="0.25">
      <c r="A21" s="12" t="s">
        <v>533</v>
      </c>
      <c r="B21" s="25" t="s">
        <v>51</v>
      </c>
      <c r="C21" s="53" t="s">
        <v>81</v>
      </c>
      <c r="D21" s="54" t="s">
        <v>8</v>
      </c>
      <c r="E21" s="55">
        <v>80</v>
      </c>
      <c r="F21" s="23">
        <v>85</v>
      </c>
      <c r="G21" s="51">
        <v>110</v>
      </c>
      <c r="H21" s="52"/>
      <c r="I21" s="52"/>
      <c r="J21" s="13"/>
      <c r="K21" s="128">
        <f>INDEX([1]Monoprix!$F:$F,MATCH(D21,[1]Monoprix!$C:$C,0))</f>
        <v>0.20138888888888887</v>
      </c>
      <c r="L21" s="133">
        <f>INDEX([1]Monoprix!$G:$G,MATCH(D21,[1]Monoprix!$C:$C,0))</f>
        <v>0.97916666666666663</v>
      </c>
      <c r="M21" s="143">
        <f>INDEX([1]Monoprix!$H:$H,MATCH(D21,[1]Monoprix!$C:$C,0))</f>
        <v>0.2638888888888889</v>
      </c>
      <c r="N21" s="143">
        <f>INDEX([1]Monoprix!$I:$I,MATCH(D21,[1]Monoprix!$C:$C,0))</f>
        <v>0.85416666666666663</v>
      </c>
      <c r="O21" s="144"/>
      <c r="P21" s="145"/>
      <c r="Q21" s="94" t="s">
        <v>549</v>
      </c>
      <c r="R21" s="4"/>
      <c r="S21" s="4"/>
      <c r="T21" s="4"/>
      <c r="U21" s="4"/>
      <c r="V21" s="4"/>
    </row>
    <row r="22" spans="1:22" x14ac:dyDescent="0.25">
      <c r="A22" s="12" t="s">
        <v>533</v>
      </c>
      <c r="B22" s="25" t="s">
        <v>51</v>
      </c>
      <c r="C22" s="53" t="s">
        <v>82</v>
      </c>
      <c r="D22" s="54" t="s">
        <v>7</v>
      </c>
      <c r="E22" s="55">
        <v>95</v>
      </c>
      <c r="F22" s="87">
        <v>95</v>
      </c>
      <c r="G22" s="51">
        <v>115</v>
      </c>
      <c r="H22" s="52"/>
      <c r="I22" s="52"/>
      <c r="J22" s="13"/>
      <c r="K22" s="128">
        <f>INDEX([1]Monoprix!$F:$F,MATCH(D22,[1]Monoprix!$C:$C,0))</f>
        <v>0.20833333333333334</v>
      </c>
      <c r="L22" s="133">
        <f>INDEX([1]Monoprix!$G:$G,MATCH(D22,[1]Monoprix!$C:$C,0))</f>
        <v>0.85416666666666663</v>
      </c>
      <c r="M22" s="143" t="str">
        <f>INDEX([1]Monoprix!$H:$H,MATCH(D22,[1]Monoprix!$C:$C,0))</f>
        <v>-</v>
      </c>
      <c r="N22" s="143" t="str">
        <f>INDEX([1]Monoprix!$I:$I,MATCH(D22,[1]Monoprix!$C:$C,0))</f>
        <v>-</v>
      </c>
      <c r="O22" s="144"/>
      <c r="P22" s="145"/>
      <c r="Q22" s="94" t="s">
        <v>550</v>
      </c>
      <c r="R22" s="4"/>
      <c r="S22" s="4"/>
      <c r="T22" s="4"/>
      <c r="U22" s="4"/>
      <c r="V22" s="4"/>
    </row>
    <row r="23" spans="1:22" x14ac:dyDescent="0.25">
      <c r="A23" s="12" t="s">
        <v>533</v>
      </c>
      <c r="B23" s="25" t="s">
        <v>51</v>
      </c>
      <c r="C23" s="53" t="s">
        <v>83</v>
      </c>
      <c r="D23" s="54" t="s">
        <v>9</v>
      </c>
      <c r="E23" s="55">
        <v>65</v>
      </c>
      <c r="F23" s="87">
        <v>65</v>
      </c>
      <c r="G23" s="51">
        <v>85</v>
      </c>
      <c r="H23" s="52"/>
      <c r="I23" s="52"/>
      <c r="J23" s="13"/>
      <c r="K23" s="128">
        <f>INDEX([1]Monoprix!$F:$F,MATCH(D23,[1]Monoprix!$C:$C,0))</f>
        <v>0.1875</v>
      </c>
      <c r="L23" s="133">
        <f>INDEX([1]Monoprix!$G:$G,MATCH(D23,[1]Monoprix!$C:$C,0))</f>
        <v>0.875</v>
      </c>
      <c r="M23" s="143">
        <f>INDEX([1]Monoprix!$H:$H,MATCH(D23,[1]Monoprix!$C:$C,0))</f>
        <v>0.27083333333333331</v>
      </c>
      <c r="N23" s="143">
        <f>INDEX([1]Monoprix!$I:$I,MATCH(D23,[1]Monoprix!$C:$C,0))</f>
        <v>0.77083333333333337</v>
      </c>
      <c r="O23" s="144"/>
      <c r="P23" s="145"/>
      <c r="Q23" s="94" t="s">
        <v>551</v>
      </c>
      <c r="R23" s="4"/>
      <c r="S23" s="4"/>
      <c r="T23" s="4"/>
      <c r="U23" s="4"/>
      <c r="V23" s="4"/>
    </row>
    <row r="24" spans="1:22" x14ac:dyDescent="0.25">
      <c r="A24" s="12" t="s">
        <v>533</v>
      </c>
      <c r="B24" s="25" t="s">
        <v>2</v>
      </c>
      <c r="C24" s="53" t="s">
        <v>84</v>
      </c>
      <c r="D24" s="54" t="s">
        <v>85</v>
      </c>
      <c r="E24" s="42">
        <v>45</v>
      </c>
      <c r="F24" s="23">
        <v>45</v>
      </c>
      <c r="G24" s="51">
        <v>50</v>
      </c>
      <c r="H24" s="52"/>
      <c r="I24" s="52"/>
      <c r="J24" s="13"/>
      <c r="K24" s="128">
        <f>INDEX([1]Monoprix!$F:$F,MATCH(D24,[1]Monoprix!$C:$C,0))</f>
        <v>0.25</v>
      </c>
      <c r="L24" s="133">
        <f>INDEX([1]Monoprix!$G:$G,MATCH(D24,[1]Monoprix!$C:$C,0))</f>
        <v>0.83333333333333304</v>
      </c>
      <c r="M24" s="143" t="str">
        <f>INDEX([1]Monoprix!$H:$H,MATCH(D24,[1]Monoprix!$C:$C,0))</f>
        <v>-</v>
      </c>
      <c r="N24" s="143" t="str">
        <f>INDEX([1]Monoprix!$I:$I,MATCH(D24,[1]Monoprix!$C:$C,0))</f>
        <v>-</v>
      </c>
      <c r="O24" s="144"/>
      <c r="P24" s="145"/>
      <c r="Q24" s="94" t="s">
        <v>552</v>
      </c>
      <c r="R24" s="4"/>
      <c r="S24" s="4"/>
      <c r="T24" s="4"/>
      <c r="U24" s="4"/>
      <c r="V24" s="4"/>
    </row>
    <row r="25" spans="1:22" x14ac:dyDescent="0.25">
      <c r="A25" s="12" t="s">
        <v>530</v>
      </c>
      <c r="B25" s="25" t="s">
        <v>2</v>
      </c>
      <c r="C25" s="53" t="s">
        <v>86</v>
      </c>
      <c r="D25" s="53" t="s">
        <v>87</v>
      </c>
      <c r="E25" s="42">
        <v>20</v>
      </c>
      <c r="F25" s="23">
        <v>20</v>
      </c>
      <c r="G25" s="51">
        <v>25</v>
      </c>
      <c r="H25" s="52"/>
      <c r="I25" s="52"/>
      <c r="J25" s="13"/>
      <c r="K25" s="128">
        <f>INDEX([1]Monoprix!$F:$F,MATCH(D25,[1]Monoprix!$C:$C,0))</f>
        <v>0.25</v>
      </c>
      <c r="L25" s="133">
        <f>INDEX([1]Monoprix!$G:$G,MATCH(D25,[1]Monoprix!$C:$C,0))</f>
        <v>0.89583333333333337</v>
      </c>
      <c r="M25" s="143">
        <f>INDEX([1]Monoprix!$H:$H,MATCH(D25,[1]Monoprix!$C:$C,0))</f>
        <v>0.29166666666666669</v>
      </c>
      <c r="N25" s="143">
        <f>INDEX([1]Monoprix!$I:$I,MATCH(D25,[1]Monoprix!$C:$C,0))</f>
        <v>0.54166666666666696</v>
      </c>
      <c r="O25" s="144"/>
      <c r="P25" s="145"/>
      <c r="Q25" s="94" t="s">
        <v>553</v>
      </c>
      <c r="R25" s="4"/>
      <c r="S25" s="4"/>
      <c r="T25" s="4"/>
      <c r="U25" s="4"/>
      <c r="V25" s="4"/>
    </row>
    <row r="26" spans="1:22" x14ac:dyDescent="0.25">
      <c r="A26" s="12" t="s">
        <v>530</v>
      </c>
      <c r="B26" s="25" t="s">
        <v>2</v>
      </c>
      <c r="C26" s="53" t="s">
        <v>88</v>
      </c>
      <c r="D26" s="53" t="s">
        <v>89</v>
      </c>
      <c r="E26" s="42">
        <v>40</v>
      </c>
      <c r="F26" s="23">
        <v>45</v>
      </c>
      <c r="G26" s="121">
        <v>55</v>
      </c>
      <c r="H26" s="52"/>
      <c r="I26" s="52"/>
      <c r="J26" s="13"/>
      <c r="K26" s="128">
        <f>INDEX([1]Monoprix!$F:$F,MATCH(D26,[1]Monoprix!$C:$C,0))</f>
        <v>0.25</v>
      </c>
      <c r="L26" s="133">
        <f>INDEX([1]Monoprix!$G:$G,MATCH(D26,[1]Monoprix!$C:$C,0))</f>
        <v>0.875</v>
      </c>
      <c r="M26" s="143">
        <f>INDEX([1]Monoprix!$H:$H,MATCH(D26,[1]Monoprix!$C:$C,0))</f>
        <v>0.28472222222222221</v>
      </c>
      <c r="N26" s="143">
        <f>INDEX([1]Monoprix!$I:$I,MATCH(D26,[1]Monoprix!$C:$C,0))</f>
        <v>0.54166666666666663</v>
      </c>
      <c r="O26" s="144"/>
      <c r="P26" s="145"/>
      <c r="Q26" s="94" t="s">
        <v>554</v>
      </c>
      <c r="R26" s="4"/>
      <c r="S26" s="4"/>
      <c r="T26" s="4"/>
      <c r="U26" s="4"/>
      <c r="V26" s="4"/>
    </row>
    <row r="27" spans="1:22" x14ac:dyDescent="0.25">
      <c r="A27" s="12" t="s">
        <v>533</v>
      </c>
      <c r="B27" s="25" t="s">
        <v>51</v>
      </c>
      <c r="C27" s="53" t="s">
        <v>90</v>
      </c>
      <c r="D27" s="54" t="s">
        <v>10</v>
      </c>
      <c r="E27" s="55">
        <v>80</v>
      </c>
      <c r="F27" s="87">
        <v>75</v>
      </c>
      <c r="G27" s="51">
        <v>80</v>
      </c>
      <c r="H27" s="52"/>
      <c r="I27" s="52"/>
      <c r="J27" s="13"/>
      <c r="K27" s="128">
        <f>INDEX([1]Monoprix!$F:$F,MATCH(D27,[1]Monoprix!$C:$C,0))</f>
        <v>0.22222222222222221</v>
      </c>
      <c r="L27" s="133">
        <f>INDEX([1]Monoprix!$G:$G,MATCH(D27,[1]Monoprix!$C:$C,0))</f>
        <v>0.875</v>
      </c>
      <c r="M27" s="143">
        <f>INDEX([1]Monoprix!$H:$H,MATCH(D27,[1]Monoprix!$C:$C,0))</f>
        <v>0.29166666666666702</v>
      </c>
      <c r="N27" s="143">
        <f>INDEX([1]Monoprix!$I:$I,MATCH(D27,[1]Monoprix!$C:$C,0))</f>
        <v>0.54166666666666663</v>
      </c>
      <c r="O27" s="144"/>
      <c r="P27" s="145"/>
      <c r="Q27" s="94" t="s">
        <v>555</v>
      </c>
      <c r="R27" s="4"/>
      <c r="S27" s="4"/>
      <c r="T27" s="4"/>
      <c r="U27" s="4"/>
      <c r="V27" s="4"/>
    </row>
    <row r="28" spans="1:22" x14ac:dyDescent="0.25">
      <c r="A28" s="12" t="s">
        <v>533</v>
      </c>
      <c r="B28" s="25" t="s">
        <v>2</v>
      </c>
      <c r="C28" s="53" t="s">
        <v>91</v>
      </c>
      <c r="D28" s="54" t="s">
        <v>92</v>
      </c>
      <c r="E28" s="55">
        <v>20</v>
      </c>
      <c r="F28" s="23">
        <v>25</v>
      </c>
      <c r="G28" s="51">
        <v>30</v>
      </c>
      <c r="H28" s="52"/>
      <c r="I28" s="52"/>
      <c r="J28" s="13"/>
      <c r="K28" s="128">
        <f>INDEX([1]Monoprix!$F:$F,MATCH(D28,[1]Monoprix!$C:$C,0))</f>
        <v>0.25</v>
      </c>
      <c r="L28" s="133">
        <f>INDEX([1]Monoprix!$G:$G,MATCH(D28,[1]Monoprix!$C:$C,0))</f>
        <v>0.83333333333333337</v>
      </c>
      <c r="M28" s="143">
        <f>INDEX([1]Monoprix!$H:$H,MATCH(D28,[1]Monoprix!$C:$C,0))</f>
        <v>0.27083333333333331</v>
      </c>
      <c r="N28" s="143">
        <f>INDEX([1]Monoprix!$I:$I,MATCH(D28,[1]Monoprix!$C:$C,0))</f>
        <v>0.83333333333333337</v>
      </c>
      <c r="O28" s="144"/>
      <c r="P28" s="145"/>
      <c r="Q28" s="94" t="s">
        <v>148</v>
      </c>
      <c r="R28" s="4"/>
      <c r="S28" s="4"/>
      <c r="T28" s="4"/>
      <c r="U28" s="4"/>
      <c r="V28" s="4"/>
    </row>
    <row r="29" spans="1:22" x14ac:dyDescent="0.25">
      <c r="A29" s="12" t="s">
        <v>533</v>
      </c>
      <c r="B29" s="25" t="s">
        <v>2</v>
      </c>
      <c r="C29" s="53" t="s">
        <v>93</v>
      </c>
      <c r="D29" s="54" t="s">
        <v>94</v>
      </c>
      <c r="E29" s="42">
        <v>20</v>
      </c>
      <c r="F29" s="23">
        <v>20</v>
      </c>
      <c r="G29" s="51">
        <v>20</v>
      </c>
      <c r="H29" s="52"/>
      <c r="I29" s="52"/>
      <c r="J29" s="13"/>
      <c r="K29" s="128">
        <f>INDEX([1]Monoprix!$F:$F,MATCH(D29,[1]Monoprix!$C:$C,0))</f>
        <v>0.25</v>
      </c>
      <c r="L29" s="133">
        <f>INDEX([1]Monoprix!$G:$G,MATCH(D29,[1]Monoprix!$C:$C,0))</f>
        <v>0.85416666666666663</v>
      </c>
      <c r="M29" s="143" t="str">
        <f>INDEX([1]Monoprix!$H:$H,MATCH(D29,[1]Monoprix!$C:$C,0))</f>
        <v>-</v>
      </c>
      <c r="N29" s="143" t="str">
        <f>INDEX([1]Monoprix!$I:$I,MATCH(D29,[1]Monoprix!$C:$C,0))</f>
        <v>-</v>
      </c>
      <c r="O29" s="144"/>
      <c r="P29" s="145"/>
      <c r="Q29" s="94" t="s">
        <v>556</v>
      </c>
      <c r="R29" s="4"/>
      <c r="S29" s="4"/>
      <c r="T29" s="4"/>
      <c r="U29" s="4"/>
      <c r="V29" s="4"/>
    </row>
    <row r="30" spans="1:22" x14ac:dyDescent="0.25">
      <c r="A30" s="56" t="s">
        <v>533</v>
      </c>
      <c r="B30" s="25" t="s">
        <v>2</v>
      </c>
      <c r="C30" s="53" t="s">
        <v>95</v>
      </c>
      <c r="D30" s="54" t="s">
        <v>96</v>
      </c>
      <c r="E30" s="55">
        <v>105</v>
      </c>
      <c r="F30" s="23">
        <v>110</v>
      </c>
      <c r="G30" s="51">
        <v>110</v>
      </c>
      <c r="H30" s="52"/>
      <c r="I30" s="52"/>
      <c r="J30" s="13"/>
      <c r="K30" s="128">
        <f>INDEX([1]Monoprix!$F:$F,MATCH(D30,[1]Monoprix!$C:$C,0))</f>
        <v>0.16666666666666666</v>
      </c>
      <c r="L30" s="133">
        <f>INDEX([1]Monoprix!$G:$G,MATCH(D30,[1]Monoprix!$C:$C,0))</f>
        <v>0.82291666666666663</v>
      </c>
      <c r="M30" s="143">
        <f>INDEX([1]Monoprix!$H:$H,MATCH(D30,[1]Monoprix!$C:$C,0))</f>
        <v>0.29166666666666669</v>
      </c>
      <c r="N30" s="143">
        <f>INDEX([1]Monoprix!$I:$I,MATCH(D30,[1]Monoprix!$C:$C,0))</f>
        <v>0.58333333333333337</v>
      </c>
      <c r="O30" s="144"/>
      <c r="P30" s="145"/>
      <c r="Q30" s="94" t="s">
        <v>557</v>
      </c>
      <c r="R30" s="4"/>
      <c r="S30" s="4"/>
      <c r="T30" s="4"/>
      <c r="U30" s="4"/>
      <c r="V30" s="4"/>
    </row>
    <row r="31" spans="1:22" x14ac:dyDescent="0.25">
      <c r="A31" s="12" t="s">
        <v>530</v>
      </c>
      <c r="B31" s="25" t="s">
        <v>51</v>
      </c>
      <c r="C31" s="53" t="s">
        <v>97</v>
      </c>
      <c r="D31" s="54" t="s">
        <v>98</v>
      </c>
      <c r="E31" s="42">
        <v>45</v>
      </c>
      <c r="F31" s="87">
        <v>45</v>
      </c>
      <c r="G31" s="51">
        <v>50</v>
      </c>
      <c r="H31" s="52"/>
      <c r="I31" s="52"/>
      <c r="J31" s="13"/>
      <c r="K31" s="128">
        <f>INDEX([1]Monoprix!$F:$F,MATCH(D31,[1]Monoprix!$C:$C,0))</f>
        <v>0.25</v>
      </c>
      <c r="L31" s="133">
        <f>INDEX([1]Monoprix!$G:$G,MATCH(D31,[1]Monoprix!$C:$C,0))</f>
        <v>0.83333333333333304</v>
      </c>
      <c r="M31" s="143" t="str">
        <f>INDEX([1]Monoprix!$H:$H,MATCH(D31,[1]Monoprix!$C:$C,0))</f>
        <v>-</v>
      </c>
      <c r="N31" s="143" t="str">
        <f>INDEX([1]Monoprix!$I:$I,MATCH(D31,[1]Monoprix!$C:$C,0))</f>
        <v>-</v>
      </c>
      <c r="O31" s="144"/>
      <c r="P31" s="145"/>
      <c r="Q31" s="94" t="s">
        <v>558</v>
      </c>
      <c r="R31" s="4"/>
      <c r="S31" s="4"/>
      <c r="T31" s="4"/>
      <c r="U31" s="4"/>
      <c r="V31" s="4"/>
    </row>
    <row r="32" spans="1:22" x14ac:dyDescent="0.25">
      <c r="A32" s="12" t="s">
        <v>530</v>
      </c>
      <c r="B32" s="25" t="s">
        <v>51</v>
      </c>
      <c r="C32" s="53" t="s">
        <v>99</v>
      </c>
      <c r="D32" s="54" t="s">
        <v>11</v>
      </c>
      <c r="E32" s="42">
        <v>40</v>
      </c>
      <c r="F32" s="87">
        <v>40</v>
      </c>
      <c r="G32" s="51">
        <v>50</v>
      </c>
      <c r="H32" s="52"/>
      <c r="I32" s="52"/>
      <c r="J32" s="13"/>
      <c r="K32" s="128">
        <f>INDEX([1]Monoprix!$F:$F,MATCH(D32,[1]Monoprix!$C:$C,0))</f>
        <v>0.20833333333333334</v>
      </c>
      <c r="L32" s="133">
        <f>INDEX([1]Monoprix!$G:$G,MATCH(D32,[1]Monoprix!$C:$C,0))</f>
        <v>0.86458333333333337</v>
      </c>
      <c r="M32" s="143">
        <f>INDEX([1]Monoprix!$H:$H,MATCH(D32,[1]Monoprix!$C:$C,0))</f>
        <v>0.29166666666666669</v>
      </c>
      <c r="N32" s="143">
        <f>INDEX([1]Monoprix!$I:$I,MATCH(D32,[1]Monoprix!$C:$C,0))</f>
        <v>0.53125</v>
      </c>
      <c r="O32" s="144"/>
      <c r="P32" s="145"/>
      <c r="Q32" s="94" t="s">
        <v>559</v>
      </c>
      <c r="R32" s="4"/>
      <c r="S32" s="4"/>
      <c r="T32" s="4"/>
      <c r="U32" s="4"/>
      <c r="V32" s="4"/>
    </row>
    <row r="33" spans="1:22" x14ac:dyDescent="0.25">
      <c r="A33" s="12" t="s">
        <v>530</v>
      </c>
      <c r="B33" s="25" t="s">
        <v>2</v>
      </c>
      <c r="C33" s="53" t="s">
        <v>100</v>
      </c>
      <c r="D33" s="54" t="s">
        <v>101</v>
      </c>
      <c r="E33" s="42">
        <v>25</v>
      </c>
      <c r="F33" s="23">
        <v>25</v>
      </c>
      <c r="G33" s="51">
        <v>30</v>
      </c>
      <c r="H33" s="52"/>
      <c r="I33" s="52"/>
      <c r="J33" s="13"/>
      <c r="K33" s="128">
        <f>INDEX([1]Monoprix!$F:$F,MATCH(D33,[1]Monoprix!$C:$C,0))</f>
        <v>0.25</v>
      </c>
      <c r="L33" s="133">
        <f>INDEX([1]Monoprix!$G:$G,MATCH(D33,[1]Monoprix!$C:$C,0))</f>
        <v>0.83333333333333304</v>
      </c>
      <c r="M33" s="143">
        <f>INDEX([1]Monoprix!$H:$H,MATCH(D33,[1]Monoprix!$C:$C,0))</f>
        <v>0.375</v>
      </c>
      <c r="N33" s="143">
        <f>INDEX([1]Monoprix!$I:$I,MATCH(D33,[1]Monoprix!$C:$C,0))</f>
        <v>0.54166666666666696</v>
      </c>
      <c r="O33" s="144"/>
      <c r="P33" s="145"/>
      <c r="Q33" s="94" t="s">
        <v>560</v>
      </c>
      <c r="R33" s="4"/>
      <c r="S33" s="4"/>
      <c r="T33" s="4"/>
      <c r="U33" s="4"/>
      <c r="V33" s="4"/>
    </row>
    <row r="34" spans="1:22" x14ac:dyDescent="0.25">
      <c r="A34" s="12" t="s">
        <v>533</v>
      </c>
      <c r="B34" s="25" t="s">
        <v>51</v>
      </c>
      <c r="C34" s="53" t="s">
        <v>102</v>
      </c>
      <c r="D34" s="54" t="s">
        <v>12</v>
      </c>
      <c r="E34" s="55">
        <v>75</v>
      </c>
      <c r="F34" s="23">
        <v>80</v>
      </c>
      <c r="G34" s="51">
        <v>80</v>
      </c>
      <c r="H34" s="52"/>
      <c r="I34" s="52"/>
      <c r="J34" s="13"/>
      <c r="K34" s="128">
        <f>INDEX([1]Monoprix!$F:$F,MATCH(D34,[1]Monoprix!$C:$C,0))</f>
        <v>0.25</v>
      </c>
      <c r="L34" s="133">
        <f>INDEX([1]Monoprix!$G:$G,MATCH(D34,[1]Monoprix!$C:$C,0))</f>
        <v>0.89583333333333337</v>
      </c>
      <c r="M34" s="143">
        <f>INDEX([1]Monoprix!$H:$H,MATCH(D34,[1]Monoprix!$C:$C,0))</f>
        <v>0.29166666666666702</v>
      </c>
      <c r="N34" s="143">
        <f>INDEX([1]Monoprix!$I:$I,MATCH(D34,[1]Monoprix!$C:$C,0))</f>
        <v>0.80208333333333337</v>
      </c>
      <c r="O34" s="144"/>
      <c r="P34" s="145"/>
      <c r="Q34" s="94" t="s">
        <v>561</v>
      </c>
      <c r="R34" s="4"/>
      <c r="S34" s="4"/>
      <c r="T34" s="4"/>
      <c r="U34" s="4"/>
      <c r="V34" s="4"/>
    </row>
    <row r="35" spans="1:22" hidden="1" x14ac:dyDescent="0.25">
      <c r="A35" s="12" t="s">
        <v>533</v>
      </c>
      <c r="B35" s="25" t="s">
        <v>792</v>
      </c>
      <c r="C35" s="53" t="s">
        <v>103</v>
      </c>
      <c r="D35" s="53" t="s">
        <v>104</v>
      </c>
      <c r="E35" s="55">
        <v>10</v>
      </c>
      <c r="F35" s="23">
        <v>10</v>
      </c>
      <c r="G35" s="121">
        <v>5</v>
      </c>
      <c r="H35" s="52"/>
      <c r="I35" s="52"/>
      <c r="J35" s="13"/>
      <c r="K35" s="13"/>
      <c r="L35" s="13">
        <v>5</v>
      </c>
      <c r="M35" s="136">
        <v>20</v>
      </c>
      <c r="N35" s="137" t="s">
        <v>523</v>
      </c>
      <c r="O35" s="138"/>
      <c r="P35" s="137"/>
      <c r="Q35" s="136" t="s">
        <v>562</v>
      </c>
      <c r="R35" s="4"/>
      <c r="S35" s="4"/>
      <c r="T35" s="4"/>
      <c r="U35" s="4"/>
      <c r="V35" s="4"/>
    </row>
    <row r="36" spans="1:22" x14ac:dyDescent="0.25">
      <c r="A36" s="12" t="s">
        <v>533</v>
      </c>
      <c r="B36" s="25" t="s">
        <v>51</v>
      </c>
      <c r="C36" s="53" t="s">
        <v>105</v>
      </c>
      <c r="D36" s="54" t="s">
        <v>13</v>
      </c>
      <c r="E36" s="42">
        <v>50</v>
      </c>
      <c r="F36" s="23">
        <v>50</v>
      </c>
      <c r="G36" s="51">
        <v>50</v>
      </c>
      <c r="H36" s="52"/>
      <c r="I36" s="52"/>
      <c r="J36" s="13"/>
      <c r="K36" s="128">
        <f>INDEX([1]Monoprix!$F:$F,MATCH(D36,[1]Monoprix!$C:$C,0))</f>
        <v>0.25</v>
      </c>
      <c r="L36" s="133">
        <f>INDEX([1]Monoprix!$G:$G,MATCH(D36,[1]Monoprix!$C:$C,0))</f>
        <v>0.875</v>
      </c>
      <c r="M36" s="143">
        <f>INDEX([1]Monoprix!$H:$H,MATCH(D36,[1]Monoprix!$C:$C,0))</f>
        <v>0.33333333333333331</v>
      </c>
      <c r="N36" s="143">
        <f>INDEX([1]Monoprix!$I:$I,MATCH(D36,[1]Monoprix!$C:$C,0))</f>
        <v>0.83333333333333337</v>
      </c>
      <c r="O36" s="144"/>
      <c r="P36" s="145"/>
      <c r="Q36" s="94" t="s">
        <v>563</v>
      </c>
      <c r="R36" s="4"/>
      <c r="S36" s="4"/>
      <c r="T36" s="4"/>
      <c r="U36" s="4"/>
      <c r="V36" s="4"/>
    </row>
    <row r="37" spans="1:22" x14ac:dyDescent="0.25">
      <c r="A37" s="12" t="s">
        <v>530</v>
      </c>
      <c r="B37" s="25" t="s">
        <v>2</v>
      </c>
      <c r="C37" s="53" t="s">
        <v>106</v>
      </c>
      <c r="D37" s="54" t="s">
        <v>107</v>
      </c>
      <c r="E37" s="42">
        <v>80</v>
      </c>
      <c r="F37" s="23">
        <v>75</v>
      </c>
      <c r="G37" s="51">
        <v>80</v>
      </c>
      <c r="H37" s="52"/>
      <c r="I37" s="52"/>
      <c r="J37" s="13"/>
      <c r="K37" s="128">
        <f>INDEX([1]Monoprix!$F:$F,MATCH(D37,[1]Monoprix!$C:$C,0))</f>
        <v>0.24305555555555555</v>
      </c>
      <c r="L37" s="133">
        <f>INDEX([1]Monoprix!$G:$G,MATCH(D37,[1]Monoprix!$C:$C,0))</f>
        <v>0.83333333333333337</v>
      </c>
      <c r="M37" s="143" t="str">
        <f>INDEX([1]Monoprix!$H:$H,MATCH(D37,[1]Monoprix!$C:$C,0))</f>
        <v>-</v>
      </c>
      <c r="N37" s="143" t="str">
        <f>INDEX([1]Monoprix!$I:$I,MATCH(D37,[1]Monoprix!$C:$C,0))</f>
        <v>-</v>
      </c>
      <c r="O37" s="144"/>
      <c r="P37" s="145"/>
      <c r="Q37" s="94" t="s">
        <v>564</v>
      </c>
      <c r="R37" s="4"/>
      <c r="S37" s="4"/>
      <c r="T37" s="4"/>
      <c r="U37" s="4"/>
      <c r="V37" s="4"/>
    </row>
    <row r="38" spans="1:22" x14ac:dyDescent="0.25">
      <c r="A38" s="12" t="s">
        <v>533</v>
      </c>
      <c r="B38" s="25" t="s">
        <v>51</v>
      </c>
      <c r="C38" s="53" t="s">
        <v>108</v>
      </c>
      <c r="D38" s="54" t="s">
        <v>14</v>
      </c>
      <c r="E38" s="42">
        <v>75</v>
      </c>
      <c r="F38" s="23">
        <v>75</v>
      </c>
      <c r="G38" s="51">
        <v>80</v>
      </c>
      <c r="H38" s="52"/>
      <c r="I38" s="52"/>
      <c r="J38" s="13"/>
      <c r="K38" s="128">
        <f>INDEX([1]Monoprix!$F:$F,MATCH(D38,[1]Monoprix!$C:$C,0))</f>
        <v>0.24305555555555555</v>
      </c>
      <c r="L38" s="133">
        <f>INDEX([1]Monoprix!$G:$G,MATCH(D38,[1]Monoprix!$C:$C,0))</f>
        <v>0.89583333333333337</v>
      </c>
      <c r="M38" s="143">
        <f>INDEX([1]Monoprix!$H:$H,MATCH(D38,[1]Monoprix!$C:$C,0))</f>
        <v>0.27083333333333331</v>
      </c>
      <c r="N38" s="143">
        <f>INDEX([1]Monoprix!$I:$I,MATCH(D38,[1]Monoprix!$C:$C,0))</f>
        <v>0.55902777777777779</v>
      </c>
      <c r="O38" s="144"/>
      <c r="P38" s="145"/>
      <c r="Q38" s="94" t="s">
        <v>565</v>
      </c>
      <c r="R38" s="4"/>
      <c r="S38" s="4"/>
      <c r="T38" s="4"/>
      <c r="U38" s="4"/>
      <c r="V38" s="4"/>
    </row>
    <row r="39" spans="1:22" x14ac:dyDescent="0.25">
      <c r="A39" s="12" t="s">
        <v>533</v>
      </c>
      <c r="B39" s="25" t="s">
        <v>51</v>
      </c>
      <c r="C39" s="53" t="s">
        <v>109</v>
      </c>
      <c r="D39" s="54" t="s">
        <v>110</v>
      </c>
      <c r="E39" s="42">
        <v>75</v>
      </c>
      <c r="F39" s="23">
        <v>80</v>
      </c>
      <c r="G39" s="51">
        <v>95</v>
      </c>
      <c r="H39" s="52"/>
      <c r="I39" s="52"/>
      <c r="J39" s="13"/>
      <c r="K39" s="128">
        <f>INDEX([1]Monoprix!$F:$F,MATCH(D39,[1]Monoprix!$C:$C,0))</f>
        <v>0.20833333333333334</v>
      </c>
      <c r="L39" s="133">
        <f>INDEX([1]Monoprix!$G:$G,MATCH(D39,[1]Monoprix!$C:$C,0))</f>
        <v>0.89583333333333337</v>
      </c>
      <c r="M39" s="143">
        <f>INDEX([1]Monoprix!$H:$H,MATCH(D39,[1]Monoprix!$C:$C,0))</f>
        <v>0.27083333333333331</v>
      </c>
      <c r="N39" s="143">
        <f>INDEX([1]Monoprix!$I:$I,MATCH(D39,[1]Monoprix!$C:$C,0))</f>
        <v>0.55902777777777779</v>
      </c>
      <c r="O39" s="147"/>
      <c r="P39" s="145"/>
      <c r="Q39" s="94" t="s">
        <v>566</v>
      </c>
      <c r="R39" s="4"/>
      <c r="S39" s="4"/>
      <c r="T39" s="4"/>
      <c r="U39" s="4"/>
      <c r="V39" s="4"/>
    </row>
    <row r="40" spans="1:22" x14ac:dyDescent="0.25">
      <c r="A40" s="12" t="s">
        <v>533</v>
      </c>
      <c r="B40" s="25" t="s">
        <v>51</v>
      </c>
      <c r="C40" s="53" t="s">
        <v>111</v>
      </c>
      <c r="D40" s="54" t="s">
        <v>112</v>
      </c>
      <c r="E40" s="42">
        <v>45</v>
      </c>
      <c r="F40" s="23">
        <v>45</v>
      </c>
      <c r="G40" s="51">
        <v>50</v>
      </c>
      <c r="H40" s="52">
        <v>15</v>
      </c>
      <c r="I40" s="52">
        <v>15</v>
      </c>
      <c r="J40" s="13"/>
      <c r="K40" s="128">
        <f>INDEX([1]Monoprix!$F:$F,MATCH(D40,[1]Monoprix!$C:$C,0))</f>
        <v>0.25</v>
      </c>
      <c r="L40" s="133">
        <f>INDEX([1]Monoprix!$G:$G,MATCH(D40,[1]Monoprix!$C:$C,0))</f>
        <v>0.86458333333333337</v>
      </c>
      <c r="M40" s="143" t="str">
        <f>INDEX([1]Monoprix!$H:$H,MATCH(D40,[1]Monoprix!$C:$C,0))</f>
        <v>-</v>
      </c>
      <c r="N40" s="143" t="str">
        <f>INDEX([1]Monoprix!$I:$I,MATCH(D40,[1]Monoprix!$C:$C,0))</f>
        <v>-</v>
      </c>
      <c r="O40" s="144"/>
      <c r="P40" s="145"/>
      <c r="Q40" s="94" t="s">
        <v>567</v>
      </c>
      <c r="R40" s="4"/>
      <c r="S40" s="4"/>
      <c r="T40" s="4"/>
      <c r="U40" s="4"/>
      <c r="V40" s="4"/>
    </row>
    <row r="41" spans="1:22" x14ac:dyDescent="0.25">
      <c r="A41" s="12" t="s">
        <v>530</v>
      </c>
      <c r="B41" s="25" t="s">
        <v>2</v>
      </c>
      <c r="C41" s="53" t="s">
        <v>113</v>
      </c>
      <c r="D41" s="54" t="s">
        <v>114</v>
      </c>
      <c r="E41" s="42">
        <v>55</v>
      </c>
      <c r="F41" s="23">
        <v>50</v>
      </c>
      <c r="G41" s="51">
        <v>60</v>
      </c>
      <c r="H41" s="52"/>
      <c r="I41" s="52"/>
      <c r="J41" s="13"/>
      <c r="K41" s="128">
        <f>INDEX([1]Monoprix!$F:$F,MATCH(D41,[1]Monoprix!$C:$C,0))</f>
        <v>0.25</v>
      </c>
      <c r="L41" s="133">
        <f>INDEX([1]Monoprix!$G:$G,MATCH(D41,[1]Monoprix!$C:$C,0))</f>
        <v>0.85416666666666663</v>
      </c>
      <c r="M41" s="143">
        <f>INDEX([1]Monoprix!$H:$H,MATCH(D41,[1]Monoprix!$C:$C,0))</f>
        <v>0.27083333333333331</v>
      </c>
      <c r="N41" s="143">
        <f>INDEX([1]Monoprix!$I:$I,MATCH(D41,[1]Monoprix!$C:$C,0))</f>
        <v>0.5625</v>
      </c>
      <c r="O41" s="144"/>
      <c r="P41" s="145"/>
      <c r="Q41" s="94" t="s">
        <v>148</v>
      </c>
      <c r="R41" s="4"/>
      <c r="S41" s="4"/>
      <c r="T41" s="4"/>
      <c r="U41" s="4"/>
      <c r="V41" s="4"/>
    </row>
    <row r="42" spans="1:22" x14ac:dyDescent="0.25">
      <c r="A42" s="12" t="s">
        <v>530</v>
      </c>
      <c r="B42" s="25" t="s">
        <v>51</v>
      </c>
      <c r="C42" s="53" t="s">
        <v>115</v>
      </c>
      <c r="D42" s="53" t="s">
        <v>116</v>
      </c>
      <c r="E42" s="42">
        <v>80</v>
      </c>
      <c r="F42" s="87">
        <v>80</v>
      </c>
      <c r="G42" s="51">
        <v>105</v>
      </c>
      <c r="H42" s="52">
        <v>0</v>
      </c>
      <c r="I42" s="52">
        <v>0</v>
      </c>
      <c r="J42" s="13"/>
      <c r="K42" s="128">
        <f>INDEX([1]Monoprix!$F:$F,MATCH(D42,[1]Monoprix!$C:$C,0))</f>
        <v>0.20486111111111113</v>
      </c>
      <c r="L42" s="133">
        <f>INDEX([1]Monoprix!$G:$G,MATCH(D42,[1]Monoprix!$C:$C,0))</f>
        <v>0.89583333333333337</v>
      </c>
      <c r="M42" s="143">
        <f>INDEX([1]Monoprix!$H:$H,MATCH(D42,[1]Monoprix!$C:$C,0))</f>
        <v>0.29166666666666669</v>
      </c>
      <c r="N42" s="143">
        <f>INDEX([1]Monoprix!$I:$I,MATCH(D42,[1]Monoprix!$C:$C,0))</f>
        <v>0.5625</v>
      </c>
      <c r="O42" s="144"/>
      <c r="P42" s="145"/>
      <c r="Q42" s="94" t="s">
        <v>568</v>
      </c>
      <c r="R42" s="4"/>
      <c r="S42" s="4"/>
      <c r="T42" s="4"/>
      <c r="U42" s="4"/>
      <c r="V42" s="4"/>
    </row>
    <row r="43" spans="1:22" x14ac:dyDescent="0.25">
      <c r="A43" s="12" t="s">
        <v>530</v>
      </c>
      <c r="B43" s="25" t="s">
        <v>51</v>
      </c>
      <c r="C43" s="53" t="s">
        <v>117</v>
      </c>
      <c r="D43" s="54" t="s">
        <v>15</v>
      </c>
      <c r="E43" s="42">
        <v>15</v>
      </c>
      <c r="F43" s="23">
        <v>15</v>
      </c>
      <c r="G43" s="51">
        <v>20</v>
      </c>
      <c r="H43" s="52"/>
      <c r="I43" s="52"/>
      <c r="J43" s="13"/>
      <c r="K43" s="128">
        <f>INDEX([1]Monoprix!$F:$F,MATCH(D43,[1]Monoprix!$C:$C,0))</f>
        <v>0.24305555555555555</v>
      </c>
      <c r="L43" s="133">
        <f>INDEX([1]Monoprix!$G:$G,MATCH(D43,[1]Monoprix!$C:$C,0))</f>
        <v>0.92013888888888884</v>
      </c>
      <c r="M43" s="143">
        <f>INDEX([1]Monoprix!$H:$H,MATCH(D43,[1]Monoprix!$C:$C,0))</f>
        <v>0.28472222222222221</v>
      </c>
      <c r="N43" s="143">
        <f>INDEX([1]Monoprix!$I:$I,MATCH(D43,[1]Monoprix!$C:$C,0))</f>
        <v>0.54166666666666663</v>
      </c>
      <c r="O43" s="144"/>
      <c r="P43" s="145"/>
      <c r="Q43" s="94" t="s">
        <v>569</v>
      </c>
      <c r="R43" s="4"/>
      <c r="S43" s="4"/>
      <c r="T43" s="4"/>
      <c r="U43" s="4"/>
      <c r="V43" s="4"/>
    </row>
    <row r="44" spans="1:22" x14ac:dyDescent="0.25">
      <c r="A44" s="12" t="s">
        <v>530</v>
      </c>
      <c r="B44" s="25" t="s">
        <v>51</v>
      </c>
      <c r="C44" s="53" t="s">
        <v>118</v>
      </c>
      <c r="D44" s="54" t="s">
        <v>119</v>
      </c>
      <c r="E44" s="55">
        <v>65</v>
      </c>
      <c r="F44" s="23">
        <v>55</v>
      </c>
      <c r="G44" s="51">
        <v>75</v>
      </c>
      <c r="H44" s="52"/>
      <c r="I44" s="52"/>
      <c r="J44" s="13"/>
      <c r="K44" s="128">
        <f>INDEX([1]Monoprix!$F:$F,MATCH(D44,[1]Monoprix!$C:$C,0))</f>
        <v>0.24305555555555555</v>
      </c>
      <c r="L44" s="133">
        <f>INDEX([1]Monoprix!$G:$G,MATCH(D44,[1]Monoprix!$C:$C,0))</f>
        <v>0.875</v>
      </c>
      <c r="M44" s="143">
        <f>INDEX([1]Monoprix!$H:$H,MATCH(D44,[1]Monoprix!$C:$C,0))</f>
        <v>0.3125</v>
      </c>
      <c r="N44" s="143">
        <f>INDEX([1]Monoprix!$I:$I,MATCH(D44,[1]Monoprix!$C:$C,0))</f>
        <v>0.54166666666666663</v>
      </c>
      <c r="O44" s="144"/>
      <c r="P44" s="145"/>
      <c r="Q44" s="94" t="s">
        <v>570</v>
      </c>
      <c r="R44" s="4"/>
      <c r="S44" s="4"/>
      <c r="T44" s="4"/>
      <c r="U44" s="4"/>
      <c r="V44" s="4"/>
    </row>
    <row r="45" spans="1:22" x14ac:dyDescent="0.25">
      <c r="A45" s="12" t="s">
        <v>530</v>
      </c>
      <c r="B45" s="25" t="s">
        <v>2</v>
      </c>
      <c r="C45" s="53" t="s">
        <v>120</v>
      </c>
      <c r="D45" s="54" t="s">
        <v>121</v>
      </c>
      <c r="E45" s="42">
        <v>45</v>
      </c>
      <c r="F45" s="23">
        <v>55</v>
      </c>
      <c r="G45" s="51">
        <v>55</v>
      </c>
      <c r="H45" s="52"/>
      <c r="I45" s="52"/>
      <c r="J45" s="13"/>
      <c r="K45" s="128">
        <f>INDEX([1]Monoprix!$F:$F,MATCH(D45,[1]Monoprix!$C:$C,0))</f>
        <v>0.25</v>
      </c>
      <c r="L45" s="133">
        <f>INDEX([1]Monoprix!$G:$G,MATCH(D45,[1]Monoprix!$C:$C,0))</f>
        <v>0.86458333333333337</v>
      </c>
      <c r="M45" s="143">
        <f>INDEX([1]Monoprix!$H:$H,MATCH(D45,[1]Monoprix!$C:$C,0))</f>
        <v>0.33333333333333331</v>
      </c>
      <c r="N45" s="143">
        <f>INDEX([1]Monoprix!$I:$I,MATCH(D45,[1]Monoprix!$C:$C,0))</f>
        <v>0.55555555555555558</v>
      </c>
      <c r="O45" s="144"/>
      <c r="P45" s="145"/>
      <c r="Q45" s="94" t="s">
        <v>571</v>
      </c>
      <c r="R45" s="4"/>
      <c r="S45" s="4"/>
      <c r="T45" s="4"/>
      <c r="U45" s="4"/>
      <c r="V45" s="4"/>
    </row>
    <row r="46" spans="1:22" x14ac:dyDescent="0.25">
      <c r="A46" s="12" t="s">
        <v>530</v>
      </c>
      <c r="B46" s="25" t="s">
        <v>2</v>
      </c>
      <c r="C46" s="53" t="s">
        <v>122</v>
      </c>
      <c r="D46" s="53" t="s">
        <v>123</v>
      </c>
      <c r="E46" s="55">
        <v>40</v>
      </c>
      <c r="F46" s="23">
        <v>85</v>
      </c>
      <c r="G46" s="121">
        <v>45</v>
      </c>
      <c r="H46" s="52"/>
      <c r="I46" s="52"/>
      <c r="J46" s="13"/>
      <c r="K46" s="128">
        <f>INDEX([1]Monoprix!$F:$F,MATCH(D46,[1]Monoprix!$C:$C,0))</f>
        <v>0.23611111111111113</v>
      </c>
      <c r="L46" s="133">
        <f>INDEX([1]Monoprix!$G:$G,MATCH(D46,[1]Monoprix!$C:$C,0))</f>
        <v>0.875</v>
      </c>
      <c r="M46" s="143">
        <f>INDEX([1]Monoprix!$H:$H,MATCH(D46,[1]Monoprix!$C:$C,0))</f>
        <v>0.3125</v>
      </c>
      <c r="N46" s="143">
        <f>INDEX([1]Monoprix!$I:$I,MATCH(D46,[1]Monoprix!$C:$C,0))</f>
        <v>0.55208333333333337</v>
      </c>
      <c r="O46" s="144"/>
      <c r="P46" s="145"/>
      <c r="Q46" s="94" t="s">
        <v>572</v>
      </c>
      <c r="R46" s="4"/>
      <c r="S46" s="4"/>
      <c r="T46" s="4"/>
      <c r="U46" s="4"/>
      <c r="V46" s="4"/>
    </row>
    <row r="47" spans="1:22" x14ac:dyDescent="0.25">
      <c r="A47" s="12" t="s">
        <v>530</v>
      </c>
      <c r="B47" s="25" t="s">
        <v>2</v>
      </c>
      <c r="C47" s="53" t="s">
        <v>124</v>
      </c>
      <c r="D47" s="53" t="s">
        <v>125</v>
      </c>
      <c r="E47" s="42">
        <v>35</v>
      </c>
      <c r="F47" s="23">
        <v>35</v>
      </c>
      <c r="G47" s="121">
        <v>40</v>
      </c>
      <c r="H47" s="52">
        <v>10</v>
      </c>
      <c r="I47" s="52">
        <v>0</v>
      </c>
      <c r="J47" s="13"/>
      <c r="K47" s="128">
        <f>INDEX([1]Monoprix!$F:$F,MATCH(D47,[1]Monoprix!$C:$C,0))</f>
        <v>0.25</v>
      </c>
      <c r="L47" s="133">
        <f>INDEX([1]Monoprix!$G:$G,MATCH(D47,[1]Monoprix!$C:$C,0))</f>
        <v>0.82291666666666663</v>
      </c>
      <c r="M47" s="143">
        <f>INDEX([1]Monoprix!$H:$H,MATCH(D47,[1]Monoprix!$C:$C,0))</f>
        <v>0.32291666666666669</v>
      </c>
      <c r="N47" s="143">
        <f>INDEX([1]Monoprix!$I:$I,MATCH(D47,[1]Monoprix!$C:$C,0))</f>
        <v>0.53125</v>
      </c>
      <c r="O47" s="144"/>
      <c r="P47" s="145"/>
      <c r="Q47" s="94" t="s">
        <v>148</v>
      </c>
      <c r="R47" s="4"/>
      <c r="S47" s="4"/>
      <c r="T47" s="4"/>
      <c r="U47" s="4"/>
      <c r="V47" s="4"/>
    </row>
    <row r="48" spans="1:22" x14ac:dyDescent="0.25">
      <c r="A48" s="12" t="s">
        <v>530</v>
      </c>
      <c r="B48" s="25" t="s">
        <v>2</v>
      </c>
      <c r="C48" s="53" t="s">
        <v>126</v>
      </c>
      <c r="D48" s="53" t="s">
        <v>127</v>
      </c>
      <c r="E48" s="42">
        <v>30</v>
      </c>
      <c r="F48" s="23">
        <v>35</v>
      </c>
      <c r="G48" s="51">
        <v>35</v>
      </c>
      <c r="H48" s="52"/>
      <c r="I48" s="52"/>
      <c r="J48" s="13"/>
      <c r="K48" s="128">
        <f>INDEX([1]Monoprix!$F:$F,MATCH(D48,[1]Monoprix!$C:$C,0))</f>
        <v>0.25</v>
      </c>
      <c r="L48" s="133">
        <f>INDEX([1]Monoprix!$G:$G,MATCH(D48,[1]Monoprix!$C:$C,0))</f>
        <v>0.82291666666666663</v>
      </c>
      <c r="M48" s="143">
        <f>INDEX([1]Monoprix!$H:$H,MATCH(D48,[1]Monoprix!$C:$C,0))</f>
        <v>0.3125</v>
      </c>
      <c r="N48" s="143">
        <f>INDEX([1]Monoprix!$I:$I,MATCH(D48,[1]Monoprix!$C:$C,0))</f>
        <v>0.55208333333333337</v>
      </c>
      <c r="O48" s="144"/>
      <c r="P48" s="145"/>
      <c r="Q48" s="94" t="s">
        <v>573</v>
      </c>
      <c r="R48" s="4"/>
      <c r="S48" s="4"/>
      <c r="T48" s="4"/>
      <c r="U48" s="4"/>
      <c r="V48" s="4"/>
    </row>
    <row r="49" spans="1:22" x14ac:dyDescent="0.25">
      <c r="A49" s="12" t="s">
        <v>533</v>
      </c>
      <c r="B49" s="25" t="s">
        <v>2</v>
      </c>
      <c r="C49" s="53" t="s">
        <v>128</v>
      </c>
      <c r="D49" s="53" t="s">
        <v>129</v>
      </c>
      <c r="E49" s="42">
        <v>15</v>
      </c>
      <c r="F49" s="23">
        <v>15</v>
      </c>
      <c r="G49" s="51">
        <v>20</v>
      </c>
      <c r="H49" s="52"/>
      <c r="I49" s="52"/>
      <c r="J49" s="13"/>
      <c r="K49" s="128">
        <f>INDEX([1]Monoprix!$F:$F,MATCH(D49,[1]Monoprix!$C:$C,0))</f>
        <v>0.29166666666666669</v>
      </c>
      <c r="L49" s="133">
        <f>INDEX([1]Monoprix!$G:$G,MATCH(D49,[1]Monoprix!$C:$C,0))</f>
        <v>0.8125</v>
      </c>
      <c r="M49" s="143">
        <f>INDEX([1]Monoprix!$H:$H,MATCH(D49,[1]Monoprix!$C:$C,0))</f>
        <v>0.3125</v>
      </c>
      <c r="N49" s="143">
        <f>INDEX([1]Monoprix!$I:$I,MATCH(D49,[1]Monoprix!$C:$C,0))</f>
        <v>0.53125</v>
      </c>
      <c r="O49" s="144"/>
      <c r="P49" s="145"/>
      <c r="Q49" s="94" t="s">
        <v>574</v>
      </c>
      <c r="R49" s="4"/>
      <c r="S49" s="4"/>
      <c r="T49" s="4"/>
      <c r="U49" s="4"/>
      <c r="V49" s="4"/>
    </row>
    <row r="50" spans="1:22" x14ac:dyDescent="0.25">
      <c r="A50" s="12" t="s">
        <v>530</v>
      </c>
      <c r="B50" s="25" t="s">
        <v>51</v>
      </c>
      <c r="C50" s="53" t="s">
        <v>130</v>
      </c>
      <c r="D50" s="54" t="s">
        <v>131</v>
      </c>
      <c r="E50" s="55">
        <v>55</v>
      </c>
      <c r="F50" s="87">
        <v>55</v>
      </c>
      <c r="G50" s="51">
        <v>70</v>
      </c>
      <c r="H50" s="52"/>
      <c r="I50" s="52"/>
      <c r="J50" s="13"/>
      <c r="K50" s="128">
        <f>INDEX([1]Monoprix!$F:$F,MATCH(D50,[1]Monoprix!$C:$C,0))</f>
        <v>0.24305555555555555</v>
      </c>
      <c r="L50" s="133">
        <f>INDEX([1]Monoprix!$G:$G,MATCH(D50,[1]Monoprix!$C:$C,0))</f>
        <v>0.89583333333333337</v>
      </c>
      <c r="M50" s="143">
        <f>INDEX([1]Monoprix!$H:$H,MATCH(D50,[1]Monoprix!$C:$C,0))</f>
        <v>0.27083333333333331</v>
      </c>
      <c r="N50" s="143">
        <f>INDEX([1]Monoprix!$I:$I,MATCH(D50,[1]Monoprix!$C:$C,0))</f>
        <v>0.5625</v>
      </c>
      <c r="O50" s="144"/>
      <c r="P50" s="145"/>
      <c r="Q50" s="94" t="s">
        <v>575</v>
      </c>
      <c r="R50" s="4"/>
      <c r="S50" s="4"/>
      <c r="T50" s="4"/>
      <c r="U50" s="4"/>
      <c r="V50" s="4"/>
    </row>
    <row r="51" spans="1:22" ht="38.25" hidden="1" x14ac:dyDescent="0.25">
      <c r="A51" s="12" t="s">
        <v>530</v>
      </c>
      <c r="B51" s="25" t="s">
        <v>792</v>
      </c>
      <c r="C51" s="53" t="s">
        <v>828</v>
      </c>
      <c r="D51" s="54" t="s">
        <v>132</v>
      </c>
      <c r="E51" s="42">
        <v>35</v>
      </c>
      <c r="F51" s="23">
        <v>35</v>
      </c>
      <c r="G51" s="121">
        <v>35</v>
      </c>
      <c r="H51" s="52"/>
      <c r="I51" s="52"/>
      <c r="J51" s="13"/>
      <c r="K51" s="128">
        <v>0.20833333333333334</v>
      </c>
      <c r="L51" s="133">
        <v>0.83333333333333337</v>
      </c>
      <c r="M51" s="143">
        <v>0.20833333333333334</v>
      </c>
      <c r="N51" s="143">
        <v>0.58333333333333337</v>
      </c>
      <c r="O51" s="144" t="s">
        <v>822</v>
      </c>
      <c r="P51" s="145"/>
      <c r="Q51" s="94" t="s">
        <v>148</v>
      </c>
      <c r="R51" s="4"/>
      <c r="S51" s="4"/>
      <c r="T51" s="4"/>
      <c r="U51" s="4"/>
      <c r="V51" s="4"/>
    </row>
    <row r="52" spans="1:22" ht="38.25" x14ac:dyDescent="0.25">
      <c r="A52" s="12" t="s">
        <v>530</v>
      </c>
      <c r="B52" s="25" t="s">
        <v>51</v>
      </c>
      <c r="C52" s="53" t="s">
        <v>133</v>
      </c>
      <c r="D52" s="54" t="s">
        <v>16</v>
      </c>
      <c r="E52" s="55">
        <v>50</v>
      </c>
      <c r="F52" s="87">
        <v>55</v>
      </c>
      <c r="G52" s="51">
        <v>65</v>
      </c>
      <c r="H52" s="52"/>
      <c r="I52" s="52"/>
      <c r="J52" s="13"/>
      <c r="K52" s="128">
        <v>0.20833333333333334</v>
      </c>
      <c r="L52" s="133">
        <v>0.83333333333333337</v>
      </c>
      <c r="M52" s="143" t="s">
        <v>148</v>
      </c>
      <c r="N52" s="143" t="s">
        <v>148</v>
      </c>
      <c r="O52" s="144" t="s">
        <v>822</v>
      </c>
      <c r="P52" s="145"/>
      <c r="Q52" s="94" t="s">
        <v>576</v>
      </c>
      <c r="R52" s="4"/>
      <c r="S52" s="4"/>
      <c r="T52" s="4"/>
      <c r="U52" s="4"/>
      <c r="V52" s="4"/>
    </row>
    <row r="53" spans="1:22" x14ac:dyDescent="0.25">
      <c r="A53" s="12" t="s">
        <v>530</v>
      </c>
      <c r="B53" s="25" t="s">
        <v>51</v>
      </c>
      <c r="C53" s="53" t="s">
        <v>134</v>
      </c>
      <c r="D53" s="54" t="s">
        <v>135</v>
      </c>
      <c r="E53" s="42">
        <v>40</v>
      </c>
      <c r="F53" s="23">
        <v>40</v>
      </c>
      <c r="G53" s="51">
        <v>45</v>
      </c>
      <c r="H53" s="52"/>
      <c r="I53" s="52"/>
      <c r="J53" s="13"/>
      <c r="K53" s="128">
        <f>INDEX([1]Monoprix!$F:$F,MATCH(D53,[1]Monoprix!$C:$C,0))</f>
        <v>0.22222222222222221</v>
      </c>
      <c r="L53" s="133">
        <f>INDEX([1]Monoprix!$G:$G,MATCH(D53,[1]Monoprix!$C:$C,0))</f>
        <v>0.89583333333333337</v>
      </c>
      <c r="M53" s="143">
        <f>INDEX([1]Monoprix!$H:$H,MATCH(D53,[1]Monoprix!$C:$C,0))</f>
        <v>0.3125</v>
      </c>
      <c r="N53" s="143">
        <f>INDEX([1]Monoprix!$I:$I,MATCH(D53,[1]Monoprix!$C:$C,0))</f>
        <v>0.55208333333333337</v>
      </c>
      <c r="O53" s="144"/>
      <c r="P53" s="145"/>
      <c r="Q53" s="94" t="s">
        <v>577</v>
      </c>
      <c r="R53" s="4"/>
      <c r="S53" s="4"/>
      <c r="T53" s="4"/>
      <c r="U53" s="4"/>
      <c r="V53" s="4"/>
    </row>
    <row r="54" spans="1:22" x14ac:dyDescent="0.25">
      <c r="A54" s="12" t="s">
        <v>530</v>
      </c>
      <c r="B54" s="25" t="s">
        <v>2</v>
      </c>
      <c r="C54" s="53" t="s">
        <v>136</v>
      </c>
      <c r="D54" s="53" t="s">
        <v>137</v>
      </c>
      <c r="E54" s="42">
        <v>25</v>
      </c>
      <c r="F54" s="23">
        <v>25</v>
      </c>
      <c r="G54" s="121">
        <v>30</v>
      </c>
      <c r="H54" s="52"/>
      <c r="I54" s="52"/>
      <c r="J54" s="13"/>
      <c r="K54" s="128">
        <f>INDEX([1]Monoprix!$F:$F,MATCH(D54,[1]Monoprix!$C:$C,0))</f>
        <v>0.24305555555555555</v>
      </c>
      <c r="L54" s="133">
        <f>INDEX([1]Monoprix!$G:$G,MATCH(D54,[1]Monoprix!$C:$C,0))</f>
        <v>0.91666666666666663</v>
      </c>
      <c r="M54" s="143">
        <f>INDEX([1]Monoprix!$H:$H,MATCH(D54,[1]Monoprix!$C:$C,0))</f>
        <v>0.24305555555555555</v>
      </c>
      <c r="N54" s="143">
        <f>INDEX([1]Monoprix!$I:$I,MATCH(D54,[1]Monoprix!$C:$C,0))</f>
        <v>0.5625</v>
      </c>
      <c r="O54" s="144"/>
      <c r="P54" s="145"/>
      <c r="Q54" s="94" t="s">
        <v>578</v>
      </c>
      <c r="R54" s="4"/>
      <c r="S54" s="4"/>
      <c r="T54" s="4"/>
      <c r="U54" s="4"/>
      <c r="V54" s="4"/>
    </row>
    <row r="55" spans="1:22" x14ac:dyDescent="0.25">
      <c r="A55" s="12" t="s">
        <v>530</v>
      </c>
      <c r="B55" s="25" t="s">
        <v>2</v>
      </c>
      <c r="C55" s="53" t="s">
        <v>138</v>
      </c>
      <c r="D55" s="53" t="s">
        <v>139</v>
      </c>
      <c r="E55" s="42">
        <v>25</v>
      </c>
      <c r="F55" s="23">
        <v>25</v>
      </c>
      <c r="G55" s="51">
        <v>30</v>
      </c>
      <c r="H55" s="52"/>
      <c r="I55" s="52"/>
      <c r="J55" s="13"/>
      <c r="K55" s="128">
        <f>INDEX([1]Monoprix!$F:$F,MATCH(D55,[1]Monoprix!$C:$C,0))</f>
        <v>0.27083333333333331</v>
      </c>
      <c r="L55" s="133">
        <f>INDEX([1]Monoprix!$G:$G,MATCH(D55,[1]Monoprix!$C:$C,0))</f>
        <v>0.84375</v>
      </c>
      <c r="M55" s="143">
        <f>INDEX([1]Monoprix!$H:$H,MATCH(D55,[1]Monoprix!$C:$C,0))</f>
        <v>0.34375</v>
      </c>
      <c r="N55" s="143">
        <f>INDEX([1]Monoprix!$I:$I,MATCH(D55,[1]Monoprix!$C:$C,0))</f>
        <v>0.54166666666666663</v>
      </c>
      <c r="O55" s="144"/>
      <c r="P55" s="145"/>
      <c r="Q55" s="94" t="s">
        <v>579</v>
      </c>
      <c r="R55" s="4"/>
      <c r="S55" s="4"/>
      <c r="T55" s="4"/>
      <c r="U55" s="4"/>
      <c r="V55" s="4"/>
    </row>
    <row r="56" spans="1:22" x14ac:dyDescent="0.25">
      <c r="A56" s="12" t="s">
        <v>533</v>
      </c>
      <c r="B56" s="25" t="s">
        <v>2</v>
      </c>
      <c r="C56" s="53" t="s">
        <v>140</v>
      </c>
      <c r="D56" s="53" t="s">
        <v>141</v>
      </c>
      <c r="E56" s="42">
        <v>30</v>
      </c>
      <c r="F56" s="23">
        <v>35</v>
      </c>
      <c r="G56" s="51">
        <v>35</v>
      </c>
      <c r="H56" s="52">
        <v>0</v>
      </c>
      <c r="I56" s="52">
        <v>0</v>
      </c>
      <c r="J56" s="13"/>
      <c r="K56" s="128">
        <f>INDEX([1]Monoprix!$F:$F,MATCH(D56,[1]Monoprix!$C:$C,0))</f>
        <v>0.25</v>
      </c>
      <c r="L56" s="133">
        <f>INDEX([1]Monoprix!$G:$G,MATCH(D56,[1]Monoprix!$C:$C,0))</f>
        <v>0.83333333333333337</v>
      </c>
      <c r="M56" s="143">
        <f>INDEX([1]Monoprix!$H:$H,MATCH(D56,[1]Monoprix!$C:$C,0))</f>
        <v>0.25</v>
      </c>
      <c r="N56" s="143">
        <f>INDEX([1]Monoprix!$I:$I,MATCH(D56,[1]Monoprix!$C:$C,0))</f>
        <v>0.55208333333333337</v>
      </c>
      <c r="O56" s="144"/>
      <c r="P56" s="145"/>
      <c r="Q56" s="94" t="s">
        <v>580</v>
      </c>
      <c r="R56" s="4"/>
      <c r="S56" s="4"/>
      <c r="T56" s="4"/>
      <c r="U56" s="4"/>
      <c r="V56" s="4"/>
    </row>
    <row r="57" spans="1:22" x14ac:dyDescent="0.25">
      <c r="A57" s="12" t="s">
        <v>533</v>
      </c>
      <c r="B57" s="25" t="s">
        <v>2</v>
      </c>
      <c r="C57" s="53" t="s">
        <v>142</v>
      </c>
      <c r="D57" s="54" t="s">
        <v>143</v>
      </c>
      <c r="E57" s="55">
        <v>25</v>
      </c>
      <c r="F57" s="23">
        <v>35</v>
      </c>
      <c r="G57" s="121">
        <v>35</v>
      </c>
      <c r="H57" s="52"/>
      <c r="I57" s="52"/>
      <c r="J57" s="13"/>
      <c r="K57" s="128">
        <f>INDEX([1]Monoprix!$F:$F,MATCH(D57,[1]Monoprix!$C:$C,0))</f>
        <v>0.20833333333333334</v>
      </c>
      <c r="L57" s="133">
        <f>INDEX([1]Monoprix!$G:$G,MATCH(D57,[1]Monoprix!$C:$C,0))</f>
        <v>0.83333333333333337</v>
      </c>
      <c r="M57" s="143">
        <f>INDEX([1]Monoprix!$H:$H,MATCH(D57,[1]Monoprix!$C:$C,0))</f>
        <v>0.3125</v>
      </c>
      <c r="N57" s="143">
        <f>INDEX([1]Monoprix!$I:$I,MATCH(D57,[1]Monoprix!$C:$C,0))</f>
        <v>0.53125</v>
      </c>
      <c r="O57" s="144"/>
      <c r="P57" s="145"/>
      <c r="Q57" s="94" t="s">
        <v>581</v>
      </c>
      <c r="R57" s="4"/>
      <c r="S57" s="4"/>
      <c r="T57" s="4"/>
      <c r="U57" s="4"/>
      <c r="V57" s="4"/>
    </row>
    <row r="58" spans="1:22" x14ac:dyDescent="0.25">
      <c r="A58" s="12" t="s">
        <v>533</v>
      </c>
      <c r="B58" s="25" t="s">
        <v>51</v>
      </c>
      <c r="C58" s="53" t="s">
        <v>144</v>
      </c>
      <c r="D58" s="54" t="s">
        <v>17</v>
      </c>
      <c r="E58" s="42">
        <v>35</v>
      </c>
      <c r="F58" s="23">
        <v>35</v>
      </c>
      <c r="G58" s="51">
        <v>40</v>
      </c>
      <c r="H58" s="52"/>
      <c r="I58" s="52"/>
      <c r="J58" s="13"/>
      <c r="K58" s="128">
        <f>INDEX([1]Monoprix!$F:$F,MATCH(D58,[1]Monoprix!$C:$C,0))</f>
        <v>0.25</v>
      </c>
      <c r="L58" s="133">
        <f>INDEX([1]Monoprix!$G:$G,MATCH(D58,[1]Monoprix!$C:$C,0))</f>
        <v>0.90625</v>
      </c>
      <c r="M58" s="143">
        <f>INDEX([1]Monoprix!$H:$H,MATCH(D58,[1]Monoprix!$C:$C,0))</f>
        <v>0.3263888888888889</v>
      </c>
      <c r="N58" s="143">
        <f>INDEX([1]Monoprix!$I:$I,MATCH(D58,[1]Monoprix!$C:$C,0))</f>
        <v>0.54166666666666663</v>
      </c>
      <c r="O58" s="144"/>
      <c r="P58" s="145"/>
      <c r="Q58" s="94" t="s">
        <v>582</v>
      </c>
      <c r="R58" s="4"/>
      <c r="S58" s="4"/>
      <c r="T58" s="4"/>
      <c r="U58" s="4"/>
      <c r="V58" s="4"/>
    </row>
    <row r="59" spans="1:22" x14ac:dyDescent="0.25">
      <c r="A59" s="12" t="s">
        <v>533</v>
      </c>
      <c r="B59" s="25" t="s">
        <v>51</v>
      </c>
      <c r="C59" s="53" t="s">
        <v>145</v>
      </c>
      <c r="D59" s="54" t="s">
        <v>18</v>
      </c>
      <c r="E59" s="42">
        <v>120</v>
      </c>
      <c r="F59" s="23">
        <v>120</v>
      </c>
      <c r="G59" s="51">
        <v>95</v>
      </c>
      <c r="H59" s="52"/>
      <c r="I59" s="52"/>
      <c r="J59" s="13"/>
      <c r="K59" s="128">
        <f>INDEX([1]Monoprix!$F:$F,MATCH(D59,[1]Monoprix!$C:$C,0))</f>
        <v>0.20833333333333334</v>
      </c>
      <c r="L59" s="133">
        <f>INDEX([1]Monoprix!$G:$G,MATCH(D59,[1]Monoprix!$C:$C,0))</f>
        <v>0.91666666666666663</v>
      </c>
      <c r="M59" s="143">
        <f>INDEX([1]Monoprix!$H:$H,MATCH(D59,[1]Monoprix!$C:$C,0))</f>
        <v>0.20833333333333334</v>
      </c>
      <c r="N59" s="143">
        <f>INDEX([1]Monoprix!$I:$I,MATCH(D59,[1]Monoprix!$C:$C,0))</f>
        <v>0.57291666666666663</v>
      </c>
      <c r="O59" s="144"/>
      <c r="P59" s="145"/>
      <c r="Q59" s="94" t="s">
        <v>583</v>
      </c>
      <c r="R59" s="4"/>
      <c r="S59" s="4"/>
      <c r="T59" s="4"/>
      <c r="U59" s="4"/>
      <c r="V59" s="4"/>
    </row>
    <row r="60" spans="1:22" x14ac:dyDescent="0.25">
      <c r="A60" s="12" t="s">
        <v>530</v>
      </c>
      <c r="B60" s="25" t="s">
        <v>51</v>
      </c>
      <c r="C60" s="53" t="s">
        <v>146</v>
      </c>
      <c r="D60" s="54" t="s">
        <v>147</v>
      </c>
      <c r="E60" s="55">
        <v>115</v>
      </c>
      <c r="F60" s="87">
        <v>110</v>
      </c>
      <c r="G60" s="51">
        <v>125</v>
      </c>
      <c r="H60" s="52"/>
      <c r="I60" s="52"/>
      <c r="J60" s="13"/>
      <c r="K60" s="128">
        <f>INDEX([1]Monoprix!$F:$F,MATCH(D60,[1]Monoprix!$C:$C,0))</f>
        <v>0.24305555555555555</v>
      </c>
      <c r="L60" s="133">
        <f>INDEX([1]Monoprix!$G:$G,MATCH(D60,[1]Monoprix!$C:$C,0))</f>
        <v>0.9375</v>
      </c>
      <c r="M60" s="143" t="str">
        <f>INDEX([1]Monoprix!$H:$H,MATCH(D60,[1]Monoprix!$C:$C,0))</f>
        <v>-</v>
      </c>
      <c r="N60" s="143" t="str">
        <f>INDEX([1]Monoprix!$I:$I,MATCH(D60,[1]Monoprix!$C:$C,0))</f>
        <v>-</v>
      </c>
      <c r="O60" s="144"/>
      <c r="P60" s="145"/>
      <c r="Q60" s="94" t="s">
        <v>584</v>
      </c>
      <c r="R60" s="4"/>
      <c r="S60" s="4"/>
      <c r="T60" s="4"/>
      <c r="U60" s="4"/>
      <c r="V60" s="4"/>
    </row>
    <row r="61" spans="1:22" ht="38.25" hidden="1" x14ac:dyDescent="0.25">
      <c r="A61" s="12" t="s">
        <v>533</v>
      </c>
      <c r="B61" s="25" t="s">
        <v>792</v>
      </c>
      <c r="C61" s="53" t="s">
        <v>149</v>
      </c>
      <c r="D61" s="54" t="s">
        <v>150</v>
      </c>
      <c r="E61" s="42">
        <v>15</v>
      </c>
      <c r="F61" s="23">
        <v>15</v>
      </c>
      <c r="G61" s="121">
        <v>20</v>
      </c>
      <c r="H61" s="52"/>
      <c r="I61" s="52"/>
      <c r="J61" s="13"/>
      <c r="K61" s="128">
        <v>0.20833333333333334</v>
      </c>
      <c r="L61" s="133">
        <v>0.83333333333333337</v>
      </c>
      <c r="M61" s="143">
        <v>0.20833333333333334</v>
      </c>
      <c r="N61" s="143">
        <v>0.58333333333333337</v>
      </c>
      <c r="O61" s="144" t="s">
        <v>823</v>
      </c>
      <c r="P61" s="145"/>
      <c r="Q61" s="94" t="s">
        <v>585</v>
      </c>
      <c r="R61" s="4"/>
      <c r="S61" s="4"/>
      <c r="T61" s="4"/>
      <c r="U61" s="4"/>
      <c r="V61" s="4"/>
    </row>
    <row r="62" spans="1:22" x14ac:dyDescent="0.25">
      <c r="A62" s="12" t="s">
        <v>533</v>
      </c>
      <c r="B62" s="25" t="s">
        <v>51</v>
      </c>
      <c r="C62" s="53" t="s">
        <v>151</v>
      </c>
      <c r="D62" s="54" t="s">
        <v>152</v>
      </c>
      <c r="E62" s="42">
        <v>60</v>
      </c>
      <c r="F62" s="23">
        <v>60</v>
      </c>
      <c r="G62" s="51">
        <v>70</v>
      </c>
      <c r="H62" s="52"/>
      <c r="I62" s="52"/>
      <c r="J62" s="13"/>
      <c r="K62" s="128">
        <f>INDEX([1]Monoprix!$F:$F,MATCH(D62,[1]Monoprix!$C:$C,0))</f>
        <v>0.1875</v>
      </c>
      <c r="L62" s="133">
        <f>INDEX([1]Monoprix!$G:$G,MATCH(D62,[1]Monoprix!$C:$C,0))</f>
        <v>0.88541666666666663</v>
      </c>
      <c r="M62" s="143" t="str">
        <f>INDEX([1]Monoprix!$H:$H,MATCH(D62,[1]Monoprix!$C:$C,0))</f>
        <v>-</v>
      </c>
      <c r="N62" s="143" t="str">
        <f>INDEX([1]Monoprix!$I:$I,MATCH(D62,[1]Monoprix!$C:$C,0))</f>
        <v>-</v>
      </c>
      <c r="O62" s="144"/>
      <c r="P62" s="145"/>
      <c r="Q62" s="94" t="s">
        <v>586</v>
      </c>
      <c r="R62" s="4"/>
      <c r="S62" s="4"/>
      <c r="T62" s="4"/>
      <c r="U62" s="4"/>
      <c r="V62" s="4"/>
    </row>
    <row r="63" spans="1:22" x14ac:dyDescent="0.25">
      <c r="A63" s="12" t="s">
        <v>533</v>
      </c>
      <c r="B63" s="25" t="s">
        <v>51</v>
      </c>
      <c r="C63" s="53" t="s">
        <v>153</v>
      </c>
      <c r="D63" s="54" t="s">
        <v>19</v>
      </c>
      <c r="E63" s="55">
        <v>45</v>
      </c>
      <c r="F63" s="87">
        <v>45</v>
      </c>
      <c r="G63" s="51">
        <v>55</v>
      </c>
      <c r="H63" s="52"/>
      <c r="I63" s="52"/>
      <c r="J63" s="13"/>
      <c r="K63" s="128">
        <f>INDEX([1]Monoprix!$F:$F,MATCH(D63,[1]Monoprix!$C:$C,0))</f>
        <v>0.24305555555555555</v>
      </c>
      <c r="L63" s="133">
        <f>INDEX([1]Monoprix!$G:$G,MATCH(D63,[1]Monoprix!$C:$C,0))</f>
        <v>0.89583333333333337</v>
      </c>
      <c r="M63" s="143">
        <f>INDEX([1]Monoprix!$H:$H,MATCH(D63,[1]Monoprix!$C:$C,0))</f>
        <v>0.29166666666666669</v>
      </c>
      <c r="N63" s="143">
        <f>INDEX([1]Monoprix!$I:$I,MATCH(D63,[1]Monoprix!$C:$C,0))</f>
        <v>0.5625</v>
      </c>
      <c r="O63" s="144"/>
      <c r="P63" s="145"/>
      <c r="Q63" s="94" t="s">
        <v>587</v>
      </c>
      <c r="R63" s="4"/>
      <c r="S63" s="4"/>
      <c r="T63" s="4"/>
      <c r="U63" s="4"/>
      <c r="V63" s="4"/>
    </row>
    <row r="64" spans="1:22" x14ac:dyDescent="0.25">
      <c r="A64" s="12" t="s">
        <v>533</v>
      </c>
      <c r="B64" s="25" t="s">
        <v>51</v>
      </c>
      <c r="C64" s="53" t="s">
        <v>154</v>
      </c>
      <c r="D64" s="54" t="s">
        <v>20</v>
      </c>
      <c r="E64" s="55">
        <v>80</v>
      </c>
      <c r="F64" s="87">
        <v>75</v>
      </c>
      <c r="G64" s="51">
        <v>90</v>
      </c>
      <c r="H64" s="52"/>
      <c r="I64" s="52"/>
      <c r="J64" s="13"/>
      <c r="K64" s="128">
        <f>INDEX([1]Monoprix!$F:$F,MATCH(D64,[1]Monoprix!$C:$C,0))</f>
        <v>0.24305555555555555</v>
      </c>
      <c r="L64" s="133">
        <f>INDEX([1]Monoprix!$G:$G,MATCH(D64,[1]Monoprix!$C:$C,0))</f>
        <v>0.875</v>
      </c>
      <c r="M64" s="143" t="str">
        <f>INDEX([1]Monoprix!$H:$H,MATCH(D64,[1]Monoprix!$C:$C,0))</f>
        <v>-</v>
      </c>
      <c r="N64" s="143" t="str">
        <f>INDEX([1]Monoprix!$I:$I,MATCH(D64,[1]Monoprix!$C:$C,0))</f>
        <v>-</v>
      </c>
      <c r="O64" s="144"/>
      <c r="P64" s="145"/>
      <c r="Q64" s="94" t="s">
        <v>588</v>
      </c>
      <c r="R64" s="4"/>
      <c r="S64" s="4"/>
      <c r="T64" s="4"/>
      <c r="U64" s="4"/>
      <c r="V64" s="4"/>
    </row>
    <row r="65" spans="1:22" x14ac:dyDescent="0.25">
      <c r="A65" s="12" t="s">
        <v>533</v>
      </c>
      <c r="B65" s="25" t="s">
        <v>51</v>
      </c>
      <c r="C65" s="53" t="s">
        <v>155</v>
      </c>
      <c r="D65" s="54" t="s">
        <v>156</v>
      </c>
      <c r="E65" s="55">
        <v>60</v>
      </c>
      <c r="F65" s="87">
        <v>65</v>
      </c>
      <c r="G65" s="51">
        <v>90</v>
      </c>
      <c r="H65" s="52"/>
      <c r="I65" s="52"/>
      <c r="J65" s="13"/>
      <c r="K65" s="128">
        <f>INDEX([1]Monoprix!$F:$F,MATCH(D65,[1]Monoprix!$C:$C,0))</f>
        <v>0.22916666666666666</v>
      </c>
      <c r="L65" s="133">
        <f>INDEX([1]Monoprix!$G:$G,MATCH(D65,[1]Monoprix!$C:$C,0))</f>
        <v>0.89583333333333337</v>
      </c>
      <c r="M65" s="143">
        <f>INDEX([1]Monoprix!$H:$H,MATCH(D65,[1]Monoprix!$C:$C,0))</f>
        <v>0.27777777777777779</v>
      </c>
      <c r="N65" s="143">
        <f>INDEX([1]Monoprix!$I:$I,MATCH(D65,[1]Monoprix!$C:$C,0))</f>
        <v>0.5625</v>
      </c>
      <c r="O65" s="144"/>
      <c r="P65" s="145"/>
      <c r="Q65" s="94" t="s">
        <v>589</v>
      </c>
      <c r="R65" s="4"/>
      <c r="S65" s="4"/>
      <c r="T65" s="4"/>
      <c r="U65" s="4"/>
      <c r="V65" s="4"/>
    </row>
    <row r="66" spans="1:22" x14ac:dyDescent="0.25">
      <c r="A66" s="12" t="s">
        <v>533</v>
      </c>
      <c r="B66" s="25" t="s">
        <v>51</v>
      </c>
      <c r="C66" s="53" t="s">
        <v>157</v>
      </c>
      <c r="D66" s="54" t="s">
        <v>158</v>
      </c>
      <c r="E66" s="55">
        <v>65</v>
      </c>
      <c r="F66" s="23">
        <v>70</v>
      </c>
      <c r="G66" s="51">
        <v>75</v>
      </c>
      <c r="H66" s="52"/>
      <c r="I66" s="52"/>
      <c r="J66" s="13"/>
      <c r="K66" s="128">
        <f>INDEX([1]Monoprix!$F:$F,MATCH(D66,[1]Monoprix!$C:$C,0))</f>
        <v>0.22916666666666666</v>
      </c>
      <c r="L66" s="133">
        <f>INDEX([1]Monoprix!$G:$G,MATCH(D66,[1]Monoprix!$C:$C,0))</f>
        <v>0.875</v>
      </c>
      <c r="M66" s="143">
        <f>INDEX([1]Monoprix!$H:$H,MATCH(D66,[1]Monoprix!$C:$C,0))</f>
        <v>0.29166666666666669</v>
      </c>
      <c r="N66" s="143">
        <f>INDEX([1]Monoprix!$I:$I,MATCH(D66,[1]Monoprix!$C:$C,0))</f>
        <v>0.83333333333333337</v>
      </c>
      <c r="O66" s="144"/>
      <c r="P66" s="145"/>
      <c r="Q66" s="94" t="s">
        <v>590</v>
      </c>
      <c r="R66" s="4"/>
      <c r="S66" s="4"/>
      <c r="T66" s="4"/>
      <c r="U66" s="4"/>
      <c r="V66" s="4"/>
    </row>
    <row r="67" spans="1:22" x14ac:dyDescent="0.25">
      <c r="A67" s="12" t="s">
        <v>530</v>
      </c>
      <c r="B67" s="25" t="s">
        <v>51</v>
      </c>
      <c r="C67" s="53" t="s">
        <v>159</v>
      </c>
      <c r="D67" s="54" t="s">
        <v>160</v>
      </c>
      <c r="E67" s="55">
        <v>50</v>
      </c>
      <c r="F67" s="87">
        <v>50</v>
      </c>
      <c r="G67" s="51">
        <v>60</v>
      </c>
      <c r="H67" s="52"/>
      <c r="I67" s="52"/>
      <c r="J67" s="13"/>
      <c r="K67" s="128">
        <f>INDEX([1]Monoprix!$F:$F,MATCH(D67,[1]Monoprix!$C:$C,0))</f>
        <v>0.16666666666666666</v>
      </c>
      <c r="L67" s="133">
        <f>INDEX([1]Monoprix!$G:$G,MATCH(D67,[1]Monoprix!$C:$C,0))</f>
        <v>0.83333333333333337</v>
      </c>
      <c r="M67" s="143">
        <f>INDEX([1]Monoprix!$H:$H,MATCH(D67,[1]Monoprix!$C:$C,0))</f>
        <v>0.29166666666666669</v>
      </c>
      <c r="N67" s="143">
        <f>INDEX([1]Monoprix!$I:$I,MATCH(D67,[1]Monoprix!$C:$C,0))</f>
        <v>0.79166666666666663</v>
      </c>
      <c r="O67" s="144"/>
      <c r="P67" s="145"/>
      <c r="Q67" s="94" t="s">
        <v>591</v>
      </c>
      <c r="R67" s="4"/>
      <c r="S67" s="4"/>
      <c r="T67" s="4"/>
      <c r="U67" s="4"/>
      <c r="V67" s="4"/>
    </row>
    <row r="68" spans="1:22" ht="38.25" x14ac:dyDescent="0.25">
      <c r="A68" s="12" t="s">
        <v>533</v>
      </c>
      <c r="B68" s="25" t="s">
        <v>2</v>
      </c>
      <c r="C68" s="53" t="s">
        <v>161</v>
      </c>
      <c r="D68" s="54" t="s">
        <v>793</v>
      </c>
      <c r="E68" s="55">
        <v>40</v>
      </c>
      <c r="F68" s="23">
        <v>35</v>
      </c>
      <c r="G68" s="121">
        <v>50</v>
      </c>
      <c r="H68" s="52"/>
      <c r="I68" s="52"/>
      <c r="J68" s="13"/>
      <c r="K68" s="128">
        <v>0.20833333333333334</v>
      </c>
      <c r="L68" s="133">
        <v>0.83333333333333337</v>
      </c>
      <c r="M68" s="143">
        <v>0.20833333333333334</v>
      </c>
      <c r="N68" s="143">
        <v>0.58333333333333337</v>
      </c>
      <c r="O68" s="144" t="s">
        <v>822</v>
      </c>
      <c r="P68" s="145"/>
      <c r="Q68" s="94" t="s">
        <v>592</v>
      </c>
      <c r="R68" s="4"/>
      <c r="S68" s="4"/>
      <c r="T68" s="4"/>
      <c r="U68" s="4"/>
      <c r="V68" s="4"/>
    </row>
    <row r="69" spans="1:22" x14ac:dyDescent="0.25">
      <c r="A69" s="12" t="s">
        <v>533</v>
      </c>
      <c r="B69" s="25" t="s">
        <v>2</v>
      </c>
      <c r="C69" s="53" t="s">
        <v>162</v>
      </c>
      <c r="D69" s="54" t="s">
        <v>163</v>
      </c>
      <c r="E69" s="42">
        <v>35</v>
      </c>
      <c r="F69" s="23">
        <v>35</v>
      </c>
      <c r="G69" s="51">
        <v>35</v>
      </c>
      <c r="H69" s="52"/>
      <c r="I69" s="52"/>
      <c r="J69" s="13"/>
      <c r="K69" s="128">
        <f>INDEX([1]Monoprix!$F:$F,MATCH(D69,[1]Monoprix!$C:$C,0))</f>
        <v>0.1875</v>
      </c>
      <c r="L69" s="133">
        <f>INDEX([1]Monoprix!$G:$G,MATCH(D69,[1]Monoprix!$C:$C,0))</f>
        <v>0.83333333333333337</v>
      </c>
      <c r="M69" s="143" t="str">
        <f>INDEX([1]Monoprix!$H:$H,MATCH(D69,[1]Monoprix!$C:$C,0))</f>
        <v>-</v>
      </c>
      <c r="N69" s="143" t="str">
        <f>INDEX([1]Monoprix!$I:$I,MATCH(D69,[1]Monoprix!$C:$C,0))</f>
        <v>-</v>
      </c>
      <c r="O69" s="144"/>
      <c r="P69" s="145"/>
      <c r="Q69" s="94" t="s">
        <v>593</v>
      </c>
      <c r="R69" s="4"/>
      <c r="S69" s="4"/>
      <c r="T69" s="4"/>
      <c r="U69" s="4"/>
      <c r="V69" s="4"/>
    </row>
    <row r="70" spans="1:22" x14ac:dyDescent="0.25">
      <c r="A70" s="12" t="s">
        <v>530</v>
      </c>
      <c r="B70" s="25" t="s">
        <v>2</v>
      </c>
      <c r="C70" s="53" t="s">
        <v>164</v>
      </c>
      <c r="D70" s="53" t="s">
        <v>165</v>
      </c>
      <c r="E70" s="42">
        <v>30</v>
      </c>
      <c r="F70" s="23">
        <v>30</v>
      </c>
      <c r="G70" s="51">
        <v>30</v>
      </c>
      <c r="H70" s="52"/>
      <c r="I70" s="52"/>
      <c r="J70" s="13"/>
      <c r="K70" s="128">
        <f>INDEX([1]Monoprix!$F:$F,MATCH(D70,[1]Monoprix!$C:$C,0))</f>
        <v>0.30555555555555552</v>
      </c>
      <c r="L70" s="133">
        <f>INDEX([1]Monoprix!$G:$G,MATCH(D70,[1]Monoprix!$C:$C,0))</f>
        <v>0.83333333333333337</v>
      </c>
      <c r="M70" s="143">
        <f>INDEX([1]Monoprix!$H:$H,MATCH(D70,[1]Monoprix!$C:$C,0))</f>
        <v>0.33333333333333331</v>
      </c>
      <c r="N70" s="143">
        <f>INDEX([1]Monoprix!$I:$I,MATCH(D70,[1]Monoprix!$C:$C,0))</f>
        <v>0.54166666666666663</v>
      </c>
      <c r="O70" s="144"/>
      <c r="P70" s="145"/>
      <c r="Q70" s="94" t="s">
        <v>594</v>
      </c>
      <c r="R70" s="4"/>
      <c r="S70" s="4"/>
      <c r="T70" s="4"/>
      <c r="U70" s="4"/>
      <c r="V70" s="4"/>
    </row>
    <row r="71" spans="1:22" x14ac:dyDescent="0.25">
      <c r="A71" s="12" t="s">
        <v>530</v>
      </c>
      <c r="B71" s="25" t="s">
        <v>51</v>
      </c>
      <c r="C71" s="53" t="s">
        <v>166</v>
      </c>
      <c r="D71" s="54" t="s">
        <v>167</v>
      </c>
      <c r="E71" s="55">
        <v>120</v>
      </c>
      <c r="F71" s="23">
        <v>120</v>
      </c>
      <c r="G71" s="51">
        <v>130</v>
      </c>
      <c r="H71" s="52"/>
      <c r="I71" s="52"/>
      <c r="J71" s="13"/>
      <c r="K71" s="128">
        <f>INDEX([1]Monoprix!$F:$F,MATCH(D71,[1]Monoprix!$C:$C,0))</f>
        <v>0.19791666666666666</v>
      </c>
      <c r="L71" s="133">
        <f>INDEX([1]Monoprix!$G:$G,MATCH(D71,[1]Monoprix!$C:$C,0))</f>
        <v>0.89583333333333337</v>
      </c>
      <c r="M71" s="143">
        <f>INDEX([1]Monoprix!$H:$H,MATCH(D71,[1]Monoprix!$C:$C,0))</f>
        <v>0.27083333333333331</v>
      </c>
      <c r="N71" s="143">
        <f>INDEX([1]Monoprix!$I:$I,MATCH(D71,[1]Monoprix!$C:$C,0))</f>
        <v>0.54166666666666663</v>
      </c>
      <c r="O71" s="144"/>
      <c r="P71" s="145"/>
      <c r="Q71" s="94" t="s">
        <v>595</v>
      </c>
      <c r="R71" s="4"/>
      <c r="S71" s="4"/>
      <c r="T71" s="4"/>
      <c r="U71" s="4"/>
      <c r="V71" s="4"/>
    </row>
    <row r="72" spans="1:22" x14ac:dyDescent="0.25">
      <c r="A72" s="12" t="s">
        <v>530</v>
      </c>
      <c r="B72" s="25" t="s">
        <v>51</v>
      </c>
      <c r="C72" s="53" t="s">
        <v>168</v>
      </c>
      <c r="D72" s="54" t="s">
        <v>21</v>
      </c>
      <c r="E72" s="42">
        <v>45</v>
      </c>
      <c r="F72" s="23">
        <v>45</v>
      </c>
      <c r="G72" s="51">
        <v>60</v>
      </c>
      <c r="H72" s="52"/>
      <c r="I72" s="52"/>
      <c r="J72" s="13"/>
      <c r="K72" s="128">
        <f>INDEX([1]Monoprix!$F:$F,MATCH(D72,[1]Monoprix!$C:$C,0))</f>
        <v>0.1875</v>
      </c>
      <c r="L72" s="133">
        <f>INDEX([1]Monoprix!$G:$G,MATCH(D72,[1]Monoprix!$C:$C,0))</f>
        <v>0.83333333333333337</v>
      </c>
      <c r="M72" s="143">
        <f>INDEX([1]Monoprix!$H:$H,MATCH(D72,[1]Monoprix!$C:$C,0))</f>
        <v>0.25</v>
      </c>
      <c r="N72" s="143">
        <f>INDEX([1]Monoprix!$I:$I,MATCH(D72,[1]Monoprix!$C:$C,0))</f>
        <v>0.5</v>
      </c>
      <c r="O72" s="147"/>
      <c r="P72" s="145"/>
      <c r="Q72" s="94" t="s">
        <v>596</v>
      </c>
      <c r="R72" s="4"/>
      <c r="S72" s="4"/>
      <c r="T72" s="4"/>
      <c r="U72" s="4"/>
      <c r="V72" s="4"/>
    </row>
    <row r="73" spans="1:22" x14ac:dyDescent="0.25">
      <c r="A73" s="12" t="s">
        <v>530</v>
      </c>
      <c r="B73" s="25" t="s">
        <v>51</v>
      </c>
      <c r="C73" s="53" t="s">
        <v>169</v>
      </c>
      <c r="D73" s="53" t="s">
        <v>22</v>
      </c>
      <c r="E73" s="42">
        <v>50</v>
      </c>
      <c r="F73" s="23">
        <v>50</v>
      </c>
      <c r="G73" s="51">
        <v>60</v>
      </c>
      <c r="H73" s="52"/>
      <c r="I73" s="52"/>
      <c r="J73" s="13"/>
      <c r="K73" s="128">
        <f>INDEX([1]Monoprix!$F:$F,MATCH(D73,[1]Monoprix!$C:$C,0))</f>
        <v>0.20833333333333334</v>
      </c>
      <c r="L73" s="133">
        <f>INDEX([1]Monoprix!$G:$G,MATCH(D73,[1]Monoprix!$C:$C,0))</f>
        <v>0.88541666666666663</v>
      </c>
      <c r="M73" s="143">
        <f>INDEX([1]Monoprix!$H:$H,MATCH(D73,[1]Monoprix!$C:$C,0))</f>
        <v>0.31944444444444448</v>
      </c>
      <c r="N73" s="143">
        <f>INDEX([1]Monoprix!$I:$I,MATCH(D73,[1]Monoprix!$C:$C,0))</f>
        <v>0.55208333333333337</v>
      </c>
      <c r="O73" s="144"/>
      <c r="P73" s="145"/>
      <c r="Q73" s="94" t="s">
        <v>597</v>
      </c>
      <c r="R73" s="4"/>
      <c r="S73" s="4"/>
      <c r="T73" s="4"/>
      <c r="U73" s="4"/>
      <c r="V73" s="4"/>
    </row>
    <row r="74" spans="1:22" x14ac:dyDescent="0.25">
      <c r="A74" s="12" t="s">
        <v>533</v>
      </c>
      <c r="B74" s="25" t="s">
        <v>51</v>
      </c>
      <c r="C74" s="53" t="s">
        <v>170</v>
      </c>
      <c r="D74" s="54" t="s">
        <v>23</v>
      </c>
      <c r="E74" s="55">
        <v>35</v>
      </c>
      <c r="F74" s="23">
        <v>35</v>
      </c>
      <c r="G74" s="51">
        <v>40</v>
      </c>
      <c r="H74" s="52"/>
      <c r="I74" s="52"/>
      <c r="J74" s="13"/>
      <c r="K74" s="128">
        <f>INDEX([1]Monoprix!$F:$F,MATCH(D74,[1]Monoprix!$C:$C,0))</f>
        <v>0.20138888888888887</v>
      </c>
      <c r="L74" s="133">
        <f>INDEX([1]Monoprix!$G:$G,MATCH(D74,[1]Monoprix!$C:$C,0))</f>
        <v>0.875</v>
      </c>
      <c r="M74" s="143">
        <f>INDEX([1]Monoprix!$H:$H,MATCH(D74,[1]Monoprix!$C:$C,0))</f>
        <v>0.24305555555555555</v>
      </c>
      <c r="N74" s="143">
        <f>INDEX([1]Monoprix!$I:$I,MATCH(D74,[1]Monoprix!$C:$C,0))</f>
        <v>0.83333333333333337</v>
      </c>
      <c r="O74" s="144"/>
      <c r="P74" s="145"/>
      <c r="Q74" s="94" t="s">
        <v>598</v>
      </c>
      <c r="R74" s="4"/>
      <c r="S74" s="4"/>
      <c r="T74" s="4"/>
      <c r="U74" s="4"/>
      <c r="V74" s="4"/>
    </row>
    <row r="75" spans="1:22" x14ac:dyDescent="0.25">
      <c r="A75" s="12" t="s">
        <v>530</v>
      </c>
      <c r="B75" s="25" t="s">
        <v>2</v>
      </c>
      <c r="C75" s="53" t="s">
        <v>171</v>
      </c>
      <c r="D75" s="54" t="s">
        <v>172</v>
      </c>
      <c r="E75" s="55">
        <v>35</v>
      </c>
      <c r="F75" s="23">
        <v>30</v>
      </c>
      <c r="G75" s="51">
        <v>40</v>
      </c>
      <c r="H75" s="52"/>
      <c r="I75" s="52"/>
      <c r="J75" s="13"/>
      <c r="K75" s="128">
        <f>INDEX([1]Monoprix!$F:$F,MATCH(D75,[1]Monoprix!$C:$C,0))</f>
        <v>0.23611111111111113</v>
      </c>
      <c r="L75" s="133">
        <f>INDEX([1]Monoprix!$G:$G,MATCH(D75,[1]Monoprix!$C:$C,0))</f>
        <v>0.875</v>
      </c>
      <c r="M75" s="143">
        <f>INDEX([1]Monoprix!$H:$H,MATCH(D75,[1]Monoprix!$C:$C,0))</f>
        <v>0.3125</v>
      </c>
      <c r="N75" s="143">
        <f>INDEX([1]Monoprix!$I:$I,MATCH(D75,[1]Monoprix!$C:$C,0))</f>
        <v>0.54166666666666663</v>
      </c>
      <c r="O75" s="144"/>
      <c r="P75" s="145"/>
      <c r="Q75" s="94" t="s">
        <v>599</v>
      </c>
      <c r="R75" s="4"/>
      <c r="S75" s="4"/>
      <c r="T75" s="4"/>
      <c r="U75" s="4"/>
      <c r="V75" s="4"/>
    </row>
    <row r="76" spans="1:22" x14ac:dyDescent="0.25">
      <c r="A76" s="12" t="s">
        <v>530</v>
      </c>
      <c r="B76" s="25" t="s">
        <v>51</v>
      </c>
      <c r="C76" s="53" t="s">
        <v>173</v>
      </c>
      <c r="D76" s="54" t="s">
        <v>24</v>
      </c>
      <c r="E76" s="55">
        <v>110</v>
      </c>
      <c r="F76" s="87">
        <v>100</v>
      </c>
      <c r="G76" s="51">
        <v>100</v>
      </c>
      <c r="H76" s="52"/>
      <c r="I76" s="52"/>
      <c r="J76" s="13"/>
      <c r="K76" s="128">
        <f>INDEX([1]Monoprix!$F:$F,MATCH(D76,[1]Monoprix!$C:$C,0))</f>
        <v>0.14583333333333334</v>
      </c>
      <c r="L76" s="133">
        <f>INDEX([1]Monoprix!$G:$G,MATCH(D76,[1]Monoprix!$C:$C,0))</f>
        <v>0.875</v>
      </c>
      <c r="M76" s="143">
        <f>INDEX([1]Monoprix!$H:$H,MATCH(D76,[1]Monoprix!$C:$C,0))</f>
        <v>0.28472222222222221</v>
      </c>
      <c r="N76" s="143">
        <f>INDEX([1]Monoprix!$I:$I,MATCH(D76,[1]Monoprix!$C:$C,0))</f>
        <v>0.54166666666666663</v>
      </c>
      <c r="O76" s="144"/>
      <c r="P76" s="145"/>
      <c r="Q76" s="94" t="s">
        <v>600</v>
      </c>
      <c r="R76" s="4"/>
      <c r="S76" s="4"/>
      <c r="T76" s="4"/>
      <c r="U76" s="4"/>
      <c r="V76" s="4"/>
    </row>
    <row r="77" spans="1:22" hidden="1" x14ac:dyDescent="0.25">
      <c r="A77" s="12" t="s">
        <v>533</v>
      </c>
      <c r="B77" s="25" t="s">
        <v>792</v>
      </c>
      <c r="C77" s="53" t="s">
        <v>174</v>
      </c>
      <c r="D77" s="53" t="s">
        <v>175</v>
      </c>
      <c r="E77" s="42">
        <v>45</v>
      </c>
      <c r="F77" s="23">
        <v>45</v>
      </c>
      <c r="G77" s="51">
        <v>60</v>
      </c>
      <c r="H77" s="52"/>
      <c r="I77" s="52"/>
      <c r="J77" s="13"/>
      <c r="K77" s="13"/>
      <c r="L77" s="13">
        <v>5</v>
      </c>
      <c r="M77" s="136">
        <v>20</v>
      </c>
      <c r="N77" s="137" t="s">
        <v>522</v>
      </c>
      <c r="O77" s="138"/>
      <c r="P77" s="137"/>
      <c r="Q77" s="136" t="s">
        <v>601</v>
      </c>
      <c r="R77" s="4"/>
      <c r="S77" s="4"/>
      <c r="T77" s="4"/>
      <c r="U77" s="4"/>
      <c r="V77" s="4"/>
    </row>
    <row r="78" spans="1:22" x14ac:dyDescent="0.25">
      <c r="A78" s="12" t="s">
        <v>533</v>
      </c>
      <c r="B78" s="25" t="s">
        <v>51</v>
      </c>
      <c r="C78" s="53" t="s">
        <v>176</v>
      </c>
      <c r="D78" s="54" t="s">
        <v>177</v>
      </c>
      <c r="E78" s="55">
        <v>125</v>
      </c>
      <c r="F78" s="23">
        <v>130</v>
      </c>
      <c r="G78" s="51">
        <v>195</v>
      </c>
      <c r="H78" s="52"/>
      <c r="I78" s="52"/>
      <c r="J78" s="13"/>
      <c r="K78" s="128">
        <f>INDEX([1]Monoprix!$F:$F,MATCH(D78,[1]Monoprix!$C:$C,0))</f>
        <v>0.23611111111111113</v>
      </c>
      <c r="L78" s="133">
        <f>INDEX([1]Monoprix!$G:$G,MATCH(D78,[1]Monoprix!$C:$C,0))</f>
        <v>0.875</v>
      </c>
      <c r="M78" s="143">
        <f>INDEX([1]Monoprix!$H:$H,MATCH(D78,[1]Monoprix!$C:$C,0))</f>
        <v>0.25</v>
      </c>
      <c r="N78" s="143">
        <f>INDEX([1]Monoprix!$I:$I,MATCH(D78,[1]Monoprix!$C:$C,0))</f>
        <v>0.85416666666666663</v>
      </c>
      <c r="O78" s="144"/>
      <c r="P78" s="145"/>
      <c r="Q78" s="94" t="s">
        <v>602</v>
      </c>
      <c r="R78" s="4"/>
      <c r="S78" s="4"/>
      <c r="T78" s="4"/>
      <c r="U78" s="4"/>
      <c r="V78" s="4"/>
    </row>
    <row r="79" spans="1:22" x14ac:dyDescent="0.25">
      <c r="A79" s="12" t="s">
        <v>533</v>
      </c>
      <c r="B79" s="25" t="s">
        <v>51</v>
      </c>
      <c r="C79" s="53" t="s">
        <v>178</v>
      </c>
      <c r="D79" s="54" t="s">
        <v>179</v>
      </c>
      <c r="E79" s="42">
        <v>60</v>
      </c>
      <c r="F79" s="23">
        <v>60</v>
      </c>
      <c r="G79" s="51">
        <v>70</v>
      </c>
      <c r="H79" s="52"/>
      <c r="I79" s="52"/>
      <c r="J79" s="13"/>
      <c r="K79" s="128">
        <f>INDEX([1]Monoprix!$F:$F,MATCH(D79,[1]Monoprix!$C:$C,0))</f>
        <v>0.1875</v>
      </c>
      <c r="L79" s="133">
        <f>INDEX([1]Monoprix!$G:$G,MATCH(D79,[1]Monoprix!$C:$C,0))</f>
        <v>0.91666666666666663</v>
      </c>
      <c r="M79" s="143">
        <f>INDEX([1]Monoprix!$H:$H,MATCH(D79,[1]Monoprix!$C:$C,0))</f>
        <v>0.29166666666666669</v>
      </c>
      <c r="N79" s="143">
        <f>INDEX([1]Monoprix!$I:$I,MATCH(D79,[1]Monoprix!$C:$C,0))</f>
        <v>0.54166666666666663</v>
      </c>
      <c r="O79" s="144"/>
      <c r="P79" s="145"/>
      <c r="Q79" s="94" t="s">
        <v>603</v>
      </c>
      <c r="R79" s="4"/>
      <c r="S79" s="4"/>
      <c r="T79" s="4"/>
      <c r="U79" s="4"/>
      <c r="V79" s="4"/>
    </row>
    <row r="80" spans="1:22" x14ac:dyDescent="0.25">
      <c r="A80" s="12" t="s">
        <v>530</v>
      </c>
      <c r="B80" s="25" t="s">
        <v>51</v>
      </c>
      <c r="C80" s="53" t="s">
        <v>180</v>
      </c>
      <c r="D80" s="54" t="s">
        <v>25</v>
      </c>
      <c r="E80" s="42">
        <v>95</v>
      </c>
      <c r="F80" s="87">
        <v>95</v>
      </c>
      <c r="G80" s="51">
        <v>105</v>
      </c>
      <c r="H80" s="52"/>
      <c r="I80" s="52"/>
      <c r="J80" s="13"/>
      <c r="K80" s="128">
        <f>INDEX([1]Monoprix!$F:$F,MATCH(D80,[1]Monoprix!$C:$C,0))</f>
        <v>0.24305555555555555</v>
      </c>
      <c r="L80" s="133">
        <f>INDEX([1]Monoprix!$G:$G,MATCH(D80,[1]Monoprix!$C:$C,0))</f>
        <v>0.875</v>
      </c>
      <c r="M80" s="143">
        <f>INDEX([1]Monoprix!$H:$H,MATCH(D80,[1]Monoprix!$C:$C,0))</f>
        <v>0.27083333333333331</v>
      </c>
      <c r="N80" s="143">
        <f>INDEX([1]Monoprix!$I:$I,MATCH(D80,[1]Monoprix!$C:$C,0))</f>
        <v>0.55902777777777779</v>
      </c>
      <c r="O80" s="144"/>
      <c r="P80" s="145"/>
      <c r="Q80" s="94" t="s">
        <v>604</v>
      </c>
      <c r="R80" s="4"/>
      <c r="S80" s="4"/>
      <c r="T80" s="4"/>
      <c r="U80" s="4"/>
      <c r="V80" s="4"/>
    </row>
    <row r="81" spans="1:22" x14ac:dyDescent="0.25">
      <c r="A81" s="12" t="s">
        <v>533</v>
      </c>
      <c r="B81" s="25" t="s">
        <v>51</v>
      </c>
      <c r="C81" s="53" t="s">
        <v>181</v>
      </c>
      <c r="D81" s="54" t="s">
        <v>26</v>
      </c>
      <c r="E81" s="42">
        <v>35</v>
      </c>
      <c r="F81" s="23">
        <v>35</v>
      </c>
      <c r="G81" s="51">
        <v>40</v>
      </c>
      <c r="H81" s="52"/>
      <c r="I81" s="52"/>
      <c r="J81" s="13"/>
      <c r="K81" s="128">
        <f>INDEX([1]Monoprix!$F:$F,MATCH(D81,[1]Monoprix!$C:$C,0))</f>
        <v>0.20138888888888887</v>
      </c>
      <c r="L81" s="133">
        <f>INDEX([1]Monoprix!$G:$G,MATCH(D81,[1]Monoprix!$C:$C,0))</f>
        <v>0.85416666666666663</v>
      </c>
      <c r="M81" s="143">
        <f>INDEX([1]Monoprix!$H:$H,MATCH(D81,[1]Monoprix!$C:$C,0))</f>
        <v>0.20833333333333334</v>
      </c>
      <c r="N81" s="143">
        <f>INDEX([1]Monoprix!$I:$I,MATCH(D81,[1]Monoprix!$C:$C,0))</f>
        <v>0.54166666666666663</v>
      </c>
      <c r="O81" s="144"/>
      <c r="P81" s="145"/>
      <c r="Q81" s="94" t="s">
        <v>605</v>
      </c>
      <c r="R81" s="4"/>
      <c r="S81" s="4"/>
      <c r="T81" s="4"/>
      <c r="U81" s="4"/>
      <c r="V81" s="4"/>
    </row>
    <row r="82" spans="1:22" x14ac:dyDescent="0.25">
      <c r="A82" s="12" t="s">
        <v>533</v>
      </c>
      <c r="B82" s="25" t="s">
        <v>51</v>
      </c>
      <c r="C82" s="53" t="s">
        <v>182</v>
      </c>
      <c r="D82" s="54" t="s">
        <v>27</v>
      </c>
      <c r="E82" s="42">
        <v>35</v>
      </c>
      <c r="F82" s="23">
        <v>35</v>
      </c>
      <c r="G82" s="51">
        <v>40</v>
      </c>
      <c r="H82" s="52"/>
      <c r="I82" s="52"/>
      <c r="J82" s="13"/>
      <c r="K82" s="128">
        <f>INDEX([1]Monoprix!$F:$F,MATCH(D82,[1]Monoprix!$C:$C,0))</f>
        <v>0.23611111111111113</v>
      </c>
      <c r="L82" s="133">
        <f>INDEX([1]Monoprix!$G:$G,MATCH(D82,[1]Monoprix!$C:$C,0))</f>
        <v>0.92708333333333337</v>
      </c>
      <c r="M82" s="143">
        <f>INDEX([1]Monoprix!$H:$H,MATCH(D82,[1]Monoprix!$C:$C,0))</f>
        <v>0.23611111111111113</v>
      </c>
      <c r="N82" s="143">
        <f>INDEX([1]Monoprix!$I:$I,MATCH(D82,[1]Monoprix!$C:$C,0))</f>
        <v>0.54166666666666663</v>
      </c>
      <c r="O82" s="144"/>
      <c r="P82" s="145"/>
      <c r="Q82" s="94" t="s">
        <v>606</v>
      </c>
      <c r="R82" s="4"/>
      <c r="S82" s="4"/>
      <c r="T82" s="4"/>
      <c r="U82" s="4"/>
      <c r="V82" s="4"/>
    </row>
    <row r="83" spans="1:22" x14ac:dyDescent="0.25">
      <c r="A83" s="12" t="s">
        <v>530</v>
      </c>
      <c r="B83" s="25" t="s">
        <v>51</v>
      </c>
      <c r="C83" s="53" t="s">
        <v>183</v>
      </c>
      <c r="D83" s="54" t="s">
        <v>184</v>
      </c>
      <c r="E83" s="42">
        <v>45</v>
      </c>
      <c r="F83" s="23">
        <v>45</v>
      </c>
      <c r="G83" s="51">
        <v>55</v>
      </c>
      <c r="H83" s="52"/>
      <c r="I83" s="52"/>
      <c r="J83" s="13"/>
      <c r="K83" s="128">
        <f>INDEX([1]Monoprix!$F:$F,MATCH(D83,[1]Monoprix!$C:$C,0))</f>
        <v>0.24305555555555555</v>
      </c>
      <c r="L83" s="133">
        <f>INDEX([1]Monoprix!$G:$G,MATCH(D83,[1]Monoprix!$C:$C,0))</f>
        <v>0.84375</v>
      </c>
      <c r="M83" s="143" t="str">
        <f>INDEX([1]Monoprix!$H:$H,MATCH(D83,[1]Monoprix!$C:$C,0))</f>
        <v>-</v>
      </c>
      <c r="N83" s="143" t="str">
        <f>INDEX([1]Monoprix!$I:$I,MATCH(D83,[1]Monoprix!$C:$C,0))</f>
        <v>-</v>
      </c>
      <c r="O83" s="144"/>
      <c r="P83" s="145"/>
      <c r="Q83" s="94" t="s">
        <v>607</v>
      </c>
      <c r="R83" s="4"/>
      <c r="S83" s="4"/>
      <c r="T83" s="4"/>
      <c r="U83" s="5"/>
      <c r="V83" s="5"/>
    </row>
    <row r="84" spans="1:22" x14ac:dyDescent="0.25">
      <c r="A84" s="12" t="s">
        <v>530</v>
      </c>
      <c r="B84" s="25" t="s">
        <v>51</v>
      </c>
      <c r="C84" s="53" t="s">
        <v>185</v>
      </c>
      <c r="D84" s="54" t="s">
        <v>186</v>
      </c>
      <c r="E84" s="42">
        <v>85</v>
      </c>
      <c r="F84" s="23">
        <v>85</v>
      </c>
      <c r="G84" s="51">
        <v>95</v>
      </c>
      <c r="H84" s="52"/>
      <c r="I84" s="52"/>
      <c r="J84" s="13"/>
      <c r="K84" s="128">
        <f>INDEX([1]Monoprix!$F:$F,MATCH(D84,[1]Monoprix!$C:$C,0))</f>
        <v>0.23611111111111113</v>
      </c>
      <c r="L84" s="133">
        <f>INDEX([1]Monoprix!$G:$G,MATCH(D84,[1]Monoprix!$C:$C,0))</f>
        <v>0.86458333333333337</v>
      </c>
      <c r="M84" s="143" t="str">
        <f>INDEX([1]Monoprix!$H:$H,MATCH(D84,[1]Monoprix!$C:$C,0))</f>
        <v>-</v>
      </c>
      <c r="N84" s="143" t="str">
        <f>INDEX([1]Monoprix!$I:$I,MATCH(D84,[1]Monoprix!$C:$C,0))</f>
        <v>-</v>
      </c>
      <c r="O84" s="144"/>
      <c r="P84" s="145"/>
      <c r="Q84" s="94" t="s">
        <v>608</v>
      </c>
      <c r="R84" s="4"/>
      <c r="S84" s="4"/>
      <c r="T84" s="4"/>
      <c r="U84" s="4"/>
      <c r="V84" s="4"/>
    </row>
    <row r="85" spans="1:22" x14ac:dyDescent="0.25">
      <c r="A85" s="12" t="s">
        <v>533</v>
      </c>
      <c r="B85" s="25" t="s">
        <v>2</v>
      </c>
      <c r="C85" s="53" t="s">
        <v>187</v>
      </c>
      <c r="D85" s="54" t="s">
        <v>188</v>
      </c>
      <c r="E85" s="42">
        <v>40</v>
      </c>
      <c r="F85" s="23">
        <v>45</v>
      </c>
      <c r="G85" s="51">
        <v>50</v>
      </c>
      <c r="H85" s="52"/>
      <c r="I85" s="52"/>
      <c r="J85" s="13"/>
      <c r="K85" s="128">
        <f>INDEX([1]Monoprix!$F:$F,MATCH(D85,[1]Monoprix!$C:$C,0))</f>
        <v>0.24305555555555555</v>
      </c>
      <c r="L85" s="133">
        <f>INDEX([1]Monoprix!$G:$G,MATCH(D85,[1]Monoprix!$C:$C,0))</f>
        <v>0.875</v>
      </c>
      <c r="M85" s="143" t="str">
        <f>INDEX([1]Monoprix!$H:$H,MATCH(D85,[1]Monoprix!$C:$C,0))</f>
        <v>-</v>
      </c>
      <c r="N85" s="143" t="str">
        <f>INDEX([1]Monoprix!$I:$I,MATCH(D85,[1]Monoprix!$C:$C,0))</f>
        <v>-</v>
      </c>
      <c r="O85" s="144"/>
      <c r="P85" s="145"/>
      <c r="Q85" s="94" t="s">
        <v>609</v>
      </c>
      <c r="R85" s="4"/>
      <c r="S85" s="4"/>
      <c r="T85" s="4"/>
      <c r="U85" s="4"/>
      <c r="V85" s="4"/>
    </row>
    <row r="86" spans="1:22" x14ac:dyDescent="0.25">
      <c r="A86" s="12" t="s">
        <v>533</v>
      </c>
      <c r="B86" s="25" t="s">
        <v>2</v>
      </c>
      <c r="C86" s="53" t="s">
        <v>189</v>
      </c>
      <c r="D86" s="54" t="s">
        <v>190</v>
      </c>
      <c r="E86" s="42">
        <v>30</v>
      </c>
      <c r="F86" s="23">
        <v>30</v>
      </c>
      <c r="G86" s="51">
        <v>35</v>
      </c>
      <c r="H86" s="52"/>
      <c r="I86" s="52"/>
      <c r="J86" s="13"/>
      <c r="K86" s="128">
        <f>INDEX([1]Monoprix!$F:$F,MATCH(D86,[1]Monoprix!$C:$C,0))</f>
        <v>0.24305555555555555</v>
      </c>
      <c r="L86" s="133">
        <f>INDEX([1]Monoprix!$G:$G,MATCH(D86,[1]Monoprix!$C:$C,0))</f>
        <v>0.83333333333333337</v>
      </c>
      <c r="M86" s="143">
        <f>INDEX([1]Monoprix!$H:$H,MATCH(D86,[1]Monoprix!$C:$C,0))</f>
        <v>0.29166666666666669</v>
      </c>
      <c r="N86" s="143">
        <f>INDEX([1]Monoprix!$I:$I,MATCH(D86,[1]Monoprix!$C:$C,0))</f>
        <v>0.54166666666666663</v>
      </c>
      <c r="O86" s="144"/>
      <c r="P86" s="145"/>
      <c r="Q86" s="94" t="s">
        <v>610</v>
      </c>
      <c r="R86" s="4"/>
      <c r="S86" s="4"/>
      <c r="T86" s="4"/>
      <c r="U86" s="4"/>
      <c r="V86" s="4"/>
    </row>
    <row r="87" spans="1:22" x14ac:dyDescent="0.25">
      <c r="A87" s="12" t="s">
        <v>530</v>
      </c>
      <c r="B87" s="25" t="s">
        <v>2</v>
      </c>
      <c r="C87" s="53" t="s">
        <v>191</v>
      </c>
      <c r="D87" s="54" t="s">
        <v>192</v>
      </c>
      <c r="E87" s="42">
        <v>25</v>
      </c>
      <c r="F87" s="23">
        <v>25</v>
      </c>
      <c r="G87" s="51">
        <v>25</v>
      </c>
      <c r="H87" s="52"/>
      <c r="I87" s="52"/>
      <c r="J87" s="13"/>
      <c r="K87" s="128">
        <f>INDEX([1]Monoprix!$F:$F,MATCH(D87,[1]Monoprix!$C:$C,0))</f>
        <v>0.24305555555555555</v>
      </c>
      <c r="L87" s="133">
        <f>INDEX([1]Monoprix!$G:$G,MATCH(D87,[1]Monoprix!$C:$C,0))</f>
        <v>0.83333333333333337</v>
      </c>
      <c r="M87" s="143">
        <f>INDEX([1]Monoprix!$H:$H,MATCH(D87,[1]Monoprix!$C:$C,0))</f>
        <v>0.29166666666666669</v>
      </c>
      <c r="N87" s="143">
        <f>INDEX([1]Monoprix!$I:$I,MATCH(D87,[1]Monoprix!$C:$C,0))</f>
        <v>0.53125</v>
      </c>
      <c r="O87" s="144"/>
      <c r="P87" s="145"/>
      <c r="Q87" s="94" t="s">
        <v>611</v>
      </c>
      <c r="R87" s="4"/>
      <c r="S87" s="4"/>
      <c r="T87" s="4"/>
      <c r="U87" s="4"/>
      <c r="V87" s="4"/>
    </row>
    <row r="88" spans="1:22" x14ac:dyDescent="0.25">
      <c r="A88" s="12" t="s">
        <v>530</v>
      </c>
      <c r="B88" s="25" t="s">
        <v>51</v>
      </c>
      <c r="C88" s="53" t="s">
        <v>193</v>
      </c>
      <c r="D88" s="54" t="s">
        <v>194</v>
      </c>
      <c r="E88" s="42">
        <v>90</v>
      </c>
      <c r="F88" s="87">
        <v>85</v>
      </c>
      <c r="G88" s="51">
        <v>95</v>
      </c>
      <c r="H88" s="52"/>
      <c r="I88" s="52"/>
      <c r="J88" s="13"/>
      <c r="K88" s="128">
        <f>INDEX([1]Monoprix!$F:$F,MATCH(D88,[1]Monoprix!$C:$C,0))</f>
        <v>0.23611111111111113</v>
      </c>
      <c r="L88" s="133">
        <f>INDEX([1]Monoprix!$G:$G,MATCH(D88,[1]Monoprix!$C:$C,0))</f>
        <v>0.875</v>
      </c>
      <c r="M88" s="143">
        <f>INDEX([1]Monoprix!$H:$H,MATCH(D88,[1]Monoprix!$C:$C,0))</f>
        <v>0.28472222222222221</v>
      </c>
      <c r="N88" s="143">
        <f>INDEX([1]Monoprix!$I:$I,MATCH(D88,[1]Monoprix!$C:$C,0))</f>
        <v>0.54166666666666663</v>
      </c>
      <c r="O88" s="144"/>
      <c r="P88" s="145"/>
      <c r="Q88" s="94" t="s">
        <v>612</v>
      </c>
      <c r="R88" s="4"/>
      <c r="S88" s="4"/>
      <c r="T88" s="4"/>
      <c r="U88" s="4"/>
      <c r="V88" s="4"/>
    </row>
    <row r="89" spans="1:22" x14ac:dyDescent="0.25">
      <c r="A89" s="12" t="s">
        <v>530</v>
      </c>
      <c r="B89" s="25" t="s">
        <v>51</v>
      </c>
      <c r="C89" s="53" t="s">
        <v>195</v>
      </c>
      <c r="D89" s="54" t="s">
        <v>196</v>
      </c>
      <c r="E89" s="55">
        <v>15</v>
      </c>
      <c r="F89" s="23">
        <v>20</v>
      </c>
      <c r="G89" s="51">
        <v>20</v>
      </c>
      <c r="H89" s="52"/>
      <c r="I89" s="52"/>
      <c r="J89" s="13"/>
      <c r="K89" s="128">
        <f>INDEX([1]Monoprix!$F:$F,MATCH(D89,[1]Monoprix!$C:$C,0))</f>
        <v>0.20138888888888887</v>
      </c>
      <c r="L89" s="133">
        <f>INDEX([1]Monoprix!$G:$G,MATCH(D89,[1]Monoprix!$C:$C,0))</f>
        <v>0.89583333333333337</v>
      </c>
      <c r="M89" s="143">
        <f>INDEX([1]Monoprix!$H:$H,MATCH(D89,[1]Monoprix!$C:$C,0))</f>
        <v>0.27777777777777779</v>
      </c>
      <c r="N89" s="143">
        <f>INDEX([1]Monoprix!$I:$I,MATCH(D89,[1]Monoprix!$C:$C,0))</f>
        <v>0.55208333333333337</v>
      </c>
      <c r="O89" s="144"/>
      <c r="P89" s="145"/>
      <c r="Q89" s="94" t="s">
        <v>613</v>
      </c>
      <c r="R89" s="4"/>
      <c r="S89" s="4"/>
      <c r="T89" s="4"/>
      <c r="U89" s="4"/>
      <c r="V89" s="4"/>
    </row>
    <row r="90" spans="1:22" x14ac:dyDescent="0.25">
      <c r="A90" s="12" t="s">
        <v>530</v>
      </c>
      <c r="B90" s="25" t="s">
        <v>51</v>
      </c>
      <c r="C90" s="53" t="s">
        <v>197</v>
      </c>
      <c r="D90" s="54" t="s">
        <v>28</v>
      </c>
      <c r="E90" s="55">
        <v>110</v>
      </c>
      <c r="F90" s="87">
        <v>110</v>
      </c>
      <c r="G90" s="51">
        <v>170</v>
      </c>
      <c r="H90" s="52"/>
      <c r="I90" s="52"/>
      <c r="J90" s="13"/>
      <c r="K90" s="128">
        <f>INDEX([1]Monoprix!$F:$F,MATCH(D90,[1]Monoprix!$C:$C,0))</f>
        <v>0.20138888888888887</v>
      </c>
      <c r="L90" s="133">
        <f>INDEX([1]Monoprix!$G:$G,MATCH(D90,[1]Monoprix!$C:$C,0))</f>
        <v>0.89583333333333337</v>
      </c>
      <c r="M90" s="143">
        <f>INDEX([1]Monoprix!$H:$H,MATCH(D90,[1]Monoprix!$C:$C,0))</f>
        <v>0.28472222222222221</v>
      </c>
      <c r="N90" s="143">
        <f>INDEX([1]Monoprix!$I:$I,MATCH(D90,[1]Monoprix!$C:$C,0))</f>
        <v>0.85416666666666663</v>
      </c>
      <c r="O90" s="147"/>
      <c r="P90" s="145"/>
      <c r="Q90" s="94" t="s">
        <v>614</v>
      </c>
      <c r="R90" s="4"/>
      <c r="S90" s="4"/>
      <c r="T90" s="4"/>
      <c r="U90" s="5"/>
      <c r="V90" s="5"/>
    </row>
    <row r="91" spans="1:22" x14ac:dyDescent="0.25">
      <c r="A91" s="12" t="s">
        <v>530</v>
      </c>
      <c r="B91" s="25" t="s">
        <v>2</v>
      </c>
      <c r="C91" s="53" t="s">
        <v>198</v>
      </c>
      <c r="D91" s="54" t="s">
        <v>199</v>
      </c>
      <c r="E91" s="42">
        <v>20</v>
      </c>
      <c r="F91" s="23">
        <v>20</v>
      </c>
      <c r="G91" s="51">
        <v>25</v>
      </c>
      <c r="H91" s="52"/>
      <c r="I91" s="52"/>
      <c r="J91" s="13"/>
      <c r="K91" s="128">
        <f>INDEX([1]Monoprix!$F:$F,MATCH(D91,[1]Monoprix!$C:$C,0))</f>
        <v>0.3125</v>
      </c>
      <c r="L91" s="133">
        <f>INDEX([1]Monoprix!$G:$G,MATCH(D91,[1]Monoprix!$C:$C,0))</f>
        <v>0.80208333333333337</v>
      </c>
      <c r="M91" s="143">
        <f>INDEX([1]Monoprix!$H:$H,MATCH(D91,[1]Monoprix!$C:$C,0))</f>
        <v>0.36805555555555558</v>
      </c>
      <c r="N91" s="143">
        <f>INDEX([1]Monoprix!$I:$I,MATCH(D91,[1]Monoprix!$C:$C,0))</f>
        <v>0.52083333333333337</v>
      </c>
      <c r="O91" s="144"/>
      <c r="P91" s="145"/>
      <c r="Q91" s="94" t="s">
        <v>615</v>
      </c>
      <c r="R91" s="4"/>
      <c r="S91" s="4"/>
      <c r="T91" s="4"/>
      <c r="U91" s="4"/>
      <c r="V91" s="4"/>
    </row>
    <row r="92" spans="1:22" x14ac:dyDescent="0.25">
      <c r="A92" s="12" t="s">
        <v>530</v>
      </c>
      <c r="B92" s="25" t="s">
        <v>51</v>
      </c>
      <c r="C92" s="53" t="s">
        <v>200</v>
      </c>
      <c r="D92" s="54" t="s">
        <v>201</v>
      </c>
      <c r="E92" s="42">
        <v>100</v>
      </c>
      <c r="F92" s="87">
        <v>105</v>
      </c>
      <c r="G92" s="51">
        <v>115</v>
      </c>
      <c r="H92" s="52"/>
      <c r="I92" s="52"/>
      <c r="J92" s="13"/>
      <c r="K92" s="128">
        <f>INDEX([1]Monoprix!$F:$F,MATCH(D92,[1]Monoprix!$C:$C,0))</f>
        <v>0.24305555555555555</v>
      </c>
      <c r="L92" s="133">
        <f>INDEX([1]Monoprix!$G:$G,MATCH(D92,[1]Monoprix!$C:$C,0))</f>
        <v>0.9375</v>
      </c>
      <c r="M92" s="143">
        <f>INDEX([1]Monoprix!$H:$H,MATCH(D92,[1]Monoprix!$C:$C,0))</f>
        <v>0.3125</v>
      </c>
      <c r="N92" s="143">
        <f>INDEX([1]Monoprix!$I:$I,MATCH(D92,[1]Monoprix!$C:$C,0))</f>
        <v>0.87152777777777779</v>
      </c>
      <c r="O92" s="144"/>
      <c r="P92" s="145"/>
      <c r="Q92" s="94" t="s">
        <v>616</v>
      </c>
      <c r="R92" s="4"/>
      <c r="S92" s="4"/>
      <c r="T92" s="4"/>
      <c r="U92" s="4"/>
      <c r="V92" s="4"/>
    </row>
    <row r="93" spans="1:22" x14ac:dyDescent="0.25">
      <c r="A93" s="12" t="s">
        <v>530</v>
      </c>
      <c r="B93" s="25" t="s">
        <v>51</v>
      </c>
      <c r="C93" s="53" t="s">
        <v>202</v>
      </c>
      <c r="D93" s="53" t="s">
        <v>203</v>
      </c>
      <c r="E93" s="42">
        <v>40</v>
      </c>
      <c r="F93" s="23">
        <v>45</v>
      </c>
      <c r="G93" s="51">
        <v>55</v>
      </c>
      <c r="H93" s="52"/>
      <c r="I93" s="52"/>
      <c r="J93" s="13"/>
      <c r="K93" s="128">
        <f>INDEX([1]Monoprix!$F:$F,MATCH(D93,[1]Monoprix!$C:$C,0))</f>
        <v>0.1875</v>
      </c>
      <c r="L93" s="133">
        <f>INDEX([1]Monoprix!$G:$G,MATCH(D93,[1]Monoprix!$C:$C,0))</f>
        <v>0.83333333333333337</v>
      </c>
      <c r="M93" s="143">
        <f>INDEX([1]Monoprix!$H:$H,MATCH(D93,[1]Monoprix!$C:$C,0))</f>
        <v>0.27083333333333331</v>
      </c>
      <c r="N93" s="143">
        <f>INDEX([1]Monoprix!$I:$I,MATCH(D93,[1]Monoprix!$C:$C,0))</f>
        <v>0.8125</v>
      </c>
      <c r="O93" s="144"/>
      <c r="P93" s="145"/>
      <c r="Q93" s="94" t="s">
        <v>617</v>
      </c>
      <c r="R93" s="4"/>
      <c r="S93" s="4"/>
      <c r="T93" s="4"/>
      <c r="U93" s="4"/>
      <c r="V93" s="4"/>
    </row>
    <row r="94" spans="1:22" x14ac:dyDescent="0.25">
      <c r="A94" s="12" t="s">
        <v>530</v>
      </c>
      <c r="B94" s="25" t="s">
        <v>51</v>
      </c>
      <c r="C94" s="53" t="s">
        <v>204</v>
      </c>
      <c r="D94" s="54" t="s">
        <v>205</v>
      </c>
      <c r="E94" s="55">
        <v>90</v>
      </c>
      <c r="F94" s="87">
        <v>100</v>
      </c>
      <c r="G94" s="51">
        <v>110</v>
      </c>
      <c r="H94" s="52"/>
      <c r="I94" s="52"/>
      <c r="J94" s="13"/>
      <c r="K94" s="128">
        <f>INDEX([1]Monoprix!$F:$F,MATCH(D94,[1]Monoprix!$C:$C,0))</f>
        <v>0.20833333333333334</v>
      </c>
      <c r="L94" s="133">
        <f>INDEX([1]Monoprix!$G:$G,MATCH(D94,[1]Monoprix!$C:$C,0))</f>
        <v>0.93055555555555547</v>
      </c>
      <c r="M94" s="143">
        <f>INDEX([1]Monoprix!$H:$H,MATCH(D94,[1]Monoprix!$C:$C,0))</f>
        <v>0.28472222222222221</v>
      </c>
      <c r="N94" s="143">
        <f>INDEX([1]Monoprix!$I:$I,MATCH(D94,[1]Monoprix!$C:$C,0))</f>
        <v>0.83333333333333337</v>
      </c>
      <c r="O94" s="144"/>
      <c r="P94" s="145"/>
      <c r="Q94" s="94" t="s">
        <v>618</v>
      </c>
      <c r="R94" s="4"/>
      <c r="S94" s="4"/>
      <c r="T94" s="4"/>
      <c r="U94" s="4"/>
      <c r="V94" s="4"/>
    </row>
    <row r="95" spans="1:22" x14ac:dyDescent="0.25">
      <c r="A95" s="12" t="s">
        <v>533</v>
      </c>
      <c r="B95" s="25" t="s">
        <v>51</v>
      </c>
      <c r="C95" s="53" t="s">
        <v>206</v>
      </c>
      <c r="D95" s="54" t="s">
        <v>29</v>
      </c>
      <c r="E95" s="42">
        <v>50</v>
      </c>
      <c r="F95" s="23">
        <v>50</v>
      </c>
      <c r="G95" s="51">
        <v>65</v>
      </c>
      <c r="H95" s="52"/>
      <c r="I95" s="52"/>
      <c r="J95" s="13"/>
      <c r="K95" s="128">
        <f>INDEX([1]Monoprix!$F:$F,MATCH(D95,[1]Monoprix!$C:$C,0))</f>
        <v>0.24305555555555555</v>
      </c>
      <c r="L95" s="133">
        <f>INDEX([1]Monoprix!$G:$G,MATCH(D95,[1]Monoprix!$C:$C,0))</f>
        <v>0.84375</v>
      </c>
      <c r="M95" s="143" t="str">
        <f>INDEX([1]Monoprix!$H:$H,MATCH(D95,[1]Monoprix!$C:$C,0))</f>
        <v>-</v>
      </c>
      <c r="N95" s="143" t="str">
        <f>INDEX([1]Monoprix!$I:$I,MATCH(D95,[1]Monoprix!$C:$C,0))</f>
        <v>-</v>
      </c>
      <c r="O95" s="144"/>
      <c r="P95" s="145"/>
      <c r="Q95" s="94" t="s">
        <v>619</v>
      </c>
      <c r="R95" s="4"/>
      <c r="S95" s="4"/>
      <c r="T95" s="4"/>
      <c r="U95" s="4"/>
      <c r="V95" s="4"/>
    </row>
    <row r="96" spans="1:22" x14ac:dyDescent="0.25">
      <c r="A96" s="12" t="s">
        <v>533</v>
      </c>
      <c r="B96" s="25" t="s">
        <v>2</v>
      </c>
      <c r="C96" s="53" t="s">
        <v>207</v>
      </c>
      <c r="D96" s="53" t="s">
        <v>208</v>
      </c>
      <c r="E96" s="42">
        <v>25</v>
      </c>
      <c r="F96" s="23">
        <v>25</v>
      </c>
      <c r="G96" s="51">
        <v>30</v>
      </c>
      <c r="H96" s="52"/>
      <c r="I96" s="52"/>
      <c r="J96" s="13"/>
      <c r="K96" s="128">
        <f>INDEX([1]Monoprix!$F:$F,MATCH(D96,[1]Monoprix!$C:$C,0))</f>
        <v>0.25</v>
      </c>
      <c r="L96" s="133">
        <f>INDEX([1]Monoprix!$G:$G,MATCH(D96,[1]Monoprix!$C:$C,0))</f>
        <v>0.84375</v>
      </c>
      <c r="M96" s="143">
        <f>INDEX([1]Monoprix!$H:$H,MATCH(D96,[1]Monoprix!$C:$C,0))</f>
        <v>0.3263888888888889</v>
      </c>
      <c r="N96" s="143">
        <f>INDEX([1]Monoprix!$I:$I,MATCH(D96,[1]Monoprix!$C:$C,0))</f>
        <v>0.54166666666666663</v>
      </c>
      <c r="O96" s="144"/>
      <c r="P96" s="145"/>
      <c r="Q96" s="94" t="s">
        <v>148</v>
      </c>
      <c r="R96" s="4"/>
      <c r="S96" s="4"/>
      <c r="T96" s="4"/>
      <c r="U96" s="4"/>
      <c r="V96" s="4"/>
    </row>
    <row r="97" spans="1:22" x14ac:dyDescent="0.25">
      <c r="A97" s="12" t="s">
        <v>533</v>
      </c>
      <c r="B97" s="25" t="s">
        <v>51</v>
      </c>
      <c r="C97" s="53" t="s">
        <v>209</v>
      </c>
      <c r="D97" s="53" t="s">
        <v>210</v>
      </c>
      <c r="E97" s="42">
        <v>80</v>
      </c>
      <c r="F97" s="23">
        <v>85</v>
      </c>
      <c r="G97" s="51">
        <v>100</v>
      </c>
      <c r="H97" s="52"/>
      <c r="I97" s="52"/>
      <c r="J97" s="13"/>
      <c r="K97" s="128">
        <f>INDEX([1]Monoprix!$F:$F,MATCH(D97,[1]Monoprix!$C:$C,0))</f>
        <v>0.22916666666666666</v>
      </c>
      <c r="L97" s="133">
        <f>INDEX([1]Monoprix!$G:$G,MATCH(D97,[1]Monoprix!$C:$C,0))</f>
        <v>0.86111111111111116</v>
      </c>
      <c r="M97" s="143">
        <f>INDEX([1]Monoprix!$H:$H,MATCH(D97,[1]Monoprix!$C:$C,0))</f>
        <v>0.27777777777777779</v>
      </c>
      <c r="N97" s="143">
        <f>INDEX([1]Monoprix!$I:$I,MATCH(D97,[1]Monoprix!$C:$C,0))</f>
        <v>0.77777777777777779</v>
      </c>
      <c r="O97" s="144"/>
      <c r="P97" s="145"/>
      <c r="Q97" s="94" t="s">
        <v>620</v>
      </c>
      <c r="R97" s="4"/>
      <c r="S97" s="4"/>
      <c r="T97" s="4"/>
      <c r="U97" s="4"/>
      <c r="V97" s="4"/>
    </row>
    <row r="98" spans="1:22" x14ac:dyDescent="0.25">
      <c r="A98" s="12" t="s">
        <v>533</v>
      </c>
      <c r="B98" s="25" t="s">
        <v>51</v>
      </c>
      <c r="C98" s="53" t="s">
        <v>211</v>
      </c>
      <c r="D98" s="54" t="s">
        <v>212</v>
      </c>
      <c r="E98" s="42">
        <v>80</v>
      </c>
      <c r="F98" s="87">
        <v>75</v>
      </c>
      <c r="G98" s="51">
        <v>95</v>
      </c>
      <c r="H98" s="52"/>
      <c r="I98" s="52"/>
      <c r="J98" s="13"/>
      <c r="K98" s="128">
        <f>INDEX([1]Monoprix!$F:$F,MATCH(D98,[1]Monoprix!$C:$C,0))</f>
        <v>0.22916666666666666</v>
      </c>
      <c r="L98" s="133">
        <f>INDEX([1]Monoprix!$G:$G,MATCH(D98,[1]Monoprix!$C:$C,0))</f>
        <v>0.875</v>
      </c>
      <c r="M98" s="143">
        <f>INDEX([1]Monoprix!$H:$H,MATCH(D98,[1]Monoprix!$C:$C,0))</f>
        <v>0.22916666666666666</v>
      </c>
      <c r="N98" s="143">
        <f>INDEX([1]Monoprix!$I:$I,MATCH(D98,[1]Monoprix!$C:$C,0))</f>
        <v>0.54166666666666663</v>
      </c>
      <c r="O98" s="144"/>
      <c r="P98" s="145"/>
      <c r="Q98" s="94" t="s">
        <v>621</v>
      </c>
      <c r="R98" s="4"/>
      <c r="S98" s="4"/>
      <c r="T98" s="4"/>
      <c r="U98" s="4"/>
      <c r="V98" s="4"/>
    </row>
    <row r="99" spans="1:22" x14ac:dyDescent="0.25">
      <c r="A99" s="12" t="s">
        <v>533</v>
      </c>
      <c r="B99" s="25" t="s">
        <v>2</v>
      </c>
      <c r="C99" s="53" t="s">
        <v>213</v>
      </c>
      <c r="D99" s="53" t="s">
        <v>214</v>
      </c>
      <c r="E99" s="42">
        <v>130</v>
      </c>
      <c r="F99" s="87">
        <v>125</v>
      </c>
      <c r="G99" s="121">
        <v>165</v>
      </c>
      <c r="H99" s="52"/>
      <c r="I99" s="52"/>
      <c r="J99" s="52"/>
      <c r="K99" s="128">
        <f>INDEX([1]Monoprix!$F:$F,MATCH(D99,[1]Monoprix!$C:$C,0))</f>
        <v>0.1875</v>
      </c>
      <c r="L99" s="133">
        <f>INDEX([1]Monoprix!$G:$G,MATCH(D99,[1]Monoprix!$C:$C,0))</f>
        <v>0.9375</v>
      </c>
      <c r="M99" s="143">
        <f>INDEX([1]Monoprix!$H:$H,MATCH(D99,[1]Monoprix!$C:$C,0))</f>
        <v>0.25</v>
      </c>
      <c r="N99" s="143">
        <f>INDEX([1]Monoprix!$I:$I,MATCH(D99,[1]Monoprix!$C:$C,0))</f>
        <v>0.875</v>
      </c>
      <c r="O99" s="146"/>
      <c r="P99" s="94"/>
      <c r="Q99" s="94" t="s">
        <v>622</v>
      </c>
      <c r="R99" s="5"/>
      <c r="S99" s="5"/>
      <c r="T99" s="5"/>
      <c r="U99" s="4"/>
      <c r="V99" s="4"/>
    </row>
    <row r="100" spans="1:22" ht="38.25" hidden="1" x14ac:dyDescent="0.25">
      <c r="A100" s="12" t="s">
        <v>530</v>
      </c>
      <c r="B100" s="25" t="s">
        <v>792</v>
      </c>
      <c r="C100" s="53" t="s">
        <v>215</v>
      </c>
      <c r="D100" s="54" t="s">
        <v>216</v>
      </c>
      <c r="E100" s="42">
        <v>25</v>
      </c>
      <c r="F100" s="23">
        <v>25</v>
      </c>
      <c r="G100" s="51">
        <v>25</v>
      </c>
      <c r="H100" s="52"/>
      <c r="I100" s="52"/>
      <c r="J100" s="13"/>
      <c r="K100" s="128">
        <v>0.20833333333333334</v>
      </c>
      <c r="L100" s="133">
        <v>0.83333333333333337</v>
      </c>
      <c r="M100" s="143">
        <v>0.20833333333333334</v>
      </c>
      <c r="N100" s="143">
        <v>0.58333333333333337</v>
      </c>
      <c r="O100" s="144" t="s">
        <v>822</v>
      </c>
      <c r="P100" s="145"/>
      <c r="Q100" s="94" t="s">
        <v>148</v>
      </c>
      <c r="R100" s="4"/>
      <c r="S100" s="4"/>
      <c r="T100" s="4"/>
      <c r="U100" s="4"/>
      <c r="V100" s="4"/>
    </row>
    <row r="101" spans="1:22" x14ac:dyDescent="0.25">
      <c r="A101" s="12" t="s">
        <v>530</v>
      </c>
      <c r="B101" s="25" t="s">
        <v>51</v>
      </c>
      <c r="C101" s="53" t="s">
        <v>217</v>
      </c>
      <c r="D101" s="54" t="s">
        <v>218</v>
      </c>
      <c r="E101" s="42">
        <v>50</v>
      </c>
      <c r="F101" s="87">
        <v>40</v>
      </c>
      <c r="G101" s="51">
        <v>45</v>
      </c>
      <c r="H101" s="52"/>
      <c r="I101" s="52"/>
      <c r="J101" s="13"/>
      <c r="K101" s="128">
        <f>INDEX([1]Monoprix!$F:$F,MATCH(D101,[1]Monoprix!$C:$C,0))</f>
        <v>0.22916666666666666</v>
      </c>
      <c r="L101" s="133">
        <f>INDEX([1]Monoprix!$G:$G,MATCH(D101,[1]Monoprix!$C:$C,0))</f>
        <v>0.85416666666666663</v>
      </c>
      <c r="M101" s="143">
        <f>INDEX([1]Monoprix!$H:$H,MATCH(D101,[1]Monoprix!$C:$C,0))</f>
        <v>0.3125</v>
      </c>
      <c r="N101" s="143">
        <f>INDEX([1]Monoprix!$I:$I,MATCH(D101,[1]Monoprix!$C:$C,0))</f>
        <v>0.5625</v>
      </c>
      <c r="O101" s="144"/>
      <c r="P101" s="145"/>
      <c r="Q101" s="94" t="s">
        <v>623</v>
      </c>
      <c r="R101" s="4"/>
      <c r="S101" s="4"/>
      <c r="T101" s="4"/>
      <c r="U101" s="4"/>
      <c r="V101" s="4"/>
    </row>
    <row r="102" spans="1:22" x14ac:dyDescent="0.25">
      <c r="A102" s="12" t="s">
        <v>533</v>
      </c>
      <c r="B102" s="25" t="s">
        <v>51</v>
      </c>
      <c r="C102" s="53" t="s">
        <v>219</v>
      </c>
      <c r="D102" s="54" t="s">
        <v>30</v>
      </c>
      <c r="E102" s="55">
        <v>60</v>
      </c>
      <c r="F102" s="87">
        <v>60</v>
      </c>
      <c r="G102" s="51">
        <v>80</v>
      </c>
      <c r="H102" s="52"/>
      <c r="I102" s="52"/>
      <c r="J102" s="13"/>
      <c r="K102" s="128">
        <f>INDEX([1]Monoprix!$F:$F,MATCH(D102,[1]Monoprix!$C:$C,0))</f>
        <v>0.22916666666666666</v>
      </c>
      <c r="L102" s="133">
        <f>INDEX([1]Monoprix!$G:$G,MATCH(D102,[1]Monoprix!$C:$C,0))</f>
        <v>0.86458333333333337</v>
      </c>
      <c r="M102" s="143" t="str">
        <f>INDEX([1]Monoprix!$H:$H,MATCH(D102,[1]Monoprix!$C:$C,0))</f>
        <v>-</v>
      </c>
      <c r="N102" s="143" t="str">
        <f>INDEX([1]Monoprix!$I:$I,MATCH(D102,[1]Monoprix!$C:$C,0))</f>
        <v>-</v>
      </c>
      <c r="O102" s="144"/>
      <c r="P102" s="145"/>
      <c r="Q102" s="94" t="s">
        <v>624</v>
      </c>
      <c r="R102" s="4"/>
      <c r="S102" s="4"/>
      <c r="T102" s="4"/>
      <c r="U102" s="4"/>
      <c r="V102" s="4"/>
    </row>
    <row r="103" spans="1:22" x14ac:dyDescent="0.25">
      <c r="A103" s="12" t="s">
        <v>530</v>
      </c>
      <c r="B103" s="25" t="s">
        <v>51</v>
      </c>
      <c r="C103" s="53" t="s">
        <v>220</v>
      </c>
      <c r="D103" s="54" t="s">
        <v>221</v>
      </c>
      <c r="E103" s="55">
        <v>80</v>
      </c>
      <c r="F103" s="87">
        <v>75</v>
      </c>
      <c r="G103" s="51">
        <v>85</v>
      </c>
      <c r="H103" s="52"/>
      <c r="I103" s="52"/>
      <c r="J103" s="13"/>
      <c r="K103" s="128">
        <f>INDEX([1]Monoprix!$F:$F,MATCH(D103,[1]Monoprix!$C:$C,0))</f>
        <v>0.24305555555555555</v>
      </c>
      <c r="L103" s="133">
        <f>INDEX([1]Monoprix!$G:$G,MATCH(D103,[1]Monoprix!$C:$C,0))</f>
        <v>0.94791666666666663</v>
      </c>
      <c r="M103" s="143">
        <f>INDEX([1]Monoprix!$H:$H,MATCH(D103,[1]Monoprix!$C:$C,0))</f>
        <v>0.25</v>
      </c>
      <c r="N103" s="143">
        <f>INDEX([1]Monoprix!$I:$I,MATCH(D103,[1]Monoprix!$C:$C,0))</f>
        <v>0.54166666666666663</v>
      </c>
      <c r="O103" s="144"/>
      <c r="P103" s="145"/>
      <c r="Q103" s="94" t="s">
        <v>625</v>
      </c>
      <c r="R103" s="4"/>
      <c r="S103" s="4"/>
      <c r="T103" s="4"/>
      <c r="U103" s="4"/>
      <c r="V103" s="4"/>
    </row>
    <row r="104" spans="1:22" x14ac:dyDescent="0.25">
      <c r="A104" s="12" t="s">
        <v>533</v>
      </c>
      <c r="B104" s="25" t="s">
        <v>2</v>
      </c>
      <c r="C104" s="53" t="s">
        <v>222</v>
      </c>
      <c r="D104" s="53" t="s">
        <v>223</v>
      </c>
      <c r="E104" s="55">
        <v>25</v>
      </c>
      <c r="F104" s="23">
        <v>25</v>
      </c>
      <c r="G104" s="51">
        <v>35</v>
      </c>
      <c r="H104" s="52"/>
      <c r="I104" s="52"/>
      <c r="J104" s="13"/>
      <c r="K104" s="128">
        <f>INDEX([1]Monoprix!$F:$F,MATCH(D104,[1]Monoprix!$C:$C,0))</f>
        <v>0.25</v>
      </c>
      <c r="L104" s="133">
        <f>INDEX([1]Monoprix!$G:$G,MATCH(D104,[1]Monoprix!$C:$C,0))</f>
        <v>0.83333333333333337</v>
      </c>
      <c r="M104" s="143">
        <f>INDEX([1]Monoprix!$H:$H,MATCH(D104,[1]Monoprix!$C:$C,0))</f>
        <v>0.3263888888888889</v>
      </c>
      <c r="N104" s="143">
        <f>INDEX([1]Monoprix!$I:$I,MATCH(D104,[1]Monoprix!$C:$C,0))</f>
        <v>0.55208333333333337</v>
      </c>
      <c r="O104" s="144"/>
      <c r="P104" s="145"/>
      <c r="Q104" s="94" t="s">
        <v>626</v>
      </c>
      <c r="R104" s="4"/>
      <c r="S104" s="4"/>
      <c r="T104" s="4"/>
      <c r="U104" s="4"/>
      <c r="V104" s="4"/>
    </row>
    <row r="105" spans="1:22" x14ac:dyDescent="0.25">
      <c r="A105" s="12" t="s">
        <v>530</v>
      </c>
      <c r="B105" s="25" t="s">
        <v>51</v>
      </c>
      <c r="C105" s="53" t="s">
        <v>224</v>
      </c>
      <c r="D105" s="53" t="s">
        <v>225</v>
      </c>
      <c r="E105" s="42">
        <v>60</v>
      </c>
      <c r="F105" s="87">
        <v>60</v>
      </c>
      <c r="G105" s="51">
        <v>75</v>
      </c>
      <c r="H105" s="52"/>
      <c r="I105" s="52"/>
      <c r="J105" s="13"/>
      <c r="K105" s="128">
        <f>INDEX([1]Monoprix!$F:$F,MATCH(D105,[1]Monoprix!$C:$C,0))</f>
        <v>0.25</v>
      </c>
      <c r="L105" s="133">
        <f>INDEX([1]Monoprix!$G:$G,MATCH(D105,[1]Monoprix!$C:$C,0))</f>
        <v>0.91666666666666663</v>
      </c>
      <c r="M105" s="143">
        <f>INDEX([1]Monoprix!$H:$H,MATCH(D105,[1]Monoprix!$C:$C,0))</f>
        <v>0.29166666666666669</v>
      </c>
      <c r="N105" s="143">
        <f>INDEX([1]Monoprix!$I:$I,MATCH(D105,[1]Monoprix!$C:$C,0))</f>
        <v>0.55208333333333337</v>
      </c>
      <c r="O105" s="144"/>
      <c r="P105" s="145"/>
      <c r="Q105" s="94" t="s">
        <v>627</v>
      </c>
      <c r="R105" s="4"/>
      <c r="S105" s="4"/>
      <c r="T105" s="4"/>
      <c r="U105" s="4"/>
      <c r="V105" s="4"/>
    </row>
    <row r="106" spans="1:22" x14ac:dyDescent="0.25">
      <c r="A106" s="12" t="s">
        <v>533</v>
      </c>
      <c r="B106" s="25" t="s">
        <v>2</v>
      </c>
      <c r="C106" s="53" t="s">
        <v>226</v>
      </c>
      <c r="D106" s="53" t="s">
        <v>227</v>
      </c>
      <c r="E106" s="55">
        <v>60</v>
      </c>
      <c r="F106" s="23">
        <v>65</v>
      </c>
      <c r="G106" s="51">
        <v>70</v>
      </c>
      <c r="H106" s="52"/>
      <c r="I106" s="52"/>
      <c r="J106" s="52"/>
      <c r="K106" s="128">
        <f>INDEX([1]Monoprix!$F:$F,MATCH(D106,[1]Monoprix!$C:$C,0))</f>
        <v>0.23611111111111113</v>
      </c>
      <c r="L106" s="133">
        <f>INDEX([1]Monoprix!$G:$G,MATCH(D106,[1]Monoprix!$C:$C,0))</f>
        <v>0.875</v>
      </c>
      <c r="M106" s="143">
        <f>INDEX([1]Monoprix!$H:$H,MATCH(D106,[1]Monoprix!$C:$C,0))</f>
        <v>0.28472222222222221</v>
      </c>
      <c r="N106" s="143">
        <f>INDEX([1]Monoprix!$I:$I,MATCH(D106,[1]Monoprix!$C:$C,0))</f>
        <v>0.55208333333333337</v>
      </c>
      <c r="O106" s="146"/>
      <c r="P106" s="94"/>
      <c r="Q106" s="94" t="s">
        <v>628</v>
      </c>
      <c r="R106" s="5"/>
      <c r="S106" s="5"/>
      <c r="T106" s="5"/>
      <c r="U106" s="4"/>
      <c r="V106" s="4"/>
    </row>
    <row r="107" spans="1:22" x14ac:dyDescent="0.25">
      <c r="A107" s="12" t="s">
        <v>533</v>
      </c>
      <c r="B107" s="25" t="s">
        <v>51</v>
      </c>
      <c r="C107" s="53" t="s">
        <v>228</v>
      </c>
      <c r="D107" s="17" t="s">
        <v>31</v>
      </c>
      <c r="E107" s="55">
        <v>55</v>
      </c>
      <c r="F107" s="23">
        <v>65</v>
      </c>
      <c r="G107" s="51">
        <v>70</v>
      </c>
      <c r="H107" s="52"/>
      <c r="I107" s="52"/>
      <c r="J107" s="13"/>
      <c r="K107" s="128">
        <f>INDEX([1]Monoprix!$F:$F,MATCH(D107,[1]Monoprix!$C:$C,0))</f>
        <v>0.26041666666666669</v>
      </c>
      <c r="L107" s="133">
        <f>INDEX([1]Monoprix!$G:$G,MATCH(D107,[1]Monoprix!$C:$C,0))</f>
        <v>0.92708333333333337</v>
      </c>
      <c r="M107" s="143">
        <f>INDEX([1]Monoprix!$H:$H,MATCH(D107,[1]Monoprix!$C:$C,0))</f>
        <v>0.27777777777777779</v>
      </c>
      <c r="N107" s="143">
        <f>INDEX([1]Monoprix!$I:$I,MATCH(D107,[1]Monoprix!$C:$C,0))</f>
        <v>0.59375</v>
      </c>
      <c r="O107" s="144"/>
      <c r="P107" s="145"/>
      <c r="Q107" s="94" t="s">
        <v>629</v>
      </c>
      <c r="R107" s="4"/>
      <c r="S107" s="4"/>
      <c r="T107" s="4"/>
      <c r="U107" s="4"/>
      <c r="V107" s="4"/>
    </row>
    <row r="108" spans="1:22" x14ac:dyDescent="0.25">
      <c r="A108" s="12" t="s">
        <v>533</v>
      </c>
      <c r="B108" s="25" t="s">
        <v>51</v>
      </c>
      <c r="C108" s="53" t="s">
        <v>229</v>
      </c>
      <c r="D108" s="49" t="s">
        <v>32</v>
      </c>
      <c r="E108" s="42">
        <v>75</v>
      </c>
      <c r="F108" s="87">
        <v>70</v>
      </c>
      <c r="G108" s="51">
        <v>95</v>
      </c>
      <c r="H108" s="52"/>
      <c r="I108" s="52"/>
      <c r="J108" s="13"/>
      <c r="K108" s="128">
        <f>INDEX([1]Monoprix!$F:$F,MATCH(D108,[1]Monoprix!$C:$C,0))</f>
        <v>0.23611111111111113</v>
      </c>
      <c r="L108" s="133">
        <f>INDEX([1]Monoprix!$G:$G,MATCH(D108,[1]Monoprix!$C:$C,0))</f>
        <v>0.91666666666666663</v>
      </c>
      <c r="M108" s="143">
        <f>INDEX([1]Monoprix!$H:$H,MATCH(D108,[1]Monoprix!$C:$C,0))</f>
        <v>0.25694444444444448</v>
      </c>
      <c r="N108" s="143">
        <f>INDEX([1]Monoprix!$I:$I,MATCH(D108,[1]Monoprix!$C:$C,0))</f>
        <v>0.60069444444444442</v>
      </c>
      <c r="O108" s="144"/>
      <c r="P108" s="145"/>
      <c r="Q108" s="94" t="s">
        <v>630</v>
      </c>
      <c r="R108" s="4"/>
      <c r="S108" s="4"/>
      <c r="T108" s="4"/>
      <c r="U108" s="4"/>
      <c r="V108" s="4"/>
    </row>
    <row r="109" spans="1:22" x14ac:dyDescent="0.25">
      <c r="A109" s="12" t="s">
        <v>533</v>
      </c>
      <c r="B109" s="25" t="s">
        <v>2</v>
      </c>
      <c r="C109" s="53" t="s">
        <v>230</v>
      </c>
      <c r="D109" s="54" t="s">
        <v>231</v>
      </c>
      <c r="E109" s="42">
        <v>20</v>
      </c>
      <c r="F109" s="23">
        <v>20</v>
      </c>
      <c r="G109" s="51">
        <v>25</v>
      </c>
      <c r="H109" s="52"/>
      <c r="I109" s="52"/>
      <c r="J109" s="13"/>
      <c r="K109" s="128">
        <f>INDEX([1]Monoprix!$F:$F,MATCH(D109,[1]Monoprix!$C:$C,0))</f>
        <v>0.23611111111111113</v>
      </c>
      <c r="L109" s="133">
        <f>INDEX([1]Monoprix!$G:$G,MATCH(D109,[1]Monoprix!$C:$C,0))</f>
        <v>0.82291666666666663</v>
      </c>
      <c r="M109" s="143" t="str">
        <f>INDEX([1]Monoprix!$H:$H,MATCH(D109,[1]Monoprix!$C:$C,0))</f>
        <v>-</v>
      </c>
      <c r="N109" s="143" t="str">
        <f>INDEX([1]Monoprix!$I:$I,MATCH(D109,[1]Monoprix!$C:$C,0))</f>
        <v>-</v>
      </c>
      <c r="O109" s="144"/>
      <c r="P109" s="145"/>
      <c r="Q109" s="94" t="s">
        <v>631</v>
      </c>
      <c r="R109" s="4"/>
      <c r="S109" s="4"/>
      <c r="T109" s="4"/>
      <c r="U109" s="4"/>
      <c r="V109" s="4"/>
    </row>
    <row r="110" spans="1:22" x14ac:dyDescent="0.25">
      <c r="A110" s="12" t="s">
        <v>530</v>
      </c>
      <c r="B110" s="25" t="s">
        <v>2</v>
      </c>
      <c r="C110" s="53" t="s">
        <v>232</v>
      </c>
      <c r="D110" s="53" t="s">
        <v>233</v>
      </c>
      <c r="E110" s="42">
        <v>40</v>
      </c>
      <c r="F110" s="23">
        <v>45</v>
      </c>
      <c r="G110" s="121">
        <v>35</v>
      </c>
      <c r="H110" s="52"/>
      <c r="I110" s="52"/>
      <c r="J110" s="13"/>
      <c r="K110" s="128">
        <f>INDEX([1]Monoprix!$F:$F,MATCH(D110,[1]Monoprix!$C:$C,0))</f>
        <v>0.25</v>
      </c>
      <c r="L110" s="133">
        <f>INDEX([1]Monoprix!$G:$G,MATCH(D110,[1]Monoprix!$C:$C,0))</f>
        <v>0.91666666666666663</v>
      </c>
      <c r="M110" s="143">
        <f>INDEX([1]Monoprix!$H:$H,MATCH(D110,[1]Monoprix!$C:$C,0))</f>
        <v>0.28472222222222221</v>
      </c>
      <c r="N110" s="143">
        <f>INDEX([1]Monoprix!$I:$I,MATCH(D110,[1]Monoprix!$C:$C,0))</f>
        <v>0.83333333333333337</v>
      </c>
      <c r="O110" s="144"/>
      <c r="P110" s="145"/>
      <c r="Q110" s="94" t="s">
        <v>632</v>
      </c>
      <c r="R110" s="4"/>
      <c r="S110" s="4"/>
      <c r="T110" s="4"/>
      <c r="U110" s="4"/>
      <c r="V110" s="4"/>
    </row>
    <row r="111" spans="1:22" x14ac:dyDescent="0.25">
      <c r="A111" s="12" t="s">
        <v>530</v>
      </c>
      <c r="B111" s="25" t="s">
        <v>51</v>
      </c>
      <c r="C111" s="53" t="s">
        <v>234</v>
      </c>
      <c r="D111" s="54" t="s">
        <v>235</v>
      </c>
      <c r="E111" s="42">
        <v>50</v>
      </c>
      <c r="F111" s="87">
        <v>50</v>
      </c>
      <c r="G111" s="51">
        <v>60</v>
      </c>
      <c r="H111" s="52">
        <v>0</v>
      </c>
      <c r="I111" s="52">
        <v>0</v>
      </c>
      <c r="J111" s="13"/>
      <c r="K111" s="128">
        <f>INDEX([1]Monoprix!$F:$F,MATCH(D111,[1]Monoprix!$C:$C,0))</f>
        <v>0.24305555555555555</v>
      </c>
      <c r="L111" s="133">
        <f>INDEX([1]Monoprix!$G:$G,MATCH(D111,[1]Monoprix!$C:$C,0))</f>
        <v>0.875</v>
      </c>
      <c r="M111" s="143">
        <f>INDEX([1]Monoprix!$H:$H,MATCH(D111,[1]Monoprix!$C:$C,0))</f>
        <v>0.28472222222222221</v>
      </c>
      <c r="N111" s="143">
        <f>INDEX([1]Monoprix!$I:$I,MATCH(D111,[1]Monoprix!$C:$C,0))</f>
        <v>0.55208333333333337</v>
      </c>
      <c r="O111" s="144"/>
      <c r="P111" s="145"/>
      <c r="Q111" s="94" t="s">
        <v>633</v>
      </c>
      <c r="R111" s="4"/>
      <c r="S111" s="4"/>
      <c r="T111" s="4"/>
      <c r="U111" s="4"/>
      <c r="V111" s="4"/>
    </row>
    <row r="112" spans="1:22" x14ac:dyDescent="0.25">
      <c r="A112" s="12" t="s">
        <v>530</v>
      </c>
      <c r="B112" s="25" t="s">
        <v>2</v>
      </c>
      <c r="C112" s="53" t="s">
        <v>236</v>
      </c>
      <c r="D112" s="53" t="s">
        <v>237</v>
      </c>
      <c r="E112" s="42">
        <v>50</v>
      </c>
      <c r="F112" s="23">
        <v>50</v>
      </c>
      <c r="G112" s="121">
        <v>50</v>
      </c>
      <c r="H112" s="52"/>
      <c r="I112" s="52"/>
      <c r="J112" s="13"/>
      <c r="K112" s="128">
        <f>INDEX([1]Monoprix!$F:$F,MATCH(D112,[1]Monoprix!$C:$C,0))</f>
        <v>0.25694444444444448</v>
      </c>
      <c r="L112" s="133">
        <f>INDEX([1]Monoprix!$G:$G,MATCH(D112,[1]Monoprix!$C:$C,0))</f>
        <v>0.875</v>
      </c>
      <c r="M112" s="143">
        <f>INDEX([1]Monoprix!$H:$H,MATCH(D112,[1]Monoprix!$C:$C,0))</f>
        <v>0.35416666666666669</v>
      </c>
      <c r="N112" s="143">
        <f>INDEX([1]Monoprix!$I:$I,MATCH(D112,[1]Monoprix!$C:$C,0))</f>
        <v>0.55208333333333337</v>
      </c>
      <c r="O112" s="144"/>
      <c r="P112" s="145"/>
      <c r="Q112" s="94" t="s">
        <v>148</v>
      </c>
      <c r="R112" s="4"/>
      <c r="S112" s="4"/>
      <c r="T112" s="4"/>
      <c r="U112" s="4"/>
      <c r="V112" s="4"/>
    </row>
    <row r="113" spans="1:22" x14ac:dyDescent="0.25">
      <c r="A113" s="12" t="s">
        <v>533</v>
      </c>
      <c r="B113" s="25" t="s">
        <v>51</v>
      </c>
      <c r="C113" s="53" t="s">
        <v>238</v>
      </c>
      <c r="D113" s="54" t="s">
        <v>34</v>
      </c>
      <c r="E113" s="55">
        <v>50</v>
      </c>
      <c r="F113" s="23">
        <v>45</v>
      </c>
      <c r="G113" s="51">
        <v>55</v>
      </c>
      <c r="H113" s="52"/>
      <c r="I113" s="52"/>
      <c r="J113" s="13"/>
      <c r="K113" s="128">
        <f>INDEX([1]Monoprix!$F:$F,MATCH(D113,[1]Monoprix!$C:$C,0))</f>
        <v>0.23611111111111113</v>
      </c>
      <c r="L113" s="133">
        <f>INDEX([1]Monoprix!$G:$G,MATCH(D113,[1]Monoprix!$C:$C,0))</f>
        <v>0.85416666666666663</v>
      </c>
      <c r="M113" s="143">
        <f>INDEX([1]Monoprix!$H:$H,MATCH(D113,[1]Monoprix!$C:$C,0))</f>
        <v>0.29166666666666669</v>
      </c>
      <c r="N113" s="143">
        <f>INDEX([1]Monoprix!$I:$I,MATCH(D113,[1]Monoprix!$C:$C,0))</f>
        <v>0.54166666666666663</v>
      </c>
      <c r="O113" s="144"/>
      <c r="P113" s="145"/>
      <c r="Q113" s="94" t="s">
        <v>634</v>
      </c>
      <c r="R113" s="4"/>
      <c r="S113" s="4"/>
      <c r="T113" s="4"/>
      <c r="U113" s="4"/>
      <c r="V113" s="4"/>
    </row>
    <row r="114" spans="1:22" x14ac:dyDescent="0.25">
      <c r="A114" s="12" t="s">
        <v>530</v>
      </c>
      <c r="B114" s="25" t="s">
        <v>2</v>
      </c>
      <c r="C114" s="53" t="s">
        <v>239</v>
      </c>
      <c r="D114" s="53" t="s">
        <v>240</v>
      </c>
      <c r="E114" s="42">
        <v>60</v>
      </c>
      <c r="F114" s="23">
        <v>60</v>
      </c>
      <c r="G114" s="51">
        <v>60</v>
      </c>
      <c r="H114" s="52"/>
      <c r="I114" s="52"/>
      <c r="J114" s="52"/>
      <c r="K114" s="128">
        <f>INDEX([1]Monoprix!$F:$F,MATCH(D114,[1]Monoprix!$C:$C,0))</f>
        <v>0.20138888888888887</v>
      </c>
      <c r="L114" s="133">
        <f>INDEX([1]Monoprix!$G:$G,MATCH(D114,[1]Monoprix!$C:$C,0))</f>
        <v>0.85416666666666663</v>
      </c>
      <c r="M114" s="143">
        <f>INDEX([1]Monoprix!$H:$H,MATCH(D114,[1]Monoprix!$C:$C,0))</f>
        <v>0.29166666666666669</v>
      </c>
      <c r="N114" s="143">
        <f>INDEX([1]Monoprix!$I:$I,MATCH(D114,[1]Monoprix!$C:$C,0))</f>
        <v>0.5625</v>
      </c>
      <c r="O114" s="146"/>
      <c r="P114" s="94"/>
      <c r="Q114" s="94" t="s">
        <v>635</v>
      </c>
      <c r="R114" s="5"/>
      <c r="S114" s="5"/>
      <c r="T114" s="5"/>
      <c r="U114" s="5"/>
      <c r="V114" s="5"/>
    </row>
    <row r="115" spans="1:22" x14ac:dyDescent="0.25">
      <c r="A115" s="12" t="s">
        <v>533</v>
      </c>
      <c r="B115" s="25" t="s">
        <v>51</v>
      </c>
      <c r="C115" s="53" t="s">
        <v>241</v>
      </c>
      <c r="D115" s="54" t="s">
        <v>35</v>
      </c>
      <c r="E115" s="42">
        <v>120</v>
      </c>
      <c r="F115" s="87">
        <v>115</v>
      </c>
      <c r="G115" s="51">
        <v>145</v>
      </c>
      <c r="H115" s="52"/>
      <c r="I115" s="52"/>
      <c r="J115" s="13"/>
      <c r="K115" s="128">
        <f>INDEX([1]Monoprix!$F:$F,MATCH(D115,[1]Monoprix!$C:$C,0))</f>
        <v>0.24305555555555555</v>
      </c>
      <c r="L115" s="133">
        <f>INDEX([1]Monoprix!$G:$G,MATCH(D115,[1]Monoprix!$C:$C,0))</f>
        <v>0.90625</v>
      </c>
      <c r="M115" s="143">
        <f>INDEX([1]Monoprix!$H:$H,MATCH(D115,[1]Monoprix!$C:$C,0))</f>
        <v>0.28125</v>
      </c>
      <c r="N115" s="143">
        <f>INDEX([1]Monoprix!$I:$I,MATCH(D115,[1]Monoprix!$C:$C,0))</f>
        <v>0.5625</v>
      </c>
      <c r="O115" s="144"/>
      <c r="P115" s="145"/>
      <c r="Q115" s="94" t="s">
        <v>636</v>
      </c>
      <c r="R115" s="4"/>
      <c r="S115" s="4"/>
      <c r="T115" s="4"/>
      <c r="U115" s="4"/>
      <c r="V115" s="4"/>
    </row>
    <row r="116" spans="1:22" x14ac:dyDescent="0.25">
      <c r="A116" s="12" t="s">
        <v>530</v>
      </c>
      <c r="B116" s="25" t="s">
        <v>51</v>
      </c>
      <c r="C116" s="53" t="s">
        <v>242</v>
      </c>
      <c r="D116" s="54" t="s">
        <v>33</v>
      </c>
      <c r="E116" s="42">
        <v>70</v>
      </c>
      <c r="F116" s="87">
        <v>65</v>
      </c>
      <c r="G116" s="51">
        <v>80</v>
      </c>
      <c r="H116" s="52"/>
      <c r="I116" s="52"/>
      <c r="J116" s="13"/>
      <c r="K116" s="128">
        <f>INDEX([1]Monoprix!$F:$F,MATCH(D116,[1]Monoprix!$C:$C,0))</f>
        <v>0.24305555555555555</v>
      </c>
      <c r="L116" s="133">
        <f>INDEX([1]Monoprix!$G:$G,MATCH(D116,[1]Monoprix!$C:$C,0))</f>
        <v>0</v>
      </c>
      <c r="M116" s="143">
        <f>INDEX([1]Monoprix!$H:$H,MATCH(D116,[1]Monoprix!$C:$C,0))</f>
        <v>0.27083333333333331</v>
      </c>
      <c r="N116" s="143">
        <f>INDEX([1]Monoprix!$I:$I,MATCH(D116,[1]Monoprix!$C:$C,0))</f>
        <v>0.54166666666666663</v>
      </c>
      <c r="O116" s="144"/>
      <c r="P116" s="145"/>
      <c r="Q116" s="94" t="s">
        <v>637</v>
      </c>
      <c r="R116" s="4"/>
      <c r="S116" s="4"/>
      <c r="T116" s="4"/>
      <c r="U116" s="4"/>
      <c r="V116" s="4"/>
    </row>
    <row r="117" spans="1:22" x14ac:dyDescent="0.25">
      <c r="A117" s="12" t="s">
        <v>530</v>
      </c>
      <c r="B117" s="25" t="s">
        <v>51</v>
      </c>
      <c r="C117" s="53" t="s">
        <v>243</v>
      </c>
      <c r="D117" s="54" t="s">
        <v>36</v>
      </c>
      <c r="E117" s="55">
        <v>35</v>
      </c>
      <c r="F117" s="87">
        <v>35</v>
      </c>
      <c r="G117" s="51">
        <v>50</v>
      </c>
      <c r="H117" s="52"/>
      <c r="I117" s="52"/>
      <c r="J117" s="13"/>
      <c r="K117" s="128">
        <f>INDEX([1]Monoprix!$F:$F,MATCH(D117,[1]Monoprix!$C:$C,0))</f>
        <v>0.20833333333333334</v>
      </c>
      <c r="L117" s="133">
        <f>INDEX([1]Monoprix!$G:$G,MATCH(D117,[1]Monoprix!$C:$C,0))</f>
        <v>0.85416666666666663</v>
      </c>
      <c r="M117" s="143">
        <f>INDEX([1]Monoprix!$H:$H,MATCH(D117,[1]Monoprix!$C:$C,0))</f>
        <v>0.3125</v>
      </c>
      <c r="N117" s="143">
        <f>INDEX([1]Monoprix!$I:$I,MATCH(D117,[1]Monoprix!$C:$C,0))</f>
        <v>0.55902777777777779</v>
      </c>
      <c r="O117" s="144"/>
      <c r="P117" s="145"/>
      <c r="Q117" s="94" t="s">
        <v>638</v>
      </c>
      <c r="R117" s="4"/>
      <c r="S117" s="4"/>
      <c r="T117" s="4"/>
      <c r="U117" s="4"/>
      <c r="V117" s="4"/>
    </row>
    <row r="118" spans="1:22" x14ac:dyDescent="0.25">
      <c r="A118" s="12" t="s">
        <v>530</v>
      </c>
      <c r="B118" s="25" t="s">
        <v>2</v>
      </c>
      <c r="C118" s="53" t="s">
        <v>244</v>
      </c>
      <c r="D118" s="53" t="s">
        <v>245</v>
      </c>
      <c r="E118" s="42">
        <v>40</v>
      </c>
      <c r="F118" s="87">
        <v>40</v>
      </c>
      <c r="G118" s="121">
        <v>50</v>
      </c>
      <c r="H118" s="52"/>
      <c r="I118" s="52"/>
      <c r="J118" s="13"/>
      <c r="K118" s="128">
        <f>INDEX([1]Monoprix!$F:$F,MATCH(D118,[1]Monoprix!$C:$C,0))</f>
        <v>0.25</v>
      </c>
      <c r="L118" s="133">
        <f>INDEX([1]Monoprix!$G:$G,MATCH(D118,[1]Monoprix!$C:$C,0))</f>
        <v>0.86458333333333337</v>
      </c>
      <c r="M118" s="143" t="str">
        <f>INDEX([1]Monoprix!$H:$H,MATCH(D118,[1]Monoprix!$C:$C,0))</f>
        <v>-</v>
      </c>
      <c r="N118" s="143" t="str">
        <f>INDEX([1]Monoprix!$I:$I,MATCH(D118,[1]Monoprix!$C:$C,0))</f>
        <v>-</v>
      </c>
      <c r="O118" s="144"/>
      <c r="P118" s="145"/>
      <c r="Q118" s="94" t="s">
        <v>639</v>
      </c>
      <c r="R118" s="4"/>
      <c r="S118" s="4"/>
      <c r="T118" s="4"/>
      <c r="U118" s="4"/>
      <c r="V118" s="4"/>
    </row>
    <row r="119" spans="1:22" x14ac:dyDescent="0.25">
      <c r="A119" s="12" t="s">
        <v>530</v>
      </c>
      <c r="B119" s="25" t="s">
        <v>2</v>
      </c>
      <c r="C119" s="53" t="s">
        <v>246</v>
      </c>
      <c r="D119" s="53" t="s">
        <v>247</v>
      </c>
      <c r="E119" s="42">
        <v>25</v>
      </c>
      <c r="F119" s="23">
        <v>30</v>
      </c>
      <c r="G119" s="121">
        <v>30</v>
      </c>
      <c r="H119" s="52"/>
      <c r="I119" s="52"/>
      <c r="J119" s="13"/>
      <c r="K119" s="128">
        <f>INDEX([1]Monoprix!$F:$F,MATCH(D119,[1]Monoprix!$C:$C,0))</f>
        <v>0.25</v>
      </c>
      <c r="L119" s="133">
        <f>INDEX([1]Monoprix!$G:$G,MATCH(D119,[1]Monoprix!$C:$C,0))</f>
        <v>0.84722222222222221</v>
      </c>
      <c r="M119" s="143">
        <f>INDEX([1]Monoprix!$H:$H,MATCH(D119,[1]Monoprix!$C:$C,0))</f>
        <v>0.36805555555555558</v>
      </c>
      <c r="N119" s="143">
        <f>INDEX([1]Monoprix!$I:$I,MATCH(D119,[1]Monoprix!$C:$C,0))</f>
        <v>0.55208333333333337</v>
      </c>
      <c r="O119" s="144"/>
      <c r="P119" s="145"/>
      <c r="Q119" s="94" t="s">
        <v>640</v>
      </c>
      <c r="R119" s="4"/>
      <c r="S119" s="4"/>
      <c r="T119" s="4"/>
      <c r="U119" s="4"/>
      <c r="V119" s="4"/>
    </row>
    <row r="120" spans="1:22" x14ac:dyDescent="0.25">
      <c r="A120" s="12" t="s">
        <v>533</v>
      </c>
      <c r="B120" s="25" t="s">
        <v>2</v>
      </c>
      <c r="C120" s="53" t="s">
        <v>248</v>
      </c>
      <c r="D120" s="53" t="s">
        <v>249</v>
      </c>
      <c r="E120" s="55">
        <v>10</v>
      </c>
      <c r="F120" s="23">
        <v>10</v>
      </c>
      <c r="G120" s="51">
        <v>15</v>
      </c>
      <c r="H120" s="52"/>
      <c r="I120" s="52"/>
      <c r="J120" s="13"/>
      <c r="K120" s="128">
        <f>INDEX([1]Monoprix!$F:$F,MATCH(D120,[1]Monoprix!$C:$C,0))</f>
        <v>0.23611111111111113</v>
      </c>
      <c r="L120" s="133">
        <f>INDEX([1]Monoprix!$G:$G,MATCH(D120,[1]Monoprix!$C:$C,0))</f>
        <v>0.85416666666666663</v>
      </c>
      <c r="M120" s="143" t="str">
        <f>INDEX([1]Monoprix!$H:$H,MATCH(D120,[1]Monoprix!$C:$C,0))</f>
        <v>-</v>
      </c>
      <c r="N120" s="143" t="str">
        <f>INDEX([1]Monoprix!$I:$I,MATCH(D120,[1]Monoprix!$C:$C,0))</f>
        <v>-</v>
      </c>
      <c r="O120" s="144"/>
      <c r="P120" s="144"/>
      <c r="Q120" s="94" t="s">
        <v>641</v>
      </c>
      <c r="R120" s="4"/>
      <c r="S120" s="4"/>
      <c r="T120" s="4"/>
      <c r="U120" s="4"/>
      <c r="V120" s="4"/>
    </row>
    <row r="121" spans="1:22" x14ac:dyDescent="0.25">
      <c r="A121" s="12" t="s">
        <v>533</v>
      </c>
      <c r="B121" s="25" t="s">
        <v>51</v>
      </c>
      <c r="C121" s="53" t="s">
        <v>250</v>
      </c>
      <c r="D121" s="54" t="s">
        <v>251</v>
      </c>
      <c r="E121" s="42">
        <v>80</v>
      </c>
      <c r="F121" s="23">
        <v>80</v>
      </c>
      <c r="G121" s="51">
        <v>90</v>
      </c>
      <c r="H121" s="52">
        <v>0</v>
      </c>
      <c r="I121" s="52">
        <v>0</v>
      </c>
      <c r="J121" s="13"/>
      <c r="K121" s="128">
        <f>INDEX([1]Monoprix!$F:$F,MATCH(D121,[1]Monoprix!$C:$C,0))</f>
        <v>0.1875</v>
      </c>
      <c r="L121" s="133">
        <f>INDEX([1]Monoprix!$G:$G,MATCH(D121,[1]Monoprix!$C:$C,0))</f>
        <v>0.89583333333333337</v>
      </c>
      <c r="M121" s="143">
        <f>INDEX([1]Monoprix!$H:$H,MATCH(D121,[1]Monoprix!$C:$C,0))</f>
        <v>0.22916666666666666</v>
      </c>
      <c r="N121" s="143">
        <f>INDEX([1]Monoprix!$I:$I,MATCH(D121,[1]Monoprix!$C:$C,0))</f>
        <v>0.8125</v>
      </c>
      <c r="O121" s="144"/>
      <c r="P121" s="145"/>
      <c r="Q121" s="94" t="s">
        <v>642</v>
      </c>
      <c r="R121" s="4"/>
      <c r="S121" s="4"/>
      <c r="T121" s="4"/>
      <c r="U121" s="4"/>
      <c r="V121" s="4"/>
    </row>
    <row r="122" spans="1:22" x14ac:dyDescent="0.25">
      <c r="A122" s="12" t="s">
        <v>530</v>
      </c>
      <c r="B122" s="25" t="s">
        <v>51</v>
      </c>
      <c r="C122" s="53" t="s">
        <v>252</v>
      </c>
      <c r="D122" s="54" t="s">
        <v>253</v>
      </c>
      <c r="E122" s="42">
        <v>50</v>
      </c>
      <c r="F122" s="23">
        <v>55</v>
      </c>
      <c r="G122" s="51">
        <v>70</v>
      </c>
      <c r="H122" s="52"/>
      <c r="I122" s="52"/>
      <c r="J122" s="13"/>
      <c r="K122" s="128">
        <f>INDEX([1]Monoprix!$F:$F,MATCH(D122,[1]Monoprix!$C:$C,0))</f>
        <v>0.24305555555555555</v>
      </c>
      <c r="L122" s="133">
        <f>INDEX([1]Monoprix!$G:$G,MATCH(D122,[1]Monoprix!$C:$C,0))</f>
        <v>0.92708333333333337</v>
      </c>
      <c r="M122" s="143" t="str">
        <f>INDEX([1]Monoprix!$H:$H,MATCH(D122,[1]Monoprix!$C:$C,0))</f>
        <v>-</v>
      </c>
      <c r="N122" s="143" t="str">
        <f>INDEX([1]Monoprix!$I:$I,MATCH(D122,[1]Monoprix!$C:$C,0))</f>
        <v>-</v>
      </c>
      <c r="O122" s="144"/>
      <c r="P122" s="145"/>
      <c r="Q122" s="94" t="s">
        <v>643</v>
      </c>
      <c r="R122" s="4"/>
      <c r="S122" s="4"/>
      <c r="T122" s="4"/>
      <c r="U122" s="4"/>
      <c r="V122" s="4"/>
    </row>
    <row r="123" spans="1:22" x14ac:dyDescent="0.25">
      <c r="A123" s="12" t="s">
        <v>533</v>
      </c>
      <c r="B123" s="25" t="s">
        <v>51</v>
      </c>
      <c r="C123" s="53" t="s">
        <v>254</v>
      </c>
      <c r="D123" s="54" t="s">
        <v>37</v>
      </c>
      <c r="E123" s="42">
        <v>55</v>
      </c>
      <c r="F123" s="23">
        <v>50</v>
      </c>
      <c r="G123" s="51">
        <v>60</v>
      </c>
      <c r="H123" s="52"/>
      <c r="I123" s="52"/>
      <c r="J123" s="13"/>
      <c r="K123" s="128">
        <f>INDEX([1]Monoprix!$F:$F,MATCH(D123,[1]Monoprix!$C:$C,0))</f>
        <v>0.22916666666666666</v>
      </c>
      <c r="L123" s="133">
        <f>INDEX([1]Monoprix!$G:$G,MATCH(D123,[1]Monoprix!$C:$C,0))</f>
        <v>0.88541666666666663</v>
      </c>
      <c r="M123" s="143">
        <f>INDEX([1]Monoprix!$H:$H,MATCH(D123,[1]Monoprix!$C:$C,0))</f>
        <v>0.31944444444444448</v>
      </c>
      <c r="N123" s="143">
        <f>INDEX([1]Monoprix!$I:$I,MATCH(D123,[1]Monoprix!$C:$C,0))</f>
        <v>0.55208333333333337</v>
      </c>
      <c r="O123" s="144"/>
      <c r="P123" s="145"/>
      <c r="Q123" s="94" t="s">
        <v>644</v>
      </c>
      <c r="R123" s="4"/>
      <c r="S123" s="4"/>
      <c r="T123" s="4"/>
      <c r="U123" s="4"/>
      <c r="V123" s="4"/>
    </row>
    <row r="124" spans="1:22" x14ac:dyDescent="0.25">
      <c r="A124" s="12" t="s">
        <v>533</v>
      </c>
      <c r="B124" s="25" t="s">
        <v>2</v>
      </c>
      <c r="C124" s="53" t="s">
        <v>255</v>
      </c>
      <c r="D124" s="54" t="s">
        <v>256</v>
      </c>
      <c r="E124" s="42">
        <v>30</v>
      </c>
      <c r="F124" s="87">
        <v>25</v>
      </c>
      <c r="G124" s="51">
        <v>35</v>
      </c>
      <c r="H124" s="52"/>
      <c r="I124" s="52"/>
      <c r="J124" s="13"/>
      <c r="K124" s="128">
        <f>INDEX([1]Monoprix!$F:$F,MATCH(D124,[1]Monoprix!$C:$C,0))</f>
        <v>0.22916666666666666</v>
      </c>
      <c r="L124" s="133">
        <f>INDEX([1]Monoprix!$G:$G,MATCH(D124,[1]Monoprix!$C:$C,0))</f>
        <v>0.88541666666666663</v>
      </c>
      <c r="M124" s="143">
        <f>INDEX([1]Monoprix!$H:$H,MATCH(D124,[1]Monoprix!$C:$C,0))</f>
        <v>0.29166666666666669</v>
      </c>
      <c r="N124" s="143">
        <f>INDEX([1]Monoprix!$I:$I,MATCH(D124,[1]Monoprix!$C:$C,0))</f>
        <v>0.55208333333333337</v>
      </c>
      <c r="O124" s="144"/>
      <c r="P124" s="145"/>
      <c r="Q124" s="94" t="s">
        <v>645</v>
      </c>
      <c r="R124" s="4"/>
      <c r="S124" s="4"/>
      <c r="T124" s="4"/>
      <c r="U124" s="4"/>
      <c r="V124" s="4"/>
    </row>
    <row r="125" spans="1:22" x14ac:dyDescent="0.25">
      <c r="A125" s="12" t="s">
        <v>530</v>
      </c>
      <c r="B125" s="25" t="s">
        <v>51</v>
      </c>
      <c r="C125" s="53" t="s">
        <v>257</v>
      </c>
      <c r="D125" s="54" t="s">
        <v>258</v>
      </c>
      <c r="E125" s="42">
        <v>70</v>
      </c>
      <c r="F125" s="87">
        <v>65</v>
      </c>
      <c r="G125" s="51">
        <v>90</v>
      </c>
      <c r="H125" s="52"/>
      <c r="I125" s="52"/>
      <c r="J125" s="13"/>
      <c r="K125" s="128">
        <f>INDEX([1]Monoprix!$F:$F,MATCH(D125,[1]Monoprix!$C:$C,0))</f>
        <v>0.20138888888888887</v>
      </c>
      <c r="L125" s="133">
        <f>INDEX([1]Monoprix!$G:$G,MATCH(D125,[1]Monoprix!$C:$C,0))</f>
        <v>0.92013888888888884</v>
      </c>
      <c r="M125" s="143">
        <f>INDEX([1]Monoprix!$H:$H,MATCH(D125,[1]Monoprix!$C:$C,0))</f>
        <v>0.27777777777777779</v>
      </c>
      <c r="N125" s="143">
        <f>INDEX([1]Monoprix!$I:$I,MATCH(D125,[1]Monoprix!$C:$C,0))</f>
        <v>0.55208333333333337</v>
      </c>
      <c r="O125" s="144"/>
      <c r="P125" s="145"/>
      <c r="Q125" s="94" t="s">
        <v>646</v>
      </c>
      <c r="R125" s="4"/>
      <c r="S125" s="4"/>
      <c r="T125" s="4"/>
      <c r="U125" s="4"/>
      <c r="V125" s="4"/>
    </row>
    <row r="126" spans="1:22" x14ac:dyDescent="0.25">
      <c r="A126" s="12" t="s">
        <v>533</v>
      </c>
      <c r="B126" s="25" t="s">
        <v>51</v>
      </c>
      <c r="C126" s="53" t="s">
        <v>259</v>
      </c>
      <c r="D126" s="54" t="s">
        <v>260</v>
      </c>
      <c r="E126" s="55">
        <v>50</v>
      </c>
      <c r="F126" s="87">
        <v>45</v>
      </c>
      <c r="G126" s="51">
        <v>55</v>
      </c>
      <c r="H126" s="52"/>
      <c r="I126" s="52"/>
      <c r="J126" s="13"/>
      <c r="K126" s="128">
        <f>INDEX([1]Monoprix!$F:$F,MATCH(D126,[1]Monoprix!$C:$C,0))</f>
        <v>0.24305555555555555</v>
      </c>
      <c r="L126" s="133">
        <f>INDEX([1]Monoprix!$G:$G,MATCH(D126,[1]Monoprix!$C:$C,0))</f>
        <v>0.83333333333333337</v>
      </c>
      <c r="M126" s="143">
        <f>INDEX([1]Monoprix!$H:$H,MATCH(D126,[1]Monoprix!$C:$C,0))</f>
        <v>0.34722222222222227</v>
      </c>
      <c r="N126" s="143">
        <f>INDEX([1]Monoprix!$I:$I,MATCH(D126,[1]Monoprix!$C:$C,0))</f>
        <v>0.57986111111111105</v>
      </c>
      <c r="O126" s="144"/>
      <c r="P126" s="145"/>
      <c r="Q126" s="94" t="s">
        <v>647</v>
      </c>
      <c r="R126" s="4"/>
      <c r="S126" s="4"/>
      <c r="T126" s="4"/>
      <c r="U126" s="4"/>
      <c r="V126" s="4"/>
    </row>
    <row r="127" spans="1:22" x14ac:dyDescent="0.25">
      <c r="A127" s="12" t="s">
        <v>533</v>
      </c>
      <c r="B127" s="25" t="s">
        <v>51</v>
      </c>
      <c r="C127" s="53" t="s">
        <v>261</v>
      </c>
      <c r="D127" s="54" t="s">
        <v>262</v>
      </c>
      <c r="E127" s="55">
        <v>85</v>
      </c>
      <c r="F127" s="87">
        <v>80</v>
      </c>
      <c r="G127" s="51">
        <v>125</v>
      </c>
      <c r="H127" s="52"/>
      <c r="I127" s="52"/>
      <c r="J127" s="13"/>
      <c r="K127" s="128">
        <f>INDEX([1]Monoprix!$F:$F,MATCH(D127,[1]Monoprix!$C:$C,0))</f>
        <v>0.20138888888888887</v>
      </c>
      <c r="L127" s="133">
        <f>INDEX([1]Monoprix!$G:$G,MATCH(D127,[1]Monoprix!$C:$C,0))</f>
        <v>0.92708333333333337</v>
      </c>
      <c r="M127" s="143">
        <f>INDEX([1]Monoprix!$H:$H,MATCH(D127,[1]Monoprix!$C:$C,0))</f>
        <v>0.2638888888888889</v>
      </c>
      <c r="N127" s="143">
        <f>INDEX([1]Monoprix!$I:$I,MATCH(D127,[1]Monoprix!$C:$C,0))</f>
        <v>0.5625</v>
      </c>
      <c r="O127" s="144"/>
      <c r="P127" s="145"/>
      <c r="Q127" s="94" t="s">
        <v>648</v>
      </c>
      <c r="R127" s="4"/>
      <c r="S127" s="4"/>
      <c r="T127" s="4"/>
      <c r="U127" s="4"/>
      <c r="V127" s="4"/>
    </row>
    <row r="128" spans="1:22" x14ac:dyDescent="0.25">
      <c r="A128" s="12" t="s">
        <v>533</v>
      </c>
      <c r="B128" s="25" t="s">
        <v>2</v>
      </c>
      <c r="C128" s="53" t="s">
        <v>263</v>
      </c>
      <c r="D128" s="54" t="s">
        <v>264</v>
      </c>
      <c r="E128" s="42">
        <v>40</v>
      </c>
      <c r="F128" s="23">
        <v>40</v>
      </c>
      <c r="G128" s="51">
        <v>45</v>
      </c>
      <c r="H128" s="52"/>
      <c r="I128" s="52"/>
      <c r="J128" s="13"/>
      <c r="K128" s="128">
        <f>INDEX([1]Monoprix!$F:$F,MATCH(D128,[1]Monoprix!$C:$C,0))</f>
        <v>0.25</v>
      </c>
      <c r="L128" s="133">
        <f>INDEX([1]Monoprix!$G:$G,MATCH(D128,[1]Monoprix!$C:$C,0))</f>
        <v>0.875</v>
      </c>
      <c r="M128" s="143">
        <f>INDEX([1]Monoprix!$H:$H,MATCH(D128,[1]Monoprix!$C:$C,0))</f>
        <v>0.30555555555555552</v>
      </c>
      <c r="N128" s="143">
        <f>INDEX([1]Monoprix!$I:$I,MATCH(D128,[1]Monoprix!$C:$C,0))</f>
        <v>0.54166666666666663</v>
      </c>
      <c r="O128" s="144"/>
      <c r="P128" s="145"/>
      <c r="Q128" s="94" t="s">
        <v>649</v>
      </c>
      <c r="R128" s="4"/>
      <c r="S128" s="4"/>
      <c r="T128" s="4"/>
      <c r="U128" s="4"/>
      <c r="V128" s="4"/>
    </row>
    <row r="129" spans="1:22" x14ac:dyDescent="0.25">
      <c r="A129" s="12" t="s">
        <v>533</v>
      </c>
      <c r="B129" s="25" t="s">
        <v>51</v>
      </c>
      <c r="C129" s="53" t="s">
        <v>265</v>
      </c>
      <c r="D129" s="54" t="s">
        <v>38</v>
      </c>
      <c r="E129" s="42">
        <v>80</v>
      </c>
      <c r="F129" s="87">
        <v>75</v>
      </c>
      <c r="G129" s="51">
        <v>95</v>
      </c>
      <c r="H129" s="52"/>
      <c r="I129" s="52"/>
      <c r="J129" s="13"/>
      <c r="K129" s="128">
        <f>INDEX([1]Monoprix!$F:$F,MATCH(D129,[1]Monoprix!$C:$C,0))</f>
        <v>0.1875</v>
      </c>
      <c r="L129" s="133">
        <f>INDEX([1]Monoprix!$G:$G,MATCH(D129,[1]Monoprix!$C:$C,0))</f>
        <v>0.85416666666666663</v>
      </c>
      <c r="M129" s="143" t="str">
        <f>INDEX([1]Monoprix!$H:$H,MATCH(D129,[1]Monoprix!$C:$C,0))</f>
        <v>-</v>
      </c>
      <c r="N129" s="143" t="str">
        <f>INDEX([1]Monoprix!$I:$I,MATCH(D129,[1]Monoprix!$C:$C,0))</f>
        <v>-</v>
      </c>
      <c r="O129" s="144"/>
      <c r="P129" s="145"/>
      <c r="Q129" s="94" t="s">
        <v>650</v>
      </c>
      <c r="R129" s="4"/>
      <c r="S129" s="4"/>
      <c r="T129" s="4"/>
      <c r="U129" s="4"/>
      <c r="V129" s="4"/>
    </row>
    <row r="130" spans="1:22" x14ac:dyDescent="0.25">
      <c r="A130" s="12" t="s">
        <v>530</v>
      </c>
      <c r="B130" s="25" t="s">
        <v>2</v>
      </c>
      <c r="C130" s="53" t="s">
        <v>266</v>
      </c>
      <c r="D130" s="53" t="s">
        <v>267</v>
      </c>
      <c r="E130" s="42">
        <v>30</v>
      </c>
      <c r="F130" s="87">
        <v>25</v>
      </c>
      <c r="G130" s="51">
        <v>30</v>
      </c>
      <c r="H130" s="52"/>
      <c r="I130" s="52"/>
      <c r="J130" s="13"/>
      <c r="K130" s="128">
        <f>INDEX([1]Monoprix!$F:$F,MATCH(D130,[1]Monoprix!$C:$C,0))</f>
        <v>0.24305555555555555</v>
      </c>
      <c r="L130" s="133">
        <f>INDEX([1]Monoprix!$G:$G,MATCH(D130,[1]Monoprix!$C:$C,0))</f>
        <v>0.85416666666666663</v>
      </c>
      <c r="M130" s="143">
        <f>INDEX([1]Monoprix!$H:$H,MATCH(D130,[1]Monoprix!$C:$C,0))</f>
        <v>0.33333333333333331</v>
      </c>
      <c r="N130" s="143">
        <f>INDEX([1]Monoprix!$I:$I,MATCH(D130,[1]Monoprix!$C:$C,0))</f>
        <v>0.5625</v>
      </c>
      <c r="O130" s="144"/>
      <c r="P130" s="145"/>
      <c r="Q130" s="94" t="s">
        <v>651</v>
      </c>
      <c r="R130" s="4"/>
      <c r="S130" s="4"/>
      <c r="T130" s="4"/>
      <c r="U130" s="4"/>
      <c r="V130" s="4"/>
    </row>
    <row r="131" spans="1:22" x14ac:dyDescent="0.25">
      <c r="A131" s="12" t="s">
        <v>533</v>
      </c>
      <c r="B131" s="25" t="s">
        <v>2</v>
      </c>
      <c r="C131" s="53" t="s">
        <v>268</v>
      </c>
      <c r="D131" s="54" t="s">
        <v>269</v>
      </c>
      <c r="E131" s="42">
        <v>40</v>
      </c>
      <c r="F131" s="23">
        <v>40</v>
      </c>
      <c r="G131" s="51">
        <v>55</v>
      </c>
      <c r="H131" s="52"/>
      <c r="I131" s="52"/>
      <c r="J131" s="13"/>
      <c r="K131" s="128">
        <f>INDEX([1]Monoprix!$F:$F,MATCH(D131,[1]Monoprix!$C:$C,0))</f>
        <v>0.25</v>
      </c>
      <c r="L131" s="133">
        <f>INDEX([1]Monoprix!$G:$G,MATCH(D131,[1]Monoprix!$C:$C,0))</f>
        <v>0.85416666666666663</v>
      </c>
      <c r="M131" s="143">
        <f>INDEX([1]Monoprix!$H:$H,MATCH(D131,[1]Monoprix!$C:$C,0))</f>
        <v>0.30555555555555552</v>
      </c>
      <c r="N131" s="143">
        <f>INDEX([1]Monoprix!$I:$I,MATCH(D131,[1]Monoprix!$C:$C,0))</f>
        <v>0.8125</v>
      </c>
      <c r="O131" s="144"/>
      <c r="P131" s="145"/>
      <c r="Q131" s="94" t="s">
        <v>652</v>
      </c>
      <c r="R131" s="4"/>
      <c r="S131" s="4"/>
      <c r="T131" s="4"/>
      <c r="U131" s="4"/>
      <c r="V131" s="4"/>
    </row>
    <row r="132" spans="1:22" x14ac:dyDescent="0.25">
      <c r="A132" s="12" t="s">
        <v>533</v>
      </c>
      <c r="B132" s="25" t="s">
        <v>499</v>
      </c>
      <c r="C132" s="53" t="s">
        <v>270</v>
      </c>
      <c r="D132" s="54" t="s">
        <v>271</v>
      </c>
      <c r="E132" s="42">
        <v>45</v>
      </c>
      <c r="F132" s="87">
        <v>45</v>
      </c>
      <c r="G132" s="51">
        <v>55</v>
      </c>
      <c r="H132" s="52">
        <v>0</v>
      </c>
      <c r="I132" s="52">
        <v>0</v>
      </c>
      <c r="J132" s="13"/>
      <c r="K132" s="128">
        <f>INDEX([1]Monoprix!$F:$F,MATCH(D132,[1]Monoprix!$C:$C,0))</f>
        <v>0.24305555555555555</v>
      </c>
      <c r="L132" s="133">
        <f>INDEX([1]Monoprix!$G:$G,MATCH(D132,[1]Monoprix!$C:$C,0))</f>
        <v>0.83333333333333337</v>
      </c>
      <c r="M132" s="143">
        <f>INDEX([1]Monoprix!$H:$H,MATCH(D132,[1]Monoprix!$C:$C,0))</f>
        <v>0.29166666666666669</v>
      </c>
      <c r="N132" s="143">
        <f>INDEX([1]Monoprix!$I:$I,MATCH(D132,[1]Monoprix!$C:$C,0))</f>
        <v>0.54166666666666663</v>
      </c>
      <c r="O132" s="144"/>
      <c r="P132" s="145"/>
      <c r="Q132" s="94" t="s">
        <v>148</v>
      </c>
      <c r="R132" s="4"/>
      <c r="S132" s="4"/>
      <c r="T132" s="4"/>
      <c r="U132" s="4"/>
      <c r="V132" s="4"/>
    </row>
    <row r="133" spans="1:22" x14ac:dyDescent="0.25">
      <c r="A133" s="12" t="s">
        <v>530</v>
      </c>
      <c r="B133" s="25" t="s">
        <v>51</v>
      </c>
      <c r="C133" s="53" t="s">
        <v>272</v>
      </c>
      <c r="D133" s="54" t="s">
        <v>273</v>
      </c>
      <c r="E133" s="55">
        <v>45</v>
      </c>
      <c r="F133" s="87">
        <v>45</v>
      </c>
      <c r="G133" s="51">
        <v>55</v>
      </c>
      <c r="H133" s="52"/>
      <c r="I133" s="52"/>
      <c r="J133" s="13"/>
      <c r="K133" s="128">
        <f>INDEX([1]Monoprix!$F:$F,MATCH(D133,[1]Monoprix!$C:$C,0))</f>
        <v>0.23611111111111113</v>
      </c>
      <c r="L133" s="133">
        <f>INDEX([1]Monoprix!$G:$G,MATCH(D133,[1]Monoprix!$C:$C,0))</f>
        <v>0.85416666666666663</v>
      </c>
      <c r="M133" s="143">
        <f>INDEX([1]Monoprix!$H:$H,MATCH(D133,[1]Monoprix!$C:$C,0))</f>
        <v>0.31944444444444448</v>
      </c>
      <c r="N133" s="143">
        <f>INDEX([1]Monoprix!$I:$I,MATCH(D133,[1]Monoprix!$C:$C,0))</f>
        <v>0.55208333333333337</v>
      </c>
      <c r="O133" s="144"/>
      <c r="P133" s="145"/>
      <c r="Q133" s="94" t="s">
        <v>653</v>
      </c>
      <c r="R133" s="4"/>
      <c r="S133" s="4"/>
      <c r="T133" s="4"/>
      <c r="U133" s="4"/>
      <c r="V133" s="4"/>
    </row>
    <row r="134" spans="1:22" x14ac:dyDescent="0.25">
      <c r="A134" s="12" t="s">
        <v>530</v>
      </c>
      <c r="B134" s="25" t="s">
        <v>2</v>
      </c>
      <c r="C134" s="53" t="s">
        <v>274</v>
      </c>
      <c r="D134" s="53" t="s">
        <v>275</v>
      </c>
      <c r="E134" s="42">
        <v>55</v>
      </c>
      <c r="F134" s="23">
        <v>55</v>
      </c>
      <c r="G134" s="51">
        <v>70</v>
      </c>
      <c r="H134" s="52"/>
      <c r="I134" s="52"/>
      <c r="J134" s="13"/>
      <c r="K134" s="128">
        <f>INDEX([1]Monoprix!$F:$F,MATCH(D134,[1]Monoprix!$C:$C,0))</f>
        <v>0.22916666666666666</v>
      </c>
      <c r="L134" s="133">
        <f>INDEX([1]Monoprix!$G:$G,MATCH(D134,[1]Monoprix!$C:$C,0))</f>
        <v>0.89583333333333337</v>
      </c>
      <c r="M134" s="143">
        <f>INDEX([1]Monoprix!$H:$H,MATCH(D134,[1]Monoprix!$C:$C,0))</f>
        <v>0.28472222222222221</v>
      </c>
      <c r="N134" s="143">
        <f>INDEX([1]Monoprix!$I:$I,MATCH(D134,[1]Monoprix!$C:$C,0))</f>
        <v>0.54166666666666663</v>
      </c>
      <c r="O134" s="144"/>
      <c r="P134" s="145"/>
      <c r="Q134" s="94" t="s">
        <v>654</v>
      </c>
      <c r="R134" s="4"/>
      <c r="S134" s="4"/>
      <c r="T134" s="4"/>
      <c r="U134" s="4"/>
      <c r="V134" s="4"/>
    </row>
    <row r="135" spans="1:22" x14ac:dyDescent="0.25">
      <c r="A135" s="12" t="s">
        <v>530</v>
      </c>
      <c r="B135" s="25" t="s">
        <v>51</v>
      </c>
      <c r="C135" s="53" t="s">
        <v>276</v>
      </c>
      <c r="D135" s="54" t="s">
        <v>277</v>
      </c>
      <c r="E135" s="55">
        <v>40</v>
      </c>
      <c r="F135" s="87">
        <v>45</v>
      </c>
      <c r="G135" s="51">
        <v>55</v>
      </c>
      <c r="H135" s="52"/>
      <c r="I135" s="52"/>
      <c r="J135" s="13"/>
      <c r="K135" s="128">
        <f>INDEX([1]Monoprix!$F:$F,MATCH(D135,[1]Monoprix!$C:$C,0))</f>
        <v>0.24305555555555555</v>
      </c>
      <c r="L135" s="133">
        <f>INDEX([1]Monoprix!$G:$G,MATCH(D135,[1]Monoprix!$C:$C,0))</f>
        <v>0.91666666666666663</v>
      </c>
      <c r="M135" s="143">
        <f>INDEX([1]Monoprix!$H:$H,MATCH(D135,[1]Monoprix!$C:$C,0))</f>
        <v>0.28472222222222221</v>
      </c>
      <c r="N135" s="143">
        <f>INDEX([1]Monoprix!$I:$I,MATCH(D135,[1]Monoprix!$C:$C,0))</f>
        <v>0.56944444444444442</v>
      </c>
      <c r="O135" s="144"/>
      <c r="P135" s="145"/>
      <c r="Q135" s="94" t="s">
        <v>655</v>
      </c>
      <c r="R135" s="4"/>
      <c r="S135" s="4"/>
      <c r="T135" s="4"/>
      <c r="U135" s="4"/>
      <c r="V135" s="4"/>
    </row>
    <row r="136" spans="1:22" x14ac:dyDescent="0.25">
      <c r="A136" s="12" t="s">
        <v>533</v>
      </c>
      <c r="B136" s="25" t="s">
        <v>51</v>
      </c>
      <c r="C136" s="53" t="s">
        <v>278</v>
      </c>
      <c r="D136" s="54" t="s">
        <v>279</v>
      </c>
      <c r="E136" s="55">
        <v>65</v>
      </c>
      <c r="F136" s="87">
        <v>75</v>
      </c>
      <c r="G136" s="51">
        <v>90</v>
      </c>
      <c r="H136" s="52"/>
      <c r="I136" s="52"/>
      <c r="J136" s="13"/>
      <c r="K136" s="128">
        <f>INDEX([1]Monoprix!$F:$F,MATCH(D136,[1]Monoprix!$C:$C,0))</f>
        <v>0.25</v>
      </c>
      <c r="L136" s="133">
        <f>INDEX([1]Monoprix!$G:$G,MATCH(D136,[1]Monoprix!$C:$C,0))</f>
        <v>0.91666666666666663</v>
      </c>
      <c r="M136" s="143">
        <f>INDEX([1]Monoprix!$H:$H,MATCH(D136,[1]Monoprix!$C:$C,0))</f>
        <v>0.27777777777777779</v>
      </c>
      <c r="N136" s="143">
        <f>INDEX([1]Monoprix!$I:$I,MATCH(D136,[1]Monoprix!$C:$C,0))</f>
        <v>0.5625</v>
      </c>
      <c r="O136" s="144"/>
      <c r="P136" s="145"/>
      <c r="Q136" s="94" t="s">
        <v>656</v>
      </c>
      <c r="R136" s="4"/>
      <c r="S136" s="4"/>
      <c r="T136" s="4"/>
      <c r="U136" s="4"/>
      <c r="V136" s="4"/>
    </row>
    <row r="137" spans="1:22" ht="38.25" x14ac:dyDescent="0.25">
      <c r="A137" s="12" t="s">
        <v>533</v>
      </c>
      <c r="B137" s="25" t="s">
        <v>39</v>
      </c>
      <c r="C137" s="53" t="s">
        <v>280</v>
      </c>
      <c r="D137" s="53" t="s">
        <v>40</v>
      </c>
      <c r="E137" s="42">
        <v>20</v>
      </c>
      <c r="F137" s="23">
        <v>20</v>
      </c>
      <c r="G137" s="121">
        <v>25</v>
      </c>
      <c r="H137" s="52"/>
      <c r="I137" s="52"/>
      <c r="J137" s="13"/>
      <c r="K137" s="128">
        <v>0.20833333333333334</v>
      </c>
      <c r="L137" s="133">
        <v>0.83333333333333337</v>
      </c>
      <c r="M137" s="143">
        <v>0.20833333333333334</v>
      </c>
      <c r="N137" s="143">
        <v>0.58333333333333337</v>
      </c>
      <c r="O137" s="144" t="s">
        <v>823</v>
      </c>
      <c r="P137" s="145"/>
      <c r="Q137" s="94" t="s">
        <v>148</v>
      </c>
      <c r="R137" s="4"/>
      <c r="S137" s="4"/>
      <c r="T137" s="4"/>
      <c r="U137" s="4"/>
      <c r="V137" s="4"/>
    </row>
    <row r="138" spans="1:22" x14ac:dyDescent="0.25">
      <c r="A138" s="12" t="s">
        <v>533</v>
      </c>
      <c r="B138" s="25" t="s">
        <v>2</v>
      </c>
      <c r="C138" s="53" t="s">
        <v>372</v>
      </c>
      <c r="D138" s="53" t="s">
        <v>325</v>
      </c>
      <c r="E138" s="55">
        <v>30</v>
      </c>
      <c r="F138" s="35">
        <v>30</v>
      </c>
      <c r="G138" s="51">
        <v>40</v>
      </c>
      <c r="H138" s="52"/>
      <c r="I138" s="52"/>
      <c r="J138" s="13"/>
      <c r="K138" s="128">
        <f>INDEX([1]Monoprix!$F:$F,MATCH(D138,[1]Monoprix!$C:$C,0))</f>
        <v>0.25</v>
      </c>
      <c r="L138" s="133">
        <f>INDEX([1]Monoprix!$G:$G,MATCH(D138,[1]Monoprix!$C:$C,0))</f>
        <v>0.83333333333333337</v>
      </c>
      <c r="M138" s="143">
        <f>INDEX([1]Monoprix!$H:$H,MATCH(D138,[1]Monoprix!$C:$C,0))</f>
        <v>0.28472222222222221</v>
      </c>
      <c r="N138" s="143">
        <f>INDEX([1]Monoprix!$I:$I,MATCH(D138,[1]Monoprix!$C:$C,0))</f>
        <v>0.54861111111111105</v>
      </c>
      <c r="O138" s="144"/>
      <c r="P138" s="145"/>
      <c r="Q138" s="94" t="s">
        <v>657</v>
      </c>
    </row>
    <row r="139" spans="1:22" x14ac:dyDescent="0.25">
      <c r="A139" s="12" t="s">
        <v>530</v>
      </c>
      <c r="B139" s="25" t="s">
        <v>2</v>
      </c>
      <c r="C139" s="53" t="s">
        <v>373</v>
      </c>
      <c r="D139" s="53" t="s">
        <v>326</v>
      </c>
      <c r="E139" s="42">
        <v>25</v>
      </c>
      <c r="F139" s="35">
        <v>25</v>
      </c>
      <c r="G139" s="121">
        <v>25</v>
      </c>
      <c r="H139" s="52"/>
      <c r="I139" s="52"/>
      <c r="J139" s="13"/>
      <c r="K139" s="128">
        <f>INDEX([1]Monoprix!$F:$F,MATCH(D139,[1]Monoprix!$C:$C,0))</f>
        <v>0.28472222222222221</v>
      </c>
      <c r="L139" s="133">
        <f>INDEX([1]Monoprix!$G:$G,MATCH(D139,[1]Monoprix!$C:$C,0))</f>
        <v>0.85416666666666663</v>
      </c>
      <c r="M139" s="143">
        <f>INDEX([1]Monoprix!$H:$H,MATCH(D139,[1]Monoprix!$C:$C,0))</f>
        <v>0.3263888888888889</v>
      </c>
      <c r="N139" s="143">
        <f>INDEX([1]Monoprix!$I:$I,MATCH(D139,[1]Monoprix!$C:$C,0))</f>
        <v>0.5625</v>
      </c>
      <c r="O139" s="144"/>
      <c r="P139" s="145"/>
      <c r="Q139" s="94" t="s">
        <v>148</v>
      </c>
    </row>
    <row r="140" spans="1:22" x14ac:dyDescent="0.25">
      <c r="A140" s="12" t="s">
        <v>533</v>
      </c>
      <c r="B140" s="25" t="s">
        <v>39</v>
      </c>
      <c r="C140" s="53" t="s">
        <v>419</v>
      </c>
      <c r="D140" s="53" t="s">
        <v>327</v>
      </c>
      <c r="E140" s="42">
        <v>15</v>
      </c>
      <c r="F140" s="35">
        <v>15</v>
      </c>
      <c r="G140" s="51">
        <v>15</v>
      </c>
      <c r="H140" s="52"/>
      <c r="I140" s="52"/>
      <c r="J140" s="13"/>
      <c r="K140" s="128">
        <f>INDEX([1]Monoprix!$F:$F,MATCH(D140,[1]Monoprix!$C:$C,0))</f>
        <v>0.27083333333333331</v>
      </c>
      <c r="L140" s="133">
        <f>INDEX([1]Monoprix!$G:$G,MATCH(D140,[1]Monoprix!$C:$C,0))</f>
        <v>0.85416666666666663</v>
      </c>
      <c r="M140" s="143" t="str">
        <f>INDEX([1]Monoprix!$H:$H,MATCH(D140,[1]Monoprix!$C:$C,0))</f>
        <v>-</v>
      </c>
      <c r="N140" s="143" t="str">
        <f>INDEX([1]Monoprix!$I:$I,MATCH(D140,[1]Monoprix!$C:$C,0))</f>
        <v>-</v>
      </c>
      <c r="O140" s="144"/>
      <c r="P140" s="145"/>
      <c r="Q140" s="94" t="s">
        <v>148</v>
      </c>
    </row>
    <row r="141" spans="1:22" x14ac:dyDescent="0.25">
      <c r="A141" s="12" t="s">
        <v>530</v>
      </c>
      <c r="B141" s="25" t="s">
        <v>2</v>
      </c>
      <c r="C141" s="53" t="s">
        <v>420</v>
      </c>
      <c r="D141" s="53" t="s">
        <v>336</v>
      </c>
      <c r="E141" s="55">
        <v>20</v>
      </c>
      <c r="F141" s="35">
        <v>20</v>
      </c>
      <c r="G141" s="51">
        <v>20</v>
      </c>
      <c r="H141" s="52"/>
      <c r="I141" s="52"/>
      <c r="J141" s="13"/>
      <c r="K141" s="128">
        <f>INDEX([1]Monoprix!$F:$F,MATCH(D141,[1]Monoprix!$C:$C,0))</f>
        <v>0.22916666666666666</v>
      </c>
      <c r="L141" s="133">
        <f>INDEX([1]Monoprix!$G:$G,MATCH(D141,[1]Monoprix!$C:$C,0))</f>
        <v>0.83333333333333337</v>
      </c>
      <c r="M141" s="143">
        <f>INDEX([1]Monoprix!$H:$H,MATCH(D141,[1]Monoprix!$C:$C,0))</f>
        <v>0.33333333333333331</v>
      </c>
      <c r="N141" s="143">
        <f>INDEX([1]Monoprix!$I:$I,MATCH(D141,[1]Monoprix!$C:$C,0))</f>
        <v>0.54166666666666663</v>
      </c>
      <c r="O141" s="144"/>
      <c r="P141" s="145"/>
      <c r="Q141" s="94" t="s">
        <v>148</v>
      </c>
    </row>
    <row r="142" spans="1:22" x14ac:dyDescent="0.25">
      <c r="A142" s="12" t="s">
        <v>533</v>
      </c>
      <c r="B142" s="25" t="s">
        <v>2</v>
      </c>
      <c r="C142" s="53" t="s">
        <v>421</v>
      </c>
      <c r="D142" s="53" t="s">
        <v>328</v>
      </c>
      <c r="E142" s="42">
        <v>35</v>
      </c>
      <c r="F142" s="35">
        <v>35</v>
      </c>
      <c r="G142" s="121">
        <v>40</v>
      </c>
      <c r="H142" s="52"/>
      <c r="I142" s="52"/>
      <c r="J142" s="13"/>
      <c r="K142" s="128">
        <f>INDEX([1]Monoprix!$F:$F,MATCH(D142,[1]Monoprix!$C:$C,0))</f>
        <v>0.27083333333333331</v>
      </c>
      <c r="L142" s="133">
        <f>INDEX([1]Monoprix!$G:$G,MATCH(D142,[1]Monoprix!$C:$C,0))</f>
        <v>0.83333333333333337</v>
      </c>
      <c r="M142" s="143" t="str">
        <f>INDEX([1]Monoprix!$H:$H,MATCH(D142,[1]Monoprix!$C:$C,0))</f>
        <v>-</v>
      </c>
      <c r="N142" s="143" t="str">
        <f>INDEX([1]Monoprix!$I:$I,MATCH(D142,[1]Monoprix!$C:$C,0))</f>
        <v>-</v>
      </c>
      <c r="O142" s="144"/>
      <c r="P142" s="145"/>
      <c r="Q142" s="94" t="s">
        <v>148</v>
      </c>
    </row>
    <row r="143" spans="1:22" x14ac:dyDescent="0.25">
      <c r="A143" s="12" t="s">
        <v>533</v>
      </c>
      <c r="B143" s="25" t="s">
        <v>2</v>
      </c>
      <c r="C143" s="53" t="s">
        <v>422</v>
      </c>
      <c r="D143" s="53" t="s">
        <v>337</v>
      </c>
      <c r="E143" s="55">
        <v>40</v>
      </c>
      <c r="F143" s="35">
        <v>35</v>
      </c>
      <c r="G143" s="121">
        <v>45</v>
      </c>
      <c r="H143" s="52"/>
      <c r="I143" s="52"/>
      <c r="J143" s="13"/>
      <c r="K143" s="128">
        <f>INDEX([1]Monoprix!$F:$F,MATCH(D143,[1]Monoprix!$C:$C,0))</f>
        <v>0.22916666666666666</v>
      </c>
      <c r="L143" s="133">
        <f>INDEX([1]Monoprix!$G:$G,MATCH(D143,[1]Monoprix!$C:$C,0))</f>
        <v>0.875</v>
      </c>
      <c r="M143" s="143" t="str">
        <f>INDEX([1]Monoprix!$H:$H,MATCH(D143,[1]Monoprix!$C:$C,0))</f>
        <v>-</v>
      </c>
      <c r="N143" s="143" t="str">
        <f>INDEX([1]Monoprix!$I:$I,MATCH(D143,[1]Monoprix!$C:$C,0))</f>
        <v>-</v>
      </c>
      <c r="O143" s="144"/>
      <c r="P143" s="145"/>
      <c r="Q143" s="94" t="s">
        <v>658</v>
      </c>
    </row>
    <row r="144" spans="1:22" x14ac:dyDescent="0.25">
      <c r="A144" s="12" t="s">
        <v>533</v>
      </c>
      <c r="B144" s="25" t="s">
        <v>2</v>
      </c>
      <c r="C144" s="53" t="s">
        <v>423</v>
      </c>
      <c r="D144" s="53" t="s">
        <v>338</v>
      </c>
      <c r="E144" s="55">
        <v>45</v>
      </c>
      <c r="F144" s="35">
        <v>45</v>
      </c>
      <c r="G144" s="121">
        <v>50</v>
      </c>
      <c r="H144" s="52"/>
      <c r="I144" s="52"/>
      <c r="J144" s="13"/>
      <c r="K144" s="128">
        <f>INDEX([1]Monoprix!$F:$F,MATCH(D144,[1]Monoprix!$C:$C,0))</f>
        <v>0.22916666666666666</v>
      </c>
      <c r="L144" s="133">
        <f>INDEX([1]Monoprix!$G:$G,MATCH(D144,[1]Monoprix!$C:$C,0))</f>
        <v>0.875</v>
      </c>
      <c r="M144" s="143">
        <f>INDEX([1]Monoprix!$H:$H,MATCH(D144,[1]Monoprix!$C:$C,0))</f>
        <v>0.3125</v>
      </c>
      <c r="N144" s="143">
        <f>INDEX([1]Monoprix!$I:$I,MATCH(D144,[1]Monoprix!$C:$C,0))</f>
        <v>0.5625</v>
      </c>
      <c r="O144" s="144"/>
      <c r="P144" s="145"/>
      <c r="Q144" s="94" t="s">
        <v>148</v>
      </c>
    </row>
    <row r="145" spans="1:17" x14ac:dyDescent="0.25">
      <c r="A145" s="12" t="s">
        <v>533</v>
      </c>
      <c r="B145" s="25" t="s">
        <v>2</v>
      </c>
      <c r="C145" s="53" t="s">
        <v>424</v>
      </c>
      <c r="D145" s="53" t="s">
        <v>339</v>
      </c>
      <c r="E145" s="55">
        <v>50</v>
      </c>
      <c r="F145" s="35">
        <v>85</v>
      </c>
      <c r="G145" s="51">
        <v>85</v>
      </c>
      <c r="H145" s="52"/>
      <c r="I145" s="52"/>
      <c r="J145" s="13"/>
      <c r="K145" s="128">
        <f>INDEX([1]Monoprix!$F:$F,MATCH(D145,[1]Monoprix!$C:$C,0))</f>
        <v>0.25</v>
      </c>
      <c r="L145" s="133">
        <f>INDEX([1]Monoprix!$G:$G,MATCH(D145,[1]Monoprix!$C:$C,0))</f>
        <v>0.875</v>
      </c>
      <c r="M145" s="143">
        <f>INDEX([1]Monoprix!$H:$H,MATCH(D145,[1]Monoprix!$C:$C,0))</f>
        <v>0.25</v>
      </c>
      <c r="N145" s="143">
        <f>INDEX([1]Monoprix!$I:$I,MATCH(D145,[1]Monoprix!$C:$C,0))</f>
        <v>0.54166666666666663</v>
      </c>
      <c r="O145" s="144"/>
      <c r="P145" s="145"/>
      <c r="Q145" s="94" t="s">
        <v>659</v>
      </c>
    </row>
    <row r="146" spans="1:17" x14ac:dyDescent="0.25">
      <c r="A146" s="12" t="s">
        <v>533</v>
      </c>
      <c r="B146" s="25" t="s">
        <v>39</v>
      </c>
      <c r="C146" s="53" t="s">
        <v>425</v>
      </c>
      <c r="D146" s="53" t="s">
        <v>329</v>
      </c>
      <c r="E146" s="55">
        <v>20</v>
      </c>
      <c r="F146" s="35">
        <v>25</v>
      </c>
      <c r="G146" s="121">
        <v>20</v>
      </c>
      <c r="H146" s="52"/>
      <c r="I146" s="52"/>
      <c r="J146" s="13"/>
      <c r="K146" s="128">
        <f>INDEX([1]Monoprix!$F:$F,MATCH(D146,[1]Monoprix!$C:$C,0))</f>
        <v>0.27083333333333331</v>
      </c>
      <c r="L146" s="133">
        <f>INDEX([1]Monoprix!$G:$G,MATCH(D146,[1]Monoprix!$C:$C,0))</f>
        <v>2.0833333333333332E-2</v>
      </c>
      <c r="M146" s="143" t="str">
        <f>INDEX([1]Monoprix!$H:$H,MATCH(D146,[1]Monoprix!$C:$C,0))</f>
        <v>-</v>
      </c>
      <c r="N146" s="143" t="str">
        <f>INDEX([1]Monoprix!$I:$I,MATCH(D146,[1]Monoprix!$C:$C,0))</f>
        <v>-</v>
      </c>
      <c r="O146" s="144"/>
      <c r="P146" s="145"/>
      <c r="Q146" s="94" t="s">
        <v>148</v>
      </c>
    </row>
    <row r="147" spans="1:17" x14ac:dyDescent="0.25">
      <c r="A147" s="12" t="s">
        <v>533</v>
      </c>
      <c r="B147" s="25" t="s">
        <v>39</v>
      </c>
      <c r="C147" s="53" t="s">
        <v>426</v>
      </c>
      <c r="D147" s="53" t="s">
        <v>340</v>
      </c>
      <c r="E147" s="42">
        <v>15</v>
      </c>
      <c r="F147" s="35">
        <v>20</v>
      </c>
      <c r="G147" s="121">
        <v>15</v>
      </c>
      <c r="H147" s="52"/>
      <c r="I147" s="52"/>
      <c r="J147" s="13"/>
      <c r="K147" s="128">
        <f>INDEX([1]Monoprix!$F:$F,MATCH(D147,[1]Monoprix!$C:$C,0))</f>
        <v>0.27083333333333331</v>
      </c>
      <c r="L147" s="133">
        <f>INDEX([1]Monoprix!$G:$G,MATCH(D147,[1]Monoprix!$C:$C,0))</f>
        <v>0.85416666666666663</v>
      </c>
      <c r="M147" s="143">
        <f>INDEX([1]Monoprix!$H:$H,MATCH(D147,[1]Monoprix!$C:$C,0))</f>
        <v>0.3125</v>
      </c>
      <c r="N147" s="143">
        <f>INDEX([1]Monoprix!$I:$I,MATCH(D147,[1]Monoprix!$C:$C,0))</f>
        <v>0.5625</v>
      </c>
      <c r="O147" s="144"/>
      <c r="P147" s="145"/>
      <c r="Q147" s="94" t="s">
        <v>148</v>
      </c>
    </row>
    <row r="148" spans="1:17" x14ac:dyDescent="0.25">
      <c r="A148" s="12" t="s">
        <v>530</v>
      </c>
      <c r="B148" s="57" t="s">
        <v>2</v>
      </c>
      <c r="C148" s="53" t="s">
        <v>427</v>
      </c>
      <c r="D148" s="53" t="s">
        <v>330</v>
      </c>
      <c r="E148" s="42">
        <v>20</v>
      </c>
      <c r="F148" s="35">
        <v>20</v>
      </c>
      <c r="G148" s="51">
        <v>30</v>
      </c>
      <c r="H148" s="52"/>
      <c r="I148" s="52"/>
      <c r="J148" s="13"/>
      <c r="K148" s="128">
        <f>INDEX([1]Monoprix!$F:$F,MATCH(D148,[1]Monoprix!$C:$C,0))</f>
        <v>0.29166666666666669</v>
      </c>
      <c r="L148" s="133">
        <f>INDEX([1]Monoprix!$G:$G,MATCH(D148,[1]Monoprix!$C:$C,0))</f>
        <v>0.83333333333333337</v>
      </c>
      <c r="M148" s="143">
        <f>INDEX([1]Monoprix!$H:$H,MATCH(D148,[1]Monoprix!$C:$C,0))</f>
        <v>0.33333333333333331</v>
      </c>
      <c r="N148" s="143">
        <f>INDEX([1]Monoprix!$I:$I,MATCH(D148,[1]Monoprix!$C:$C,0))</f>
        <v>0.5625</v>
      </c>
      <c r="O148" s="144"/>
      <c r="P148" s="145"/>
      <c r="Q148" s="94" t="s">
        <v>660</v>
      </c>
    </row>
    <row r="149" spans="1:17" x14ac:dyDescent="0.25">
      <c r="A149" s="12" t="s">
        <v>530</v>
      </c>
      <c r="B149" s="57" t="s">
        <v>2</v>
      </c>
      <c r="C149" s="53" t="s">
        <v>415</v>
      </c>
      <c r="D149" s="53" t="s">
        <v>341</v>
      </c>
      <c r="E149" s="42">
        <v>30</v>
      </c>
      <c r="F149" s="35">
        <v>35</v>
      </c>
      <c r="G149" s="51">
        <v>40</v>
      </c>
      <c r="H149" s="52"/>
      <c r="I149" s="52"/>
      <c r="J149" s="13"/>
      <c r="K149" s="128">
        <f>INDEX([1]Monoprix!$F:$F,MATCH(D149,[1]Monoprix!$C:$C,0))</f>
        <v>0.14583333333333334</v>
      </c>
      <c r="L149" s="133">
        <f>INDEX([1]Monoprix!$G:$G,MATCH(D149,[1]Monoprix!$C:$C,0))</f>
        <v>0.89583333333333337</v>
      </c>
      <c r="M149" s="143">
        <f>INDEX([1]Monoprix!$H:$H,MATCH(D149,[1]Monoprix!$C:$C,0))</f>
        <v>0.29166666666666669</v>
      </c>
      <c r="N149" s="143">
        <f>INDEX([1]Monoprix!$I:$I,MATCH(D149,[1]Monoprix!$C:$C,0))</f>
        <v>0.58333333333333337</v>
      </c>
      <c r="O149" s="144"/>
      <c r="P149" s="145"/>
      <c r="Q149" s="94" t="s">
        <v>661</v>
      </c>
    </row>
    <row r="150" spans="1:17" x14ac:dyDescent="0.25">
      <c r="A150" s="12" t="s">
        <v>530</v>
      </c>
      <c r="B150" s="57" t="s">
        <v>2</v>
      </c>
      <c r="C150" s="53" t="s">
        <v>428</v>
      </c>
      <c r="D150" s="53" t="s">
        <v>331</v>
      </c>
      <c r="E150" s="42">
        <v>5</v>
      </c>
      <c r="F150" s="35">
        <v>10</v>
      </c>
      <c r="G150" s="51">
        <v>10</v>
      </c>
      <c r="H150" s="52"/>
      <c r="I150" s="52"/>
      <c r="J150" s="13"/>
      <c r="K150" s="128">
        <f>INDEX([1]Monoprix!$F:$F,MATCH(D150,[1]Monoprix!$C:$C,0))</f>
        <v>0.25</v>
      </c>
      <c r="L150" s="133">
        <f>INDEX([1]Monoprix!$G:$G,MATCH(D150,[1]Monoprix!$C:$C,0))</f>
        <v>0.8125</v>
      </c>
      <c r="M150" s="143" t="str">
        <f>INDEX([1]Monoprix!$H:$H,MATCH(D150,[1]Monoprix!$C:$C,0))</f>
        <v>-</v>
      </c>
      <c r="N150" s="143" t="str">
        <f>INDEX([1]Monoprix!$I:$I,MATCH(D150,[1]Monoprix!$C:$C,0))</f>
        <v>-</v>
      </c>
      <c r="O150" s="144"/>
      <c r="P150" s="145"/>
      <c r="Q150" s="94" t="s">
        <v>662</v>
      </c>
    </row>
    <row r="151" spans="1:17" x14ac:dyDescent="0.25">
      <c r="A151" s="12" t="s">
        <v>530</v>
      </c>
      <c r="B151" s="25" t="s">
        <v>39</v>
      </c>
      <c r="C151" s="53" t="s">
        <v>429</v>
      </c>
      <c r="D151" s="53" t="s">
        <v>332</v>
      </c>
      <c r="E151" s="42">
        <v>10</v>
      </c>
      <c r="F151" s="35">
        <v>10</v>
      </c>
      <c r="G151" s="51">
        <v>10</v>
      </c>
      <c r="H151" s="52"/>
      <c r="I151" s="52"/>
      <c r="J151" s="13"/>
      <c r="K151" s="128">
        <f>INDEX([1]Monoprix!$F:$F,MATCH(D151,[1]Monoprix!$C:$C,0))</f>
        <v>0.25</v>
      </c>
      <c r="L151" s="133">
        <f>INDEX([1]Monoprix!$G:$G,MATCH(D151,[1]Monoprix!$C:$C,0))</f>
        <v>0.95833333333333337</v>
      </c>
      <c r="M151" s="143" t="str">
        <f>INDEX([1]Monoprix!$H:$H,MATCH(D151,[1]Monoprix!$C:$C,0))</f>
        <v>-</v>
      </c>
      <c r="N151" s="143" t="str">
        <f>INDEX([1]Monoprix!$I:$I,MATCH(D151,[1]Monoprix!$C:$C,0))</f>
        <v>-</v>
      </c>
      <c r="O151" s="144"/>
      <c r="P151" s="145"/>
      <c r="Q151" s="94" t="s">
        <v>148</v>
      </c>
    </row>
    <row r="152" spans="1:17" x14ac:dyDescent="0.25">
      <c r="A152" s="12" t="s">
        <v>530</v>
      </c>
      <c r="B152" s="25" t="s">
        <v>39</v>
      </c>
      <c r="C152" s="53" t="s">
        <v>430</v>
      </c>
      <c r="D152" s="53" t="s">
        <v>342</v>
      </c>
      <c r="E152" s="42">
        <v>10</v>
      </c>
      <c r="F152" s="35">
        <v>10</v>
      </c>
      <c r="G152" s="51">
        <v>15</v>
      </c>
      <c r="H152" s="52"/>
      <c r="I152" s="52"/>
      <c r="J152" s="13"/>
      <c r="K152" s="128">
        <f>INDEX([1]Monoprix!$F:$F,MATCH(D152,[1]Monoprix!$C:$C,0))</f>
        <v>0.25</v>
      </c>
      <c r="L152" s="133">
        <f>INDEX([1]Monoprix!$G:$G,MATCH(D152,[1]Monoprix!$C:$C,0))</f>
        <v>0.875</v>
      </c>
      <c r="M152" s="143">
        <f>INDEX([1]Monoprix!$H:$H,MATCH(D152,[1]Monoprix!$C:$C,0))</f>
        <v>0.29166666666666669</v>
      </c>
      <c r="N152" s="143">
        <f>INDEX([1]Monoprix!$I:$I,MATCH(D152,[1]Monoprix!$C:$C,0))</f>
        <v>0.5625</v>
      </c>
      <c r="O152" s="144"/>
      <c r="P152" s="145"/>
      <c r="Q152" s="94" t="s">
        <v>148</v>
      </c>
    </row>
    <row r="153" spans="1:17" x14ac:dyDescent="0.25">
      <c r="A153" s="12" t="s">
        <v>530</v>
      </c>
      <c r="B153" s="57" t="s">
        <v>2</v>
      </c>
      <c r="C153" s="53" t="s">
        <v>431</v>
      </c>
      <c r="D153" s="53" t="s">
        <v>343</v>
      </c>
      <c r="E153" s="42">
        <v>20</v>
      </c>
      <c r="F153" s="35">
        <v>20</v>
      </c>
      <c r="G153" s="51">
        <v>20</v>
      </c>
      <c r="H153" s="52"/>
      <c r="I153" s="52"/>
      <c r="J153" s="13"/>
      <c r="K153" s="128">
        <f>INDEX([1]Monoprix!$F:$F,MATCH(D153,[1]Monoprix!$C:$C,0))</f>
        <v>0.27083333333333331</v>
      </c>
      <c r="L153" s="133">
        <f>INDEX([1]Monoprix!$G:$G,MATCH(D153,[1]Monoprix!$C:$C,0))</f>
        <v>0.83333333333333337</v>
      </c>
      <c r="M153" s="143">
        <f>INDEX([1]Monoprix!$H:$H,MATCH(D153,[1]Monoprix!$C:$C,0))</f>
        <v>0.33333333333333331</v>
      </c>
      <c r="N153" s="143">
        <f>INDEX([1]Monoprix!$I:$I,MATCH(D153,[1]Monoprix!$C:$C,0))</f>
        <v>0.54166666666666663</v>
      </c>
      <c r="O153" s="144"/>
      <c r="P153" s="145"/>
      <c r="Q153" s="94" t="s">
        <v>663</v>
      </c>
    </row>
    <row r="154" spans="1:17" x14ac:dyDescent="0.25">
      <c r="A154" s="12" t="s">
        <v>530</v>
      </c>
      <c r="B154" s="25" t="s">
        <v>39</v>
      </c>
      <c r="C154" s="53" t="s">
        <v>432</v>
      </c>
      <c r="D154" s="53" t="s">
        <v>344</v>
      </c>
      <c r="E154" s="42">
        <v>15</v>
      </c>
      <c r="F154" s="35">
        <v>15</v>
      </c>
      <c r="G154" s="51">
        <v>15</v>
      </c>
      <c r="H154" s="52"/>
      <c r="I154" s="52"/>
      <c r="J154" s="13"/>
      <c r="K154" s="128">
        <f>INDEX([1]Monoprix!$F:$F,MATCH(D154,[1]Monoprix!$C:$C,0))</f>
        <v>0.25</v>
      </c>
      <c r="L154" s="133">
        <f>INDEX([1]Monoprix!$G:$G,MATCH(D154,[1]Monoprix!$C:$C,0))</f>
        <v>0.9375</v>
      </c>
      <c r="M154" s="143" t="str">
        <f>INDEX([1]Monoprix!$H:$H,MATCH(D154,[1]Monoprix!$C:$C,0))</f>
        <v>-</v>
      </c>
      <c r="N154" s="143" t="str">
        <f>INDEX([1]Monoprix!$I:$I,MATCH(D154,[1]Monoprix!$C:$C,0))</f>
        <v>-</v>
      </c>
      <c r="O154" s="144"/>
      <c r="P154" s="145"/>
      <c r="Q154" s="94" t="s">
        <v>148</v>
      </c>
    </row>
    <row r="155" spans="1:17" x14ac:dyDescent="0.25">
      <c r="A155" s="12" t="s">
        <v>530</v>
      </c>
      <c r="B155" s="57" t="s">
        <v>2</v>
      </c>
      <c r="C155" s="53" t="s">
        <v>433</v>
      </c>
      <c r="D155" s="53" t="s">
        <v>345</v>
      </c>
      <c r="E155" s="42">
        <v>25</v>
      </c>
      <c r="F155" s="35">
        <v>30</v>
      </c>
      <c r="G155" s="121">
        <v>30</v>
      </c>
      <c r="H155" s="52"/>
      <c r="I155" s="52"/>
      <c r="J155" s="13"/>
      <c r="K155" s="128">
        <f>INDEX([1]Monoprix!$F:$F,MATCH(D155,[1]Monoprix!$C:$C,0))</f>
        <v>0.22916666666666666</v>
      </c>
      <c r="L155" s="133">
        <f>INDEX([1]Monoprix!$G:$G,MATCH(D155,[1]Monoprix!$C:$C,0))</f>
        <v>0.83333333333333337</v>
      </c>
      <c r="M155" s="143">
        <f>INDEX([1]Monoprix!$H:$H,MATCH(D155,[1]Monoprix!$C:$C,0))</f>
        <v>0.29166666666666669</v>
      </c>
      <c r="N155" s="143">
        <f>INDEX([1]Monoprix!$I:$I,MATCH(D155,[1]Monoprix!$C:$C,0))</f>
        <v>0.54166666666666663</v>
      </c>
      <c r="O155" s="144"/>
      <c r="P155" s="145"/>
      <c r="Q155" s="94" t="s">
        <v>664</v>
      </c>
    </row>
    <row r="156" spans="1:17" x14ac:dyDescent="0.25">
      <c r="A156" s="12" t="s">
        <v>533</v>
      </c>
      <c r="B156" s="57" t="s">
        <v>2</v>
      </c>
      <c r="C156" s="53" t="s">
        <v>434</v>
      </c>
      <c r="D156" s="53" t="s">
        <v>346</v>
      </c>
      <c r="E156" s="42">
        <v>40</v>
      </c>
      <c r="F156" s="35">
        <v>45</v>
      </c>
      <c r="G156" s="51">
        <v>55</v>
      </c>
      <c r="H156" s="52"/>
      <c r="I156" s="52"/>
      <c r="J156" s="13"/>
      <c r="K156" s="128">
        <f>INDEX([1]Monoprix!$F:$F,MATCH(D156,[1]Monoprix!$C:$C,0))</f>
        <v>0.20138888888888887</v>
      </c>
      <c r="L156" s="133">
        <f>INDEX([1]Monoprix!$G:$G,MATCH(D156,[1]Monoprix!$C:$C,0))</f>
        <v>0.83333333333333337</v>
      </c>
      <c r="M156" s="143">
        <f>INDEX([1]Monoprix!$H:$H,MATCH(D156,[1]Monoprix!$C:$C,0))</f>
        <v>0.29166666666666669</v>
      </c>
      <c r="N156" s="143">
        <f>INDEX([1]Monoprix!$I:$I,MATCH(D156,[1]Monoprix!$C:$C,0))</f>
        <v>0.79166666666666663</v>
      </c>
      <c r="O156" s="144"/>
      <c r="P156" s="145" t="s">
        <v>665</v>
      </c>
      <c r="Q156" s="94" t="s">
        <v>666</v>
      </c>
    </row>
    <row r="157" spans="1:17" x14ac:dyDescent="0.25">
      <c r="A157" s="12" t="s">
        <v>533</v>
      </c>
      <c r="B157" s="57" t="s">
        <v>2</v>
      </c>
      <c r="C157" s="53" t="s">
        <v>435</v>
      </c>
      <c r="D157" s="53" t="s">
        <v>347</v>
      </c>
      <c r="E157" s="42">
        <v>60</v>
      </c>
      <c r="F157" s="35">
        <v>60</v>
      </c>
      <c r="G157" s="51">
        <v>70</v>
      </c>
      <c r="H157" s="52"/>
      <c r="I157" s="52"/>
      <c r="J157" s="13"/>
      <c r="K157" s="128">
        <f>INDEX([1]Monoprix!$F:$F,MATCH(D157,[1]Monoprix!$C:$C,0))</f>
        <v>0.25</v>
      </c>
      <c r="L157" s="133">
        <f>INDEX([1]Monoprix!$G:$G,MATCH(D157,[1]Monoprix!$C:$C,0))</f>
        <v>0.83333333333333337</v>
      </c>
      <c r="M157" s="143">
        <f>INDEX([1]Monoprix!$H:$H,MATCH(D157,[1]Monoprix!$C:$C,0))</f>
        <v>0.29166666666666669</v>
      </c>
      <c r="N157" s="143">
        <f>INDEX([1]Monoprix!$I:$I,MATCH(D157,[1]Monoprix!$C:$C,0))</f>
        <v>0.79166666666666663</v>
      </c>
      <c r="O157" s="144"/>
      <c r="P157" s="145"/>
      <c r="Q157" s="94" t="s">
        <v>667</v>
      </c>
    </row>
    <row r="158" spans="1:17" x14ac:dyDescent="0.25">
      <c r="A158" s="12" t="s">
        <v>533</v>
      </c>
      <c r="B158" s="57" t="s">
        <v>2</v>
      </c>
      <c r="C158" s="53" t="s">
        <v>436</v>
      </c>
      <c r="D158" s="53" t="s">
        <v>348</v>
      </c>
      <c r="E158" s="42">
        <v>105</v>
      </c>
      <c r="F158" s="35">
        <v>110</v>
      </c>
      <c r="G158" s="51">
        <v>120</v>
      </c>
      <c r="H158" s="52"/>
      <c r="I158" s="52"/>
      <c r="J158" s="13"/>
      <c r="K158" s="128">
        <f>INDEX([1]Monoprix!$F:$F,MATCH(D158,[1]Monoprix!$C:$C,0))</f>
        <v>0.16666666666666666</v>
      </c>
      <c r="L158" s="133">
        <f>INDEX([1]Monoprix!$G:$G,MATCH(D158,[1]Monoprix!$C:$C,0))</f>
        <v>0.83333333333333337</v>
      </c>
      <c r="M158" s="143">
        <f>INDEX([1]Monoprix!$H:$H,MATCH(D158,[1]Monoprix!$C:$C,0))</f>
        <v>0.27083333333333331</v>
      </c>
      <c r="N158" s="143">
        <f>INDEX([1]Monoprix!$I:$I,MATCH(D158,[1]Monoprix!$C:$C,0))</f>
        <v>0.8125</v>
      </c>
      <c r="O158" s="144"/>
      <c r="P158" s="145"/>
      <c r="Q158" s="94" t="s">
        <v>668</v>
      </c>
    </row>
    <row r="159" spans="1:17" x14ac:dyDescent="0.25">
      <c r="A159" s="12" t="s">
        <v>530</v>
      </c>
      <c r="B159" s="57" t="s">
        <v>2</v>
      </c>
      <c r="C159" s="53" t="s">
        <v>437</v>
      </c>
      <c r="D159" s="53" t="s">
        <v>349</v>
      </c>
      <c r="E159" s="42">
        <v>45</v>
      </c>
      <c r="F159" s="89">
        <v>45</v>
      </c>
      <c r="G159" s="51">
        <v>50</v>
      </c>
      <c r="H159" s="52"/>
      <c r="I159" s="52"/>
      <c r="J159" s="13"/>
      <c r="K159" s="128">
        <f>INDEX([1]Monoprix!$F:$F,MATCH(D159,[1]Monoprix!$C:$C,0))</f>
        <v>0.1875</v>
      </c>
      <c r="L159" s="133">
        <f>INDEX([1]Monoprix!$G:$G,MATCH(D159,[1]Monoprix!$C:$C,0))</f>
        <v>0.83333333333333337</v>
      </c>
      <c r="M159" s="143">
        <f>INDEX([1]Monoprix!$H:$H,MATCH(D159,[1]Monoprix!$C:$C,0))</f>
        <v>0.29166666666666669</v>
      </c>
      <c r="N159" s="143">
        <f>INDEX([1]Monoprix!$I:$I,MATCH(D159,[1]Monoprix!$C:$C,0))</f>
        <v>0.8125</v>
      </c>
      <c r="O159" s="144"/>
      <c r="P159" s="145"/>
      <c r="Q159" s="94" t="s">
        <v>669</v>
      </c>
    </row>
    <row r="160" spans="1:17" x14ac:dyDescent="0.25">
      <c r="A160" s="12" t="s">
        <v>533</v>
      </c>
      <c r="B160" s="57" t="s">
        <v>2</v>
      </c>
      <c r="C160" s="53" t="s">
        <v>416</v>
      </c>
      <c r="D160" s="53" t="s">
        <v>350</v>
      </c>
      <c r="E160" s="42">
        <v>45</v>
      </c>
      <c r="F160" s="35">
        <v>45</v>
      </c>
      <c r="G160" s="51">
        <v>55</v>
      </c>
      <c r="H160" s="52"/>
      <c r="I160" s="52"/>
      <c r="J160" s="13"/>
      <c r="K160" s="128">
        <f>INDEX([1]Monoprix!$F:$F,MATCH(D160,[1]Monoprix!$C:$C,0))</f>
        <v>0.22916666666666666</v>
      </c>
      <c r="L160" s="133">
        <f>INDEX([1]Monoprix!$G:$G,MATCH(D160,[1]Monoprix!$C:$C,0))</f>
        <v>0.9375</v>
      </c>
      <c r="M160" s="143">
        <f>INDEX([1]Monoprix!$H:$H,MATCH(D160,[1]Monoprix!$C:$C,0))</f>
        <v>0.25</v>
      </c>
      <c r="N160" s="143">
        <f>INDEX([1]Monoprix!$I:$I,MATCH(D160,[1]Monoprix!$C:$C,0))</f>
        <v>0.9375</v>
      </c>
      <c r="O160" s="144"/>
      <c r="P160" s="145"/>
      <c r="Q160" s="94" t="s">
        <v>670</v>
      </c>
    </row>
    <row r="161" spans="1:17" x14ac:dyDescent="0.25">
      <c r="A161" s="12" t="s">
        <v>533</v>
      </c>
      <c r="B161" s="57" t="s">
        <v>2</v>
      </c>
      <c r="C161" s="53" t="s">
        <v>438</v>
      </c>
      <c r="D161" s="53" t="s">
        <v>333</v>
      </c>
      <c r="E161" s="42">
        <v>65</v>
      </c>
      <c r="F161" s="35">
        <v>65</v>
      </c>
      <c r="G161" s="121">
        <v>80</v>
      </c>
      <c r="H161" s="52"/>
      <c r="I161" s="52"/>
      <c r="J161" s="13"/>
      <c r="K161" s="128">
        <f>INDEX([1]Monoprix!$F:$F,MATCH(D161,[1]Monoprix!$C:$C,0))</f>
        <v>0.1875</v>
      </c>
      <c r="L161" s="133">
        <f>INDEX([1]Monoprix!$G:$G,MATCH(D161,[1]Monoprix!$C:$C,0))</f>
        <v>0.9375</v>
      </c>
      <c r="M161" s="143">
        <f>INDEX([1]Monoprix!$H:$H,MATCH(D161,[1]Monoprix!$C:$C,0))</f>
        <v>0.27083333333333331</v>
      </c>
      <c r="N161" s="143">
        <f>INDEX([1]Monoprix!$I:$I,MATCH(D161,[1]Monoprix!$C:$C,0))</f>
        <v>0.79166666666666663</v>
      </c>
      <c r="O161" s="144"/>
      <c r="P161" s="145"/>
      <c r="Q161" s="94" t="s">
        <v>671</v>
      </c>
    </row>
    <row r="162" spans="1:17" x14ac:dyDescent="0.25">
      <c r="A162" s="12" t="s">
        <v>533</v>
      </c>
      <c r="B162" s="57" t="s">
        <v>2</v>
      </c>
      <c r="C162" s="53" t="s">
        <v>439</v>
      </c>
      <c r="D162" s="53" t="s">
        <v>334</v>
      </c>
      <c r="E162" s="42">
        <v>90</v>
      </c>
      <c r="F162" s="35">
        <v>90</v>
      </c>
      <c r="G162" s="51">
        <v>100</v>
      </c>
      <c r="H162" s="52"/>
      <c r="I162" s="52"/>
      <c r="J162" s="13"/>
      <c r="K162" s="128">
        <f>INDEX([1]Monoprix!$F:$F,MATCH(D162,[1]Monoprix!$C:$C,0))</f>
        <v>0.20833333333333334</v>
      </c>
      <c r="L162" s="133">
        <f>INDEX([1]Monoprix!$G:$G,MATCH(D162,[1]Monoprix!$C:$C,0))</f>
        <v>0.97916666666666663</v>
      </c>
      <c r="M162" s="143">
        <f>INDEX([1]Monoprix!$H:$H,MATCH(D162,[1]Monoprix!$C:$C,0))</f>
        <v>0.25</v>
      </c>
      <c r="N162" s="143">
        <f>INDEX([1]Monoprix!$I:$I,MATCH(D162,[1]Monoprix!$C:$C,0))</f>
        <v>0.85416666666666663</v>
      </c>
      <c r="O162" s="144"/>
      <c r="P162" s="145"/>
      <c r="Q162" s="94" t="s">
        <v>672</v>
      </c>
    </row>
    <row r="163" spans="1:17" x14ac:dyDescent="0.25">
      <c r="A163" s="12" t="s">
        <v>533</v>
      </c>
      <c r="B163" s="57" t="s">
        <v>2</v>
      </c>
      <c r="C163" s="53" t="s">
        <v>440</v>
      </c>
      <c r="D163" s="53" t="s">
        <v>351</v>
      </c>
      <c r="E163" s="42">
        <v>50</v>
      </c>
      <c r="F163" s="35">
        <v>50</v>
      </c>
      <c r="G163" s="51">
        <v>55</v>
      </c>
      <c r="H163" s="52"/>
      <c r="I163" s="52"/>
      <c r="J163" s="13"/>
      <c r="K163" s="128">
        <f>INDEX([1]Monoprix!$F:$F,MATCH(D163,[1]Monoprix!$C:$C,0))</f>
        <v>0.20833333333333334</v>
      </c>
      <c r="L163" s="133">
        <f>INDEX([1]Monoprix!$G:$G,MATCH(D163,[1]Monoprix!$C:$C,0))</f>
        <v>0.9375</v>
      </c>
      <c r="M163" s="143">
        <f>INDEX([1]Monoprix!$H:$H,MATCH(D163,[1]Monoprix!$C:$C,0))</f>
        <v>0.29166666666666669</v>
      </c>
      <c r="N163" s="143">
        <f>INDEX([1]Monoprix!$I:$I,MATCH(D163,[1]Monoprix!$C:$C,0))</f>
        <v>0.84027777777777779</v>
      </c>
      <c r="O163" s="144"/>
      <c r="P163" s="145"/>
      <c r="Q163" s="94" t="s">
        <v>673</v>
      </c>
    </row>
    <row r="164" spans="1:17" x14ac:dyDescent="0.25">
      <c r="A164" s="12" t="s">
        <v>530</v>
      </c>
      <c r="B164" s="57" t="s">
        <v>2</v>
      </c>
      <c r="C164" s="53" t="s">
        <v>441</v>
      </c>
      <c r="D164" s="53" t="s">
        <v>352</v>
      </c>
      <c r="E164" s="42">
        <v>70</v>
      </c>
      <c r="F164" s="35">
        <v>55</v>
      </c>
      <c r="G164" s="121">
        <v>55</v>
      </c>
      <c r="H164" s="52"/>
      <c r="I164" s="52"/>
      <c r="J164" s="13"/>
      <c r="K164" s="128">
        <f>INDEX([1]Monoprix!$F:$F,MATCH(D164,[1]Monoprix!$C:$C,0))</f>
        <v>0.24305555555555555</v>
      </c>
      <c r="L164" s="133">
        <f>INDEX([1]Monoprix!$G:$G,MATCH(D164,[1]Monoprix!$C:$C,0))</f>
        <v>0.84027777777777779</v>
      </c>
      <c r="M164" s="143">
        <f>INDEX([1]Monoprix!$H:$H,MATCH(D164,[1]Monoprix!$C:$C,0))</f>
        <v>0.28472222222222221</v>
      </c>
      <c r="N164" s="143">
        <f>INDEX([1]Monoprix!$I:$I,MATCH(D164,[1]Monoprix!$C:$C,0))</f>
        <v>0.54861111111111105</v>
      </c>
      <c r="O164" s="144"/>
      <c r="P164" s="145"/>
      <c r="Q164" s="94" t="s">
        <v>674</v>
      </c>
    </row>
    <row r="165" spans="1:17" x14ac:dyDescent="0.25">
      <c r="A165" s="12" t="s">
        <v>530</v>
      </c>
      <c r="B165" s="57" t="s">
        <v>2</v>
      </c>
      <c r="C165" s="53" t="s">
        <v>442</v>
      </c>
      <c r="D165" s="53" t="s">
        <v>353</v>
      </c>
      <c r="E165" s="42">
        <v>40</v>
      </c>
      <c r="F165" s="35">
        <v>45</v>
      </c>
      <c r="G165" s="51">
        <v>50</v>
      </c>
      <c r="H165" s="52"/>
      <c r="I165" s="52"/>
      <c r="J165" s="13"/>
      <c r="K165" s="128">
        <f>INDEX([1]Monoprix!$F:$F,MATCH(D165,[1]Monoprix!$C:$C,0))</f>
        <v>0.1875</v>
      </c>
      <c r="L165" s="133">
        <f>INDEX([1]Monoprix!$G:$G,MATCH(D165,[1]Monoprix!$C:$C,0))</f>
        <v>0.85416666666666663</v>
      </c>
      <c r="M165" s="143">
        <f>INDEX([1]Monoprix!$H:$H,MATCH(D165,[1]Monoprix!$C:$C,0))</f>
        <v>0.24305555555555555</v>
      </c>
      <c r="N165" s="143">
        <f>INDEX([1]Monoprix!$I:$I,MATCH(D165,[1]Monoprix!$C:$C,0))</f>
        <v>0.81944444444444453</v>
      </c>
      <c r="O165" s="144"/>
      <c r="P165" s="145"/>
      <c r="Q165" s="94" t="s">
        <v>675</v>
      </c>
    </row>
    <row r="166" spans="1:17" x14ac:dyDescent="0.25">
      <c r="A166" s="12" t="s">
        <v>530</v>
      </c>
      <c r="B166" s="57" t="s">
        <v>2</v>
      </c>
      <c r="C166" s="53" t="s">
        <v>444</v>
      </c>
      <c r="D166" s="53" t="s">
        <v>355</v>
      </c>
      <c r="E166" s="42">
        <v>40</v>
      </c>
      <c r="F166" s="35">
        <v>65</v>
      </c>
      <c r="G166" s="121">
        <v>40</v>
      </c>
      <c r="H166" s="52"/>
      <c r="I166" s="52"/>
      <c r="J166" s="13"/>
      <c r="K166" s="128">
        <f>INDEX([1]Monoprix!$F:$F,MATCH(D166,[1]Monoprix!$C:$C,0))</f>
        <v>0.25</v>
      </c>
      <c r="L166" s="133">
        <f>INDEX([1]Monoprix!$G:$G,MATCH(D166,[1]Monoprix!$C:$C,0))</f>
        <v>0.79166666666666663</v>
      </c>
      <c r="M166" s="143">
        <f>INDEX([1]Monoprix!$H:$H,MATCH(D166,[1]Monoprix!$C:$C,0))</f>
        <v>0.33333333333333331</v>
      </c>
      <c r="N166" s="143">
        <f>INDEX([1]Monoprix!$I:$I,MATCH(D166,[1]Monoprix!$C:$C,0))</f>
        <v>0.52083333333333337</v>
      </c>
      <c r="O166" s="144"/>
      <c r="P166" s="145"/>
      <c r="Q166" s="94" t="s">
        <v>676</v>
      </c>
    </row>
    <row r="167" spans="1:17" x14ac:dyDescent="0.25">
      <c r="A167" s="12" t="s">
        <v>530</v>
      </c>
      <c r="B167" s="57" t="s">
        <v>2</v>
      </c>
      <c r="C167" s="53" t="s">
        <v>445</v>
      </c>
      <c r="D167" s="53" t="s">
        <v>356</v>
      </c>
      <c r="E167" s="42">
        <v>35</v>
      </c>
      <c r="F167" s="89">
        <v>35</v>
      </c>
      <c r="G167" s="51">
        <v>35</v>
      </c>
      <c r="H167" s="52"/>
      <c r="I167" s="52"/>
      <c r="J167" s="13"/>
      <c r="K167" s="128">
        <f>INDEX([1]Monoprix!$F:$F,MATCH(D167,[1]Monoprix!$C:$C,0))</f>
        <v>0.25</v>
      </c>
      <c r="L167" s="133">
        <f>INDEX([1]Monoprix!$G:$G,MATCH(D167,[1]Monoprix!$C:$C,0))</f>
        <v>0.89583333333333337</v>
      </c>
      <c r="M167" s="143">
        <f>INDEX([1]Monoprix!$H:$H,MATCH(D167,[1]Monoprix!$C:$C,0))</f>
        <v>0.33333333333333331</v>
      </c>
      <c r="N167" s="143">
        <f>INDEX([1]Monoprix!$I:$I,MATCH(D167,[1]Monoprix!$C:$C,0))</f>
        <v>0.5625</v>
      </c>
      <c r="O167" s="144"/>
      <c r="P167" s="145"/>
      <c r="Q167" s="94" t="s">
        <v>677</v>
      </c>
    </row>
    <row r="168" spans="1:17" x14ac:dyDescent="0.25">
      <c r="A168" s="12" t="s">
        <v>530</v>
      </c>
      <c r="B168" s="57" t="s">
        <v>2</v>
      </c>
      <c r="C168" s="53" t="s">
        <v>446</v>
      </c>
      <c r="D168" s="53" t="s">
        <v>357</v>
      </c>
      <c r="E168" s="55">
        <v>90</v>
      </c>
      <c r="F168" s="89">
        <v>75</v>
      </c>
      <c r="G168" s="121">
        <v>85</v>
      </c>
      <c r="H168" s="52"/>
      <c r="I168" s="52"/>
      <c r="J168" s="13"/>
      <c r="K168" s="128">
        <f>INDEX([1]Monoprix!$F:$F,MATCH(D168,[1]Monoprix!$C:$C,0))</f>
        <v>0.22916666666666666</v>
      </c>
      <c r="L168" s="133">
        <f>INDEX([1]Monoprix!$G:$G,MATCH(D168,[1]Monoprix!$C:$C,0))</f>
        <v>0.90625</v>
      </c>
      <c r="M168" s="143">
        <f>INDEX([1]Monoprix!$H:$H,MATCH(D168,[1]Monoprix!$C:$C,0))</f>
        <v>0.27777777777777779</v>
      </c>
      <c r="N168" s="143">
        <f>INDEX([1]Monoprix!$I:$I,MATCH(D168,[1]Monoprix!$C:$C,0))</f>
        <v>0.55555555555555558</v>
      </c>
      <c r="O168" s="144"/>
      <c r="P168" s="145"/>
      <c r="Q168" s="94" t="s">
        <v>678</v>
      </c>
    </row>
    <row r="169" spans="1:17" x14ac:dyDescent="0.25">
      <c r="A169" s="12" t="s">
        <v>530</v>
      </c>
      <c r="B169" s="57" t="s">
        <v>2</v>
      </c>
      <c r="C169" s="53" t="s">
        <v>447</v>
      </c>
      <c r="D169" s="53" t="s">
        <v>358</v>
      </c>
      <c r="E169" s="42">
        <v>50</v>
      </c>
      <c r="F169" s="35">
        <v>50</v>
      </c>
      <c r="G169" s="121">
        <v>55</v>
      </c>
      <c r="H169" s="52"/>
      <c r="I169" s="52"/>
      <c r="J169" s="13"/>
      <c r="K169" s="128">
        <f>INDEX([1]Monoprix!$F:$F,MATCH(D169,[1]Monoprix!$C:$C,0))</f>
        <v>0.25</v>
      </c>
      <c r="L169" s="133">
        <f>INDEX([1]Monoprix!$G:$G,MATCH(D169,[1]Monoprix!$C:$C,0))</f>
        <v>0.90972222222222221</v>
      </c>
      <c r="M169" s="143">
        <f>INDEX([1]Monoprix!$H:$H,MATCH(D169,[1]Monoprix!$C:$C,0))</f>
        <v>0.29166666666666669</v>
      </c>
      <c r="N169" s="143">
        <f>INDEX([1]Monoprix!$I:$I,MATCH(D169,[1]Monoprix!$C:$C,0))</f>
        <v>0.85416666666666663</v>
      </c>
      <c r="O169" s="144"/>
      <c r="P169" s="145"/>
      <c r="Q169" s="94" t="s">
        <v>679</v>
      </c>
    </row>
    <row r="170" spans="1:17" x14ac:dyDescent="0.25">
      <c r="A170" s="12" t="s">
        <v>533</v>
      </c>
      <c r="B170" s="57" t="s">
        <v>2</v>
      </c>
      <c r="C170" s="124" t="s">
        <v>448</v>
      </c>
      <c r="D170" s="53" t="s">
        <v>359</v>
      </c>
      <c r="E170" s="42">
        <v>40</v>
      </c>
      <c r="F170" s="35">
        <v>50</v>
      </c>
      <c r="G170" s="121">
        <v>50</v>
      </c>
      <c r="H170" s="52"/>
      <c r="I170" s="52"/>
      <c r="J170" s="13"/>
      <c r="K170" s="128">
        <f>INDEX([1]Monoprix!$F:$F,MATCH(D170,[1]Monoprix!$C:$C,0))</f>
        <v>0.20833333333333334</v>
      </c>
      <c r="L170" s="133">
        <f>INDEX([1]Monoprix!$G:$G,MATCH(D170,[1]Monoprix!$C:$C,0))</f>
        <v>0.92361111111111116</v>
      </c>
      <c r="M170" s="143">
        <f>INDEX([1]Monoprix!$H:$H,MATCH(D170,[1]Monoprix!$C:$C,0))</f>
        <v>0.20833333333333334</v>
      </c>
      <c r="N170" s="143">
        <f>INDEX([1]Monoprix!$I:$I,MATCH(D170,[1]Monoprix!$C:$C,0))</f>
        <v>0.83333333333333337</v>
      </c>
      <c r="O170" s="144"/>
      <c r="P170" s="145"/>
      <c r="Q170" s="94" t="s">
        <v>680</v>
      </c>
    </row>
    <row r="171" spans="1:17" x14ac:dyDescent="0.25">
      <c r="A171" s="12" t="s">
        <v>533</v>
      </c>
      <c r="B171" s="57" t="s">
        <v>2</v>
      </c>
      <c r="C171" s="53" t="s">
        <v>449</v>
      </c>
      <c r="D171" s="53" t="s">
        <v>360</v>
      </c>
      <c r="E171" s="42">
        <v>35</v>
      </c>
      <c r="F171" s="35">
        <v>40</v>
      </c>
      <c r="G171" s="51">
        <v>45</v>
      </c>
      <c r="H171" s="52"/>
      <c r="I171" s="52"/>
      <c r="J171" s="13"/>
      <c r="K171" s="128">
        <f>INDEX([1]Monoprix!$F:$F,MATCH(D171,[1]Monoprix!$C:$C,0))</f>
        <v>0.25</v>
      </c>
      <c r="L171" s="133">
        <f>INDEX([1]Monoprix!$G:$G,MATCH(D171,[1]Monoprix!$C:$C,0))</f>
        <v>0.86805555555555547</v>
      </c>
      <c r="M171" s="143">
        <f>INDEX([1]Monoprix!$H:$H,MATCH(D171,[1]Monoprix!$C:$C,0))</f>
        <v>0.3125</v>
      </c>
      <c r="N171" s="143">
        <f>INDEX([1]Monoprix!$I:$I,MATCH(D171,[1]Monoprix!$C:$C,0))</f>
        <v>0.5625</v>
      </c>
      <c r="O171" s="144"/>
      <c r="P171" s="145"/>
      <c r="Q171" s="94" t="s">
        <v>681</v>
      </c>
    </row>
    <row r="172" spans="1:17" x14ac:dyDescent="0.25">
      <c r="A172" s="12" t="s">
        <v>533</v>
      </c>
      <c r="B172" s="57" t="s">
        <v>2</v>
      </c>
      <c r="C172" s="53" t="s">
        <v>450</v>
      </c>
      <c r="D172" s="53" t="s">
        <v>361</v>
      </c>
      <c r="E172" s="42">
        <v>30</v>
      </c>
      <c r="F172" s="35">
        <v>45</v>
      </c>
      <c r="G172" s="51">
        <v>40</v>
      </c>
      <c r="H172" s="52"/>
      <c r="I172" s="52"/>
      <c r="J172" s="13"/>
      <c r="K172" s="128">
        <f>INDEX([1]Monoprix!$F:$F,MATCH(D172,[1]Monoprix!$C:$C,0))</f>
        <v>0.27083333333333331</v>
      </c>
      <c r="L172" s="133">
        <f>INDEX([1]Monoprix!$G:$G,MATCH(D172,[1]Monoprix!$C:$C,0))</f>
        <v>0.85416666666666663</v>
      </c>
      <c r="M172" s="143">
        <f>INDEX([1]Monoprix!$H:$H,MATCH(D172,[1]Monoprix!$C:$C,0))</f>
        <v>0.2986111111111111</v>
      </c>
      <c r="N172" s="143">
        <f>INDEX([1]Monoprix!$I:$I,MATCH(D172,[1]Monoprix!$C:$C,0))</f>
        <v>0.54861111111111105</v>
      </c>
      <c r="O172" s="144"/>
      <c r="P172" s="145"/>
      <c r="Q172" s="94" t="s">
        <v>682</v>
      </c>
    </row>
    <row r="173" spans="1:17" x14ac:dyDescent="0.25">
      <c r="A173" s="12" t="s">
        <v>533</v>
      </c>
      <c r="B173" s="57" t="s">
        <v>2</v>
      </c>
      <c r="C173" s="53" t="s">
        <v>451</v>
      </c>
      <c r="D173" s="53" t="s">
        <v>362</v>
      </c>
      <c r="E173" s="42">
        <v>35</v>
      </c>
      <c r="F173" s="35">
        <v>30</v>
      </c>
      <c r="G173" s="121">
        <v>35</v>
      </c>
      <c r="H173" s="52"/>
      <c r="I173" s="52"/>
      <c r="J173" s="13"/>
      <c r="K173" s="128">
        <f>INDEX([1]Monoprix!$F:$F,MATCH(D173,[1]Monoprix!$C:$C,0))</f>
        <v>0.25</v>
      </c>
      <c r="L173" s="133">
        <f>INDEX([1]Monoprix!$G:$G,MATCH(D173,[1]Monoprix!$C:$C,0))</f>
        <v>0.89583333333333337</v>
      </c>
      <c r="M173" s="143">
        <f>INDEX([1]Monoprix!$H:$H,MATCH(D173,[1]Monoprix!$C:$C,0))</f>
        <v>0.28472222222222221</v>
      </c>
      <c r="N173" s="143">
        <f>INDEX([1]Monoprix!$I:$I,MATCH(D173,[1]Monoprix!$C:$C,0))</f>
        <v>0.81944444444444453</v>
      </c>
      <c r="O173" s="144"/>
      <c r="P173" s="145"/>
      <c r="Q173" s="94" t="s">
        <v>683</v>
      </c>
    </row>
    <row r="174" spans="1:17" x14ac:dyDescent="0.25">
      <c r="A174" s="12" t="s">
        <v>533</v>
      </c>
      <c r="B174" s="57" t="s">
        <v>2</v>
      </c>
      <c r="C174" s="53" t="s">
        <v>452</v>
      </c>
      <c r="D174" s="53" t="s">
        <v>363</v>
      </c>
      <c r="E174" s="42">
        <v>80</v>
      </c>
      <c r="F174" s="89">
        <v>85</v>
      </c>
      <c r="G174" s="121">
        <v>105</v>
      </c>
      <c r="H174" s="52"/>
      <c r="I174" s="52"/>
      <c r="J174" s="13"/>
      <c r="K174" s="128">
        <f>INDEX([1]Monoprix!$F:$F,MATCH(D174,[1]Monoprix!$C:$C,0))</f>
        <v>0.23611111111111113</v>
      </c>
      <c r="L174" s="133">
        <f>INDEX([1]Monoprix!$G:$G,MATCH(D174,[1]Monoprix!$C:$C,0))</f>
        <v>0.90277777777777779</v>
      </c>
      <c r="M174" s="143">
        <f>INDEX([1]Monoprix!$H:$H,MATCH(D174,[1]Monoprix!$C:$C,0))</f>
        <v>0.27083333333333331</v>
      </c>
      <c r="N174" s="143">
        <f>INDEX([1]Monoprix!$I:$I,MATCH(D174,[1]Monoprix!$C:$C,0))</f>
        <v>0.82638888888888884</v>
      </c>
      <c r="O174" s="144"/>
      <c r="P174" s="145"/>
      <c r="Q174" s="94" t="s">
        <v>684</v>
      </c>
    </row>
    <row r="175" spans="1:17" x14ac:dyDescent="0.25">
      <c r="A175" s="12" t="s">
        <v>533</v>
      </c>
      <c r="B175" s="57" t="s">
        <v>39</v>
      </c>
      <c r="C175" s="53" t="s">
        <v>453</v>
      </c>
      <c r="D175" s="53" t="s">
        <v>364</v>
      </c>
      <c r="E175" s="42">
        <v>10</v>
      </c>
      <c r="F175" s="35">
        <v>10</v>
      </c>
      <c r="G175" s="51">
        <v>105</v>
      </c>
      <c r="H175" s="52"/>
      <c r="I175" s="52"/>
      <c r="J175" s="13"/>
      <c r="K175" s="128">
        <f>INDEX([1]Monoprix!$F:$F,MATCH(D175,[1]Monoprix!$C:$C,0))</f>
        <v>0.27083333333333331</v>
      </c>
      <c r="L175" s="133">
        <f>INDEX([1]Monoprix!$G:$G,MATCH(D175,[1]Monoprix!$C:$C,0))</f>
        <v>0.89583333333333337</v>
      </c>
      <c r="M175" s="143" t="str">
        <f>INDEX([1]Monoprix!$H:$H,MATCH(D175,[1]Monoprix!$C:$C,0))</f>
        <v>-</v>
      </c>
      <c r="N175" s="143" t="str">
        <f>INDEX([1]Monoprix!$I:$I,MATCH(D175,[1]Monoprix!$C:$C,0))</f>
        <v>-</v>
      </c>
      <c r="O175" s="144"/>
      <c r="P175" s="145"/>
      <c r="Q175" s="94" t="s">
        <v>148</v>
      </c>
    </row>
    <row r="176" spans="1:17" x14ac:dyDescent="0.25">
      <c r="A176" s="12" t="s">
        <v>533</v>
      </c>
      <c r="B176" s="25" t="s">
        <v>2</v>
      </c>
      <c r="C176" s="53" t="s">
        <v>374</v>
      </c>
      <c r="D176" s="53" t="s">
        <v>335</v>
      </c>
      <c r="E176" s="55">
        <v>40</v>
      </c>
      <c r="F176" s="89">
        <v>35</v>
      </c>
      <c r="G176" s="121">
        <v>40</v>
      </c>
      <c r="H176" s="52"/>
      <c r="I176" s="52"/>
      <c r="J176" s="13"/>
      <c r="K176" s="128">
        <f>INDEX([1]Monoprix!$F:$F,MATCH(D176,[1]Monoprix!$C:$C,0))</f>
        <v>0.25</v>
      </c>
      <c r="L176" s="133">
        <f>INDEX([1]Monoprix!$G:$G,MATCH(D176,[1]Monoprix!$C:$C,0))</f>
        <v>0.91666666666666663</v>
      </c>
      <c r="M176" s="143">
        <f>INDEX([1]Monoprix!$H:$H,MATCH(D176,[1]Monoprix!$C:$C,0))</f>
        <v>0.25</v>
      </c>
      <c r="N176" s="143">
        <f>INDEX([1]Monoprix!$I:$I,MATCH(D176,[1]Monoprix!$C:$C,0))</f>
        <v>0.83333333333333337</v>
      </c>
      <c r="O176" s="144"/>
      <c r="P176" s="145"/>
      <c r="Q176" s="94" t="s">
        <v>685</v>
      </c>
    </row>
    <row r="177" spans="1:17" x14ac:dyDescent="0.25">
      <c r="A177" s="12" t="s">
        <v>533</v>
      </c>
      <c r="B177" s="57" t="s">
        <v>2</v>
      </c>
      <c r="C177" s="53" t="s">
        <v>454</v>
      </c>
      <c r="D177" s="53" t="s">
        <v>365</v>
      </c>
      <c r="E177" s="55">
        <v>55</v>
      </c>
      <c r="F177" s="89">
        <v>55</v>
      </c>
      <c r="G177" s="121">
        <v>60</v>
      </c>
      <c r="H177" s="52"/>
      <c r="I177" s="52"/>
      <c r="J177" s="13"/>
      <c r="K177" s="128">
        <f>INDEX([1]Monoprix!$F:$F,MATCH(D177,[1]Monoprix!$C:$C,0))</f>
        <v>0.25</v>
      </c>
      <c r="L177" s="133">
        <f>INDEX([1]Monoprix!$G:$G,MATCH(D177,[1]Monoprix!$C:$C,0))</f>
        <v>0.91666666666666663</v>
      </c>
      <c r="M177" s="143">
        <f>INDEX([1]Monoprix!$H:$H,MATCH(D177,[1]Monoprix!$C:$C,0))</f>
        <v>0.27083333333333331</v>
      </c>
      <c r="N177" s="143">
        <f>INDEX([1]Monoprix!$I:$I,MATCH(D177,[1]Monoprix!$C:$C,0))</f>
        <v>0.85416666666666663</v>
      </c>
      <c r="O177" s="144"/>
      <c r="P177" s="145"/>
      <c r="Q177" s="94" t="s">
        <v>686</v>
      </c>
    </row>
    <row r="178" spans="1:17" x14ac:dyDescent="0.25">
      <c r="A178" s="12" t="s">
        <v>530</v>
      </c>
      <c r="B178" s="57" t="s">
        <v>2</v>
      </c>
      <c r="C178" s="53" t="s">
        <v>455</v>
      </c>
      <c r="D178" s="53" t="s">
        <v>366</v>
      </c>
      <c r="E178" s="55">
        <v>35</v>
      </c>
      <c r="F178" s="35">
        <v>60</v>
      </c>
      <c r="G178" s="121">
        <v>55</v>
      </c>
      <c r="H178" s="52"/>
      <c r="I178" s="52"/>
      <c r="J178" s="13"/>
      <c r="K178" s="128">
        <f>INDEX([1]Monoprix!$F:$F,MATCH(D178,[1]Monoprix!$C:$C,0))</f>
        <v>0.22916666666666666</v>
      </c>
      <c r="L178" s="133">
        <f>INDEX([1]Monoprix!$G:$G,MATCH(D178,[1]Monoprix!$C:$C,0))</f>
        <v>0.89583333333333337</v>
      </c>
      <c r="M178" s="143">
        <f>INDEX([1]Monoprix!$H:$H,MATCH(D178,[1]Monoprix!$C:$C,0))</f>
        <v>0.3125</v>
      </c>
      <c r="N178" s="143">
        <f>INDEX([1]Monoprix!$I:$I,MATCH(D178,[1]Monoprix!$C:$C,0))</f>
        <v>0.83333333333333337</v>
      </c>
      <c r="O178" s="144"/>
      <c r="P178" s="145"/>
      <c r="Q178" s="94" t="s">
        <v>687</v>
      </c>
    </row>
    <row r="179" spans="1:17" x14ac:dyDescent="0.25">
      <c r="A179" s="12" t="s">
        <v>530</v>
      </c>
      <c r="B179" s="57" t="s">
        <v>2</v>
      </c>
      <c r="C179" s="53" t="s">
        <v>456</v>
      </c>
      <c r="D179" s="53" t="s">
        <v>367</v>
      </c>
      <c r="E179" s="55">
        <v>60</v>
      </c>
      <c r="F179" s="89">
        <v>55</v>
      </c>
      <c r="G179" s="121">
        <v>65</v>
      </c>
      <c r="H179" s="52"/>
      <c r="I179" s="52"/>
      <c r="J179" s="13"/>
      <c r="K179" s="128">
        <f>INDEX([1]Monoprix!$F:$F,MATCH(D179,[1]Monoprix!$C:$C,0))</f>
        <v>0.25</v>
      </c>
      <c r="L179" s="133">
        <f>INDEX([1]Monoprix!$G:$G,MATCH(D179,[1]Monoprix!$C:$C,0))</f>
        <v>0.90972222222222221</v>
      </c>
      <c r="M179" s="143">
        <f>INDEX([1]Monoprix!$H:$H,MATCH(D179,[1]Monoprix!$C:$C,0))</f>
        <v>0.29166666666666669</v>
      </c>
      <c r="N179" s="143">
        <f>INDEX([1]Monoprix!$I:$I,MATCH(D179,[1]Monoprix!$C:$C,0))</f>
        <v>0.83333333333333337</v>
      </c>
      <c r="O179" s="144"/>
      <c r="P179" s="145"/>
      <c r="Q179" s="94" t="s">
        <v>688</v>
      </c>
    </row>
    <row r="180" spans="1:17" x14ac:dyDescent="0.25">
      <c r="A180" s="12" t="s">
        <v>530</v>
      </c>
      <c r="B180" s="57" t="s">
        <v>2</v>
      </c>
      <c r="C180" s="53" t="s">
        <v>457</v>
      </c>
      <c r="D180" s="53" t="s">
        <v>368</v>
      </c>
      <c r="E180" s="42">
        <v>35</v>
      </c>
      <c r="F180" s="35">
        <v>70</v>
      </c>
      <c r="G180" s="121">
        <v>45</v>
      </c>
      <c r="H180" s="52"/>
      <c r="I180" s="52"/>
      <c r="J180" s="13"/>
      <c r="K180" s="128">
        <f>INDEX([1]Monoprix!$F:$F,MATCH(D180,[1]Monoprix!$C:$C,0))</f>
        <v>0.24305555555555555</v>
      </c>
      <c r="L180" s="133">
        <f>INDEX([1]Monoprix!$G:$G,MATCH(D180,[1]Monoprix!$C:$C,0))</f>
        <v>0.92361111111111116</v>
      </c>
      <c r="M180" s="143">
        <f>INDEX([1]Monoprix!$H:$H,MATCH(D180,[1]Monoprix!$C:$C,0))</f>
        <v>0.29166666666666669</v>
      </c>
      <c r="N180" s="143">
        <f>INDEX([1]Monoprix!$I:$I,MATCH(D180,[1]Monoprix!$C:$C,0))</f>
        <v>0.83333333333333337</v>
      </c>
      <c r="O180" s="144"/>
      <c r="P180" s="145"/>
      <c r="Q180" s="94" t="s">
        <v>689</v>
      </c>
    </row>
    <row r="181" spans="1:17" ht="38.25" x14ac:dyDescent="0.25">
      <c r="A181" s="12" t="s">
        <v>530</v>
      </c>
      <c r="B181" s="57" t="s">
        <v>2</v>
      </c>
      <c r="C181" s="53" t="s">
        <v>458</v>
      </c>
      <c r="D181" s="53" t="s">
        <v>369</v>
      </c>
      <c r="E181" s="55">
        <v>45</v>
      </c>
      <c r="F181" s="35">
        <v>45</v>
      </c>
      <c r="G181" s="121">
        <v>45</v>
      </c>
      <c r="H181" s="52"/>
      <c r="I181" s="52"/>
      <c r="J181" s="13"/>
      <c r="K181" s="128">
        <v>0.20833333333333334</v>
      </c>
      <c r="L181" s="133">
        <v>0.875</v>
      </c>
      <c r="M181" s="143">
        <v>0.20833333333333334</v>
      </c>
      <c r="N181" s="143">
        <v>0.58333333333333337</v>
      </c>
      <c r="O181" s="144" t="s">
        <v>823</v>
      </c>
      <c r="P181" s="145"/>
      <c r="Q181" s="94" t="s">
        <v>690</v>
      </c>
    </row>
    <row r="182" spans="1:17" x14ac:dyDescent="0.25">
      <c r="A182" s="12" t="s">
        <v>530</v>
      </c>
      <c r="B182" s="57" t="s">
        <v>2</v>
      </c>
      <c r="C182" s="53" t="s">
        <v>417</v>
      </c>
      <c r="D182" s="53" t="s">
        <v>370</v>
      </c>
      <c r="E182" s="26">
        <v>35</v>
      </c>
      <c r="F182" s="35">
        <v>35</v>
      </c>
      <c r="G182" s="51">
        <v>40</v>
      </c>
      <c r="H182" s="52"/>
      <c r="I182" s="52"/>
      <c r="J182" s="13"/>
      <c r="K182" s="128">
        <f>INDEX([1]Monoprix!$F:$F,MATCH(D182,[1]Monoprix!$C:$C,0))</f>
        <v>0.22916666666666666</v>
      </c>
      <c r="L182" s="133">
        <f>INDEX([1]Monoprix!$G:$G,MATCH(D182,[1]Monoprix!$C:$C,0))</f>
        <v>0.85416666666666663</v>
      </c>
      <c r="M182" s="143">
        <f>INDEX([1]Monoprix!$H:$H,MATCH(D182,[1]Monoprix!$C:$C,0))</f>
        <v>0.32291666666666669</v>
      </c>
      <c r="N182" s="143">
        <f>INDEX([1]Monoprix!$I:$I,MATCH(D182,[1]Monoprix!$C:$C,0))</f>
        <v>0.55555555555555558</v>
      </c>
      <c r="O182" s="144"/>
      <c r="P182" s="145"/>
      <c r="Q182" s="94" t="s">
        <v>691</v>
      </c>
    </row>
    <row r="183" spans="1:17" x14ac:dyDescent="0.25">
      <c r="A183" s="16" t="s">
        <v>530</v>
      </c>
      <c r="B183" s="57" t="s">
        <v>2</v>
      </c>
      <c r="C183" s="53" t="s">
        <v>459</v>
      </c>
      <c r="D183" s="53" t="s">
        <v>371</v>
      </c>
      <c r="E183" s="58">
        <v>30</v>
      </c>
      <c r="F183" s="35">
        <v>45</v>
      </c>
      <c r="G183" s="121">
        <v>30</v>
      </c>
      <c r="H183" s="59"/>
      <c r="I183" s="59"/>
      <c r="J183" s="60"/>
      <c r="K183" s="128">
        <f>INDEX([1]Monoprix!$F:$F,MATCH(D183,[1]Monoprix!$C:$C,0))</f>
        <v>0.25</v>
      </c>
      <c r="L183" s="133">
        <f>INDEX([1]Monoprix!$G:$G,MATCH(D183,[1]Monoprix!$C:$C,0))</f>
        <v>0.88888888888888884</v>
      </c>
      <c r="M183" s="143" t="str">
        <f>INDEX([1]Monoprix!$H:$H,MATCH(D183,[1]Monoprix!$C:$C,0))</f>
        <v>-</v>
      </c>
      <c r="N183" s="143" t="str">
        <f>INDEX([1]Monoprix!$I:$I,MATCH(D183,[1]Monoprix!$C:$C,0))</f>
        <v>-</v>
      </c>
      <c r="O183" s="144"/>
      <c r="P183" s="145"/>
      <c r="Q183" s="94" t="s">
        <v>692</v>
      </c>
    </row>
    <row r="184" spans="1:17" x14ac:dyDescent="0.25">
      <c r="A184" s="12" t="s">
        <v>530</v>
      </c>
      <c r="B184" s="57" t="s">
        <v>2</v>
      </c>
      <c r="C184" s="22" t="s">
        <v>460</v>
      </c>
      <c r="D184" s="22" t="s">
        <v>375</v>
      </c>
      <c r="E184" s="61">
        <v>25</v>
      </c>
      <c r="F184" s="24">
        <v>25</v>
      </c>
      <c r="G184" s="51">
        <v>30</v>
      </c>
      <c r="H184" s="62"/>
      <c r="I184" s="62"/>
      <c r="J184" s="62"/>
      <c r="K184" s="128">
        <f>INDEX([1]Monoprix!$F:$F,MATCH(D184,[1]Monoprix!$C:$C,0))</f>
        <v>0.25</v>
      </c>
      <c r="L184" s="133">
        <f>INDEX([1]Monoprix!$G:$G,MATCH(D184,[1]Monoprix!$C:$C,0))</f>
        <v>0.88888888888888884</v>
      </c>
      <c r="M184" s="143">
        <f>INDEX([1]Monoprix!$H:$H,MATCH(D184,[1]Monoprix!$C:$C,0))</f>
        <v>0.29166666666666669</v>
      </c>
      <c r="N184" s="143">
        <f>INDEX([1]Monoprix!$I:$I,MATCH(D184,[1]Monoprix!$C:$C,0))</f>
        <v>0.54166666666666663</v>
      </c>
      <c r="O184" s="96"/>
      <c r="P184" s="95"/>
      <c r="Q184" s="94" t="s">
        <v>693</v>
      </c>
    </row>
    <row r="185" spans="1:17" x14ac:dyDescent="0.25">
      <c r="A185" s="16" t="s">
        <v>530</v>
      </c>
      <c r="B185" s="57" t="s">
        <v>2</v>
      </c>
      <c r="C185" s="27" t="s">
        <v>418</v>
      </c>
      <c r="D185" s="27" t="s">
        <v>376</v>
      </c>
      <c r="E185" s="63">
        <v>50</v>
      </c>
      <c r="F185" s="93">
        <v>40</v>
      </c>
      <c r="G185" s="121">
        <v>55</v>
      </c>
      <c r="H185" s="62"/>
      <c r="I185" s="62"/>
      <c r="J185" s="62"/>
      <c r="K185" s="128">
        <f>INDEX([1]Monoprix!$F:$F,MATCH(D185,[1]Monoprix!$C:$C,0))</f>
        <v>0.22916666666666666</v>
      </c>
      <c r="L185" s="133">
        <f>INDEX([1]Monoprix!$G:$G,MATCH(D185,[1]Monoprix!$C:$C,0))</f>
        <v>0.875</v>
      </c>
      <c r="M185" s="143">
        <f>INDEX([1]Monoprix!$H:$H,MATCH(D185,[1]Monoprix!$C:$C,0))</f>
        <v>0.29166666666666669</v>
      </c>
      <c r="N185" s="143">
        <f>INDEX([1]Monoprix!$I:$I,MATCH(D185,[1]Monoprix!$C:$C,0))</f>
        <v>0.5625</v>
      </c>
      <c r="O185" s="96"/>
      <c r="P185" s="95"/>
      <c r="Q185" s="94" t="s">
        <v>694</v>
      </c>
    </row>
    <row r="186" spans="1:17" x14ac:dyDescent="0.25">
      <c r="A186" s="12" t="s">
        <v>530</v>
      </c>
      <c r="B186" s="57" t="s">
        <v>2</v>
      </c>
      <c r="C186" s="27" t="s">
        <v>461</v>
      </c>
      <c r="D186" s="27" t="s">
        <v>377</v>
      </c>
      <c r="E186" s="63">
        <v>45</v>
      </c>
      <c r="F186" s="24">
        <v>50</v>
      </c>
      <c r="G186" s="121">
        <v>55</v>
      </c>
      <c r="H186" s="64"/>
      <c r="I186" s="62"/>
      <c r="J186" s="62"/>
      <c r="K186" s="128">
        <f>INDEX([1]Monoprix!$F:$F,MATCH(D186,[1]Monoprix!$C:$C,0))</f>
        <v>0.27083333333333331</v>
      </c>
      <c r="L186" s="133">
        <f>INDEX([1]Monoprix!$G:$G,MATCH(D186,[1]Monoprix!$C:$C,0))</f>
        <v>0.875</v>
      </c>
      <c r="M186" s="143">
        <f>INDEX([1]Monoprix!$H:$H,MATCH(D186,[1]Monoprix!$C:$C,0))</f>
        <v>0.3125</v>
      </c>
      <c r="N186" s="143">
        <f>INDEX([1]Monoprix!$I:$I,MATCH(D186,[1]Monoprix!$C:$C,0))</f>
        <v>0.83333333333333337</v>
      </c>
      <c r="O186" s="96"/>
      <c r="P186" s="95"/>
      <c r="Q186" s="94" t="s">
        <v>695</v>
      </c>
    </row>
    <row r="187" spans="1:17" x14ac:dyDescent="0.25">
      <c r="A187" s="16" t="s">
        <v>530</v>
      </c>
      <c r="B187" s="57" t="s">
        <v>39</v>
      </c>
      <c r="C187" s="27" t="s">
        <v>405</v>
      </c>
      <c r="D187" s="31" t="s">
        <v>388</v>
      </c>
      <c r="E187" s="42">
        <v>15</v>
      </c>
      <c r="F187" s="35">
        <v>50</v>
      </c>
      <c r="G187" s="51">
        <v>55</v>
      </c>
      <c r="H187" s="62"/>
      <c r="I187" s="65"/>
      <c r="J187" s="62"/>
      <c r="K187" s="128">
        <f>INDEX([1]Monoprix!$F:$F,MATCH(D187,[1]Monoprix!$C:$C,0))</f>
        <v>0.23611111111111113</v>
      </c>
      <c r="L187" s="133">
        <f>INDEX([1]Monoprix!$G:$G,MATCH(D187,[1]Monoprix!$C:$C,0))</f>
        <v>0.95833333333333337</v>
      </c>
      <c r="M187" s="143" t="str">
        <f>INDEX([1]Monoprix!$H:$H,MATCH(D187,[1]Monoprix!$C:$C,0))</f>
        <v>-</v>
      </c>
      <c r="N187" s="143" t="str">
        <f>INDEX([1]Monoprix!$I:$I,MATCH(D187,[1]Monoprix!$C:$C,0))</f>
        <v>-</v>
      </c>
      <c r="O187" s="96"/>
      <c r="P187" s="95"/>
      <c r="Q187" s="94" t="s">
        <v>148</v>
      </c>
    </row>
    <row r="188" spans="1:17" x14ac:dyDescent="0.25">
      <c r="A188" s="16" t="s">
        <v>530</v>
      </c>
      <c r="B188" s="25" t="s">
        <v>2</v>
      </c>
      <c r="C188" s="27" t="s">
        <v>406</v>
      </c>
      <c r="D188" s="31" t="s">
        <v>394</v>
      </c>
      <c r="E188" s="66">
        <v>30</v>
      </c>
      <c r="F188" s="67">
        <v>25</v>
      </c>
      <c r="G188" s="121">
        <v>35</v>
      </c>
      <c r="H188" s="62"/>
      <c r="I188" s="65"/>
      <c r="J188" s="62"/>
      <c r="K188" s="128">
        <f>INDEX([1]Monoprix!$F:$F,MATCH(D188,[1]Monoprix!$C:$C,0))</f>
        <v>0.25</v>
      </c>
      <c r="L188" s="133">
        <f>INDEX([1]Monoprix!$G:$G,MATCH(D188,[1]Monoprix!$C:$C,0))</f>
        <v>0.89583333333333337</v>
      </c>
      <c r="M188" s="143">
        <f>INDEX([1]Monoprix!$H:$H,MATCH(D188,[1]Monoprix!$C:$C,0))</f>
        <v>0.29166666666666669</v>
      </c>
      <c r="N188" s="143">
        <f>INDEX([1]Monoprix!$I:$I,MATCH(D188,[1]Monoprix!$C:$C,0))</f>
        <v>0.5625</v>
      </c>
      <c r="O188" s="96"/>
      <c r="P188" s="95"/>
      <c r="Q188" s="94" t="s">
        <v>696</v>
      </c>
    </row>
    <row r="189" spans="1:17" x14ac:dyDescent="0.25">
      <c r="A189" s="12" t="s">
        <v>530</v>
      </c>
      <c r="B189" s="57" t="s">
        <v>2</v>
      </c>
      <c r="C189" s="27" t="s">
        <v>407</v>
      </c>
      <c r="D189" s="27" t="s">
        <v>393</v>
      </c>
      <c r="E189" s="58">
        <v>60</v>
      </c>
      <c r="F189" s="91">
        <v>55</v>
      </c>
      <c r="G189" s="121">
        <v>60</v>
      </c>
      <c r="H189" s="62"/>
      <c r="I189" s="65"/>
      <c r="J189" s="62"/>
      <c r="K189" s="128">
        <f>INDEX([1]Monoprix!$F:$F,MATCH(D189,[1]Monoprix!$C:$C,0))</f>
        <v>0.23958333333333334</v>
      </c>
      <c r="L189" s="133">
        <f>INDEX([1]Monoprix!$G:$G,MATCH(D189,[1]Monoprix!$C:$C,0))</f>
        <v>0.85416666666666663</v>
      </c>
      <c r="M189" s="143">
        <f>INDEX([1]Monoprix!$H:$H,MATCH(D189,[1]Monoprix!$C:$C,0))</f>
        <v>0.3125</v>
      </c>
      <c r="N189" s="143">
        <f>INDEX([1]Monoprix!$I:$I,MATCH(D189,[1]Monoprix!$C:$C,0))</f>
        <v>0.54861111111111105</v>
      </c>
      <c r="O189" s="96"/>
      <c r="P189" s="95"/>
      <c r="Q189" s="94" t="s">
        <v>697</v>
      </c>
    </row>
    <row r="190" spans="1:17" x14ac:dyDescent="0.25">
      <c r="A190" s="16" t="s">
        <v>530</v>
      </c>
      <c r="B190" s="57" t="s">
        <v>2</v>
      </c>
      <c r="C190" s="27" t="s">
        <v>408</v>
      </c>
      <c r="D190" s="27" t="s">
        <v>392</v>
      </c>
      <c r="E190" s="68">
        <v>65</v>
      </c>
      <c r="F190" s="67">
        <v>55</v>
      </c>
      <c r="G190" s="121">
        <v>110</v>
      </c>
      <c r="H190" s="62"/>
      <c r="I190" s="65"/>
      <c r="J190" s="62"/>
      <c r="K190" s="128">
        <f>INDEX([1]Monoprix!$F:$F,MATCH(D190,[1]Monoprix!$C:$C,0))</f>
        <v>0.20833333333333334</v>
      </c>
      <c r="L190" s="133">
        <f>INDEX([1]Monoprix!$G:$G,MATCH(D190,[1]Monoprix!$C:$C,0))</f>
        <v>0.83333333333333337</v>
      </c>
      <c r="M190" s="143">
        <f>INDEX([1]Monoprix!$H:$H,MATCH(D190,[1]Monoprix!$C:$C,0))</f>
        <v>0.28472222222222221</v>
      </c>
      <c r="N190" s="143">
        <f>INDEX([1]Monoprix!$I:$I,MATCH(D190,[1]Monoprix!$C:$C,0))</f>
        <v>0.77083333333333337</v>
      </c>
      <c r="O190" s="96"/>
      <c r="P190" s="95"/>
      <c r="Q190" s="94" t="s">
        <v>698</v>
      </c>
    </row>
    <row r="191" spans="1:17" x14ac:dyDescent="0.25">
      <c r="A191" s="12" t="s">
        <v>530</v>
      </c>
      <c r="B191" s="57" t="s">
        <v>2</v>
      </c>
      <c r="C191" s="27" t="s">
        <v>409</v>
      </c>
      <c r="D191" s="27" t="s">
        <v>391</v>
      </c>
      <c r="E191" s="28">
        <v>55</v>
      </c>
      <c r="F191" s="67">
        <v>55</v>
      </c>
      <c r="G191" s="121">
        <v>55</v>
      </c>
      <c r="H191" s="62"/>
      <c r="I191" s="65"/>
      <c r="J191" s="62"/>
      <c r="K191" s="128">
        <f>INDEX([1]Monoprix!$F:$F,MATCH(D191,[1]Monoprix!$C:$C,0))</f>
        <v>0.21527777777777779</v>
      </c>
      <c r="L191" s="133">
        <f>INDEX([1]Monoprix!$G:$G,MATCH(D191,[1]Monoprix!$C:$C,0))</f>
        <v>0.77083333333333337</v>
      </c>
      <c r="M191" s="143">
        <f>INDEX([1]Monoprix!$H:$H,MATCH(D191,[1]Monoprix!$C:$C,0))</f>
        <v>0.25</v>
      </c>
      <c r="N191" s="143">
        <f>INDEX([1]Monoprix!$I:$I,MATCH(D191,[1]Monoprix!$C:$C,0))</f>
        <v>0.77083333333333337</v>
      </c>
      <c r="O191" s="96"/>
      <c r="P191" s="95"/>
      <c r="Q191" s="94" t="s">
        <v>699</v>
      </c>
    </row>
    <row r="192" spans="1:17" x14ac:dyDescent="0.25">
      <c r="A192" s="16" t="s">
        <v>530</v>
      </c>
      <c r="B192" s="57" t="s">
        <v>2</v>
      </c>
      <c r="C192" s="27" t="s">
        <v>381</v>
      </c>
      <c r="D192" s="27" t="s">
        <v>390</v>
      </c>
      <c r="E192" s="28">
        <v>25</v>
      </c>
      <c r="F192" s="67">
        <v>55</v>
      </c>
      <c r="G192" s="51">
        <v>55</v>
      </c>
      <c r="H192" s="62"/>
      <c r="I192" s="65"/>
      <c r="J192" s="62"/>
      <c r="K192" s="128">
        <f>INDEX([1]Monoprix!$F:$F,MATCH(D192,[1]Monoprix!$C:$C,0))</f>
        <v>0.23611111111111113</v>
      </c>
      <c r="L192" s="133">
        <f>INDEX([1]Monoprix!$G:$G,MATCH(D192,[1]Monoprix!$C:$C,0))</f>
        <v>0.875</v>
      </c>
      <c r="M192" s="143">
        <f>INDEX([1]Monoprix!$H:$H,MATCH(D192,[1]Monoprix!$C:$C,0))</f>
        <v>0.28472222222222221</v>
      </c>
      <c r="N192" s="143">
        <f>INDEX([1]Monoprix!$I:$I,MATCH(D192,[1]Monoprix!$C:$C,0))</f>
        <v>0.54861111111111105</v>
      </c>
      <c r="O192" s="96"/>
      <c r="P192" s="95"/>
      <c r="Q192" s="94" t="s">
        <v>700</v>
      </c>
    </row>
    <row r="193" spans="1:17" x14ac:dyDescent="0.25">
      <c r="A193" s="12" t="s">
        <v>530</v>
      </c>
      <c r="B193" s="57" t="s">
        <v>2</v>
      </c>
      <c r="C193" s="27" t="s">
        <v>382</v>
      </c>
      <c r="D193" s="27" t="s">
        <v>527</v>
      </c>
      <c r="E193" s="68">
        <v>5</v>
      </c>
      <c r="F193" s="92">
        <v>5</v>
      </c>
      <c r="G193" s="121">
        <v>5</v>
      </c>
      <c r="H193" s="62"/>
      <c r="I193" s="65"/>
      <c r="J193" s="62"/>
      <c r="K193" s="128">
        <f>INDEX([1]Monoprix!$F:$F,MATCH(D193,[1]Monoprix!$C:$C,0))</f>
        <v>0.19444444444444445</v>
      </c>
      <c r="L193" s="133">
        <f>INDEX([1]Monoprix!$G:$G,MATCH(D193,[1]Monoprix!$C:$C,0))</f>
        <v>0.95833333333333337</v>
      </c>
      <c r="M193" s="143">
        <f>INDEX([1]Monoprix!$H:$H,MATCH(D193,[1]Monoprix!$C:$C,0))</f>
        <v>0.27777777777777779</v>
      </c>
      <c r="N193" s="143">
        <f>INDEX([1]Monoprix!$I:$I,MATCH(D193,[1]Monoprix!$C:$C,0))</f>
        <v>0.85416666666666663</v>
      </c>
      <c r="O193" s="96"/>
      <c r="P193" s="95"/>
      <c r="Q193" s="94" t="s">
        <v>701</v>
      </c>
    </row>
    <row r="194" spans="1:17" hidden="1" x14ac:dyDescent="0.25">
      <c r="A194" s="16" t="s">
        <v>530</v>
      </c>
      <c r="B194" s="57" t="s">
        <v>792</v>
      </c>
      <c r="C194" s="27" t="s">
        <v>383</v>
      </c>
      <c r="D194" s="27" t="s">
        <v>389</v>
      </c>
      <c r="E194" s="28">
        <v>10</v>
      </c>
      <c r="F194" s="35">
        <v>10</v>
      </c>
      <c r="G194" s="121">
        <v>10</v>
      </c>
      <c r="H194" s="62"/>
      <c r="I194" s="65"/>
      <c r="J194" s="62"/>
      <c r="K194" s="62"/>
      <c r="L194" s="13">
        <v>5</v>
      </c>
      <c r="M194" s="136" t="s">
        <v>148</v>
      </c>
      <c r="N194" s="139" t="s">
        <v>522</v>
      </c>
      <c r="O194" s="140"/>
      <c r="P194" s="139"/>
      <c r="Q194" s="136" t="s">
        <v>148</v>
      </c>
    </row>
    <row r="195" spans="1:17" x14ac:dyDescent="0.25">
      <c r="A195" s="12" t="s">
        <v>530</v>
      </c>
      <c r="B195" s="25" t="s">
        <v>39</v>
      </c>
      <c r="C195" s="27" t="s">
        <v>378</v>
      </c>
      <c r="D195" s="27" t="s">
        <v>413</v>
      </c>
      <c r="E195" s="68">
        <v>15</v>
      </c>
      <c r="F195" s="35">
        <v>15</v>
      </c>
      <c r="G195" s="121">
        <v>15</v>
      </c>
      <c r="H195" s="62"/>
      <c r="I195" s="65"/>
      <c r="J195" s="62"/>
      <c r="K195" s="128">
        <f>INDEX([1]Monoprix!$F:$F,MATCH(D195,[1]Monoprix!$C:$C,0))</f>
        <v>0.24305555555555555</v>
      </c>
      <c r="L195" s="133">
        <f>INDEX([1]Monoprix!$G:$G,MATCH(D195,[1]Monoprix!$C:$C,0))</f>
        <v>0.86111111111111116</v>
      </c>
      <c r="M195" s="143">
        <f>INDEX([1]Monoprix!$H:$H,MATCH(D195,[1]Monoprix!$C:$C,0))</f>
        <v>0.28472222222222221</v>
      </c>
      <c r="N195" s="143">
        <f>INDEX([1]Monoprix!$I:$I,MATCH(D195,[1]Monoprix!$C:$C,0))</f>
        <v>0.55555555555555558</v>
      </c>
      <c r="O195" s="96"/>
      <c r="P195" s="95"/>
      <c r="Q195" s="94" t="s">
        <v>148</v>
      </c>
    </row>
    <row r="196" spans="1:17" x14ac:dyDescent="0.25">
      <c r="A196" s="16" t="s">
        <v>530</v>
      </c>
      <c r="B196" s="25" t="s">
        <v>39</v>
      </c>
      <c r="C196" s="27" t="s">
        <v>379</v>
      </c>
      <c r="D196" s="27" t="s">
        <v>398</v>
      </c>
      <c r="E196" s="28">
        <v>15</v>
      </c>
      <c r="F196" s="35">
        <v>15</v>
      </c>
      <c r="G196" s="51">
        <v>15</v>
      </c>
      <c r="H196" s="62"/>
      <c r="I196" s="65"/>
      <c r="J196" s="62"/>
      <c r="K196" s="128">
        <f>INDEX([1]Monoprix!$F:$F,MATCH(D196,[1]Monoprix!$C:$C,0))</f>
        <v>0.25</v>
      </c>
      <c r="L196" s="133">
        <f>INDEX([1]Monoprix!$G:$G,MATCH(D196,[1]Monoprix!$C:$C,0))</f>
        <v>0.95833333333333337</v>
      </c>
      <c r="M196" s="143" t="str">
        <f>INDEX([1]Monoprix!$H:$H,MATCH(D196,[1]Monoprix!$C:$C,0))</f>
        <v>-</v>
      </c>
      <c r="N196" s="143" t="str">
        <f>INDEX([1]Monoprix!$I:$I,MATCH(D196,[1]Monoprix!$C:$C,0))</f>
        <v>-</v>
      </c>
      <c r="O196" s="96"/>
      <c r="P196" s="95"/>
      <c r="Q196" s="94" t="s">
        <v>148</v>
      </c>
    </row>
    <row r="197" spans="1:17" x14ac:dyDescent="0.25">
      <c r="A197" s="12" t="s">
        <v>530</v>
      </c>
      <c r="B197" s="25" t="s">
        <v>2</v>
      </c>
      <c r="C197" s="27" t="s">
        <v>384</v>
      </c>
      <c r="D197" s="27" t="s">
        <v>385</v>
      </c>
      <c r="E197" s="28">
        <v>40</v>
      </c>
      <c r="F197" s="91">
        <v>40</v>
      </c>
      <c r="G197" s="121">
        <v>50</v>
      </c>
      <c r="H197" s="62"/>
      <c r="I197" s="65"/>
      <c r="J197" s="62"/>
      <c r="K197" s="128">
        <f>INDEX([1]Monoprix!$F:$F,MATCH(D197,[1]Monoprix!$C:$C,0))</f>
        <v>0.23611111111111113</v>
      </c>
      <c r="L197" s="133">
        <f>INDEX([1]Monoprix!$G:$G,MATCH(D197,[1]Monoprix!$C:$C,0))</f>
        <v>0.91666666666666663</v>
      </c>
      <c r="M197" s="143">
        <f>INDEX([1]Monoprix!$H:$H,MATCH(D197,[1]Monoprix!$C:$C,0))</f>
        <v>0.2638888888888889</v>
      </c>
      <c r="N197" s="143">
        <f>INDEX([1]Monoprix!$I:$I,MATCH(D197,[1]Monoprix!$C:$C,0))</f>
        <v>0.83333333333333337</v>
      </c>
      <c r="O197" s="96"/>
      <c r="P197" s="95"/>
      <c r="Q197" s="94" t="s">
        <v>702</v>
      </c>
    </row>
    <row r="198" spans="1:17" hidden="1" x14ac:dyDescent="0.25">
      <c r="A198" s="16" t="s">
        <v>530</v>
      </c>
      <c r="B198" s="57" t="s">
        <v>792</v>
      </c>
      <c r="C198" s="27" t="s">
        <v>386</v>
      </c>
      <c r="D198" s="27" t="s">
        <v>387</v>
      </c>
      <c r="E198" s="28">
        <v>35</v>
      </c>
      <c r="F198" s="67">
        <v>50</v>
      </c>
      <c r="G198" s="121">
        <v>75</v>
      </c>
      <c r="H198" s="62"/>
      <c r="I198" s="65"/>
      <c r="J198" s="62"/>
      <c r="K198" s="128">
        <f>INDEX([1]Monoprix!$F:$F,MATCH(D198,[1]Monoprix!$C:$C,0))</f>
        <v>0.24305555555555555</v>
      </c>
      <c r="L198" s="133">
        <f>INDEX([1]Monoprix!$G:$G,MATCH(D198,[1]Monoprix!$C:$C,0))</f>
        <v>0.84027777777777779</v>
      </c>
      <c r="M198" s="143">
        <f>INDEX([1]Monoprix!$H:$H,MATCH(D198,[1]Monoprix!$C:$C,0))</f>
        <v>0.2986111111111111</v>
      </c>
      <c r="N198" s="143">
        <f>INDEX([1]Monoprix!$I:$I,MATCH(D198,[1]Monoprix!$C:$C,0))</f>
        <v>0.54861111111111105</v>
      </c>
      <c r="O198" s="96"/>
      <c r="P198" s="95"/>
      <c r="Q198" s="94" t="s">
        <v>703</v>
      </c>
    </row>
    <row r="199" spans="1:17" x14ac:dyDescent="0.25">
      <c r="A199" s="12" t="s">
        <v>530</v>
      </c>
      <c r="B199" s="57" t="s">
        <v>2</v>
      </c>
      <c r="C199" s="27" t="s">
        <v>396</v>
      </c>
      <c r="D199" s="27" t="s">
        <v>397</v>
      </c>
      <c r="E199" s="68">
        <v>185</v>
      </c>
      <c r="F199" s="91">
        <v>175</v>
      </c>
      <c r="G199" s="51">
        <v>180</v>
      </c>
      <c r="H199" s="62"/>
      <c r="I199" s="65"/>
      <c r="J199" s="62"/>
      <c r="K199" s="128">
        <f>INDEX([1]Monoprix!$F:$F,MATCH(D199,[1]Monoprix!$C:$C,0))</f>
        <v>0.17361111111111113</v>
      </c>
      <c r="L199" s="133">
        <f>INDEX([1]Monoprix!$G:$G,MATCH(D199,[1]Monoprix!$C:$C,0))</f>
        <v>0.90277777777777779</v>
      </c>
      <c r="M199" s="143">
        <f>INDEX([1]Monoprix!$H:$H,MATCH(D199,[1]Monoprix!$C:$C,0))</f>
        <v>0.25</v>
      </c>
      <c r="N199" s="143">
        <f>INDEX([1]Monoprix!$I:$I,MATCH(D199,[1]Monoprix!$C:$C,0))</f>
        <v>0.55555555555555558</v>
      </c>
      <c r="O199" s="96"/>
      <c r="P199" s="95"/>
      <c r="Q199" s="94" t="s">
        <v>704</v>
      </c>
    </row>
    <row r="200" spans="1:17" hidden="1" x14ac:dyDescent="0.25">
      <c r="A200" s="16" t="s">
        <v>530</v>
      </c>
      <c r="B200" s="57" t="s">
        <v>792</v>
      </c>
      <c r="C200" s="27" t="s">
        <v>400</v>
      </c>
      <c r="D200" s="27" t="s">
        <v>401</v>
      </c>
      <c r="E200" s="28">
        <v>15</v>
      </c>
      <c r="F200" s="35">
        <v>195</v>
      </c>
      <c r="G200" s="51">
        <v>195</v>
      </c>
      <c r="H200" s="62"/>
      <c r="I200" s="65"/>
      <c r="J200" s="62"/>
      <c r="K200" s="62"/>
      <c r="L200" s="13">
        <v>5</v>
      </c>
      <c r="M200" s="136" t="s">
        <v>148</v>
      </c>
      <c r="N200" s="139" t="s">
        <v>524</v>
      </c>
      <c r="O200" s="140"/>
      <c r="P200" s="139"/>
      <c r="Q200" s="136" t="s">
        <v>148</v>
      </c>
    </row>
    <row r="201" spans="1:17" ht="38.25" x14ac:dyDescent="0.25">
      <c r="A201" s="12" t="s">
        <v>530</v>
      </c>
      <c r="B201" s="25" t="s">
        <v>39</v>
      </c>
      <c r="C201" s="27" t="s">
        <v>402</v>
      </c>
      <c r="D201" s="27" t="s">
        <v>829</v>
      </c>
      <c r="E201" s="28">
        <v>15</v>
      </c>
      <c r="F201" s="35">
        <v>15</v>
      </c>
      <c r="G201" s="51">
        <v>15</v>
      </c>
      <c r="H201" s="62"/>
      <c r="I201" s="65"/>
      <c r="J201" s="62"/>
      <c r="K201" s="128">
        <v>0.20833333333333334</v>
      </c>
      <c r="L201" s="133">
        <v>0.83333333333333337</v>
      </c>
      <c r="M201" s="143">
        <v>0.20833333333333334</v>
      </c>
      <c r="N201" s="143">
        <v>0.83333333333333337</v>
      </c>
      <c r="O201" s="144" t="s">
        <v>822</v>
      </c>
      <c r="P201" s="95"/>
      <c r="Q201" s="94" t="s">
        <v>148</v>
      </c>
    </row>
    <row r="202" spans="1:17" x14ac:dyDescent="0.25">
      <c r="A202" s="12" t="s">
        <v>530</v>
      </c>
      <c r="B202" s="25" t="s">
        <v>2</v>
      </c>
      <c r="C202" s="29" t="s">
        <v>403</v>
      </c>
      <c r="D202" s="29" t="s">
        <v>404</v>
      </c>
      <c r="E202" s="28">
        <v>20</v>
      </c>
      <c r="F202" s="91">
        <v>25</v>
      </c>
      <c r="G202" s="121">
        <v>30</v>
      </c>
      <c r="H202" s="62"/>
      <c r="I202" s="65"/>
      <c r="J202" s="62"/>
      <c r="K202" s="128">
        <f>INDEX([1]Monoprix!$F:$F,MATCH(D202,[1]Monoprix!$C:$C,0))</f>
        <v>0.24305555555555555</v>
      </c>
      <c r="L202" s="133">
        <f>INDEX([1]Monoprix!$G:$G,MATCH(D202,[1]Monoprix!$C:$C,0))</f>
        <v>0.90625</v>
      </c>
      <c r="M202" s="143">
        <f>INDEX([1]Monoprix!$H:$H,MATCH(D202,[1]Monoprix!$C:$C,0))</f>
        <v>0.31944444444444448</v>
      </c>
      <c r="N202" s="143">
        <f>INDEX([1]Monoprix!$I:$I,MATCH(D202,[1]Monoprix!$C:$C,0))</f>
        <v>0.54861111111111105</v>
      </c>
      <c r="O202" s="96"/>
      <c r="P202" s="95"/>
      <c r="Q202" s="94" t="s">
        <v>705</v>
      </c>
    </row>
    <row r="203" spans="1:17" x14ac:dyDescent="0.25">
      <c r="A203" s="16" t="s">
        <v>530</v>
      </c>
      <c r="B203" s="57" t="s">
        <v>2</v>
      </c>
      <c r="C203" s="22" t="s">
        <v>411</v>
      </c>
      <c r="D203" s="17" t="s">
        <v>412</v>
      </c>
      <c r="E203" s="32">
        <v>30</v>
      </c>
      <c r="F203" s="69">
        <v>25</v>
      </c>
      <c r="G203" s="51">
        <v>25</v>
      </c>
      <c r="H203" s="64"/>
      <c r="I203" s="70"/>
      <c r="J203" s="64"/>
      <c r="K203" s="128">
        <f>INDEX([1]Monoprix!$F:$F,MATCH(D203,[1]Monoprix!$C:$C,0))</f>
        <v>0.24305555555555555</v>
      </c>
      <c r="L203" s="133">
        <f>INDEX([1]Monoprix!$G:$G,MATCH(D203,[1]Monoprix!$C:$C,0))</f>
        <v>0.875</v>
      </c>
      <c r="M203" s="143">
        <f>INDEX([1]Monoprix!$H:$H,MATCH(D203,[1]Monoprix!$C:$C,0))</f>
        <v>0.31944444444444448</v>
      </c>
      <c r="N203" s="143">
        <f>INDEX([1]Monoprix!$I:$I,MATCH(D203,[1]Monoprix!$C:$C,0))</f>
        <v>0.5625</v>
      </c>
      <c r="O203" s="96"/>
      <c r="P203" s="95"/>
      <c r="Q203" s="94" t="s">
        <v>706</v>
      </c>
    </row>
    <row r="204" spans="1:17" ht="38.25" x14ac:dyDescent="0.25">
      <c r="A204" s="12" t="s">
        <v>533</v>
      </c>
      <c r="B204" s="30" t="s">
        <v>2</v>
      </c>
      <c r="C204" s="27" t="s">
        <v>462</v>
      </c>
      <c r="D204" s="31" t="s">
        <v>410</v>
      </c>
      <c r="E204" s="34">
        <v>30</v>
      </c>
      <c r="F204" s="71">
        <v>40</v>
      </c>
      <c r="G204" s="51">
        <v>40</v>
      </c>
      <c r="H204" s="62"/>
      <c r="I204" s="62"/>
      <c r="J204" s="62"/>
      <c r="K204" s="128">
        <v>0.20833333333333334</v>
      </c>
      <c r="L204" s="133">
        <v>0.91666666666666663</v>
      </c>
      <c r="M204" s="143">
        <v>0.20833333333333334</v>
      </c>
      <c r="N204" s="143">
        <v>0.91666666666666663</v>
      </c>
      <c r="O204" s="144" t="s">
        <v>823</v>
      </c>
      <c r="P204" s="95"/>
      <c r="Q204" s="94" t="s">
        <v>707</v>
      </c>
    </row>
    <row r="205" spans="1:17" x14ac:dyDescent="0.25">
      <c r="A205" s="12" t="s">
        <v>533</v>
      </c>
      <c r="B205" s="18" t="s">
        <v>2</v>
      </c>
      <c r="C205" s="71" t="s">
        <v>380</v>
      </c>
      <c r="D205" s="72" t="s">
        <v>395</v>
      </c>
      <c r="E205" s="34">
        <v>20</v>
      </c>
      <c r="F205" s="73">
        <v>30</v>
      </c>
      <c r="G205" s="51">
        <v>30</v>
      </c>
      <c r="H205" s="62"/>
      <c r="I205" s="62"/>
      <c r="J205" s="62"/>
      <c r="K205" s="128">
        <f>INDEX([1]Monoprix!$F:$F,MATCH(D205,[1]Monoprix!$C:$C,0))</f>
        <v>0.2638888888888889</v>
      </c>
      <c r="L205" s="133">
        <f>INDEX([1]Monoprix!$G:$G,MATCH(D205,[1]Monoprix!$C:$C,0))</f>
        <v>0.95138888888888884</v>
      </c>
      <c r="M205" s="143">
        <f>INDEX([1]Monoprix!$H:$H,MATCH(D205,[1]Monoprix!$C:$C,0))</f>
        <v>0.2638888888888889</v>
      </c>
      <c r="N205" s="143">
        <f>INDEX([1]Monoprix!$I:$I,MATCH(D205,[1]Monoprix!$C:$C,0))</f>
        <v>0.82638888888888884</v>
      </c>
      <c r="O205" s="144" t="s">
        <v>306</v>
      </c>
      <c r="P205" s="95"/>
      <c r="Q205" s="94" t="s">
        <v>708</v>
      </c>
    </row>
    <row r="206" spans="1:17" x14ac:dyDescent="0.25">
      <c r="A206" s="12" t="s">
        <v>533</v>
      </c>
      <c r="B206" s="18" t="s">
        <v>2</v>
      </c>
      <c r="C206" s="73" t="s">
        <v>463</v>
      </c>
      <c r="D206" s="74" t="s">
        <v>464</v>
      </c>
      <c r="E206" s="78">
        <v>50</v>
      </c>
      <c r="F206" s="78">
        <v>50</v>
      </c>
      <c r="G206" s="78">
        <v>50</v>
      </c>
      <c r="H206" s="62"/>
      <c r="I206" s="62"/>
      <c r="J206" s="62"/>
      <c r="K206" s="128">
        <f>INDEX([1]Monoprix!$F:$F,MATCH(D206,[1]Monoprix!$C:$C,0))</f>
        <v>0.25</v>
      </c>
      <c r="L206" s="133">
        <f>INDEX([1]Monoprix!$G:$G,MATCH(D206,[1]Monoprix!$C:$C,0))</f>
        <v>0.88194444444444453</v>
      </c>
      <c r="M206" s="143">
        <f>INDEX([1]Monoprix!$H:$H,MATCH(D206,[1]Monoprix!$C:$C,0))</f>
        <v>0.28472222222222221</v>
      </c>
      <c r="N206" s="143">
        <f>INDEX([1]Monoprix!$I:$I,MATCH(D206,[1]Monoprix!$C:$C,0))</f>
        <v>0.88194444444444453</v>
      </c>
      <c r="O206" s="144"/>
      <c r="P206" s="95"/>
      <c r="Q206" s="94" t="s">
        <v>709</v>
      </c>
    </row>
    <row r="207" spans="1:17" ht="25.5" x14ac:dyDescent="0.25">
      <c r="A207" s="12" t="s">
        <v>533</v>
      </c>
      <c r="B207" s="18" t="s">
        <v>2</v>
      </c>
      <c r="C207" s="73" t="s">
        <v>465</v>
      </c>
      <c r="D207" s="74" t="s">
        <v>475</v>
      </c>
      <c r="E207" s="34">
        <v>20</v>
      </c>
      <c r="F207" s="75">
        <v>15</v>
      </c>
      <c r="G207" s="51">
        <v>50</v>
      </c>
      <c r="H207" s="62"/>
      <c r="I207" s="62"/>
      <c r="J207" s="62"/>
      <c r="K207" s="128">
        <f>INDEX([1]Monoprix!$F:$F,MATCH(D207,[1]Monoprix!$C:$C,0))</f>
        <v>0.25</v>
      </c>
      <c r="L207" s="133">
        <f>INDEX([1]Monoprix!$G:$G,MATCH(D207,[1]Monoprix!$C:$C,0))</f>
        <v>0.81944444444444453</v>
      </c>
      <c r="M207" s="143" t="str">
        <f>INDEX([1]Monoprix!$H:$H,MATCH(D207,[1]Monoprix!$C:$C,0))</f>
        <v>-</v>
      </c>
      <c r="N207" s="143" t="str">
        <f>INDEX([1]Monoprix!$I:$I,MATCH(D207,[1]Monoprix!$C:$C,0))</f>
        <v>-</v>
      </c>
      <c r="O207" s="144" t="s">
        <v>710</v>
      </c>
      <c r="P207" s="95"/>
      <c r="Q207" s="94" t="s">
        <v>711</v>
      </c>
    </row>
    <row r="208" spans="1:17" ht="25.5" x14ac:dyDescent="0.25">
      <c r="A208" s="12" t="s">
        <v>533</v>
      </c>
      <c r="B208" s="21" t="s">
        <v>2</v>
      </c>
      <c r="C208" s="73" t="s">
        <v>466</v>
      </c>
      <c r="D208" s="74" t="s">
        <v>476</v>
      </c>
      <c r="E208" s="34">
        <v>20</v>
      </c>
      <c r="F208" s="75">
        <v>20</v>
      </c>
      <c r="G208" s="51">
        <v>20</v>
      </c>
      <c r="H208" s="62"/>
      <c r="I208" s="62"/>
      <c r="J208" s="62"/>
      <c r="K208" s="128">
        <f>INDEX([1]Monoprix!$F:$F,MATCH(D208,[1]Monoprix!$C:$C,0))</f>
        <v>0.24305555555555555</v>
      </c>
      <c r="L208" s="133">
        <f>INDEX([1]Monoprix!$G:$G,MATCH(D208,[1]Monoprix!$C:$C,0))</f>
        <v>0.84027777777777779</v>
      </c>
      <c r="M208" s="143">
        <f>INDEX([1]Monoprix!$H:$H,MATCH(D208,[1]Monoprix!$C:$C,0))</f>
        <v>0.2986111111111111</v>
      </c>
      <c r="N208" s="143">
        <f>INDEX([1]Monoprix!$I:$I,MATCH(D208,[1]Monoprix!$C:$C,0))</f>
        <v>0.54861111111111105</v>
      </c>
      <c r="O208" s="144" t="s">
        <v>710</v>
      </c>
      <c r="P208" s="95"/>
      <c r="Q208" s="94" t="s">
        <v>712</v>
      </c>
    </row>
    <row r="209" spans="1:17" ht="25.5" x14ac:dyDescent="0.25">
      <c r="A209" s="12" t="s">
        <v>533</v>
      </c>
      <c r="B209" s="76" t="s">
        <v>2</v>
      </c>
      <c r="C209" s="73" t="s">
        <v>467</v>
      </c>
      <c r="D209" s="74" t="s">
        <v>477</v>
      </c>
      <c r="E209" s="78">
        <v>55</v>
      </c>
      <c r="F209" s="88">
        <v>45</v>
      </c>
      <c r="G209" s="121">
        <v>55</v>
      </c>
      <c r="H209" s="62"/>
      <c r="I209" s="62"/>
      <c r="J209" s="62"/>
      <c r="K209" s="128">
        <f>INDEX([1]Monoprix!$F:$F,MATCH(D209,[1]Monoprix!$C:$C,0))</f>
        <v>0.23611111111111113</v>
      </c>
      <c r="L209" s="133">
        <f>INDEX([1]Monoprix!$G:$G,MATCH(D209,[1]Monoprix!$C:$C,0))</f>
        <v>0.88194444444444453</v>
      </c>
      <c r="M209" s="143">
        <f>INDEX([1]Monoprix!$H:$H,MATCH(D209,[1]Monoprix!$C:$C,0))</f>
        <v>0.3263888888888889</v>
      </c>
      <c r="N209" s="143">
        <f>INDEX([1]Monoprix!$I:$I,MATCH(D209,[1]Monoprix!$C:$C,0))</f>
        <v>0.54861111111111105</v>
      </c>
      <c r="O209" s="144" t="s">
        <v>710</v>
      </c>
      <c r="P209" s="95"/>
      <c r="Q209" s="94" t="s">
        <v>713</v>
      </c>
    </row>
    <row r="210" spans="1:17" ht="25.5" x14ac:dyDescent="0.25">
      <c r="A210" s="12" t="s">
        <v>533</v>
      </c>
      <c r="B210" s="76" t="s">
        <v>2</v>
      </c>
      <c r="C210" s="73" t="s">
        <v>468</v>
      </c>
      <c r="D210" s="74" t="s">
        <v>478</v>
      </c>
      <c r="E210" s="34">
        <v>70</v>
      </c>
      <c r="F210" s="75">
        <v>55</v>
      </c>
      <c r="G210" s="51">
        <v>55</v>
      </c>
      <c r="H210" s="62"/>
      <c r="I210" s="62"/>
      <c r="J210" s="62"/>
      <c r="K210" s="128">
        <f>INDEX([1]Monoprix!$F:$F,MATCH(D210,[1]Monoprix!$C:$C,0))</f>
        <v>0.22916666666666666</v>
      </c>
      <c r="L210" s="133">
        <f>INDEX([1]Monoprix!$G:$G,MATCH(D210,[1]Monoprix!$C:$C,0))</f>
        <v>0.95138888888888884</v>
      </c>
      <c r="M210" s="143">
        <f>INDEX([1]Monoprix!$H:$H,MATCH(D210,[1]Monoprix!$C:$C,0))</f>
        <v>0.28472222222222221</v>
      </c>
      <c r="N210" s="143">
        <f>INDEX([1]Monoprix!$I:$I,MATCH(D210,[1]Monoprix!$C:$C,0))</f>
        <v>0.98611111111111116</v>
      </c>
      <c r="O210" s="144" t="s">
        <v>710</v>
      </c>
      <c r="P210" s="95"/>
      <c r="Q210" s="94" t="s">
        <v>714</v>
      </c>
    </row>
    <row r="211" spans="1:17" ht="25.5" x14ac:dyDescent="0.25">
      <c r="A211" s="12" t="s">
        <v>533</v>
      </c>
      <c r="B211" s="76" t="s">
        <v>2</v>
      </c>
      <c r="C211" s="73" t="s">
        <v>469</v>
      </c>
      <c r="D211" s="74" t="s">
        <v>479</v>
      </c>
      <c r="E211" s="34">
        <v>65</v>
      </c>
      <c r="F211" s="75">
        <v>85</v>
      </c>
      <c r="G211" s="51">
        <v>85</v>
      </c>
      <c r="H211" s="62"/>
      <c r="I211" s="62"/>
      <c r="J211" s="62"/>
      <c r="K211" s="128">
        <f>INDEX([1]Monoprix!$F:$F,MATCH(D211,[1]Monoprix!$C:$C,0))</f>
        <v>0.24305555555555555</v>
      </c>
      <c r="L211" s="133">
        <f>INDEX([1]Monoprix!$G:$G,MATCH(D211,[1]Monoprix!$C:$C,0))</f>
        <v>0.90972222222222221</v>
      </c>
      <c r="M211" s="143">
        <f>INDEX([1]Monoprix!$H:$H,MATCH(D211,[1]Monoprix!$C:$C,0))</f>
        <v>0.31944444444444448</v>
      </c>
      <c r="N211" s="143">
        <f>INDEX([1]Monoprix!$I:$I,MATCH(D211,[1]Monoprix!$C:$C,0))</f>
        <v>0.55555555555555558</v>
      </c>
      <c r="O211" s="144" t="s">
        <v>710</v>
      </c>
      <c r="P211" s="95"/>
      <c r="Q211" s="94" t="s">
        <v>148</v>
      </c>
    </row>
    <row r="212" spans="1:17" ht="25.5" x14ac:dyDescent="0.25">
      <c r="A212" s="12" t="s">
        <v>533</v>
      </c>
      <c r="B212" s="76" t="s">
        <v>2</v>
      </c>
      <c r="C212" s="73" t="s">
        <v>443</v>
      </c>
      <c r="D212" s="74" t="s">
        <v>354</v>
      </c>
      <c r="E212" s="42">
        <v>60</v>
      </c>
      <c r="F212" s="77">
        <v>65</v>
      </c>
      <c r="G212" s="51">
        <v>65</v>
      </c>
      <c r="H212" s="52"/>
      <c r="I212" s="52"/>
      <c r="J212" s="13"/>
      <c r="K212" s="128">
        <f>INDEX([1]Monoprix!$F:$F,MATCH(D212,[1]Monoprix!$C:$C,0))</f>
        <v>0.25</v>
      </c>
      <c r="L212" s="133">
        <f>INDEX([1]Monoprix!$G:$G,MATCH(D212,[1]Monoprix!$C:$C,0))</f>
        <v>0.91666666666666663</v>
      </c>
      <c r="M212" s="143">
        <f>INDEX([1]Monoprix!$H:$H,MATCH(D212,[1]Monoprix!$C:$C,0))</f>
        <v>0.28472222222222221</v>
      </c>
      <c r="N212" s="143">
        <f>INDEX([1]Monoprix!$I:$I,MATCH(D212,[1]Monoprix!$C:$C,0))</f>
        <v>0.79861111111111116</v>
      </c>
      <c r="O212" s="144" t="s">
        <v>710</v>
      </c>
      <c r="P212" s="145"/>
      <c r="Q212" s="94" t="s">
        <v>715</v>
      </c>
    </row>
    <row r="213" spans="1:17" ht="25.5" x14ac:dyDescent="0.25">
      <c r="A213" s="12" t="s">
        <v>533</v>
      </c>
      <c r="B213" s="76" t="s">
        <v>2</v>
      </c>
      <c r="C213" s="73" t="s">
        <v>470</v>
      </c>
      <c r="D213" s="74" t="s">
        <v>480</v>
      </c>
      <c r="E213" s="78">
        <v>55</v>
      </c>
      <c r="F213" s="75">
        <v>45</v>
      </c>
      <c r="G213" s="51">
        <v>45</v>
      </c>
      <c r="H213" s="62"/>
      <c r="I213" s="62"/>
      <c r="J213" s="62"/>
      <c r="K213" s="128">
        <f>INDEX([1]Monoprix!$F:$F,MATCH(D213,[1]Monoprix!$C:$C,0))</f>
        <v>0.2638888888888889</v>
      </c>
      <c r="L213" s="133">
        <f>INDEX([1]Monoprix!$G:$G,MATCH(D213,[1]Monoprix!$C:$C,0))</f>
        <v>0.86111111111111116</v>
      </c>
      <c r="M213" s="143">
        <f>INDEX([1]Monoprix!$H:$H,MATCH(D213,[1]Monoprix!$C:$C,0))</f>
        <v>0.27083333333333331</v>
      </c>
      <c r="N213" s="143">
        <f>INDEX([1]Monoprix!$I:$I,MATCH(D213,[1]Monoprix!$C:$C,0))</f>
        <v>0.54861111111111105</v>
      </c>
      <c r="O213" s="144" t="s">
        <v>710</v>
      </c>
      <c r="P213" s="95"/>
      <c r="Q213" s="94" t="s">
        <v>716</v>
      </c>
    </row>
    <row r="214" spans="1:17" ht="25.5" x14ac:dyDescent="0.25">
      <c r="A214" s="12" t="s">
        <v>533</v>
      </c>
      <c r="B214" s="76" t="s">
        <v>2</v>
      </c>
      <c r="C214" s="73" t="s">
        <v>471</v>
      </c>
      <c r="D214" s="74" t="s">
        <v>481</v>
      </c>
      <c r="E214" s="34">
        <v>60</v>
      </c>
      <c r="F214" s="75">
        <v>60</v>
      </c>
      <c r="G214" s="51">
        <v>60</v>
      </c>
      <c r="H214" s="62"/>
      <c r="I214" s="62"/>
      <c r="J214" s="62"/>
      <c r="K214" s="128">
        <f>INDEX([1]Monoprix!$F:$F,MATCH(D214,[1]Monoprix!$C:$C,0))</f>
        <v>0.22916666666666666</v>
      </c>
      <c r="L214" s="133">
        <f>INDEX([1]Monoprix!$G:$G,MATCH(D214,[1]Monoprix!$C:$C,0))</f>
        <v>0.88194444444444453</v>
      </c>
      <c r="M214" s="143">
        <f>INDEX([1]Monoprix!$H:$H,MATCH(D214,[1]Monoprix!$C:$C,0))</f>
        <v>0.30555555555555552</v>
      </c>
      <c r="N214" s="143">
        <f>INDEX([1]Monoprix!$I:$I,MATCH(D214,[1]Monoprix!$C:$C,0))</f>
        <v>0.54166666666666663</v>
      </c>
      <c r="O214" s="144" t="s">
        <v>710</v>
      </c>
      <c r="P214" s="95"/>
      <c r="Q214" s="94" t="s">
        <v>717</v>
      </c>
    </row>
    <row r="215" spans="1:17" ht="25.5" x14ac:dyDescent="0.25">
      <c r="A215" s="12" t="s">
        <v>533</v>
      </c>
      <c r="B215" s="76" t="s">
        <v>2</v>
      </c>
      <c r="C215" s="73" t="s">
        <v>472</v>
      </c>
      <c r="D215" s="74" t="s">
        <v>482</v>
      </c>
      <c r="E215" s="34">
        <v>30</v>
      </c>
      <c r="F215" s="75">
        <v>30</v>
      </c>
      <c r="G215" s="51">
        <v>30</v>
      </c>
      <c r="H215" s="62"/>
      <c r="I215" s="62"/>
      <c r="J215" s="62"/>
      <c r="K215" s="128">
        <f>INDEX([1]Monoprix!$F:$F,MATCH(D215,[1]Monoprix!$C:$C,0))</f>
        <v>0.25</v>
      </c>
      <c r="L215" s="133">
        <f>INDEX([1]Monoprix!$G:$G,MATCH(D215,[1]Monoprix!$C:$C,0))</f>
        <v>0.91666666666666663</v>
      </c>
      <c r="M215" s="143">
        <f>INDEX([1]Monoprix!$H:$H,MATCH(D215,[1]Monoprix!$C:$C,0))</f>
        <v>0.27777777777777779</v>
      </c>
      <c r="N215" s="143">
        <f>INDEX([1]Monoprix!$I:$I,MATCH(D215,[1]Monoprix!$C:$C,0))</f>
        <v>0.84027777777777779</v>
      </c>
      <c r="O215" s="144" t="s">
        <v>710</v>
      </c>
      <c r="P215" s="95"/>
      <c r="Q215" s="94" t="s">
        <v>718</v>
      </c>
    </row>
    <row r="216" spans="1:17" ht="25.5" x14ac:dyDescent="0.25">
      <c r="A216" s="16" t="s">
        <v>533</v>
      </c>
      <c r="B216" s="79" t="s">
        <v>2</v>
      </c>
      <c r="C216" s="80" t="s">
        <v>473</v>
      </c>
      <c r="D216" s="81" t="s">
        <v>483</v>
      </c>
      <c r="E216" s="34">
        <v>35</v>
      </c>
      <c r="F216" s="82">
        <v>35</v>
      </c>
      <c r="G216" s="83">
        <v>40</v>
      </c>
      <c r="H216" s="64"/>
      <c r="I216" s="64"/>
      <c r="J216" s="64"/>
      <c r="K216" s="128">
        <f>INDEX([1]Monoprix!$F:$F,MATCH(D216,[1]Monoprix!$C:$C,0))</f>
        <v>0.27083333333333331</v>
      </c>
      <c r="L216" s="133">
        <f>INDEX([1]Monoprix!$G:$G,MATCH(D216,[1]Monoprix!$C:$C,0))</f>
        <v>0.9375</v>
      </c>
      <c r="M216" s="143">
        <f>INDEX([1]Monoprix!$H:$H,MATCH(D216,[1]Monoprix!$C:$C,0))</f>
        <v>0.29166666666666669</v>
      </c>
      <c r="N216" s="143">
        <f>INDEX([1]Monoprix!$I:$I,MATCH(D216,[1]Monoprix!$C:$C,0))</f>
        <v>0.83333333333333337</v>
      </c>
      <c r="O216" s="144" t="s">
        <v>710</v>
      </c>
      <c r="P216" s="95"/>
      <c r="Q216" s="94" t="s">
        <v>719</v>
      </c>
    </row>
    <row r="217" spans="1:17" x14ac:dyDescent="0.25">
      <c r="A217" s="12" t="s">
        <v>533</v>
      </c>
      <c r="B217" s="84" t="s">
        <v>2</v>
      </c>
      <c r="C217" s="84" t="s">
        <v>474</v>
      </c>
      <c r="D217" s="85" t="s">
        <v>484</v>
      </c>
      <c r="E217" s="78">
        <v>75</v>
      </c>
      <c r="F217" s="90">
        <v>70</v>
      </c>
      <c r="G217" s="121">
        <v>100</v>
      </c>
      <c r="H217" s="62"/>
      <c r="I217" s="62"/>
      <c r="J217" s="62"/>
      <c r="K217" s="128">
        <f>INDEX([1]Monoprix!$F:$F,MATCH(D217,[1]Monoprix!$C:$C,0))</f>
        <v>0.20833333333333334</v>
      </c>
      <c r="L217" s="133">
        <f>INDEX([1]Monoprix!$G:$G,MATCH(D217,[1]Monoprix!$C:$C,0))</f>
        <v>0.875</v>
      </c>
      <c r="M217" s="143">
        <f>INDEX([1]Monoprix!$H:$H,MATCH(D217,[1]Monoprix!$C:$C,0))</f>
        <v>0.25</v>
      </c>
      <c r="N217" s="143">
        <f>INDEX([1]Monoprix!$I:$I,MATCH(D217,[1]Monoprix!$C:$C,0))</f>
        <v>0.83333333333333337</v>
      </c>
      <c r="O217" s="96"/>
      <c r="P217" s="95"/>
      <c r="Q217" s="94" t="s">
        <v>720</v>
      </c>
    </row>
    <row r="218" spans="1:17" x14ac:dyDescent="0.25">
      <c r="A218" s="12" t="s">
        <v>533</v>
      </c>
      <c r="B218" s="84" t="s">
        <v>2</v>
      </c>
      <c r="C218" s="84" t="s">
        <v>486</v>
      </c>
      <c r="D218" s="85" t="s">
        <v>485</v>
      </c>
      <c r="E218" s="34">
        <v>50</v>
      </c>
      <c r="F218" s="86">
        <v>55</v>
      </c>
      <c r="G218" s="51">
        <v>55</v>
      </c>
      <c r="H218" s="62"/>
      <c r="I218" s="62"/>
      <c r="J218" s="62"/>
      <c r="K218" s="128">
        <f>INDEX([1]Monoprix!$F:$F,MATCH(D218,[1]Monoprix!$C:$C,0))</f>
        <v>0.22916666666666666</v>
      </c>
      <c r="L218" s="133">
        <f>INDEX([1]Monoprix!$G:$G,MATCH(D218,[1]Monoprix!$C:$C,0))</f>
        <v>0.90972222222222221</v>
      </c>
      <c r="M218" s="143">
        <f>INDEX([1]Monoprix!$H:$H,MATCH(D218,[1]Monoprix!$C:$C,0))</f>
        <v>0.24305555555555555</v>
      </c>
      <c r="N218" s="143">
        <f>INDEX([1]Monoprix!$I:$I,MATCH(D218,[1]Monoprix!$C:$C,0))</f>
        <v>0.88888888888888884</v>
      </c>
      <c r="O218" s="96"/>
      <c r="P218" s="95"/>
      <c r="Q218" s="94" t="s">
        <v>721</v>
      </c>
    </row>
    <row r="219" spans="1:17" hidden="1" x14ac:dyDescent="0.25">
      <c r="A219" s="12" t="s">
        <v>533</v>
      </c>
      <c r="B219" s="84" t="s">
        <v>792</v>
      </c>
      <c r="C219" s="84" t="s">
        <v>488</v>
      </c>
      <c r="D219" s="85" t="s">
        <v>487</v>
      </c>
      <c r="E219" s="34">
        <v>25</v>
      </c>
      <c r="F219" s="86">
        <v>25</v>
      </c>
      <c r="G219" s="51">
        <v>25</v>
      </c>
      <c r="H219" s="62"/>
      <c r="I219" s="62"/>
      <c r="J219" s="62"/>
      <c r="K219" s="128">
        <f>INDEX([1]Monoprix!$F:$F,MATCH(D219,[1]Monoprix!$C:$C,0))</f>
        <v>0.23611111111111113</v>
      </c>
      <c r="L219" s="133">
        <f>INDEX([1]Monoprix!$G:$G,MATCH(D219,[1]Monoprix!$C:$C,0))</f>
        <v>0.86111111111111116</v>
      </c>
      <c r="M219" s="143">
        <f>INDEX([1]Monoprix!$H:$H,MATCH(D219,[1]Monoprix!$C:$C,0))</f>
        <v>0.3125</v>
      </c>
      <c r="N219" s="143">
        <f>INDEX([1]Monoprix!$I:$I,MATCH(D219,[1]Monoprix!$C:$C,0))</f>
        <v>0.54861111111111105</v>
      </c>
      <c r="O219" s="96"/>
      <c r="P219" s="95"/>
      <c r="Q219" s="94" t="s">
        <v>722</v>
      </c>
    </row>
    <row r="220" spans="1:17" x14ac:dyDescent="0.25">
      <c r="A220" s="12" t="s">
        <v>533</v>
      </c>
      <c r="B220" s="84" t="s">
        <v>2</v>
      </c>
      <c r="C220" s="84" t="s">
        <v>490</v>
      </c>
      <c r="D220" s="85" t="s">
        <v>489</v>
      </c>
      <c r="E220" s="78">
        <v>90</v>
      </c>
      <c r="F220" s="86">
        <v>80</v>
      </c>
      <c r="G220" s="51">
        <v>80</v>
      </c>
      <c r="H220" s="62"/>
      <c r="I220" s="62"/>
      <c r="J220" s="62"/>
      <c r="K220" s="128">
        <f>INDEX([1]Monoprix!$F:$F,MATCH(D220,[1]Monoprix!$C:$C,0))</f>
        <v>0.23611111111111113</v>
      </c>
      <c r="L220" s="133">
        <f>INDEX([1]Monoprix!$G:$G,MATCH(D220,[1]Monoprix!$C:$C,0))</f>
        <v>0.91666666666666663</v>
      </c>
      <c r="M220" s="143">
        <f>INDEX([1]Monoprix!$H:$H,MATCH(D220,[1]Monoprix!$C:$C,0))</f>
        <v>0.29166666666666669</v>
      </c>
      <c r="N220" s="143">
        <f>INDEX([1]Monoprix!$I:$I,MATCH(D220,[1]Monoprix!$C:$C,0))</f>
        <v>0.55555555555555558</v>
      </c>
      <c r="O220" s="96"/>
      <c r="P220" s="95"/>
      <c r="Q220" s="94" t="s">
        <v>723</v>
      </c>
    </row>
    <row r="221" spans="1:17" x14ac:dyDescent="0.25">
      <c r="A221" s="12" t="s">
        <v>533</v>
      </c>
      <c r="B221" s="84" t="s">
        <v>2</v>
      </c>
      <c r="C221" s="84" t="s">
        <v>492</v>
      </c>
      <c r="D221" s="85" t="s">
        <v>491</v>
      </c>
      <c r="E221" s="34">
        <v>35</v>
      </c>
      <c r="F221" s="86">
        <v>35</v>
      </c>
      <c r="G221" s="51">
        <v>40</v>
      </c>
      <c r="H221" s="62"/>
      <c r="I221" s="62"/>
      <c r="J221" s="62"/>
      <c r="K221" s="128">
        <f>INDEX([1]Monoprix!$F:$F,MATCH(D221,[1]Monoprix!$C:$C,0))</f>
        <v>0.16666666666666666</v>
      </c>
      <c r="L221" s="133">
        <f>INDEX([1]Monoprix!$G:$G,MATCH(D221,[1]Monoprix!$C:$C,0))</f>
        <v>0.86111111111111116</v>
      </c>
      <c r="M221" s="143">
        <f>INDEX([1]Monoprix!$H:$H,MATCH(D221,[1]Monoprix!$C:$C,0))</f>
        <v>0.24305555555555555</v>
      </c>
      <c r="N221" s="143">
        <f>INDEX([1]Monoprix!$I:$I,MATCH(D221,[1]Monoprix!$C:$C,0))</f>
        <v>0.55555555555555558</v>
      </c>
      <c r="O221" s="96"/>
      <c r="P221" s="95"/>
      <c r="Q221" s="94" t="s">
        <v>724</v>
      </c>
    </row>
    <row r="222" spans="1:17" x14ac:dyDescent="0.25">
      <c r="A222" s="12" t="s">
        <v>533</v>
      </c>
      <c r="B222" s="84" t="s">
        <v>39</v>
      </c>
      <c r="C222" s="84" t="s">
        <v>494</v>
      </c>
      <c r="D222" s="85" t="s">
        <v>493</v>
      </c>
      <c r="E222" s="34">
        <v>15</v>
      </c>
      <c r="F222" s="86">
        <v>15</v>
      </c>
      <c r="G222" s="51">
        <v>15</v>
      </c>
      <c r="H222" s="62"/>
      <c r="I222" s="62"/>
      <c r="J222" s="62"/>
      <c r="K222" s="128">
        <f>INDEX([1]Monoprix!$F:$F,MATCH(D222,[1]Monoprix!$C:$C,0))</f>
        <v>0.25</v>
      </c>
      <c r="L222" s="133">
        <f>INDEX([1]Monoprix!$G:$G,MATCH(D222,[1]Monoprix!$C:$C,0))</f>
        <v>0.95833333333333337</v>
      </c>
      <c r="M222" s="143">
        <f>INDEX([1]Monoprix!$H:$H,MATCH(D222,[1]Monoprix!$C:$C,0))</f>
        <v>0.30555555555555552</v>
      </c>
      <c r="N222" s="143">
        <f>INDEX([1]Monoprix!$I:$I,MATCH(D222,[1]Monoprix!$C:$C,0))</f>
        <v>0.86111111111111116</v>
      </c>
      <c r="O222" s="96"/>
      <c r="P222" s="95"/>
      <c r="Q222" s="94" t="s">
        <v>148</v>
      </c>
    </row>
    <row r="223" spans="1:17" x14ac:dyDescent="0.25">
      <c r="A223" s="12" t="s">
        <v>533</v>
      </c>
      <c r="B223" s="84" t="s">
        <v>2</v>
      </c>
      <c r="C223" s="84" t="s">
        <v>496</v>
      </c>
      <c r="D223" s="85" t="s">
        <v>495</v>
      </c>
      <c r="E223" s="78">
        <v>40</v>
      </c>
      <c r="F223" s="86">
        <v>30</v>
      </c>
      <c r="G223" s="51">
        <v>30</v>
      </c>
      <c r="H223" s="62"/>
      <c r="I223" s="62"/>
      <c r="J223" s="62"/>
      <c r="K223" s="128">
        <f>INDEX([1]Monoprix!$F:$F,MATCH(D223,[1]Monoprix!$C:$C,0))</f>
        <v>0.24305555555555555</v>
      </c>
      <c r="L223" s="133">
        <f>INDEX([1]Monoprix!$G:$G,MATCH(D223,[1]Monoprix!$C:$C,0))</f>
        <v>0.80555555555555547</v>
      </c>
      <c r="M223" s="143">
        <f>INDEX([1]Monoprix!$H:$H,MATCH(D223,[1]Monoprix!$C:$C,0))</f>
        <v>0.29166666666666669</v>
      </c>
      <c r="N223" s="143">
        <f>INDEX([1]Monoprix!$I:$I,MATCH(D223,[1]Monoprix!$C:$C,0))</f>
        <v>0.90972222222222221</v>
      </c>
      <c r="O223" s="96"/>
      <c r="P223" s="95"/>
      <c r="Q223" s="94" t="s">
        <v>725</v>
      </c>
    </row>
    <row r="224" spans="1:17" x14ac:dyDescent="0.25">
      <c r="A224" s="12" t="s">
        <v>533</v>
      </c>
      <c r="B224" s="84" t="s">
        <v>2</v>
      </c>
      <c r="C224" s="84" t="s">
        <v>498</v>
      </c>
      <c r="D224" s="85" t="s">
        <v>497</v>
      </c>
      <c r="E224" s="34">
        <v>20</v>
      </c>
      <c r="F224" s="73">
        <v>20</v>
      </c>
      <c r="G224" s="51">
        <v>20</v>
      </c>
      <c r="H224" s="62"/>
      <c r="I224" s="62"/>
      <c r="J224" s="62"/>
      <c r="K224" s="128">
        <f>INDEX([1]Monoprix!$F:$F,MATCH(D224,[1]Monoprix!$C:$C,0))</f>
        <v>0.22916666666666666</v>
      </c>
      <c r="L224" s="133">
        <f>INDEX([1]Monoprix!$G:$G,MATCH(D224,[1]Monoprix!$C:$C,0))</f>
        <v>0.92361111111111116</v>
      </c>
      <c r="M224" s="143">
        <f>INDEX([1]Monoprix!$H:$H,MATCH(D224,[1]Monoprix!$C:$C,0))</f>
        <v>0.25</v>
      </c>
      <c r="N224" s="143">
        <f>INDEX([1]Monoprix!$I:$I,MATCH(D224,[1]Monoprix!$C:$C,0))</f>
        <v>0.54166666666666663</v>
      </c>
      <c r="O224" s="96"/>
      <c r="P224" s="95"/>
      <c r="Q224" s="94" t="s">
        <v>726</v>
      </c>
    </row>
    <row r="225" spans="1:17" x14ac:dyDescent="0.25">
      <c r="A225" s="12" t="s">
        <v>148</v>
      </c>
      <c r="B225" s="84" t="s">
        <v>2</v>
      </c>
      <c r="C225" s="84" t="s">
        <v>501</v>
      </c>
      <c r="D225" s="85" t="s">
        <v>500</v>
      </c>
      <c r="E225" s="34">
        <v>30</v>
      </c>
      <c r="F225" s="34">
        <v>30</v>
      </c>
      <c r="G225" s="122">
        <v>35</v>
      </c>
      <c r="H225" s="62"/>
      <c r="I225" s="62"/>
      <c r="J225" s="62"/>
      <c r="K225" s="128">
        <f>INDEX([1]Monoprix!$F:$F,MATCH(D225,[1]Monoprix!$C:$C,0))</f>
        <v>0.23611111111111113</v>
      </c>
      <c r="L225" s="133">
        <f>INDEX([1]Monoprix!$G:$G,MATCH(D225,[1]Monoprix!$C:$C,0))</f>
        <v>0.88888888888888884</v>
      </c>
      <c r="M225" s="143">
        <f>INDEX([1]Monoprix!$H:$H,MATCH(D225,[1]Monoprix!$C:$C,0))</f>
        <v>0.31944444444444448</v>
      </c>
      <c r="N225" s="143">
        <f>INDEX([1]Monoprix!$I:$I,MATCH(D225,[1]Monoprix!$C:$C,0))</f>
        <v>0.54861111111111105</v>
      </c>
      <c r="O225" s="96"/>
      <c r="P225" s="95"/>
      <c r="Q225" s="94" t="s">
        <v>727</v>
      </c>
    </row>
    <row r="226" spans="1:17" x14ac:dyDescent="0.25">
      <c r="A226" s="12" t="s">
        <v>148</v>
      </c>
      <c r="B226" s="84" t="s">
        <v>2</v>
      </c>
      <c r="C226" s="84" t="s">
        <v>503</v>
      </c>
      <c r="D226" s="85" t="s">
        <v>502</v>
      </c>
      <c r="E226" s="34">
        <v>5</v>
      </c>
      <c r="F226" s="34">
        <v>10</v>
      </c>
      <c r="G226" s="122">
        <v>10</v>
      </c>
      <c r="H226" s="62"/>
      <c r="I226" s="62"/>
      <c r="J226" s="62"/>
      <c r="K226" s="128">
        <f>INDEX([1]Monoprix!$F:$F,MATCH(D226,[1]Monoprix!$C:$C,0))</f>
        <v>0.25694444444444448</v>
      </c>
      <c r="L226" s="133">
        <f>INDEX([1]Monoprix!$G:$G,MATCH(D226,[1]Monoprix!$C:$C,0))</f>
        <v>0.81944444444444453</v>
      </c>
      <c r="M226" s="143" t="str">
        <f>INDEX([1]Monoprix!$H:$H,MATCH(D226,[1]Monoprix!$C:$C,0))</f>
        <v>-</v>
      </c>
      <c r="N226" s="143" t="str">
        <f>INDEX([1]Monoprix!$I:$I,MATCH(D226,[1]Monoprix!$C:$C,0))</f>
        <v>-</v>
      </c>
      <c r="O226" s="96"/>
      <c r="P226" s="95"/>
      <c r="Q226" s="94" t="s">
        <v>728</v>
      </c>
    </row>
    <row r="227" spans="1:17" x14ac:dyDescent="0.25">
      <c r="A227" s="12" t="s">
        <v>148</v>
      </c>
      <c r="B227" s="84" t="s">
        <v>39</v>
      </c>
      <c r="C227" s="84" t="s">
        <v>505</v>
      </c>
      <c r="D227" s="85" t="s">
        <v>504</v>
      </c>
      <c r="E227" s="34">
        <v>10</v>
      </c>
      <c r="F227" s="34">
        <v>10</v>
      </c>
      <c r="G227" s="122">
        <v>15</v>
      </c>
      <c r="H227" s="62"/>
      <c r="I227" s="62"/>
      <c r="J227" s="62"/>
      <c r="K227" s="128">
        <f>INDEX([1]Monoprix!$F:$F,MATCH(D227,[1]Monoprix!$C:$C,0))</f>
        <v>0.20833333333333334</v>
      </c>
      <c r="L227" s="133">
        <f>INDEX([1]Monoprix!$G:$G,MATCH(D227,[1]Monoprix!$C:$C,0))</f>
        <v>0.97222222222222221</v>
      </c>
      <c r="M227" s="143" t="str">
        <f>INDEX([1]Monoprix!$H:$H,MATCH(D227,[1]Monoprix!$C:$C,0))</f>
        <v>-</v>
      </c>
      <c r="N227" s="143" t="str">
        <f>INDEX([1]Monoprix!$I:$I,MATCH(D227,[1]Monoprix!$C:$C,0))</f>
        <v>-</v>
      </c>
      <c r="O227" s="96"/>
      <c r="P227" s="95"/>
      <c r="Q227" s="94" t="s">
        <v>148</v>
      </c>
    </row>
    <row r="228" spans="1:17" x14ac:dyDescent="0.25">
      <c r="A228" s="12" t="s">
        <v>148</v>
      </c>
      <c r="B228" s="84" t="s">
        <v>39</v>
      </c>
      <c r="C228" s="84" t="s">
        <v>507</v>
      </c>
      <c r="D228" s="85" t="s">
        <v>506</v>
      </c>
      <c r="E228" s="34">
        <v>25</v>
      </c>
      <c r="F228" s="34">
        <v>25</v>
      </c>
      <c r="G228" s="34">
        <v>25</v>
      </c>
      <c r="H228" s="62"/>
      <c r="I228" s="62"/>
      <c r="J228" s="62"/>
      <c r="K228" s="128">
        <f>INDEX([1]Monoprix!$F:$F,MATCH(D228,[1]Monoprix!$C:$C,0))</f>
        <v>0.25</v>
      </c>
      <c r="L228" s="133">
        <f>INDEX([1]Monoprix!$G:$G,MATCH(D228,[1]Monoprix!$C:$C,0))</f>
        <v>6.9444444444444441E-3</v>
      </c>
      <c r="M228" s="143">
        <f>INDEX([1]Monoprix!$H:$H,MATCH(D228,[1]Monoprix!$C:$C,0))</f>
        <v>0.28472222222222221</v>
      </c>
      <c r="N228" s="143">
        <f>INDEX([1]Monoprix!$I:$I,MATCH(D228,[1]Monoprix!$C:$C,0))</f>
        <v>0.88194444444444453</v>
      </c>
      <c r="O228" s="96"/>
      <c r="P228" s="95"/>
      <c r="Q228" s="94" t="s">
        <v>148</v>
      </c>
    </row>
    <row r="229" spans="1:17" x14ac:dyDescent="0.25">
      <c r="A229" s="12" t="s">
        <v>148</v>
      </c>
      <c r="B229" s="84" t="s">
        <v>39</v>
      </c>
      <c r="C229" s="84" t="s">
        <v>509</v>
      </c>
      <c r="D229" s="85" t="s">
        <v>508</v>
      </c>
      <c r="E229" s="34">
        <v>15</v>
      </c>
      <c r="F229" s="34">
        <v>15</v>
      </c>
      <c r="G229" s="122">
        <v>20</v>
      </c>
      <c r="H229" s="62"/>
      <c r="I229" s="62"/>
      <c r="J229" s="62"/>
      <c r="K229" s="128">
        <f>INDEX([1]Monoprix!$F:$F,MATCH(D229,[1]Monoprix!$C:$C,0))</f>
        <v>0.29166666666666669</v>
      </c>
      <c r="L229" s="133">
        <f>INDEX([1]Monoprix!$G:$G,MATCH(D229,[1]Monoprix!$C:$C,0))</f>
        <v>4.1666666666666664E-2</v>
      </c>
      <c r="M229" s="143">
        <f>INDEX([1]Monoprix!$H:$H,MATCH(D229,[1]Monoprix!$C:$C,0))</f>
        <v>0.39583333333333331</v>
      </c>
      <c r="N229" s="143">
        <f>INDEX([1]Monoprix!$I:$I,MATCH(D229,[1]Monoprix!$C:$C,0))</f>
        <v>0.97916666666666663</v>
      </c>
      <c r="O229" s="96"/>
      <c r="P229" s="95"/>
      <c r="Q229" s="94" t="s">
        <v>148</v>
      </c>
    </row>
    <row r="230" spans="1:17" x14ac:dyDescent="0.25">
      <c r="A230" s="12" t="s">
        <v>148</v>
      </c>
      <c r="B230" s="84" t="s">
        <v>39</v>
      </c>
      <c r="C230" s="84" t="s">
        <v>511</v>
      </c>
      <c r="D230" s="85" t="s">
        <v>510</v>
      </c>
      <c r="E230" s="34">
        <v>20</v>
      </c>
      <c r="F230" s="34">
        <v>20</v>
      </c>
      <c r="G230" s="34">
        <v>20</v>
      </c>
      <c r="H230" s="62"/>
      <c r="I230" s="62"/>
      <c r="J230" s="62"/>
      <c r="K230" s="128">
        <f>INDEX([1]Monoprix!$F:$F,MATCH(D230,[1]Monoprix!$C:$C,0))</f>
        <v>0.25694444444444448</v>
      </c>
      <c r="L230" s="133">
        <f>INDEX([1]Monoprix!$G:$G,MATCH(D230,[1]Monoprix!$C:$C,0))</f>
        <v>1.3888888888888888E-2</v>
      </c>
      <c r="M230" s="143">
        <f>INDEX([1]Monoprix!$H:$H,MATCH(D230,[1]Monoprix!$C:$C,0))</f>
        <v>0.29166666666666669</v>
      </c>
      <c r="N230" s="143">
        <f>INDEX([1]Monoprix!$I:$I,MATCH(D230,[1]Monoprix!$C:$C,0))</f>
        <v>0.93055555555555547</v>
      </c>
      <c r="O230" s="96"/>
      <c r="P230" s="95"/>
      <c r="Q230" s="94" t="s">
        <v>148</v>
      </c>
    </row>
    <row r="231" spans="1:17" x14ac:dyDescent="0.25">
      <c r="A231" s="12" t="s">
        <v>148</v>
      </c>
      <c r="B231" s="84" t="s">
        <v>39</v>
      </c>
      <c r="C231" s="84" t="s">
        <v>513</v>
      </c>
      <c r="D231" s="85" t="s">
        <v>512</v>
      </c>
      <c r="E231" s="34">
        <v>10</v>
      </c>
      <c r="F231" s="34">
        <v>10</v>
      </c>
      <c r="G231" s="34">
        <v>10</v>
      </c>
      <c r="H231" s="62"/>
      <c r="I231" s="62"/>
      <c r="J231" s="62"/>
      <c r="K231" s="128">
        <f>INDEX([1]Monoprix!$F:$F,MATCH(D231,[1]Monoprix!$C:$C,0))</f>
        <v>0.22916666666666666</v>
      </c>
      <c r="L231" s="133">
        <f>INDEX([1]Monoprix!$G:$G,MATCH(D231,[1]Monoprix!$C:$C,0))</f>
        <v>0.85416666666666663</v>
      </c>
      <c r="M231" s="143">
        <f>INDEX([1]Monoprix!$H:$H,MATCH(D231,[1]Monoprix!$C:$C,0))</f>
        <v>0.3263888888888889</v>
      </c>
      <c r="N231" s="143">
        <f>INDEX([1]Monoprix!$I:$I,MATCH(D231,[1]Monoprix!$C:$C,0))</f>
        <v>0.55555555555555558</v>
      </c>
      <c r="O231" s="96"/>
      <c r="P231" s="95"/>
      <c r="Q231" s="94" t="s">
        <v>148</v>
      </c>
    </row>
    <row r="232" spans="1:17" x14ac:dyDescent="0.25">
      <c r="A232" s="12" t="s">
        <v>148</v>
      </c>
      <c r="B232" s="84" t="s">
        <v>39</v>
      </c>
      <c r="C232" s="84" t="s">
        <v>515</v>
      </c>
      <c r="D232" s="85" t="s">
        <v>514</v>
      </c>
      <c r="E232" s="34">
        <v>10</v>
      </c>
      <c r="F232" s="34">
        <v>10</v>
      </c>
      <c r="G232" s="34">
        <v>15</v>
      </c>
      <c r="H232" s="62"/>
      <c r="I232" s="62"/>
      <c r="J232" s="62"/>
      <c r="K232" s="128">
        <f>INDEX([1]Monoprix!$F:$F,MATCH(D232,[1]Monoprix!$C:$C,0))</f>
        <v>0.2638888888888889</v>
      </c>
      <c r="L232" s="133">
        <f>INDEX([1]Monoprix!$G:$G,MATCH(D232,[1]Monoprix!$C:$C,0))</f>
        <v>0.875</v>
      </c>
      <c r="M232" s="143">
        <f>INDEX([1]Monoprix!$H:$H,MATCH(D232,[1]Monoprix!$C:$C,0))</f>
        <v>0.3125</v>
      </c>
      <c r="N232" s="143">
        <f>INDEX([1]Monoprix!$I:$I,MATCH(D232,[1]Monoprix!$C:$C,0))</f>
        <v>0.79166666666666663</v>
      </c>
      <c r="O232" s="96"/>
      <c r="P232" s="95"/>
      <c r="Q232" s="94" t="s">
        <v>148</v>
      </c>
    </row>
    <row r="233" spans="1:17" x14ac:dyDescent="0.25">
      <c r="A233" s="12" t="s">
        <v>148</v>
      </c>
      <c r="B233" s="84" t="s">
        <v>39</v>
      </c>
      <c r="C233" s="84" t="s">
        <v>517</v>
      </c>
      <c r="D233" s="85" t="s">
        <v>516</v>
      </c>
      <c r="E233" s="34">
        <v>15</v>
      </c>
      <c r="F233" s="34">
        <v>15</v>
      </c>
      <c r="G233" s="34">
        <v>20</v>
      </c>
      <c r="H233" s="62"/>
      <c r="I233" s="62"/>
      <c r="J233" s="62"/>
      <c r="K233" s="128">
        <f>INDEX([1]Monoprix!$F:$F,MATCH(D233,[1]Monoprix!$C:$C,0))</f>
        <v>0.30555555555555552</v>
      </c>
      <c r="L233" s="133">
        <f>INDEX([1]Monoprix!$G:$G,MATCH(D233,[1]Monoprix!$C:$C,0))</f>
        <v>0.9375</v>
      </c>
      <c r="M233" s="143">
        <f>INDEX([1]Monoprix!$H:$H,MATCH(D233,[1]Monoprix!$C:$C,0))</f>
        <v>0.33333333333333331</v>
      </c>
      <c r="N233" s="143">
        <f>INDEX([1]Monoprix!$I:$I,MATCH(D233,[1]Monoprix!$C:$C,0))</f>
        <v>0.875</v>
      </c>
      <c r="O233" s="96"/>
      <c r="P233" s="95"/>
      <c r="Q233" s="94" t="s">
        <v>148</v>
      </c>
    </row>
    <row r="234" spans="1:17" x14ac:dyDescent="0.25">
      <c r="A234" s="12" t="s">
        <v>148</v>
      </c>
      <c r="B234" s="84" t="s">
        <v>39</v>
      </c>
      <c r="C234" s="84" t="s">
        <v>519</v>
      </c>
      <c r="D234" s="85" t="s">
        <v>518</v>
      </c>
      <c r="E234" s="34">
        <v>20</v>
      </c>
      <c r="F234" s="34">
        <v>20</v>
      </c>
      <c r="G234" s="34">
        <v>25</v>
      </c>
      <c r="H234" s="62"/>
      <c r="I234" s="62"/>
      <c r="J234" s="62"/>
      <c r="K234" s="128">
        <f>INDEX([1]Monoprix!$F:$F,MATCH(D234,[1]Monoprix!$C:$C,0))</f>
        <v>0.22222222222222221</v>
      </c>
      <c r="L234" s="133">
        <f>INDEX([1]Monoprix!$G:$G,MATCH(D234,[1]Monoprix!$C:$C,0))</f>
        <v>0.82638888888888884</v>
      </c>
      <c r="M234" s="143">
        <f>INDEX([1]Monoprix!$H:$H,MATCH(D234,[1]Monoprix!$C:$C,0))</f>
        <v>0.3263888888888889</v>
      </c>
      <c r="N234" s="143">
        <f>INDEX([1]Monoprix!$I:$I,MATCH(D234,[1]Monoprix!$C:$C,0))</f>
        <v>0.77777777777777779</v>
      </c>
      <c r="O234" s="96"/>
      <c r="P234" s="95"/>
      <c r="Q234" s="94" t="s">
        <v>148</v>
      </c>
    </row>
    <row r="235" spans="1:17" x14ac:dyDescent="0.25">
      <c r="A235" s="12" t="s">
        <v>148</v>
      </c>
      <c r="B235" s="84" t="s">
        <v>39</v>
      </c>
      <c r="C235" s="84" t="s">
        <v>521</v>
      </c>
      <c r="D235" s="85" t="s">
        <v>520</v>
      </c>
      <c r="E235" s="34">
        <v>20</v>
      </c>
      <c r="F235" s="34">
        <v>15</v>
      </c>
      <c r="G235" s="34">
        <v>15</v>
      </c>
      <c r="H235" s="62"/>
      <c r="I235" s="62"/>
      <c r="J235" s="62"/>
      <c r="K235" s="128">
        <f>INDEX([1]Monoprix!$F:$F,MATCH(D235,[1]Monoprix!$C:$C,0))</f>
        <v>0.1875</v>
      </c>
      <c r="L235" s="133">
        <f>INDEX([1]Monoprix!$G:$G,MATCH(D235,[1]Monoprix!$C:$C,0))</f>
        <v>0.89583333333333337</v>
      </c>
      <c r="M235" s="143">
        <f>INDEX([1]Monoprix!$H:$H,MATCH(D235,[1]Monoprix!$C:$C,0))</f>
        <v>0.3125</v>
      </c>
      <c r="N235" s="143">
        <f>INDEX([1]Monoprix!$I:$I,MATCH(D235,[1]Monoprix!$C:$C,0))</f>
        <v>0.875</v>
      </c>
      <c r="O235" s="96"/>
      <c r="P235" s="95"/>
      <c r="Q235" s="94" t="s">
        <v>148</v>
      </c>
    </row>
    <row r="236" spans="1:17" x14ac:dyDescent="0.25">
      <c r="A236" s="12" t="s">
        <v>148</v>
      </c>
      <c r="B236" s="84" t="s">
        <v>2</v>
      </c>
      <c r="C236" s="84" t="s">
        <v>525</v>
      </c>
      <c r="D236" s="85" t="s">
        <v>526</v>
      </c>
      <c r="E236" s="34">
        <v>55</v>
      </c>
      <c r="F236" s="34">
        <v>55</v>
      </c>
      <c r="G236" s="34">
        <v>55</v>
      </c>
      <c r="H236" s="62"/>
      <c r="I236" s="62"/>
      <c r="J236" s="62"/>
      <c r="K236" s="128">
        <f>INDEX([1]Monoprix!$F:$F,MATCH(D236,[1]Monoprix!$C:$C,0))</f>
        <v>0.25</v>
      </c>
      <c r="L236" s="133">
        <f>INDEX([1]Monoprix!$G:$G,MATCH(D236,[1]Monoprix!$C:$C,0))</f>
        <v>0.95138888888888884</v>
      </c>
      <c r="M236" s="143">
        <f>INDEX([1]Monoprix!$H:$H,MATCH(D236,[1]Monoprix!$C:$C,0))</f>
        <v>0.28472222222222221</v>
      </c>
      <c r="N236" s="143">
        <f>INDEX([1]Monoprix!$I:$I,MATCH(D236,[1]Monoprix!$C:$C,0))</f>
        <v>0.875</v>
      </c>
      <c r="O236" s="96"/>
      <c r="P236" s="95"/>
      <c r="Q236" s="94" t="s">
        <v>729</v>
      </c>
    </row>
    <row r="237" spans="1:17" x14ac:dyDescent="0.25">
      <c r="A237" s="12" t="s">
        <v>148</v>
      </c>
      <c r="B237" s="84" t="s">
        <v>39</v>
      </c>
      <c r="C237" s="84" t="s">
        <v>732</v>
      </c>
      <c r="D237" s="85" t="s">
        <v>731</v>
      </c>
      <c r="E237" s="34">
        <v>10</v>
      </c>
      <c r="F237" s="34">
        <v>10</v>
      </c>
      <c r="G237" s="34">
        <v>10</v>
      </c>
      <c r="H237" s="130">
        <v>44896</v>
      </c>
      <c r="I237" s="62"/>
      <c r="J237" s="62"/>
      <c r="K237" s="128">
        <f>INDEX([1]Monoprix!$F:$F,MATCH(D237,[1]Monoprix!$C:$C,0))</f>
        <v>0.23611111111111113</v>
      </c>
      <c r="L237" s="133">
        <f>INDEX([1]Monoprix!$G:$G,MATCH(D237,[1]Monoprix!$C:$C,0))</f>
        <v>0.875</v>
      </c>
      <c r="M237" s="143" t="str">
        <f>INDEX([1]Monoprix!$H:$H,MATCH(D237,[1]Monoprix!$C:$C,0))</f>
        <v>-</v>
      </c>
      <c r="N237" s="143" t="str">
        <f>INDEX([1]Monoprix!$I:$I,MATCH(D237,[1]Monoprix!$C:$C,0))</f>
        <v>-</v>
      </c>
      <c r="O237" s="95"/>
      <c r="P237" s="95"/>
      <c r="Q237" s="95"/>
    </row>
    <row r="238" spans="1:17" x14ac:dyDescent="0.25">
      <c r="A238" s="12" t="s">
        <v>148</v>
      </c>
      <c r="B238" s="84" t="s">
        <v>2</v>
      </c>
      <c r="C238" s="84" t="s">
        <v>734</v>
      </c>
      <c r="D238" s="85" t="s">
        <v>733</v>
      </c>
      <c r="E238" s="34">
        <v>9</v>
      </c>
      <c r="F238" s="34">
        <v>10</v>
      </c>
      <c r="G238" s="34">
        <v>10</v>
      </c>
      <c r="H238" s="130">
        <v>44866</v>
      </c>
      <c r="I238" s="62"/>
      <c r="J238" s="62"/>
      <c r="K238" s="128">
        <f>INDEX([1]Monoprix!$F:$F,MATCH(D238,[1]Monoprix!$C:$C,0))</f>
        <v>0.27777777777777779</v>
      </c>
      <c r="L238" s="133">
        <f>INDEX([1]Monoprix!$G:$G,MATCH(D238,[1]Monoprix!$C:$C,0))</f>
        <v>0.81944444444444453</v>
      </c>
      <c r="M238" s="143" t="str">
        <f>INDEX([1]Monoprix!$H:$H,MATCH(D238,[1]Monoprix!$C:$C,0))</f>
        <v>-</v>
      </c>
      <c r="N238" s="143" t="str">
        <f>INDEX([1]Monoprix!$I:$I,MATCH(D238,[1]Monoprix!$C:$C,0))</f>
        <v>-</v>
      </c>
      <c r="O238" s="95"/>
      <c r="P238" s="95"/>
      <c r="Q238" s="95"/>
    </row>
    <row r="239" spans="1:17" x14ac:dyDescent="0.25">
      <c r="A239" s="12" t="s">
        <v>148</v>
      </c>
      <c r="B239" s="84" t="s">
        <v>2</v>
      </c>
      <c r="C239" s="84" t="s">
        <v>736</v>
      </c>
      <c r="D239" s="85" t="s">
        <v>735</v>
      </c>
      <c r="E239" s="34">
        <v>5</v>
      </c>
      <c r="F239" s="34">
        <v>5</v>
      </c>
      <c r="G239" s="34">
        <v>5</v>
      </c>
      <c r="H239" s="130">
        <v>44896</v>
      </c>
      <c r="I239" s="62"/>
      <c r="J239" s="62"/>
      <c r="K239" s="128">
        <f>INDEX([1]Monoprix!$F:$F,MATCH(D239,[1]Monoprix!$C:$C,0))</f>
        <v>0.3125</v>
      </c>
      <c r="L239" s="133">
        <f>INDEX([1]Monoprix!$G:$G,MATCH(D239,[1]Monoprix!$C:$C,0))</f>
        <v>0.83333333333333337</v>
      </c>
      <c r="M239" s="143" t="str">
        <f>INDEX([1]Monoprix!$H:$H,MATCH(D239,[1]Monoprix!$C:$C,0))</f>
        <v>-</v>
      </c>
      <c r="N239" s="143" t="str">
        <f>INDEX([1]Monoprix!$I:$I,MATCH(D239,[1]Monoprix!$C:$C,0))</f>
        <v>-</v>
      </c>
      <c r="O239" s="95"/>
      <c r="P239" s="95"/>
      <c r="Q239" s="95"/>
    </row>
    <row r="240" spans="1:17" x14ac:dyDescent="0.25">
      <c r="A240" s="12" t="s">
        <v>148</v>
      </c>
      <c r="B240" s="84" t="s">
        <v>39</v>
      </c>
      <c r="C240" s="84" t="s">
        <v>738</v>
      </c>
      <c r="D240" s="85" t="s">
        <v>737</v>
      </c>
      <c r="E240" s="34">
        <v>9</v>
      </c>
      <c r="F240" s="34">
        <v>10</v>
      </c>
      <c r="G240" s="34">
        <v>10</v>
      </c>
      <c r="H240" s="130">
        <v>44896</v>
      </c>
      <c r="I240" s="62"/>
      <c r="J240" s="62"/>
      <c r="K240" s="128">
        <f>INDEX([1]Monoprix!$F:$F,MATCH(D240,[1]Monoprix!$C:$C,0))</f>
        <v>0.27083333333333331</v>
      </c>
      <c r="L240" s="133">
        <f>INDEX([1]Monoprix!$G:$G,MATCH(D240,[1]Monoprix!$C:$C,0))</f>
        <v>0.89583333333333337</v>
      </c>
      <c r="M240" s="143">
        <f>INDEX([1]Monoprix!$H:$H,MATCH(D240,[1]Monoprix!$C:$C,0))</f>
        <v>0.29166666666666669</v>
      </c>
      <c r="N240" s="143">
        <f>INDEX([1]Monoprix!$I:$I,MATCH(D240,[1]Monoprix!$C:$C,0))</f>
        <v>0.55555555555555558</v>
      </c>
      <c r="O240" s="95"/>
      <c r="P240" s="95"/>
      <c r="Q240" s="95"/>
    </row>
    <row r="241" spans="1:17" x14ac:dyDescent="0.25">
      <c r="A241" s="12" t="s">
        <v>148</v>
      </c>
      <c r="B241" s="84" t="s">
        <v>2</v>
      </c>
      <c r="C241" s="84" t="s">
        <v>740</v>
      </c>
      <c r="D241" s="85" t="s">
        <v>739</v>
      </c>
      <c r="E241" s="34">
        <v>40</v>
      </c>
      <c r="F241" s="34">
        <v>40</v>
      </c>
      <c r="G241" s="34">
        <v>45</v>
      </c>
      <c r="H241" s="130">
        <v>44805</v>
      </c>
      <c r="I241" s="62"/>
      <c r="J241" s="62"/>
      <c r="K241" s="128">
        <f>INDEX([1]Monoprix!$F:$F,MATCH(D241,[1]Monoprix!$C:$C,0))</f>
        <v>0.23611111111111113</v>
      </c>
      <c r="L241" s="133">
        <f>INDEX([1]Monoprix!$G:$G,MATCH(D241,[1]Monoprix!$C:$C,0))</f>
        <v>0.79861111111111116</v>
      </c>
      <c r="M241" s="143">
        <f>INDEX([1]Monoprix!$H:$H,MATCH(D241,[1]Monoprix!$C:$C,0))</f>
        <v>0.28472222222222221</v>
      </c>
      <c r="N241" s="143">
        <f>INDEX([1]Monoprix!$I:$I,MATCH(D241,[1]Monoprix!$C:$C,0))</f>
        <v>0.78472222222222221</v>
      </c>
      <c r="O241" s="95"/>
      <c r="P241" s="95"/>
      <c r="Q241" s="95"/>
    </row>
    <row r="242" spans="1:17" x14ac:dyDescent="0.25">
      <c r="A242" s="12" t="s">
        <v>148</v>
      </c>
      <c r="B242" s="84" t="s">
        <v>39</v>
      </c>
      <c r="C242" s="84" t="s">
        <v>742</v>
      </c>
      <c r="D242" s="85" t="s">
        <v>741</v>
      </c>
      <c r="E242" s="34">
        <v>15</v>
      </c>
      <c r="F242" s="34">
        <v>15</v>
      </c>
      <c r="G242" s="34">
        <v>15</v>
      </c>
      <c r="H242" s="130">
        <v>44835</v>
      </c>
      <c r="I242" s="62"/>
      <c r="J242" s="62"/>
      <c r="K242" s="128">
        <f>INDEX([1]Monoprix!$F:$F,MATCH(D242,[1]Monoprix!$C:$C,0))</f>
        <v>0.19444444444444445</v>
      </c>
      <c r="L242" s="133">
        <f>INDEX([1]Monoprix!$G:$G,MATCH(D242,[1]Monoprix!$C:$C,0))</f>
        <v>0.84722222222222221</v>
      </c>
      <c r="M242" s="143">
        <f>INDEX([1]Monoprix!$H:$H,MATCH(D242,[1]Monoprix!$C:$C,0))</f>
        <v>0.29166666666666669</v>
      </c>
      <c r="N242" s="143">
        <f>INDEX([1]Monoprix!$I:$I,MATCH(D242,[1]Monoprix!$C:$C,0))</f>
        <v>0.79861111111111116</v>
      </c>
      <c r="O242" s="34"/>
      <c r="P242" s="34"/>
      <c r="Q242" s="34"/>
    </row>
    <row r="243" spans="1:17" x14ac:dyDescent="0.25">
      <c r="A243" s="12" t="s">
        <v>148</v>
      </c>
      <c r="B243" s="84" t="s">
        <v>2</v>
      </c>
      <c r="C243" s="84" t="s">
        <v>744</v>
      </c>
      <c r="D243" s="85" t="s">
        <v>743</v>
      </c>
      <c r="E243" s="34">
        <v>50</v>
      </c>
      <c r="F243" s="34">
        <v>75</v>
      </c>
      <c r="G243" s="34">
        <v>75</v>
      </c>
      <c r="H243" s="130">
        <v>44986</v>
      </c>
      <c r="I243" s="62"/>
      <c r="J243" s="62"/>
      <c r="K243" s="128">
        <f>INDEX([1]Monoprix!$F:$F,MATCH(D243,[1]Monoprix!$C:$C,0))</f>
        <v>0.23611111111111113</v>
      </c>
      <c r="L243" s="133">
        <f>INDEX([1]Monoprix!$G:$G,MATCH(D243,[1]Monoprix!$C:$C,0))</f>
        <v>0.84722222222222221</v>
      </c>
      <c r="M243" s="143">
        <f>INDEX([1]Monoprix!$H:$H,MATCH(D243,[1]Monoprix!$C:$C,0))</f>
        <v>0.33333333333333331</v>
      </c>
      <c r="N243" s="143">
        <f>INDEX([1]Monoprix!$I:$I,MATCH(D243,[1]Monoprix!$C:$C,0))</f>
        <v>0.79166666666666663</v>
      </c>
      <c r="O243" s="34"/>
      <c r="P243" s="34"/>
      <c r="Q243" s="34"/>
    </row>
    <row r="244" spans="1:17" x14ac:dyDescent="0.25">
      <c r="A244" s="12" t="s">
        <v>148</v>
      </c>
      <c r="B244" s="84" t="s">
        <v>2</v>
      </c>
      <c r="C244" s="84" t="s">
        <v>746</v>
      </c>
      <c r="D244" s="85" t="s">
        <v>745</v>
      </c>
      <c r="E244" s="34">
        <v>25</v>
      </c>
      <c r="F244" s="34">
        <v>25</v>
      </c>
      <c r="G244" s="34">
        <v>30</v>
      </c>
      <c r="H244" s="130">
        <v>44958</v>
      </c>
      <c r="I244" s="62"/>
      <c r="J244" s="62"/>
      <c r="K244" s="128">
        <f>INDEX([1]Monoprix!$F:$F,MATCH(D244,[1]Monoprix!$C:$C,0))</f>
        <v>0.25</v>
      </c>
      <c r="L244" s="133">
        <f>INDEX([1]Monoprix!$G:$G,MATCH(D244,[1]Monoprix!$C:$C,0))</f>
        <v>0.84722222222222221</v>
      </c>
      <c r="M244" s="143">
        <f>INDEX([1]Monoprix!$H:$H,MATCH(D244,[1]Monoprix!$C:$C,0))</f>
        <v>0.33333333333333331</v>
      </c>
      <c r="N244" s="143">
        <f>INDEX([1]Monoprix!$I:$I,MATCH(D244,[1]Monoprix!$C:$C,0))</f>
        <v>0.54166666666666663</v>
      </c>
      <c r="O244" s="34"/>
      <c r="P244" s="34"/>
      <c r="Q244" s="34"/>
    </row>
    <row r="245" spans="1:17" x14ac:dyDescent="0.25">
      <c r="A245" s="12" t="s">
        <v>148</v>
      </c>
      <c r="B245" s="84" t="s">
        <v>2</v>
      </c>
      <c r="C245" s="84" t="s">
        <v>791</v>
      </c>
      <c r="D245" s="85" t="s">
        <v>790</v>
      </c>
      <c r="E245" s="34">
        <v>160</v>
      </c>
      <c r="F245" s="34">
        <v>165</v>
      </c>
      <c r="G245" s="34">
        <v>175</v>
      </c>
      <c r="H245" s="130">
        <v>44986</v>
      </c>
      <c r="I245" s="62"/>
      <c r="J245" s="62"/>
      <c r="K245" s="128">
        <f>INDEX([1]Monoprix!$F:$F,MATCH(D245,[1]Monoprix!$C:$C,0))</f>
        <v>0.21527777777777779</v>
      </c>
      <c r="L245" s="133">
        <f>INDEX([1]Monoprix!$G:$G,MATCH(D245,[1]Monoprix!$C:$C,0))</f>
        <v>0.97916666666666663</v>
      </c>
      <c r="M245" s="143">
        <f>INDEX([1]Monoprix!$H:$H,MATCH(D245,[1]Monoprix!$C:$C,0))</f>
        <v>0.24305555555555555</v>
      </c>
      <c r="N245" s="143">
        <f>INDEX([1]Monoprix!$I:$I,MATCH(D245,[1]Monoprix!$C:$C,0))</f>
        <v>0.95833333333333337</v>
      </c>
      <c r="O245" s="95"/>
      <c r="P245" s="95"/>
      <c r="Q245" s="95"/>
    </row>
    <row r="246" spans="1:17" x14ac:dyDescent="0.25">
      <c r="A246" s="12" t="s">
        <v>794</v>
      </c>
      <c r="B246" s="84" t="s">
        <v>2</v>
      </c>
      <c r="C246" s="84" t="s">
        <v>795</v>
      </c>
      <c r="D246" s="85" t="s">
        <v>796</v>
      </c>
      <c r="E246" s="34">
        <v>30</v>
      </c>
      <c r="F246" s="34">
        <v>35</v>
      </c>
      <c r="G246" s="34"/>
      <c r="H246" s="130"/>
      <c r="I246" s="62"/>
      <c r="J246" s="62"/>
      <c r="K246" s="129">
        <v>0.20833333333333334</v>
      </c>
      <c r="L246" s="134">
        <v>0.95833333333333337</v>
      </c>
      <c r="M246" s="148">
        <v>0.20833333333333334</v>
      </c>
      <c r="N246" s="149">
        <v>0.95833333333333337</v>
      </c>
      <c r="O246" s="95" t="s">
        <v>822</v>
      </c>
      <c r="P246" s="95"/>
      <c r="Q246" s="95"/>
    </row>
    <row r="247" spans="1:17" x14ac:dyDescent="0.25">
      <c r="A247" s="12" t="s">
        <v>794</v>
      </c>
      <c r="B247" s="84" t="s">
        <v>2</v>
      </c>
      <c r="C247" s="84" t="s">
        <v>797</v>
      </c>
      <c r="D247" s="85" t="s">
        <v>798</v>
      </c>
      <c r="E247" s="34">
        <v>75</v>
      </c>
      <c r="F247" s="34">
        <v>68</v>
      </c>
      <c r="G247" s="34"/>
      <c r="H247" s="130"/>
      <c r="I247" s="62"/>
      <c r="J247" s="62"/>
      <c r="K247" s="129">
        <v>0.20833333333333334</v>
      </c>
      <c r="L247" s="134">
        <v>0.95833333333333337</v>
      </c>
      <c r="M247" s="148">
        <v>0.20833333333333334</v>
      </c>
      <c r="N247" s="149">
        <v>0.95833333333333337</v>
      </c>
      <c r="O247" s="95" t="s">
        <v>822</v>
      </c>
      <c r="P247" s="95"/>
      <c r="Q247" s="95"/>
    </row>
    <row r="248" spans="1:17" x14ac:dyDescent="0.25">
      <c r="A248" s="12" t="s">
        <v>799</v>
      </c>
      <c r="B248" s="84" t="s">
        <v>2</v>
      </c>
      <c r="C248" s="84" t="s">
        <v>800</v>
      </c>
      <c r="D248" s="85" t="s">
        <v>793</v>
      </c>
      <c r="E248" s="34">
        <v>40</v>
      </c>
      <c r="F248" s="34">
        <v>35</v>
      </c>
      <c r="G248" s="34">
        <v>50</v>
      </c>
      <c r="H248" s="130"/>
      <c r="I248" s="62"/>
      <c r="J248" s="62"/>
      <c r="K248" s="129">
        <v>0.20833333333333334</v>
      </c>
      <c r="L248" s="135">
        <v>0.83333333333333337</v>
      </c>
      <c r="M248" s="148">
        <v>0.20833333333333334</v>
      </c>
      <c r="N248" s="148">
        <v>0.58333333333333337</v>
      </c>
      <c r="O248" s="95" t="s">
        <v>822</v>
      </c>
      <c r="P248" s="95"/>
      <c r="Q248" s="95"/>
    </row>
    <row r="249" spans="1:17" x14ac:dyDescent="0.25">
      <c r="A249" s="12" t="s">
        <v>794</v>
      </c>
      <c r="B249" s="84" t="s">
        <v>2</v>
      </c>
      <c r="C249" s="84" t="s">
        <v>801</v>
      </c>
      <c r="D249" s="85" t="s">
        <v>802</v>
      </c>
      <c r="E249" s="34">
        <v>65</v>
      </c>
      <c r="F249" s="34">
        <v>68</v>
      </c>
      <c r="G249" s="34"/>
      <c r="H249" s="130"/>
      <c r="I249" s="62"/>
      <c r="J249" s="62"/>
      <c r="K249" s="129">
        <v>0.20833333333333334</v>
      </c>
      <c r="L249" s="135">
        <v>0.875</v>
      </c>
      <c r="M249" s="148">
        <v>0.20833333333333334</v>
      </c>
      <c r="N249" s="150">
        <v>0.875</v>
      </c>
      <c r="O249" s="95" t="s">
        <v>822</v>
      </c>
      <c r="P249" s="95"/>
      <c r="Q249" s="95"/>
    </row>
    <row r="250" spans="1:17" x14ac:dyDescent="0.25">
      <c r="A250" s="12" t="s">
        <v>799</v>
      </c>
      <c r="B250" s="84" t="s">
        <v>39</v>
      </c>
      <c r="C250" s="84" t="s">
        <v>803</v>
      </c>
      <c r="D250" s="85" t="s">
        <v>804</v>
      </c>
      <c r="E250" s="34">
        <v>10</v>
      </c>
      <c r="F250" s="34">
        <v>10</v>
      </c>
      <c r="G250" s="34">
        <v>10</v>
      </c>
      <c r="H250" s="130"/>
      <c r="I250" s="62"/>
      <c r="J250" s="62"/>
      <c r="K250" s="129">
        <v>0.20833333333333334</v>
      </c>
      <c r="L250" s="135">
        <v>0.875</v>
      </c>
      <c r="M250" s="148">
        <v>0.20833333333333334</v>
      </c>
      <c r="N250" s="148">
        <v>0.58333333333333337</v>
      </c>
      <c r="O250" s="95" t="s">
        <v>822</v>
      </c>
      <c r="P250" s="95"/>
      <c r="Q250" s="95"/>
    </row>
    <row r="251" spans="1:17" x14ac:dyDescent="0.25">
      <c r="A251" s="12" t="s">
        <v>799</v>
      </c>
      <c r="B251" s="84" t="s">
        <v>39</v>
      </c>
      <c r="C251" s="84" t="s">
        <v>805</v>
      </c>
      <c r="D251" s="85" t="s">
        <v>806</v>
      </c>
      <c r="E251" s="34">
        <v>15</v>
      </c>
      <c r="F251" s="34">
        <v>15</v>
      </c>
      <c r="G251" s="34">
        <v>15</v>
      </c>
      <c r="H251" s="130"/>
      <c r="I251" s="62"/>
      <c r="J251" s="62"/>
      <c r="K251" s="129">
        <v>0.20833333333333334</v>
      </c>
      <c r="L251" s="135">
        <v>0.875</v>
      </c>
      <c r="M251" s="148">
        <v>0.20833333333333334</v>
      </c>
      <c r="N251" s="150">
        <v>0.875</v>
      </c>
      <c r="O251" s="95" t="s">
        <v>822</v>
      </c>
      <c r="P251" s="95"/>
      <c r="Q251" s="95"/>
    </row>
    <row r="252" spans="1:17" x14ac:dyDescent="0.25">
      <c r="A252" s="12" t="s">
        <v>794</v>
      </c>
      <c r="B252" s="84" t="s">
        <v>39</v>
      </c>
      <c r="C252" s="84" t="s">
        <v>807</v>
      </c>
      <c r="D252" s="85" t="s">
        <v>808</v>
      </c>
      <c r="E252" s="34">
        <v>15</v>
      </c>
      <c r="F252" s="34">
        <v>15</v>
      </c>
      <c r="G252" s="34">
        <v>15</v>
      </c>
      <c r="H252" s="130"/>
      <c r="I252" s="62"/>
      <c r="J252" s="62"/>
      <c r="K252" s="129">
        <v>0.20833333333333334</v>
      </c>
      <c r="L252" s="135">
        <v>0.875</v>
      </c>
      <c r="M252" s="148">
        <v>0.20833333333333334</v>
      </c>
      <c r="N252" s="148">
        <v>0.58333333333333337</v>
      </c>
      <c r="O252" s="95" t="s">
        <v>822</v>
      </c>
      <c r="P252" s="95"/>
      <c r="Q252" s="95"/>
    </row>
    <row r="253" spans="1:17" x14ac:dyDescent="0.25">
      <c r="A253" s="12" t="s">
        <v>799</v>
      </c>
      <c r="B253" s="84" t="s">
        <v>39</v>
      </c>
      <c r="C253" s="84" t="s">
        <v>809</v>
      </c>
      <c r="D253" s="85" t="s">
        <v>810</v>
      </c>
      <c r="E253" s="34">
        <v>15</v>
      </c>
      <c r="F253" s="34">
        <v>15</v>
      </c>
      <c r="G253" s="34">
        <v>15</v>
      </c>
      <c r="H253" s="130"/>
      <c r="I253" s="62"/>
      <c r="J253" s="62"/>
      <c r="K253" s="129">
        <v>0.20833333333333334</v>
      </c>
      <c r="L253" s="135">
        <v>0.91666666666666663</v>
      </c>
      <c r="M253" s="148">
        <v>0.20833333333333334</v>
      </c>
      <c r="N253" s="148">
        <v>0.58333333333333337</v>
      </c>
      <c r="O253" s="95" t="s">
        <v>822</v>
      </c>
      <c r="P253" s="95"/>
      <c r="Q253" s="95"/>
    </row>
    <row r="254" spans="1:17" x14ac:dyDescent="0.25">
      <c r="A254" s="16"/>
      <c r="B254" s="153" t="s">
        <v>2</v>
      </c>
      <c r="C254" s="153" t="s">
        <v>812</v>
      </c>
      <c r="D254" s="154" t="s">
        <v>814</v>
      </c>
      <c r="E254" s="155">
        <v>65</v>
      </c>
      <c r="F254" s="155">
        <v>65</v>
      </c>
      <c r="G254" s="155">
        <v>80</v>
      </c>
      <c r="H254" s="156">
        <v>45078</v>
      </c>
      <c r="I254" s="64"/>
      <c r="J254" s="64"/>
      <c r="K254" s="157">
        <v>0.20833333333333334</v>
      </c>
      <c r="L254" s="158">
        <v>0.83333333333333337</v>
      </c>
      <c r="M254" s="159" t="s">
        <v>148</v>
      </c>
      <c r="N254" s="160" t="s">
        <v>148</v>
      </c>
      <c r="O254" s="116" t="s">
        <v>822</v>
      </c>
      <c r="P254" s="116"/>
      <c r="Q254" s="116"/>
    </row>
    <row r="255" spans="1:17" x14ac:dyDescent="0.25">
      <c r="A255" s="161"/>
      <c r="B255" s="21" t="s">
        <v>39</v>
      </c>
      <c r="C255" s="21" t="s">
        <v>813</v>
      </c>
      <c r="D255" s="21" t="s">
        <v>815</v>
      </c>
      <c r="E255" s="34">
        <v>10</v>
      </c>
      <c r="F255" s="34">
        <v>15</v>
      </c>
      <c r="G255" s="34">
        <v>15</v>
      </c>
      <c r="H255" s="162">
        <v>45170</v>
      </c>
      <c r="I255" s="95"/>
      <c r="J255" s="95"/>
      <c r="K255" s="148">
        <v>0.20833333333333334</v>
      </c>
      <c r="L255" s="150">
        <v>0.83333333333333337</v>
      </c>
      <c r="M255" s="148">
        <v>0.20833333333333334</v>
      </c>
      <c r="N255" s="150">
        <v>0.83333333333333337</v>
      </c>
      <c r="O255" s="95" t="s">
        <v>822</v>
      </c>
      <c r="P255" s="95"/>
      <c r="Q255" s="95"/>
    </row>
    <row r="256" spans="1:17" x14ac:dyDescent="0.25">
      <c r="A256" s="95"/>
      <c r="B256" s="21" t="s">
        <v>39</v>
      </c>
      <c r="C256" s="21" t="s">
        <v>826</v>
      </c>
      <c r="D256" s="21" t="s">
        <v>825</v>
      </c>
      <c r="E256" s="34">
        <v>15</v>
      </c>
      <c r="F256" s="21">
        <v>15</v>
      </c>
      <c r="G256" s="95">
        <v>15</v>
      </c>
      <c r="H256" s="162">
        <v>44896</v>
      </c>
      <c r="I256" s="95"/>
      <c r="J256" s="95"/>
      <c r="K256" s="163">
        <v>0.20833333333333334</v>
      </c>
      <c r="L256" s="163">
        <v>0.95833333333333337</v>
      </c>
      <c r="M256" s="163">
        <v>0.20833333333333334</v>
      </c>
      <c r="N256" s="163">
        <v>0.95833333333333337</v>
      </c>
      <c r="O256" s="95"/>
      <c r="P256" s="95"/>
      <c r="Q256" s="95"/>
    </row>
  </sheetData>
  <autoFilter ref="A2:Q256" xr:uid="{00000000-0009-0000-0000-000000000000}">
    <filterColumn colId="1">
      <filters>
        <filter val="Franchisés"/>
        <filter val="Monop"/>
        <filter val="Monoprix"/>
        <filter val="SES8"/>
      </filters>
    </filterColumn>
  </autoFilter>
  <mergeCells count="2">
    <mergeCell ref="E1:G1"/>
    <mergeCell ref="H1:J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690"/>
  <sheetViews>
    <sheetView topLeftCell="A1566" zoomScaleNormal="100" workbookViewId="0">
      <pane xSplit="1" topLeftCell="V1" activePane="topRight" state="frozen"/>
      <selection pane="topRight" sqref="A1:AC1579"/>
    </sheetView>
  </sheetViews>
  <sheetFormatPr baseColWidth="10" defaultColWidth="11.42578125" defaultRowHeight="15" x14ac:dyDescent="0.25"/>
  <cols>
    <col min="1" max="1" width="25.140625" customWidth="1"/>
    <col min="2" max="2" width="8.28515625" customWidth="1"/>
    <col min="3" max="3" width="10.28515625" customWidth="1"/>
    <col min="4" max="4" width="7.85546875" customWidth="1"/>
    <col min="5" max="5" width="9.7109375" customWidth="1"/>
    <col min="6" max="6" width="8.5703125" customWidth="1"/>
    <col min="7" max="7" width="7" customWidth="1"/>
    <col min="8" max="8" width="8.7109375" customWidth="1"/>
    <col min="9" max="9" width="8.140625" customWidth="1"/>
    <col min="10" max="10" width="8" customWidth="1"/>
    <col min="11" max="11" width="8.7109375" customWidth="1"/>
    <col min="12" max="13" width="8.140625" customWidth="1"/>
    <col min="14" max="14" width="6.5703125" customWidth="1"/>
    <col min="15" max="16" width="11.42578125" style="20"/>
    <col min="17" max="17" width="9" style="14" customWidth="1"/>
    <col min="18" max="18" width="9.28515625" style="14" customWidth="1"/>
    <col min="19" max="19" width="8.42578125" style="14" customWidth="1"/>
    <col min="20" max="20" width="11.42578125" style="14"/>
    <col min="21" max="21" width="8.42578125" customWidth="1"/>
    <col min="22" max="22" width="9.7109375" customWidth="1"/>
    <col min="23" max="23" width="9.28515625" customWidth="1"/>
    <col min="24" max="24" width="8.5703125" customWidth="1"/>
    <col min="25" max="25" width="9.28515625" customWidth="1"/>
    <col min="26" max="26" width="20.85546875" customWidth="1"/>
    <col min="27" max="27" width="27.7109375" customWidth="1"/>
    <col min="28" max="28" width="28.28515625" customWidth="1"/>
    <col min="29" max="29" width="32.28515625" customWidth="1"/>
  </cols>
  <sheetData>
    <row r="1" spans="1:29" ht="72" thickBot="1" x14ac:dyDescent="0.3">
      <c r="A1" s="1" t="s">
        <v>44</v>
      </c>
      <c r="B1" s="15" t="s">
        <v>1</v>
      </c>
      <c r="C1" s="1" t="s">
        <v>0</v>
      </c>
      <c r="D1" s="2" t="s">
        <v>43</v>
      </c>
      <c r="E1" s="3" t="s">
        <v>282</v>
      </c>
      <c r="F1" s="3" t="s">
        <v>287</v>
      </c>
      <c r="G1" s="3" t="s">
        <v>281</v>
      </c>
      <c r="H1" s="151" t="s">
        <v>824</v>
      </c>
      <c r="I1" s="152" t="s">
        <v>818</v>
      </c>
      <c r="J1" s="152" t="s">
        <v>819</v>
      </c>
      <c r="K1" s="152" t="s">
        <v>820</v>
      </c>
      <c r="L1" s="152" t="s">
        <v>821</v>
      </c>
      <c r="M1" s="3" t="s">
        <v>288</v>
      </c>
      <c r="N1" s="3" t="s">
        <v>289</v>
      </c>
      <c r="O1" s="19" t="s">
        <v>290</v>
      </c>
      <c r="P1" s="19" t="s">
        <v>291</v>
      </c>
      <c r="Q1" s="3" t="s">
        <v>292</v>
      </c>
      <c r="R1" s="3" t="s">
        <v>293</v>
      </c>
      <c r="S1" s="3" t="s">
        <v>294</v>
      </c>
      <c r="T1" s="3" t="s">
        <v>295</v>
      </c>
      <c r="U1" s="3" t="s">
        <v>296</v>
      </c>
      <c r="V1" s="3" t="s">
        <v>297</v>
      </c>
      <c r="W1" s="3" t="s">
        <v>298</v>
      </c>
      <c r="X1" s="3" t="s">
        <v>299</v>
      </c>
      <c r="Y1" s="3" t="s">
        <v>286</v>
      </c>
      <c r="Z1" s="3" t="s">
        <v>300</v>
      </c>
      <c r="AA1" s="119" t="s">
        <v>301</v>
      </c>
      <c r="AB1" s="120" t="s">
        <v>302</v>
      </c>
      <c r="AC1" s="125" t="s">
        <v>816</v>
      </c>
    </row>
    <row r="2" spans="1:29" ht="14.45" hidden="1" customHeight="1" x14ac:dyDescent="0.25">
      <c r="A2" s="36" t="str">
        <f>INDEX('Base de données Mono'!C:C,MATCH(B2,'Base de données Mono'!D:D,0))</f>
        <v>MONTPARNASSE</v>
      </c>
      <c r="B2" t="s">
        <v>177</v>
      </c>
      <c r="C2" s="36" t="str">
        <f>INDEX('Base de données Mono'!B:B,MATCH(B2,'Base de données Mono'!D:D,0))</f>
        <v>SES8</v>
      </c>
      <c r="D2" s="36" t="str">
        <f>INDEX('Base de données Mono'!A:A,MATCH(B2,'Base de données Mono'!D:D,0))</f>
        <v>AD</v>
      </c>
      <c r="E2" s="37" t="s">
        <v>303</v>
      </c>
      <c r="F2" s="41">
        <f t="shared" ref="F2:F65" si="0">IF(O2="","-",IF(AND(X2="Nuit",WEEKDAY(O2,2)=7,O2&lt;&gt;P2),WEEKNUM(O2,2),WEEKNUM(O2,2)-1))+1</f>
        <v>13</v>
      </c>
      <c r="G2" s="41">
        <f t="shared" ref="G2:G65" si="1">IF(O2="","-",MONTH(O2))</f>
        <v>3</v>
      </c>
      <c r="H2">
        <v>9.67</v>
      </c>
      <c r="I2" s="131">
        <f>INDEX('Base de données Mono'!K:K,MATCH(B2,'Base de données Mono'!D:D,0))</f>
        <v>0.23611111111111113</v>
      </c>
      <c r="J2" s="131">
        <f>INDEX('Base de données Mono'!L:L,MATCH(B2,'Base de données Mono'!D:D,0))</f>
        <v>0.875</v>
      </c>
      <c r="K2" s="131">
        <f>INDEX('Base de données Mono'!M:M,MATCH(B2,'Base de données Mono'!D:D,0))</f>
        <v>0.25</v>
      </c>
      <c r="L2" s="131">
        <f>INDEX('Base de données Mono'!N:N,MATCH(B2,'Base de données Mono'!D:D,0))</f>
        <v>0.85416666666666663</v>
      </c>
      <c r="M2" s="33" t="s">
        <v>811</v>
      </c>
      <c r="N2" s="33">
        <f>IF(AND(E2="Electricité",M2="Hiver"),INDEX('Base de données Mono'!E:E,MATCH(B2,'Base de données Mono'!D:D,0)),IF(AND(E2="Electricité",M2="Mi-saison"),INDEX('Base de données Mono'!F:F,MATCH(B2,'Base de données Mono'!D:D,0)),IF(AND(E2="Electricité",M2="Eté"),INDEX('Base de données Mono'!G:G,MATCH(B2,'Base de données Mono'!D:D,0)),IF(AND(E2="Gaz",M2="Hiver"),INDEX('Base de données Mono'!J:J,MATCH(B2,'Base de données Mono'!D:D,0)),IF(AND(E2="Gaz",M2="Mi-saison"),INDEX('Base de données Mono'!#REF!,MATCH(B2,'Base de données Mono'!D:D,0)),IF(AND(E2="Gaz",M2="Eté"),INDEX('Base de données Mono'!#REF!,MATCH(B2,'Base de données Mono'!D:D,0)),"-"))))))</f>
        <v>125</v>
      </c>
      <c r="O2" s="123">
        <v>45375</v>
      </c>
      <c r="P2" s="123">
        <v>45381</v>
      </c>
      <c r="Q2" s="164">
        <v>190</v>
      </c>
      <c r="R2" s="33">
        <f t="shared" ref="R2:R65" si="2">IF(Q2="","",Q2-N2)</f>
        <v>65</v>
      </c>
      <c r="S2" s="164">
        <v>0.5</v>
      </c>
      <c r="T2" s="34">
        <f>P2-O2</f>
        <v>6</v>
      </c>
      <c r="U2" s="33">
        <f t="shared" ref="U2:U65" si="3">R2*S2*T2</f>
        <v>195</v>
      </c>
      <c r="V2" s="38" t="s">
        <v>148</v>
      </c>
      <c r="W2" s="39">
        <f t="shared" ref="W2:W65" si="4">IFERROR(IF(E2="Gaz","-",R2/N2),"-")</f>
        <v>0.52</v>
      </c>
      <c r="X2" s="40" t="s">
        <v>304</v>
      </c>
      <c r="Y2" s="40" t="s">
        <v>284</v>
      </c>
      <c r="Z2" s="40" t="s">
        <v>307</v>
      </c>
      <c r="AA2" s="33" t="s">
        <v>414</v>
      </c>
      <c r="AB2" s="95"/>
      <c r="AC2" s="95"/>
    </row>
    <row r="3" spans="1:29" ht="14.45" hidden="1" customHeight="1" x14ac:dyDescent="0.25">
      <c r="A3" s="36" t="str">
        <f>INDEX('Base de données Mono'!C:C,MATCH(B3,'Base de données Mono'!D:D,0))</f>
        <v>MONTPARNASSE</v>
      </c>
      <c r="B3" t="s">
        <v>177</v>
      </c>
      <c r="C3" s="36" t="str">
        <f>INDEX('Base de données Mono'!B:B,MATCH(B3,'Base de données Mono'!D:D,0))</f>
        <v>SES8</v>
      </c>
      <c r="D3" s="36" t="str">
        <f>INDEX('Base de données Mono'!A:A,MATCH(B3,'Base de données Mono'!D:D,0))</f>
        <v>AD</v>
      </c>
      <c r="E3" s="37" t="s">
        <v>303</v>
      </c>
      <c r="F3" s="41">
        <f t="shared" si="0"/>
        <v>13</v>
      </c>
      <c r="G3" s="41">
        <f t="shared" si="1"/>
        <v>3</v>
      </c>
      <c r="H3">
        <v>9.67</v>
      </c>
      <c r="I3" s="131">
        <f>INDEX('Base de données Mono'!K:K,MATCH(B3,'Base de données Mono'!D:D,0))</f>
        <v>0.23611111111111113</v>
      </c>
      <c r="J3" s="131">
        <f>INDEX('Base de données Mono'!L:L,MATCH(B3,'Base de données Mono'!D:D,0))</f>
        <v>0.875</v>
      </c>
      <c r="K3" s="131">
        <f>INDEX('Base de données Mono'!M:M,MATCH(B3,'Base de données Mono'!D:D,0))</f>
        <v>0.25</v>
      </c>
      <c r="L3" s="131">
        <f>INDEX('Base de données Mono'!N:N,MATCH(B3,'Base de données Mono'!D:D,0))</f>
        <v>0.85416666666666663</v>
      </c>
      <c r="M3" s="33" t="s">
        <v>811</v>
      </c>
      <c r="N3" s="33">
        <f>IF(AND(E3="Electricité",M3="Hiver"),INDEX('Base de données Mono'!E:E,MATCH(B3,'Base de données Mono'!D:D,0)),IF(AND(E3="Electricité",M3="Mi-saison"),INDEX('Base de données Mono'!F:F,MATCH(B3,'Base de données Mono'!D:D,0)),IF(AND(E3="Electricité",M3="Eté"),INDEX('Base de données Mono'!G:G,MATCH(B3,'Base de données Mono'!D:D,0)),IF(AND(E3="Gaz",M3="Hiver"),INDEX('Base de données Mono'!J:J,MATCH(B3,'Base de données Mono'!D:D,0)),IF(AND(E3="Gaz",M3="Mi-saison"),INDEX('Base de données Mono'!#REF!,MATCH(B3,'Base de données Mono'!D:D,0)),IF(AND(E3="Gaz",M3="Eté"),INDEX('Base de données Mono'!#REF!,MATCH(B3,'Base de données Mono'!D:D,0)),"-"))))))</f>
        <v>125</v>
      </c>
      <c r="O3" s="123">
        <v>45375</v>
      </c>
      <c r="P3" s="123">
        <v>45382</v>
      </c>
      <c r="Q3" s="34">
        <v>185</v>
      </c>
      <c r="R3" s="33">
        <f t="shared" si="2"/>
        <v>60</v>
      </c>
      <c r="S3" s="164">
        <v>3</v>
      </c>
      <c r="T3" s="34">
        <f t="shared" ref="T3:T66" si="5">P3-O3</f>
        <v>7</v>
      </c>
      <c r="U3" s="33">
        <f t="shared" si="3"/>
        <v>1260</v>
      </c>
      <c r="V3" s="38" t="s">
        <v>148</v>
      </c>
      <c r="W3" s="39">
        <f t="shared" si="4"/>
        <v>0.48</v>
      </c>
      <c r="X3" s="40" t="s">
        <v>304</v>
      </c>
      <c r="Y3" s="40" t="s">
        <v>284</v>
      </c>
      <c r="Z3" s="40" t="s">
        <v>307</v>
      </c>
      <c r="AA3" s="33" t="s">
        <v>313</v>
      </c>
      <c r="AB3" s="95"/>
      <c r="AC3" s="95"/>
    </row>
    <row r="4" spans="1:29" ht="14.45" hidden="1" customHeight="1" x14ac:dyDescent="0.25">
      <c r="A4" s="36" t="str">
        <f>INDEX('Base de données Mono'!C:C,MATCH(B4,'Base de données Mono'!D:D,0))</f>
        <v>MOZART</v>
      </c>
      <c r="B4" t="s">
        <v>27</v>
      </c>
      <c r="C4" s="36" t="str">
        <f>INDEX('Base de données Mono'!B:B,MATCH(B4,'Base de données Mono'!D:D,0))</f>
        <v>SES8</v>
      </c>
      <c r="D4" s="36" t="str">
        <f>INDEX('Base de données Mono'!A:A,MATCH(B4,'Base de données Mono'!D:D,0))</f>
        <v>AD</v>
      </c>
      <c r="E4" s="37" t="s">
        <v>303</v>
      </c>
      <c r="F4" s="41">
        <f t="shared" si="0"/>
        <v>13</v>
      </c>
      <c r="G4" s="41">
        <f t="shared" si="1"/>
        <v>3</v>
      </c>
      <c r="H4">
        <v>9.67</v>
      </c>
      <c r="I4" s="131">
        <f>INDEX('Base de données Mono'!K:K,MATCH(B4,'Base de données Mono'!D:D,0))</f>
        <v>0.23611111111111113</v>
      </c>
      <c r="J4" s="131">
        <f>INDEX('Base de données Mono'!L:L,MATCH(B4,'Base de données Mono'!D:D,0))</f>
        <v>0.92708333333333337</v>
      </c>
      <c r="K4" s="131">
        <f>INDEX('Base de données Mono'!M:M,MATCH(B4,'Base de données Mono'!D:D,0))</f>
        <v>0.23611111111111113</v>
      </c>
      <c r="L4" s="131">
        <f>INDEX('Base de données Mono'!N:N,MATCH(B4,'Base de données Mono'!D:D,0))</f>
        <v>0.54166666666666663</v>
      </c>
      <c r="M4" s="33" t="s">
        <v>811</v>
      </c>
      <c r="N4" s="33">
        <f>IF(AND(E4="Electricité",M4="Hiver"),INDEX('Base de données Mono'!E:E,MATCH(B4,'Base de données Mono'!D:D,0)),IF(AND(E4="Electricité",M4="Mi-saison"),INDEX('Base de données Mono'!F:F,MATCH(B4,'Base de données Mono'!D:D,0)),IF(AND(E4="Electricité",M4="Eté"),INDEX('Base de données Mono'!G:G,MATCH(B4,'Base de données Mono'!D:D,0)),IF(AND(E4="Gaz",M4="Hiver"),INDEX('Base de données Mono'!J:J,MATCH(B4,'Base de données Mono'!D:D,0)),IF(AND(E4="Gaz",M4="Mi-saison"),INDEX('Base de données Mono'!#REF!,MATCH(B4,'Base de données Mono'!D:D,0)),IF(AND(E4="Gaz",M4="Eté"),INDEX('Base de données Mono'!#REF!,MATCH(B4,'Base de données Mono'!D:D,0)),"-"))))))</f>
        <v>35</v>
      </c>
      <c r="O4" s="123">
        <v>45375</v>
      </c>
      <c r="P4" s="123">
        <v>45377</v>
      </c>
      <c r="Q4" s="34">
        <v>40</v>
      </c>
      <c r="R4" s="33">
        <f t="shared" si="2"/>
        <v>5</v>
      </c>
      <c r="S4" s="34">
        <v>2</v>
      </c>
      <c r="T4" s="34">
        <f t="shared" si="5"/>
        <v>2</v>
      </c>
      <c r="U4" s="33">
        <f t="shared" si="3"/>
        <v>20</v>
      </c>
      <c r="V4" s="38" t="s">
        <v>148</v>
      </c>
      <c r="W4" s="39">
        <f t="shared" si="4"/>
        <v>0.14285714285714285</v>
      </c>
      <c r="X4" s="40" t="s">
        <v>304</v>
      </c>
      <c r="Y4" s="40" t="s">
        <v>284</v>
      </c>
      <c r="Z4" s="40" t="s">
        <v>305</v>
      </c>
      <c r="AA4" s="33" t="s">
        <v>771</v>
      </c>
      <c r="AB4" s="95"/>
      <c r="AC4" s="95"/>
    </row>
    <row r="5" spans="1:29" ht="14.45" hidden="1" customHeight="1" x14ac:dyDescent="0.25">
      <c r="A5" s="36" t="str">
        <f>INDEX('Base de données Mono'!C:C,MATCH(B5,'Base de données Mono'!D:D,0))</f>
        <v>MOZART</v>
      </c>
      <c r="B5" t="s">
        <v>27</v>
      </c>
      <c r="C5" s="36" t="str">
        <f>INDEX('Base de données Mono'!B:B,MATCH(B5,'Base de données Mono'!D:D,0))</f>
        <v>SES8</v>
      </c>
      <c r="D5" s="36" t="str">
        <f>INDEX('Base de données Mono'!A:A,MATCH(B5,'Base de données Mono'!D:D,0))</f>
        <v>AD</v>
      </c>
      <c r="E5" s="37" t="s">
        <v>303</v>
      </c>
      <c r="F5" s="41">
        <f t="shared" si="0"/>
        <v>13</v>
      </c>
      <c r="G5" s="41">
        <f t="shared" si="1"/>
        <v>3</v>
      </c>
      <c r="H5">
        <v>9.67</v>
      </c>
      <c r="I5" s="131">
        <f>INDEX('Base de données Mono'!K:K,MATCH(B5,'Base de données Mono'!D:D,0))</f>
        <v>0.23611111111111113</v>
      </c>
      <c r="J5" s="131">
        <f>INDEX('Base de données Mono'!L:L,MATCH(B5,'Base de données Mono'!D:D,0))</f>
        <v>0.92708333333333337</v>
      </c>
      <c r="K5" s="131">
        <f>INDEX('Base de données Mono'!M:M,MATCH(B5,'Base de données Mono'!D:D,0))</f>
        <v>0.23611111111111113</v>
      </c>
      <c r="L5" s="131">
        <f>INDEX('Base de données Mono'!N:N,MATCH(B5,'Base de données Mono'!D:D,0))</f>
        <v>0.54166666666666663</v>
      </c>
      <c r="M5" s="33" t="s">
        <v>811</v>
      </c>
      <c r="N5" s="33">
        <f>IF(AND(E5="Electricité",M5="Hiver"),INDEX('Base de données Mono'!E:E,MATCH(B5,'Base de données Mono'!D:D,0)),IF(AND(E5="Electricité",M5="Mi-saison"),INDEX('Base de données Mono'!F:F,MATCH(B5,'Base de données Mono'!D:D,0)),IF(AND(E5="Electricité",M5="Eté"),INDEX('Base de données Mono'!G:G,MATCH(B5,'Base de données Mono'!D:D,0)),IF(AND(E5="Gaz",M5="Hiver"),INDEX('Base de données Mono'!J:J,MATCH(B5,'Base de données Mono'!D:D,0)),IF(AND(E5="Gaz",M5="Mi-saison"),INDEX('Base de données Mono'!#REF!,MATCH(B5,'Base de données Mono'!D:D,0)),IF(AND(E5="Gaz",M5="Eté"),INDEX('Base de données Mono'!#REF!,MATCH(B5,'Base de données Mono'!D:D,0)),"-"))))))</f>
        <v>35</v>
      </c>
      <c r="O5" s="123">
        <v>45377</v>
      </c>
      <c r="P5" s="123">
        <v>45379</v>
      </c>
      <c r="Q5" s="34">
        <v>45</v>
      </c>
      <c r="R5" s="33">
        <f t="shared" si="2"/>
        <v>10</v>
      </c>
      <c r="S5" s="34">
        <v>7.4</v>
      </c>
      <c r="T5" s="34">
        <f t="shared" si="5"/>
        <v>2</v>
      </c>
      <c r="U5" s="33">
        <f t="shared" si="3"/>
        <v>148</v>
      </c>
      <c r="V5" s="38" t="s">
        <v>148</v>
      </c>
      <c r="W5" s="39">
        <f t="shared" si="4"/>
        <v>0.2857142857142857</v>
      </c>
      <c r="X5" s="40" t="s">
        <v>304</v>
      </c>
      <c r="Y5" s="40" t="s">
        <v>284</v>
      </c>
      <c r="Z5" s="40" t="s">
        <v>305</v>
      </c>
      <c r="AA5" s="33" t="s">
        <v>771</v>
      </c>
      <c r="AB5" s="95"/>
      <c r="AC5" s="95"/>
    </row>
    <row r="6" spans="1:29" ht="14.45" hidden="1" customHeight="1" x14ac:dyDescent="0.25">
      <c r="A6" s="36" t="str">
        <f>INDEX('Base de données Mono'!C:C,MATCH(B6,'Base de données Mono'!D:D,0))</f>
        <v>MOZART</v>
      </c>
      <c r="B6" t="s">
        <v>27</v>
      </c>
      <c r="C6" s="36" t="str">
        <f>INDEX('Base de données Mono'!B:B,MATCH(B6,'Base de données Mono'!D:D,0))</f>
        <v>SES8</v>
      </c>
      <c r="D6" s="36" t="str">
        <f>INDEX('Base de données Mono'!A:A,MATCH(B6,'Base de données Mono'!D:D,0))</f>
        <v>AD</v>
      </c>
      <c r="E6" s="37" t="s">
        <v>303</v>
      </c>
      <c r="F6" s="41">
        <f t="shared" si="0"/>
        <v>13</v>
      </c>
      <c r="G6" s="41">
        <f t="shared" si="1"/>
        <v>3</v>
      </c>
      <c r="H6">
        <v>6</v>
      </c>
      <c r="I6" s="131">
        <f>INDEX('Base de données Mono'!K:K,MATCH(B6,'Base de données Mono'!D:D,0))</f>
        <v>0.23611111111111113</v>
      </c>
      <c r="J6" s="131">
        <f>INDEX('Base de données Mono'!L:L,MATCH(B6,'Base de données Mono'!D:D,0))</f>
        <v>0.92708333333333337</v>
      </c>
      <c r="K6" s="131">
        <f>INDEX('Base de données Mono'!M:M,MATCH(B6,'Base de données Mono'!D:D,0))</f>
        <v>0.23611111111111113</v>
      </c>
      <c r="L6" s="131">
        <f>INDEX('Base de données Mono'!N:N,MATCH(B6,'Base de données Mono'!D:D,0))</f>
        <v>0.54166666666666663</v>
      </c>
      <c r="M6" s="33" t="s">
        <v>811</v>
      </c>
      <c r="N6" s="33">
        <f>IF(AND(E6="Electricité",M6="Hiver"),INDEX('Base de données Mono'!E:E,MATCH(B6,'Base de données Mono'!D:D,0)),IF(AND(E6="Electricité",M6="Mi-saison"),INDEX('Base de données Mono'!F:F,MATCH(B6,'Base de données Mono'!D:D,0)),IF(AND(E6="Electricité",M6="Eté"),INDEX('Base de données Mono'!G:G,MATCH(B6,'Base de données Mono'!D:D,0)),IF(AND(E6="Gaz",M6="Hiver"),INDEX('Base de données Mono'!J:J,MATCH(B6,'Base de données Mono'!D:D,0)),IF(AND(E6="Gaz",M6="Mi-saison"),INDEX('Base de données Mono'!#REF!,MATCH(B6,'Base de données Mono'!D:D,0)),IF(AND(E6="Gaz",M6="Eté"),INDEX('Base de données Mono'!#REF!,MATCH(B6,'Base de données Mono'!D:D,0)),"-"))))))</f>
        <v>35</v>
      </c>
      <c r="O6" s="123">
        <v>45379</v>
      </c>
      <c r="P6" s="123">
        <v>45382</v>
      </c>
      <c r="Q6" s="34">
        <v>40</v>
      </c>
      <c r="R6" s="33">
        <f t="shared" si="2"/>
        <v>5</v>
      </c>
      <c r="S6" s="34">
        <v>2</v>
      </c>
      <c r="T6" s="34">
        <f t="shared" si="5"/>
        <v>3</v>
      </c>
      <c r="U6" s="33">
        <f t="shared" si="3"/>
        <v>30</v>
      </c>
      <c r="V6" s="38" t="s">
        <v>148</v>
      </c>
      <c r="W6" s="39">
        <f t="shared" si="4"/>
        <v>0.14285714285714285</v>
      </c>
      <c r="X6" s="40" t="s">
        <v>304</v>
      </c>
      <c r="Y6" s="40" t="s">
        <v>284</v>
      </c>
      <c r="Z6" s="40" t="s">
        <v>305</v>
      </c>
      <c r="AA6" s="33" t="s">
        <v>771</v>
      </c>
      <c r="AB6" s="95"/>
      <c r="AC6" s="95"/>
    </row>
    <row r="7" spans="1:29" ht="14.45" hidden="1" customHeight="1" x14ac:dyDescent="0.25">
      <c r="A7" s="36" t="str">
        <f>INDEX('Base de données Mono'!C:C,MATCH(B7,'Base de données Mono'!D:D,0))</f>
        <v>VIENNE PYRAMIDE</v>
      </c>
      <c r="B7" t="s">
        <v>271</v>
      </c>
      <c r="C7" s="36" t="str">
        <f>INDEX('Base de données Mono'!B:B,MATCH(B7,'Base de données Mono'!D:D,0))</f>
        <v>Franchisés</v>
      </c>
      <c r="D7" s="36" t="str">
        <f>INDEX('Base de données Mono'!A:A,MATCH(B7,'Base de données Mono'!D:D,0))</f>
        <v>AD</v>
      </c>
      <c r="E7" s="37" t="s">
        <v>303</v>
      </c>
      <c r="F7" s="41">
        <f t="shared" si="0"/>
        <v>13</v>
      </c>
      <c r="G7" s="41">
        <f t="shared" si="1"/>
        <v>3</v>
      </c>
      <c r="H7">
        <v>6</v>
      </c>
      <c r="I7" s="131">
        <f>INDEX('Base de données Mono'!K:K,MATCH(B7,'Base de données Mono'!D:D,0))</f>
        <v>0.24305555555555555</v>
      </c>
      <c r="J7" s="131">
        <f>INDEX('Base de données Mono'!L:L,MATCH(B7,'Base de données Mono'!D:D,0))</f>
        <v>0.83333333333333337</v>
      </c>
      <c r="K7" s="131">
        <f>INDEX('Base de données Mono'!M:M,MATCH(B7,'Base de données Mono'!D:D,0))</f>
        <v>0.29166666666666669</v>
      </c>
      <c r="L7" s="131">
        <f>INDEX('Base de données Mono'!N:N,MATCH(B7,'Base de données Mono'!D:D,0))</f>
        <v>0.54166666666666663</v>
      </c>
      <c r="M7" s="33" t="s">
        <v>811</v>
      </c>
      <c r="N7" s="33">
        <f>IF(AND(E7="Electricité",M7="Hiver"),INDEX('Base de données Mono'!E:E,MATCH(B7,'Base de données Mono'!D:D,0)),IF(AND(E7="Electricité",M7="Mi-saison"),INDEX('Base de données Mono'!F:F,MATCH(B7,'Base de données Mono'!D:D,0)),IF(AND(E7="Electricité",M7="Eté"),INDEX('Base de données Mono'!G:G,MATCH(B7,'Base de données Mono'!D:D,0)),IF(AND(E7="Gaz",M7="Hiver"),INDEX('Base de données Mono'!J:J,MATCH(B7,'Base de données Mono'!D:D,0)),IF(AND(E7="Gaz",M7="Mi-saison"),INDEX('Base de données Mono'!#REF!,MATCH(B7,'Base de données Mono'!D:D,0)),IF(AND(E7="Gaz",M7="Eté"),INDEX('Base de données Mono'!#REF!,MATCH(B7,'Base de données Mono'!D:D,0)),"-"))))))</f>
        <v>45</v>
      </c>
      <c r="O7" s="123">
        <v>45375</v>
      </c>
      <c r="P7" s="123">
        <v>45380</v>
      </c>
      <c r="Q7" s="34">
        <v>50</v>
      </c>
      <c r="R7" s="33">
        <f t="shared" si="2"/>
        <v>5</v>
      </c>
      <c r="S7" s="34">
        <v>2</v>
      </c>
      <c r="T7" s="34">
        <f t="shared" si="5"/>
        <v>5</v>
      </c>
      <c r="U7" s="33">
        <f t="shared" si="3"/>
        <v>50</v>
      </c>
      <c r="V7" s="38" t="s">
        <v>148</v>
      </c>
      <c r="W7" s="39">
        <f t="shared" si="4"/>
        <v>0.1111111111111111</v>
      </c>
      <c r="X7" s="40" t="s">
        <v>304</v>
      </c>
      <c r="Y7" s="40" t="s">
        <v>284</v>
      </c>
      <c r="Z7" s="40" t="s">
        <v>305</v>
      </c>
      <c r="AA7" s="33" t="s">
        <v>771</v>
      </c>
      <c r="AB7" s="95"/>
      <c r="AC7" s="95"/>
    </row>
    <row r="8" spans="1:29" ht="14.45" hidden="1" customHeight="1" x14ac:dyDescent="0.25">
      <c r="A8" s="36" t="str">
        <f>INDEX('Base de données Mono'!C:C,MATCH(B8,'Base de données Mono'!D:D,0))</f>
        <v>VIENNE PYRAMIDE</v>
      </c>
      <c r="B8" t="s">
        <v>271</v>
      </c>
      <c r="C8" s="36" t="str">
        <f>INDEX('Base de données Mono'!B:B,MATCH(B8,'Base de données Mono'!D:D,0))</f>
        <v>Franchisés</v>
      </c>
      <c r="D8" s="36" t="str">
        <f>INDEX('Base de données Mono'!A:A,MATCH(B8,'Base de données Mono'!D:D,0))</f>
        <v>AD</v>
      </c>
      <c r="E8" s="37" t="s">
        <v>303</v>
      </c>
      <c r="F8" s="41">
        <f t="shared" si="0"/>
        <v>13</v>
      </c>
      <c r="G8" s="41">
        <f t="shared" si="1"/>
        <v>3</v>
      </c>
      <c r="H8">
        <v>9.67</v>
      </c>
      <c r="I8" s="131">
        <f>INDEX('Base de données Mono'!K:K,MATCH(B8,'Base de données Mono'!D:D,0))</f>
        <v>0.24305555555555555</v>
      </c>
      <c r="J8" s="131">
        <f>INDEX('Base de données Mono'!L:L,MATCH(B8,'Base de données Mono'!D:D,0))</f>
        <v>0.83333333333333337</v>
      </c>
      <c r="K8" s="131">
        <f>INDEX('Base de données Mono'!M:M,MATCH(B8,'Base de données Mono'!D:D,0))</f>
        <v>0.29166666666666669</v>
      </c>
      <c r="L8" s="131">
        <f>INDEX('Base de données Mono'!N:N,MATCH(B8,'Base de données Mono'!D:D,0))</f>
        <v>0.54166666666666663</v>
      </c>
      <c r="M8" s="33" t="s">
        <v>811</v>
      </c>
      <c r="N8" s="33">
        <f>IF(AND(E8="Electricité",M8="Hiver"),INDEX('Base de données Mono'!E:E,MATCH(B8,'Base de données Mono'!D:D,0)),IF(AND(E8="Electricité",M8="Mi-saison"),INDEX('Base de données Mono'!F:F,MATCH(B8,'Base de données Mono'!D:D,0)),IF(AND(E8="Electricité",M8="Eté"),INDEX('Base de données Mono'!G:G,MATCH(B8,'Base de données Mono'!D:D,0)),IF(AND(E8="Gaz",M8="Hiver"),INDEX('Base de données Mono'!J:J,MATCH(B8,'Base de données Mono'!D:D,0)),IF(AND(E8="Gaz",M8="Mi-saison"),INDEX('Base de données Mono'!#REF!,MATCH(B8,'Base de données Mono'!D:D,0)),IF(AND(E8="Gaz",M8="Eté"),INDEX('Base de données Mono'!#REF!,MATCH(B8,'Base de données Mono'!D:D,0)),"-"))))))</f>
        <v>45</v>
      </c>
      <c r="O8" s="123">
        <v>45379</v>
      </c>
      <c r="P8" s="123">
        <v>45380</v>
      </c>
      <c r="Q8" s="34">
        <v>70</v>
      </c>
      <c r="R8" s="33">
        <f t="shared" si="2"/>
        <v>25</v>
      </c>
      <c r="S8" s="34">
        <v>2.8</v>
      </c>
      <c r="T8" s="34">
        <f t="shared" si="5"/>
        <v>1</v>
      </c>
      <c r="U8" s="33">
        <f t="shared" si="3"/>
        <v>70</v>
      </c>
      <c r="V8" s="38" t="s">
        <v>148</v>
      </c>
      <c r="W8" s="39">
        <f t="shared" si="4"/>
        <v>0.55555555555555558</v>
      </c>
      <c r="X8" s="40" t="s">
        <v>304</v>
      </c>
      <c r="Y8" s="40" t="s">
        <v>284</v>
      </c>
      <c r="Z8" s="40" t="s">
        <v>311</v>
      </c>
      <c r="AA8" s="33" t="s">
        <v>775</v>
      </c>
      <c r="AB8" s="95"/>
      <c r="AC8" s="95"/>
    </row>
    <row r="9" spans="1:29" ht="14.45" hidden="1" customHeight="1" x14ac:dyDescent="0.25">
      <c r="A9" s="36" t="str">
        <f>INDEX('Base de données Mono'!C:C,MATCH(B9,'Base de données Mono'!D:D,0))</f>
        <v>VIENNE PYRAMIDE</v>
      </c>
      <c r="B9" t="s">
        <v>271</v>
      </c>
      <c r="C9" s="36" t="str">
        <f>INDEX('Base de données Mono'!B:B,MATCH(B9,'Base de données Mono'!D:D,0))</f>
        <v>Franchisés</v>
      </c>
      <c r="D9" s="36" t="str">
        <f>INDEX('Base de données Mono'!A:A,MATCH(B9,'Base de données Mono'!D:D,0))</f>
        <v>AD</v>
      </c>
      <c r="E9" s="37" t="s">
        <v>303</v>
      </c>
      <c r="F9" s="41">
        <f t="shared" si="0"/>
        <v>13</v>
      </c>
      <c r="G9" s="41">
        <f t="shared" si="1"/>
        <v>3</v>
      </c>
      <c r="H9">
        <v>6</v>
      </c>
      <c r="I9" s="131">
        <f>INDEX('Base de données Mono'!K:K,MATCH(B9,'Base de données Mono'!D:D,0))</f>
        <v>0.24305555555555555</v>
      </c>
      <c r="J9" s="131">
        <f>INDEX('Base de données Mono'!L:L,MATCH(B9,'Base de données Mono'!D:D,0))</f>
        <v>0.83333333333333337</v>
      </c>
      <c r="K9" s="131">
        <f>INDEX('Base de données Mono'!M:M,MATCH(B9,'Base de données Mono'!D:D,0))</f>
        <v>0.29166666666666669</v>
      </c>
      <c r="L9" s="131">
        <f>INDEX('Base de données Mono'!N:N,MATCH(B9,'Base de données Mono'!D:D,0))</f>
        <v>0.54166666666666663</v>
      </c>
      <c r="M9" s="33" t="s">
        <v>811</v>
      </c>
      <c r="N9" s="33">
        <f>IF(AND(E9="Electricité",M9="Hiver"),INDEX('Base de données Mono'!E:E,MATCH(B9,'Base de données Mono'!D:D,0)),IF(AND(E9="Electricité",M9="Mi-saison"),INDEX('Base de données Mono'!F:F,MATCH(B9,'Base de données Mono'!D:D,0)),IF(AND(E9="Electricité",M9="Eté"),INDEX('Base de données Mono'!G:G,MATCH(B9,'Base de données Mono'!D:D,0)),IF(AND(E9="Gaz",M9="Hiver"),INDEX('Base de données Mono'!J:J,MATCH(B9,'Base de données Mono'!D:D,0)),IF(AND(E9="Gaz",M9="Mi-saison"),INDEX('Base de données Mono'!#REF!,MATCH(B9,'Base de données Mono'!D:D,0)),IF(AND(E9="Gaz",M9="Eté"),INDEX('Base de données Mono'!#REF!,MATCH(B9,'Base de données Mono'!D:D,0)),"-"))))))</f>
        <v>45</v>
      </c>
      <c r="O9" s="123">
        <v>45380</v>
      </c>
      <c r="P9" s="123">
        <v>45382</v>
      </c>
      <c r="Q9" s="34">
        <v>50</v>
      </c>
      <c r="R9" s="33">
        <f t="shared" si="2"/>
        <v>5</v>
      </c>
      <c r="S9" s="34">
        <v>2</v>
      </c>
      <c r="T9" s="34">
        <f t="shared" si="5"/>
        <v>2</v>
      </c>
      <c r="U9" s="33">
        <f t="shared" si="3"/>
        <v>20</v>
      </c>
      <c r="V9" s="38" t="s">
        <v>148</v>
      </c>
      <c r="W9" s="39">
        <f t="shared" si="4"/>
        <v>0.1111111111111111</v>
      </c>
      <c r="X9" s="40" t="s">
        <v>304</v>
      </c>
      <c r="Y9" s="40" t="s">
        <v>284</v>
      </c>
      <c r="Z9" s="40" t="s">
        <v>305</v>
      </c>
      <c r="AA9" s="33" t="s">
        <v>771</v>
      </c>
      <c r="AB9" s="95"/>
      <c r="AC9" s="95"/>
    </row>
    <row r="10" spans="1:29" ht="14.45" hidden="1" customHeight="1" x14ac:dyDescent="0.25">
      <c r="A10" s="36" t="str">
        <f>INDEX('Base de données Mono'!C:C,MATCH(B10,'Base de données Mono'!D:D,0))</f>
        <v>FONTENAY SOUS BOIS</v>
      </c>
      <c r="B10" t="s">
        <v>131</v>
      </c>
      <c r="C10" s="36" t="str">
        <f>INDEX('Base de données Mono'!B:B,MATCH(B10,'Base de données Mono'!D:D,0))</f>
        <v>SES8</v>
      </c>
      <c r="D10" s="36" t="str">
        <f>INDEX('Base de données Mono'!A:A,MATCH(B10,'Base de données Mono'!D:D,0))</f>
        <v>JG</v>
      </c>
      <c r="E10" s="37" t="s">
        <v>303</v>
      </c>
      <c r="F10" s="41">
        <f t="shared" si="0"/>
        <v>13</v>
      </c>
      <c r="G10" s="41">
        <f t="shared" si="1"/>
        <v>3</v>
      </c>
      <c r="H10">
        <v>8</v>
      </c>
      <c r="I10" s="131">
        <f>INDEX('Base de données Mono'!K:K,MATCH(B10,'Base de données Mono'!D:D,0))</f>
        <v>0.24305555555555555</v>
      </c>
      <c r="J10" s="131">
        <f>INDEX('Base de données Mono'!L:L,MATCH(B10,'Base de données Mono'!D:D,0))</f>
        <v>0.89583333333333337</v>
      </c>
      <c r="K10" s="131">
        <f>INDEX('Base de données Mono'!M:M,MATCH(B10,'Base de données Mono'!D:D,0))</f>
        <v>0.27083333333333331</v>
      </c>
      <c r="L10" s="131">
        <f>INDEX('Base de données Mono'!N:N,MATCH(B10,'Base de données Mono'!D:D,0))</f>
        <v>0.5625</v>
      </c>
      <c r="M10" s="33" t="s">
        <v>811</v>
      </c>
      <c r="N10" s="33">
        <f>IF(AND(E10="Electricité",M10="Hiver"),INDEX('Base de données Mono'!E:E,MATCH(B10,'Base de données Mono'!D:D,0)),IF(AND(E10="Electricité",M10="Mi-saison"),INDEX('Base de données Mono'!F:F,MATCH(B10,'Base de données Mono'!D:D,0)),IF(AND(E10="Electricité",M10="Eté"),INDEX('Base de données Mono'!G:G,MATCH(B10,'Base de données Mono'!D:D,0)),IF(AND(E10="Gaz",M10="Hiver"),INDEX('Base de données Mono'!J:J,MATCH(B10,'Base de données Mono'!D:D,0)),IF(AND(E10="Gaz",M10="Mi-saison"),INDEX('Base de données Mono'!#REF!,MATCH(B10,'Base de données Mono'!D:D,0)),IF(AND(E10="Gaz",M10="Eté"),INDEX('Base de données Mono'!#REF!,MATCH(B10,'Base de données Mono'!D:D,0)),"-"))))))</f>
        <v>55</v>
      </c>
      <c r="O10" s="123">
        <v>45375</v>
      </c>
      <c r="P10" s="123">
        <v>45382</v>
      </c>
      <c r="Q10" s="34">
        <v>65</v>
      </c>
      <c r="R10" s="33">
        <f t="shared" si="2"/>
        <v>10</v>
      </c>
      <c r="S10" s="34">
        <v>7.3</v>
      </c>
      <c r="T10" s="34">
        <f t="shared" si="5"/>
        <v>7</v>
      </c>
      <c r="U10" s="33">
        <f t="shared" si="3"/>
        <v>511</v>
      </c>
      <c r="V10" s="38" t="s">
        <v>148</v>
      </c>
      <c r="W10" s="39">
        <f t="shared" si="4"/>
        <v>0.18181818181818182</v>
      </c>
      <c r="X10" s="40" t="s">
        <v>304</v>
      </c>
      <c r="Y10" s="40" t="s">
        <v>284</v>
      </c>
      <c r="Z10" s="40" t="s">
        <v>305</v>
      </c>
      <c r="AA10" s="33" t="s">
        <v>771</v>
      </c>
      <c r="AB10" s="95"/>
      <c r="AC10" s="95"/>
    </row>
    <row r="11" spans="1:29" ht="14.45" hidden="1" customHeight="1" x14ac:dyDescent="0.25">
      <c r="A11" s="36" t="str">
        <f>INDEX('Base de données Mono'!C:C,MATCH(B11,'Base de données Mono'!D:D,0))</f>
        <v>FONTENAY SOUS BOIS</v>
      </c>
      <c r="B11" t="s">
        <v>131</v>
      </c>
      <c r="C11" s="36" t="str">
        <f>INDEX('Base de données Mono'!B:B,MATCH(B11,'Base de données Mono'!D:D,0))</f>
        <v>SES8</v>
      </c>
      <c r="D11" s="36" t="str">
        <f>INDEX('Base de données Mono'!A:A,MATCH(B11,'Base de données Mono'!D:D,0))</f>
        <v>JG</v>
      </c>
      <c r="E11" s="37" t="s">
        <v>303</v>
      </c>
      <c r="F11" s="41">
        <f t="shared" si="0"/>
        <v>13</v>
      </c>
      <c r="G11" s="41">
        <f t="shared" si="1"/>
        <v>3</v>
      </c>
      <c r="H11">
        <v>8</v>
      </c>
      <c r="I11" s="131">
        <f>INDEX('Base de données Mono'!K:K,MATCH(B11,'Base de données Mono'!D:D,0))</f>
        <v>0.24305555555555555</v>
      </c>
      <c r="J11" s="131">
        <f>INDEX('Base de données Mono'!L:L,MATCH(B11,'Base de données Mono'!D:D,0))</f>
        <v>0.89583333333333337</v>
      </c>
      <c r="K11" s="131">
        <f>INDEX('Base de données Mono'!M:M,MATCH(B11,'Base de données Mono'!D:D,0))</f>
        <v>0.27083333333333331</v>
      </c>
      <c r="L11" s="131">
        <f>INDEX('Base de données Mono'!N:N,MATCH(B11,'Base de données Mono'!D:D,0))</f>
        <v>0.5625</v>
      </c>
      <c r="M11" s="33" t="s">
        <v>811</v>
      </c>
      <c r="N11" s="33">
        <f>IF(AND(E11="Electricité",M11="Hiver"),INDEX('Base de données Mono'!E:E,MATCH(B11,'Base de données Mono'!D:D,0)),IF(AND(E11="Electricité",M11="Mi-saison"),INDEX('Base de données Mono'!F:F,MATCH(B11,'Base de données Mono'!D:D,0)),IF(AND(E11="Electricité",M11="Eté"),INDEX('Base de données Mono'!G:G,MATCH(B11,'Base de données Mono'!D:D,0)),IF(AND(E11="Gaz",M11="Hiver"),INDEX('Base de données Mono'!J:J,MATCH(B11,'Base de données Mono'!D:D,0)),IF(AND(E11="Gaz",M11="Mi-saison"),INDEX('Base de données Mono'!#REF!,MATCH(B11,'Base de données Mono'!D:D,0)),IF(AND(E11="Gaz",M11="Eté"),INDEX('Base de données Mono'!#REF!,MATCH(B11,'Base de données Mono'!D:D,0)),"-"))))))</f>
        <v>55</v>
      </c>
      <c r="O11" s="123">
        <v>45375</v>
      </c>
      <c r="P11" s="123">
        <v>45381</v>
      </c>
      <c r="Q11" s="34">
        <v>90</v>
      </c>
      <c r="R11" s="33">
        <f t="shared" si="2"/>
        <v>35</v>
      </c>
      <c r="S11" s="34">
        <v>1</v>
      </c>
      <c r="T11" s="34">
        <f t="shared" si="5"/>
        <v>6</v>
      </c>
      <c r="U11" s="33">
        <f t="shared" si="3"/>
        <v>210</v>
      </c>
      <c r="V11" s="38" t="s">
        <v>148</v>
      </c>
      <c r="W11" s="39">
        <f t="shared" si="4"/>
        <v>0.63636363636363635</v>
      </c>
      <c r="X11" s="40" t="s">
        <v>304</v>
      </c>
      <c r="Y11" s="40" t="s">
        <v>284</v>
      </c>
      <c r="Z11" s="40" t="s">
        <v>307</v>
      </c>
      <c r="AA11" s="33" t="s">
        <v>414</v>
      </c>
      <c r="AB11" s="95"/>
      <c r="AC11" s="95"/>
    </row>
    <row r="12" spans="1:29" ht="14.45" hidden="1" customHeight="1" x14ac:dyDescent="0.25">
      <c r="A12" s="36" t="str">
        <f>INDEX('Base de données Mono'!C:C,MATCH(B12,'Base de données Mono'!D:D,0))</f>
        <v>FONTENAY SOUS BOIS</v>
      </c>
      <c r="B12" t="s">
        <v>131</v>
      </c>
      <c r="C12" s="36" t="str">
        <f>INDEX('Base de données Mono'!B:B,MATCH(B12,'Base de données Mono'!D:D,0))</f>
        <v>SES8</v>
      </c>
      <c r="D12" s="36" t="str">
        <f>INDEX('Base de données Mono'!A:A,MATCH(B12,'Base de données Mono'!D:D,0))</f>
        <v>JG</v>
      </c>
      <c r="E12" s="37" t="s">
        <v>303</v>
      </c>
      <c r="F12" s="41">
        <f t="shared" si="0"/>
        <v>13</v>
      </c>
      <c r="G12" s="41">
        <f t="shared" si="1"/>
        <v>3</v>
      </c>
      <c r="H12">
        <v>8</v>
      </c>
      <c r="I12" s="131">
        <f>INDEX('Base de données Mono'!K:K,MATCH(B12,'Base de données Mono'!D:D,0))</f>
        <v>0.24305555555555555</v>
      </c>
      <c r="J12" s="131">
        <f>INDEX('Base de données Mono'!L:L,MATCH(B12,'Base de données Mono'!D:D,0))</f>
        <v>0.89583333333333337</v>
      </c>
      <c r="K12" s="131">
        <f>INDEX('Base de données Mono'!M:M,MATCH(B12,'Base de données Mono'!D:D,0))</f>
        <v>0.27083333333333331</v>
      </c>
      <c r="L12" s="131">
        <f>INDEX('Base de données Mono'!N:N,MATCH(B12,'Base de données Mono'!D:D,0))</f>
        <v>0.5625</v>
      </c>
      <c r="M12" s="33" t="s">
        <v>811</v>
      </c>
      <c r="N12" s="33">
        <f>IF(AND(E12="Electricité",M12="Hiver"),INDEX('Base de données Mono'!E:E,MATCH(B12,'Base de données Mono'!D:D,0)),IF(AND(E12="Electricité",M12="Mi-saison"),INDEX('Base de données Mono'!F:F,MATCH(B12,'Base de données Mono'!D:D,0)),IF(AND(E12="Electricité",M12="Eté"),INDEX('Base de données Mono'!G:G,MATCH(B12,'Base de données Mono'!D:D,0)),IF(AND(E12="Gaz",M12="Hiver"),INDEX('Base de données Mono'!J:J,MATCH(B12,'Base de données Mono'!D:D,0)),IF(AND(E12="Gaz",M12="Mi-saison"),INDEX('Base de données Mono'!#REF!,MATCH(B12,'Base de données Mono'!D:D,0)),IF(AND(E12="Gaz",M12="Eté"),INDEX('Base de données Mono'!#REF!,MATCH(B12,'Base de données Mono'!D:D,0)),"-"))))))</f>
        <v>55</v>
      </c>
      <c r="O12" s="123">
        <v>45381</v>
      </c>
      <c r="P12" s="123">
        <v>45382</v>
      </c>
      <c r="Q12" s="34">
        <v>85</v>
      </c>
      <c r="R12" s="33">
        <f t="shared" si="2"/>
        <v>30</v>
      </c>
      <c r="S12" s="34">
        <v>0.5</v>
      </c>
      <c r="T12" s="34">
        <f t="shared" si="5"/>
        <v>1</v>
      </c>
      <c r="U12" s="33">
        <f t="shared" si="3"/>
        <v>15</v>
      </c>
      <c r="V12" s="38" t="s">
        <v>148</v>
      </c>
      <c r="W12" s="39">
        <f t="shared" si="4"/>
        <v>0.54545454545454541</v>
      </c>
      <c r="X12" s="40" t="s">
        <v>304</v>
      </c>
      <c r="Y12" s="40" t="s">
        <v>284</v>
      </c>
      <c r="Z12" s="40" t="s">
        <v>307</v>
      </c>
      <c r="AA12" s="33" t="s">
        <v>414</v>
      </c>
      <c r="AB12" s="95"/>
      <c r="AC12" s="95"/>
    </row>
    <row r="13" spans="1:29" ht="14.45" hidden="1" customHeight="1" x14ac:dyDescent="0.25">
      <c r="A13" s="36" t="str">
        <f>INDEX('Base de données Mono'!C:C,MATCH(B13,'Base de données Mono'!D:D,0))</f>
        <v>GRASSE</v>
      </c>
      <c r="B13" t="s">
        <v>16</v>
      </c>
      <c r="C13" s="36" t="str">
        <f>INDEX('Base de données Mono'!B:B,MATCH(B13,'Base de données Mono'!D:D,0))</f>
        <v>SES8</v>
      </c>
      <c r="D13" s="36" t="str">
        <f>INDEX('Base de données Mono'!A:A,MATCH(B13,'Base de données Mono'!D:D,0))</f>
        <v>JG</v>
      </c>
      <c r="E13" s="37" t="s">
        <v>303</v>
      </c>
      <c r="F13" s="41">
        <f t="shared" si="0"/>
        <v>13</v>
      </c>
      <c r="G13" s="41">
        <f t="shared" si="1"/>
        <v>3</v>
      </c>
      <c r="H13">
        <v>8</v>
      </c>
      <c r="I13" s="131">
        <f>INDEX('Base de données Mono'!K:K,MATCH(B13,'Base de données Mono'!D:D,0))</f>
        <v>0.20833333333333334</v>
      </c>
      <c r="J13" s="131">
        <f>INDEX('Base de données Mono'!L:L,MATCH(B13,'Base de données Mono'!D:D,0))</f>
        <v>0.83333333333333337</v>
      </c>
      <c r="K13" s="131" t="str">
        <f>INDEX('Base de données Mono'!M:M,MATCH(B13,'Base de données Mono'!D:D,0))</f>
        <v>-</v>
      </c>
      <c r="L13" s="131" t="str">
        <f>INDEX('Base de données Mono'!N:N,MATCH(B13,'Base de données Mono'!D:D,0))</f>
        <v>-</v>
      </c>
      <c r="M13" s="33" t="s">
        <v>811</v>
      </c>
      <c r="N13" s="33">
        <f>IF(AND(E13="Electricité",M13="Hiver"),INDEX('Base de données Mono'!E:E,MATCH(B13,'Base de données Mono'!D:D,0)),IF(AND(E13="Electricité",M13="Mi-saison"),INDEX('Base de données Mono'!F:F,MATCH(B13,'Base de données Mono'!D:D,0)),IF(AND(E13="Electricité",M13="Eté"),INDEX('Base de données Mono'!G:G,MATCH(B13,'Base de données Mono'!D:D,0)),IF(AND(E13="Gaz",M13="Hiver"),INDEX('Base de données Mono'!J:J,MATCH(B13,'Base de données Mono'!D:D,0)),IF(AND(E13="Gaz",M13="Mi-saison"),INDEX('Base de données Mono'!#REF!,MATCH(B13,'Base de données Mono'!D:D,0)),IF(AND(E13="Gaz",M13="Eté"),INDEX('Base de données Mono'!#REF!,MATCH(B13,'Base de données Mono'!D:D,0)),"-"))))))</f>
        <v>50</v>
      </c>
      <c r="O13" s="123">
        <v>45375</v>
      </c>
      <c r="P13" s="123">
        <v>45382</v>
      </c>
      <c r="Q13" s="34">
        <v>55</v>
      </c>
      <c r="R13" s="33">
        <f t="shared" si="2"/>
        <v>5</v>
      </c>
      <c r="S13" s="34">
        <v>9</v>
      </c>
      <c r="T13" s="34">
        <f t="shared" si="5"/>
        <v>7</v>
      </c>
      <c r="U13" s="33">
        <f t="shared" si="3"/>
        <v>315</v>
      </c>
      <c r="V13" s="38" t="s">
        <v>148</v>
      </c>
      <c r="W13" s="39">
        <f t="shared" si="4"/>
        <v>0.1</v>
      </c>
      <c r="X13" s="40" t="s">
        <v>304</v>
      </c>
      <c r="Y13" s="40" t="s">
        <v>284</v>
      </c>
      <c r="Z13" s="40" t="s">
        <v>305</v>
      </c>
      <c r="AA13" s="33" t="s">
        <v>771</v>
      </c>
      <c r="AB13" s="95"/>
      <c r="AC13" s="95"/>
    </row>
    <row r="14" spans="1:29" ht="14.45" hidden="1" customHeight="1" x14ac:dyDescent="0.25">
      <c r="A14" s="36" t="str">
        <f>INDEX('Base de données Mono'!C:C,MATCH(B14,'Base de données Mono'!D:D,0))</f>
        <v>ARCUEIL</v>
      </c>
      <c r="B14" t="s">
        <v>63</v>
      </c>
      <c r="C14" s="36" t="str">
        <f>INDEX('Base de données Mono'!B:B,MATCH(B14,'Base de données Mono'!D:D,0))</f>
        <v>SES8</v>
      </c>
      <c r="D14" s="36" t="str">
        <f>INDEX('Base de données Mono'!A:A,MATCH(B14,'Base de données Mono'!D:D,0))</f>
        <v>JG</v>
      </c>
      <c r="E14" s="37" t="s">
        <v>303</v>
      </c>
      <c r="F14" s="41">
        <f t="shared" si="0"/>
        <v>13</v>
      </c>
      <c r="G14" s="41">
        <f t="shared" si="1"/>
        <v>3</v>
      </c>
      <c r="H14">
        <v>8</v>
      </c>
      <c r="I14" s="131">
        <f>INDEX('Base de données Mono'!K:K,MATCH(B14,'Base de données Mono'!D:D,0))</f>
        <v>0.1875</v>
      </c>
      <c r="J14" s="131">
        <f>INDEX('Base de données Mono'!L:L,MATCH(B14,'Base de données Mono'!D:D,0))</f>
        <v>0.83333333333333337</v>
      </c>
      <c r="K14" s="131">
        <f>INDEX('Base de données Mono'!M:M,MATCH(B14,'Base de données Mono'!D:D,0))</f>
        <v>0.24305555555555555</v>
      </c>
      <c r="L14" s="131">
        <f>INDEX('Base de données Mono'!N:N,MATCH(B14,'Base de données Mono'!D:D,0))</f>
        <v>0.54166666666666696</v>
      </c>
      <c r="M14" s="33" t="s">
        <v>811</v>
      </c>
      <c r="N14" s="33">
        <f>IF(AND(E14="Electricité",M14="Hiver"),INDEX('Base de données Mono'!E:E,MATCH(B14,'Base de données Mono'!D:D,0)),IF(AND(E14="Electricité",M14="Mi-saison"),INDEX('Base de données Mono'!F:F,MATCH(B14,'Base de données Mono'!D:D,0)),IF(AND(E14="Electricité",M14="Eté"),INDEX('Base de données Mono'!G:G,MATCH(B14,'Base de données Mono'!D:D,0)),IF(AND(E14="Gaz",M14="Hiver"),INDEX('Base de données Mono'!J:J,MATCH(B14,'Base de données Mono'!D:D,0)),IF(AND(E14="Gaz",M14="Mi-saison"),INDEX('Base de données Mono'!#REF!,MATCH(B14,'Base de données Mono'!D:D,0)),IF(AND(E14="Gaz",M14="Eté"),INDEX('Base de données Mono'!#REF!,MATCH(B14,'Base de données Mono'!D:D,0)),"-"))))))</f>
        <v>80</v>
      </c>
      <c r="O14" s="123">
        <v>45376</v>
      </c>
      <c r="P14" s="123">
        <v>45377</v>
      </c>
      <c r="Q14" s="34">
        <v>95</v>
      </c>
      <c r="R14" s="33">
        <f t="shared" si="2"/>
        <v>15</v>
      </c>
      <c r="S14" s="34">
        <v>8.5</v>
      </c>
      <c r="T14" s="34">
        <f t="shared" si="5"/>
        <v>1</v>
      </c>
      <c r="U14" s="33">
        <f t="shared" si="3"/>
        <v>127.5</v>
      </c>
      <c r="V14" s="38" t="s">
        <v>148</v>
      </c>
      <c r="W14" s="39">
        <f t="shared" si="4"/>
        <v>0.1875</v>
      </c>
      <c r="X14" s="40" t="s">
        <v>304</v>
      </c>
      <c r="Y14" s="40" t="s">
        <v>284</v>
      </c>
      <c r="Z14" s="40" t="s">
        <v>305</v>
      </c>
      <c r="AA14" s="33" t="s">
        <v>771</v>
      </c>
      <c r="AB14" s="95"/>
      <c r="AC14" s="95"/>
    </row>
    <row r="15" spans="1:29" ht="14.45" hidden="1" customHeight="1" x14ac:dyDescent="0.25">
      <c r="A15" s="36" t="str">
        <f>INDEX('Base de données Mono'!C:C,MATCH(B15,'Base de données Mono'!D:D,0))</f>
        <v>TOURS NATIONALE</v>
      </c>
      <c r="B15" t="s">
        <v>37</v>
      </c>
      <c r="C15" s="36" t="str">
        <f>INDEX('Base de données Mono'!B:B,MATCH(B15,'Base de données Mono'!D:D,0))</f>
        <v>SES8</v>
      </c>
      <c r="D15" s="36" t="str">
        <f>INDEX('Base de données Mono'!A:A,MATCH(B15,'Base de données Mono'!D:D,0))</f>
        <v>AD</v>
      </c>
      <c r="E15" s="37" t="s">
        <v>303</v>
      </c>
      <c r="F15" s="41">
        <f t="shared" si="0"/>
        <v>13</v>
      </c>
      <c r="G15" s="41">
        <f t="shared" si="1"/>
        <v>3</v>
      </c>
      <c r="H15">
        <v>8</v>
      </c>
      <c r="I15" s="131">
        <f>INDEX('Base de données Mono'!K:K,MATCH(B15,'Base de données Mono'!D:D,0))</f>
        <v>0.22916666666666666</v>
      </c>
      <c r="J15" s="131">
        <f>INDEX('Base de données Mono'!L:L,MATCH(B15,'Base de données Mono'!D:D,0))</f>
        <v>0.88541666666666663</v>
      </c>
      <c r="K15" s="131">
        <f>INDEX('Base de données Mono'!M:M,MATCH(B15,'Base de données Mono'!D:D,0))</f>
        <v>0.31944444444444448</v>
      </c>
      <c r="L15" s="131">
        <f>INDEX('Base de données Mono'!N:N,MATCH(B15,'Base de données Mono'!D:D,0))</f>
        <v>0.55208333333333337</v>
      </c>
      <c r="M15" s="33" t="s">
        <v>811</v>
      </c>
      <c r="N15" s="33">
        <f>IF(AND(E15="Electricité",M15="Hiver"),INDEX('Base de données Mono'!E:E,MATCH(B15,'Base de données Mono'!D:D,0)),IF(AND(E15="Electricité",M15="Mi-saison"),INDEX('Base de données Mono'!F:F,MATCH(B15,'Base de données Mono'!D:D,0)),IF(AND(E15="Electricité",M15="Eté"),INDEX('Base de données Mono'!G:G,MATCH(B15,'Base de données Mono'!D:D,0)),IF(AND(E15="Gaz",M15="Hiver"),INDEX('Base de données Mono'!J:J,MATCH(B15,'Base de données Mono'!D:D,0)),IF(AND(E15="Gaz",M15="Mi-saison"),INDEX('Base de données Mono'!#REF!,MATCH(B15,'Base de données Mono'!D:D,0)),IF(AND(E15="Gaz",M15="Eté"),INDEX('Base de données Mono'!#REF!,MATCH(B15,'Base de données Mono'!D:D,0)),"-"))))))</f>
        <v>55</v>
      </c>
      <c r="O15" s="123">
        <v>45375</v>
      </c>
      <c r="P15" s="123">
        <v>45382</v>
      </c>
      <c r="Q15" s="34">
        <v>60</v>
      </c>
      <c r="R15" s="33">
        <f t="shared" si="2"/>
        <v>5</v>
      </c>
      <c r="S15" s="34">
        <v>2</v>
      </c>
      <c r="T15" s="34">
        <f t="shared" si="5"/>
        <v>7</v>
      </c>
      <c r="U15" s="33">
        <f t="shared" si="3"/>
        <v>70</v>
      </c>
      <c r="V15" s="38" t="s">
        <v>148</v>
      </c>
      <c r="W15" s="39">
        <f t="shared" si="4"/>
        <v>9.0909090909090912E-2</v>
      </c>
      <c r="X15" s="40" t="s">
        <v>304</v>
      </c>
      <c r="Y15" s="40" t="s">
        <v>284</v>
      </c>
      <c r="Z15" s="40" t="s">
        <v>305</v>
      </c>
      <c r="AA15" s="33" t="s">
        <v>771</v>
      </c>
      <c r="AB15" s="95"/>
      <c r="AC15" s="95"/>
    </row>
    <row r="16" spans="1:29" ht="14.45" hidden="1" customHeight="1" x14ac:dyDescent="0.25">
      <c r="A16" s="36" t="str">
        <f>INDEX('Base de données Mono'!C:C,MATCH(B16,'Base de données Mono'!D:D,0))</f>
        <v>TOURS NATIONALE</v>
      </c>
      <c r="B16" t="s">
        <v>37</v>
      </c>
      <c r="C16" s="36" t="str">
        <f>INDEX('Base de données Mono'!B:B,MATCH(B16,'Base de données Mono'!D:D,0))</f>
        <v>SES8</v>
      </c>
      <c r="D16" s="36" t="str">
        <f>INDEX('Base de données Mono'!A:A,MATCH(B16,'Base de données Mono'!D:D,0))</f>
        <v>AD</v>
      </c>
      <c r="E16" s="37" t="s">
        <v>303</v>
      </c>
      <c r="F16" s="41">
        <f t="shared" si="0"/>
        <v>13</v>
      </c>
      <c r="G16" s="41">
        <f t="shared" si="1"/>
        <v>3</v>
      </c>
      <c r="H16">
        <v>8</v>
      </c>
      <c r="I16" s="131">
        <f>INDEX('Base de données Mono'!K:K,MATCH(B16,'Base de données Mono'!D:D,0))</f>
        <v>0.22916666666666666</v>
      </c>
      <c r="J16" s="131">
        <f>INDEX('Base de données Mono'!L:L,MATCH(B16,'Base de données Mono'!D:D,0))</f>
        <v>0.88541666666666663</v>
      </c>
      <c r="K16" s="131">
        <f>INDEX('Base de données Mono'!M:M,MATCH(B16,'Base de données Mono'!D:D,0))</f>
        <v>0.31944444444444448</v>
      </c>
      <c r="L16" s="131">
        <f>INDEX('Base de données Mono'!N:N,MATCH(B16,'Base de données Mono'!D:D,0))</f>
        <v>0.55208333333333337</v>
      </c>
      <c r="M16" s="33" t="s">
        <v>811</v>
      </c>
      <c r="N16" s="33">
        <f>IF(AND(E16="Electricité",M16="Hiver"),INDEX('Base de données Mono'!E:E,MATCH(B16,'Base de données Mono'!D:D,0)),IF(AND(E16="Electricité",M16="Mi-saison"),INDEX('Base de données Mono'!F:F,MATCH(B16,'Base de données Mono'!D:D,0)),IF(AND(E16="Electricité",M16="Eté"),INDEX('Base de données Mono'!G:G,MATCH(B16,'Base de données Mono'!D:D,0)),IF(AND(E16="Gaz",M16="Hiver"),INDEX('Base de données Mono'!J:J,MATCH(B16,'Base de données Mono'!D:D,0)),IF(AND(E16="Gaz",M16="Mi-saison"),INDEX('Base de données Mono'!#REF!,MATCH(B16,'Base de données Mono'!D:D,0)),IF(AND(E16="Gaz",M16="Eté"),INDEX('Base de données Mono'!#REF!,MATCH(B16,'Base de données Mono'!D:D,0)),"-"))))))</f>
        <v>55</v>
      </c>
      <c r="O16" s="123">
        <v>45375</v>
      </c>
      <c r="P16" s="123">
        <v>45381</v>
      </c>
      <c r="Q16" s="34">
        <v>70</v>
      </c>
      <c r="R16" s="33">
        <f t="shared" si="2"/>
        <v>15</v>
      </c>
      <c r="S16" s="34">
        <v>2</v>
      </c>
      <c r="T16" s="34">
        <f t="shared" si="5"/>
        <v>6</v>
      </c>
      <c r="U16" s="33">
        <f t="shared" si="3"/>
        <v>180</v>
      </c>
      <c r="V16" s="38" t="s">
        <v>148</v>
      </c>
      <c r="W16" s="39">
        <f t="shared" si="4"/>
        <v>0.27272727272727271</v>
      </c>
      <c r="X16" s="40" t="s">
        <v>304</v>
      </c>
      <c r="Y16" s="40" t="s">
        <v>284</v>
      </c>
      <c r="Z16" s="40" t="s">
        <v>305</v>
      </c>
      <c r="AA16" s="33" t="s">
        <v>771</v>
      </c>
      <c r="AB16" s="95"/>
      <c r="AC16" s="95"/>
    </row>
    <row r="17" spans="1:29" ht="14.45" hidden="1" customHeight="1" x14ac:dyDescent="0.25">
      <c r="A17" s="36" t="str">
        <f>INDEX('Base de données Mono'!C:C,MATCH(B17,'Base de données Mono'!D:D,0))</f>
        <v>ISSY GAMBETTA</v>
      </c>
      <c r="B17" t="s">
        <v>17</v>
      </c>
      <c r="C17" s="36" t="str">
        <f>INDEX('Base de données Mono'!B:B,MATCH(B17,'Base de données Mono'!D:D,0))</f>
        <v>SES8</v>
      </c>
      <c r="D17" s="36" t="str">
        <f>INDEX('Base de données Mono'!A:A,MATCH(B17,'Base de données Mono'!D:D,0))</f>
        <v>AD</v>
      </c>
      <c r="E17" s="37" t="s">
        <v>303</v>
      </c>
      <c r="F17" s="41">
        <f t="shared" si="0"/>
        <v>13</v>
      </c>
      <c r="G17" s="41">
        <f t="shared" si="1"/>
        <v>3</v>
      </c>
      <c r="H17">
        <v>8</v>
      </c>
      <c r="I17" s="131">
        <f>INDEX('Base de données Mono'!K:K,MATCH(B17,'Base de données Mono'!D:D,0))</f>
        <v>0.25</v>
      </c>
      <c r="J17" s="131">
        <f>INDEX('Base de données Mono'!L:L,MATCH(B17,'Base de données Mono'!D:D,0))</f>
        <v>0.90625</v>
      </c>
      <c r="K17" s="131">
        <f>INDEX('Base de données Mono'!M:M,MATCH(B17,'Base de données Mono'!D:D,0))</f>
        <v>0.3263888888888889</v>
      </c>
      <c r="L17" s="131">
        <f>INDEX('Base de données Mono'!N:N,MATCH(B17,'Base de données Mono'!D:D,0))</f>
        <v>0.54166666666666663</v>
      </c>
      <c r="M17" s="33" t="s">
        <v>811</v>
      </c>
      <c r="N17" s="33">
        <f>IF(AND(E17="Electricité",M17="Hiver"),INDEX('Base de données Mono'!E:E,MATCH(B17,'Base de données Mono'!D:D,0)),IF(AND(E17="Electricité",M17="Mi-saison"),INDEX('Base de données Mono'!F:F,MATCH(B17,'Base de données Mono'!D:D,0)),IF(AND(E17="Electricité",M17="Eté"),INDEX('Base de données Mono'!G:G,MATCH(B17,'Base de données Mono'!D:D,0)),IF(AND(E17="Gaz",M17="Hiver"),INDEX('Base de données Mono'!J:J,MATCH(B17,'Base de données Mono'!D:D,0)),IF(AND(E17="Gaz",M17="Mi-saison"),INDEX('Base de données Mono'!#REF!,MATCH(B17,'Base de données Mono'!D:D,0)),IF(AND(E17="Gaz",M17="Eté"),INDEX('Base de données Mono'!#REF!,MATCH(B17,'Base de données Mono'!D:D,0)),"-"))))))</f>
        <v>35</v>
      </c>
      <c r="O17" s="123">
        <v>45375</v>
      </c>
      <c r="P17" s="123">
        <v>45378</v>
      </c>
      <c r="Q17" s="34">
        <v>40</v>
      </c>
      <c r="R17" s="33">
        <f t="shared" si="2"/>
        <v>5</v>
      </c>
      <c r="S17" s="34">
        <v>8.1999999999999993</v>
      </c>
      <c r="T17" s="34">
        <f t="shared" si="5"/>
        <v>3</v>
      </c>
      <c r="U17" s="33">
        <f t="shared" si="3"/>
        <v>123</v>
      </c>
      <c r="V17" s="38" t="s">
        <v>148</v>
      </c>
      <c r="W17" s="39">
        <f t="shared" si="4"/>
        <v>0.14285714285714285</v>
      </c>
      <c r="X17" s="40" t="s">
        <v>304</v>
      </c>
      <c r="Y17" s="40" t="s">
        <v>284</v>
      </c>
      <c r="Z17" s="40" t="s">
        <v>305</v>
      </c>
      <c r="AA17" s="33" t="s">
        <v>771</v>
      </c>
      <c r="AB17" s="95"/>
      <c r="AC17" s="95"/>
    </row>
    <row r="18" spans="1:29" ht="14.45" hidden="1" customHeight="1" x14ac:dyDescent="0.25">
      <c r="A18" s="36" t="str">
        <f>INDEX('Base de données Mono'!C:C,MATCH(B18,'Base de données Mono'!D:D,0))</f>
        <v>ISSY GAMBETTA</v>
      </c>
      <c r="B18" t="s">
        <v>17</v>
      </c>
      <c r="C18" s="36" t="str">
        <f>INDEX('Base de données Mono'!B:B,MATCH(B18,'Base de données Mono'!D:D,0))</f>
        <v>SES8</v>
      </c>
      <c r="D18" s="36" t="str">
        <f>INDEX('Base de données Mono'!A:A,MATCH(B18,'Base de données Mono'!D:D,0))</f>
        <v>AD</v>
      </c>
      <c r="E18" s="37" t="s">
        <v>303</v>
      </c>
      <c r="F18" s="41">
        <f t="shared" si="0"/>
        <v>13</v>
      </c>
      <c r="G18" s="41">
        <f t="shared" si="1"/>
        <v>3</v>
      </c>
      <c r="H18">
        <v>8</v>
      </c>
      <c r="I18" s="131">
        <f>INDEX('Base de données Mono'!K:K,MATCH(B18,'Base de données Mono'!D:D,0))</f>
        <v>0.25</v>
      </c>
      <c r="J18" s="131">
        <f>INDEX('Base de données Mono'!L:L,MATCH(B18,'Base de données Mono'!D:D,0))</f>
        <v>0.90625</v>
      </c>
      <c r="K18" s="131">
        <f>INDEX('Base de données Mono'!M:M,MATCH(B18,'Base de données Mono'!D:D,0))</f>
        <v>0.3263888888888889</v>
      </c>
      <c r="L18" s="131">
        <f>INDEX('Base de données Mono'!N:N,MATCH(B18,'Base de données Mono'!D:D,0))</f>
        <v>0.54166666666666663</v>
      </c>
      <c r="M18" s="33" t="s">
        <v>811</v>
      </c>
      <c r="N18" s="33">
        <f>IF(AND(E18="Electricité",M18="Hiver"),INDEX('Base de données Mono'!E:E,MATCH(B18,'Base de données Mono'!D:D,0)),IF(AND(E18="Electricité",M18="Mi-saison"),INDEX('Base de données Mono'!F:F,MATCH(B18,'Base de données Mono'!D:D,0)),IF(AND(E18="Electricité",M18="Eté"),INDEX('Base de données Mono'!G:G,MATCH(B18,'Base de données Mono'!D:D,0)),IF(AND(E18="Gaz",M18="Hiver"),INDEX('Base de données Mono'!J:J,MATCH(B18,'Base de données Mono'!D:D,0)),IF(AND(E18="Gaz",M18="Mi-saison"),INDEX('Base de données Mono'!#REF!,MATCH(B18,'Base de données Mono'!D:D,0)),IF(AND(E18="Gaz",M18="Eté"),INDEX('Base de données Mono'!#REF!,MATCH(B18,'Base de données Mono'!D:D,0)),"-"))))))</f>
        <v>35</v>
      </c>
      <c r="O18" s="123">
        <v>45380</v>
      </c>
      <c r="P18" s="123">
        <v>45382</v>
      </c>
      <c r="Q18" s="34">
        <v>40</v>
      </c>
      <c r="R18" s="33">
        <f t="shared" si="2"/>
        <v>5</v>
      </c>
      <c r="S18" s="34">
        <v>8.1999999999999993</v>
      </c>
      <c r="T18" s="34">
        <f t="shared" si="5"/>
        <v>2</v>
      </c>
      <c r="U18" s="33">
        <f t="shared" si="3"/>
        <v>82</v>
      </c>
      <c r="V18" s="38" t="s">
        <v>148</v>
      </c>
      <c r="W18" s="39">
        <f t="shared" si="4"/>
        <v>0.14285714285714285</v>
      </c>
      <c r="X18" s="40" t="s">
        <v>304</v>
      </c>
      <c r="Y18" s="40" t="s">
        <v>284</v>
      </c>
      <c r="Z18" s="40" t="s">
        <v>305</v>
      </c>
      <c r="AA18" s="33" t="s">
        <v>771</v>
      </c>
      <c r="AB18" s="95"/>
      <c r="AC18" s="95"/>
    </row>
    <row r="19" spans="1:29" ht="14.45" hidden="1" customHeight="1" x14ac:dyDescent="0.25">
      <c r="A19" s="36" t="str">
        <f>INDEX('Base de données Mono'!C:C,MATCH(B19,'Base de données Mono'!D:D,0))</f>
        <v>ISSY GAMBETTA</v>
      </c>
      <c r="B19" t="s">
        <v>17</v>
      </c>
      <c r="C19" s="36" t="str">
        <f>INDEX('Base de données Mono'!B:B,MATCH(B19,'Base de données Mono'!D:D,0))</f>
        <v>SES8</v>
      </c>
      <c r="D19" s="36" t="str">
        <f>INDEX('Base de données Mono'!A:A,MATCH(B19,'Base de données Mono'!D:D,0))</f>
        <v>AD</v>
      </c>
      <c r="E19" s="37" t="s">
        <v>303</v>
      </c>
      <c r="F19" s="41">
        <f t="shared" si="0"/>
        <v>13</v>
      </c>
      <c r="G19" s="41">
        <f t="shared" si="1"/>
        <v>3</v>
      </c>
      <c r="H19">
        <v>10.25</v>
      </c>
      <c r="I19" s="131">
        <f>INDEX('Base de données Mono'!K:K,MATCH(B19,'Base de données Mono'!D:D,0))</f>
        <v>0.25</v>
      </c>
      <c r="J19" s="131">
        <f>INDEX('Base de données Mono'!L:L,MATCH(B19,'Base de données Mono'!D:D,0))</f>
        <v>0.90625</v>
      </c>
      <c r="K19" s="131">
        <f>INDEX('Base de données Mono'!M:M,MATCH(B19,'Base de données Mono'!D:D,0))</f>
        <v>0.3263888888888889</v>
      </c>
      <c r="L19" s="131">
        <f>INDEX('Base de données Mono'!N:N,MATCH(B19,'Base de données Mono'!D:D,0))</f>
        <v>0.54166666666666663</v>
      </c>
      <c r="M19" s="33" t="s">
        <v>811</v>
      </c>
      <c r="N19" s="33">
        <f>IF(AND(E19="Electricité",M19="Hiver"),INDEX('Base de données Mono'!E:E,MATCH(B19,'Base de données Mono'!D:D,0)),IF(AND(E19="Electricité",M19="Mi-saison"),INDEX('Base de données Mono'!F:F,MATCH(B19,'Base de données Mono'!D:D,0)),IF(AND(E19="Electricité",M19="Eté"),INDEX('Base de données Mono'!G:G,MATCH(B19,'Base de données Mono'!D:D,0)),IF(AND(E19="Gaz",M19="Hiver"),INDEX('Base de données Mono'!J:J,MATCH(B19,'Base de données Mono'!D:D,0)),IF(AND(E19="Gaz",M19="Mi-saison"),INDEX('Base de données Mono'!#REF!,MATCH(B19,'Base de données Mono'!D:D,0)),IF(AND(E19="Gaz",M19="Eté"),INDEX('Base de données Mono'!#REF!,MATCH(B19,'Base de données Mono'!D:D,0)),"-"))))))</f>
        <v>35</v>
      </c>
      <c r="O19" s="123">
        <v>45380</v>
      </c>
      <c r="P19" s="123">
        <v>45381</v>
      </c>
      <c r="Q19" s="34">
        <v>60</v>
      </c>
      <c r="R19" s="33">
        <f t="shared" si="2"/>
        <v>25</v>
      </c>
      <c r="S19" s="34">
        <v>1</v>
      </c>
      <c r="T19" s="34">
        <f t="shared" si="5"/>
        <v>1</v>
      </c>
      <c r="U19" s="33">
        <f t="shared" si="3"/>
        <v>25</v>
      </c>
      <c r="V19" s="38" t="s">
        <v>148</v>
      </c>
      <c r="W19" s="39">
        <f t="shared" si="4"/>
        <v>0.7142857142857143</v>
      </c>
      <c r="X19" s="40" t="s">
        <v>304</v>
      </c>
      <c r="Y19" s="40" t="s">
        <v>284</v>
      </c>
      <c r="Z19" s="40" t="s">
        <v>305</v>
      </c>
      <c r="AA19" s="33" t="s">
        <v>771</v>
      </c>
      <c r="AB19" s="95"/>
      <c r="AC19" s="95"/>
    </row>
    <row r="20" spans="1:29" ht="14.45" hidden="1" customHeight="1" x14ac:dyDescent="0.25">
      <c r="A20" s="36" t="str">
        <f>INDEX('Base de données Mono'!C:C,MATCH(B20,'Base de données Mono'!D:D,0))</f>
        <v>ANGERS LES HALLES</v>
      </c>
      <c r="B20" t="s">
        <v>4</v>
      </c>
      <c r="C20" s="36" t="str">
        <f>INDEX('Base de données Mono'!B:B,MATCH(B20,'Base de données Mono'!D:D,0))</f>
        <v>SES8</v>
      </c>
      <c r="D20" s="36" t="str">
        <f>INDEX('Base de données Mono'!A:A,MATCH(B20,'Base de données Mono'!D:D,0))</f>
        <v>AD</v>
      </c>
      <c r="E20" s="37" t="s">
        <v>303</v>
      </c>
      <c r="F20" s="41">
        <f t="shared" si="0"/>
        <v>13</v>
      </c>
      <c r="G20" s="41">
        <f t="shared" si="1"/>
        <v>3</v>
      </c>
      <c r="H20">
        <v>8</v>
      </c>
      <c r="I20" s="131">
        <f>INDEX('Base de données Mono'!K:K,MATCH(B20,'Base de données Mono'!D:D,0))</f>
        <v>0.20833333333333334</v>
      </c>
      <c r="J20" s="131">
        <f>INDEX('Base de données Mono'!L:L,MATCH(B20,'Base de données Mono'!D:D,0))</f>
        <v>0.875</v>
      </c>
      <c r="K20" s="131" t="str">
        <f>INDEX('Base de données Mono'!M:M,MATCH(B20,'Base de données Mono'!D:D,0))</f>
        <v>-</v>
      </c>
      <c r="L20" s="131" t="str">
        <f>INDEX('Base de données Mono'!N:N,MATCH(B20,'Base de données Mono'!D:D,0))</f>
        <v>-</v>
      </c>
      <c r="M20" s="33" t="s">
        <v>811</v>
      </c>
      <c r="N20" s="33">
        <f>IF(AND(E20="Electricité",M20="Hiver"),INDEX('Base de données Mono'!E:E,MATCH(B20,'Base de données Mono'!D:D,0)),IF(AND(E20="Electricité",M20="Mi-saison"),INDEX('Base de données Mono'!F:F,MATCH(B20,'Base de données Mono'!D:D,0)),IF(AND(E20="Electricité",M20="Eté"),INDEX('Base de données Mono'!G:G,MATCH(B20,'Base de données Mono'!D:D,0)),IF(AND(E20="Gaz",M20="Hiver"),INDEX('Base de données Mono'!J:J,MATCH(B20,'Base de données Mono'!D:D,0)),IF(AND(E20="Gaz",M20="Mi-saison"),INDEX('Base de données Mono'!#REF!,MATCH(B20,'Base de données Mono'!D:D,0)),IF(AND(E20="Gaz",M20="Eté"),INDEX('Base de données Mono'!#REF!,MATCH(B20,'Base de données Mono'!D:D,0)),"-"))))))</f>
        <v>60</v>
      </c>
      <c r="O20" s="123">
        <v>45375</v>
      </c>
      <c r="P20" s="123">
        <v>45382</v>
      </c>
      <c r="Q20" s="34">
        <v>75</v>
      </c>
      <c r="R20" s="33">
        <f t="shared" si="2"/>
        <v>15</v>
      </c>
      <c r="S20" s="34">
        <v>8</v>
      </c>
      <c r="T20" s="34">
        <f t="shared" si="5"/>
        <v>7</v>
      </c>
      <c r="U20" s="33">
        <f t="shared" si="3"/>
        <v>840</v>
      </c>
      <c r="V20" s="38" t="s">
        <v>148</v>
      </c>
      <c r="W20" s="39">
        <f t="shared" si="4"/>
        <v>0.25</v>
      </c>
      <c r="X20" s="40" t="s">
        <v>304</v>
      </c>
      <c r="Y20" s="40" t="s">
        <v>284</v>
      </c>
      <c r="Z20" s="40" t="s">
        <v>305</v>
      </c>
      <c r="AA20" s="33" t="s">
        <v>771</v>
      </c>
      <c r="AB20" s="95"/>
      <c r="AC20" s="95"/>
    </row>
    <row r="21" spans="1:29" ht="14.45" hidden="1" customHeight="1" x14ac:dyDescent="0.25">
      <c r="A21" s="36" t="str">
        <f>INDEX('Base de données Mono'!C:C,MATCH(B21,'Base de données Mono'!D:D,0))</f>
        <v>NANCY ST SEBASTIEN</v>
      </c>
      <c r="B21" t="s">
        <v>186</v>
      </c>
      <c r="C21" s="36" t="str">
        <f>INDEX('Base de données Mono'!B:B,MATCH(B21,'Base de données Mono'!D:D,0))</f>
        <v>SES8</v>
      </c>
      <c r="D21" s="36" t="str">
        <f>INDEX('Base de données Mono'!A:A,MATCH(B21,'Base de données Mono'!D:D,0))</f>
        <v>JG</v>
      </c>
      <c r="E21" s="37" t="s">
        <v>303</v>
      </c>
      <c r="F21" s="41">
        <f t="shared" si="0"/>
        <v>13</v>
      </c>
      <c r="G21" s="41">
        <f t="shared" si="1"/>
        <v>3</v>
      </c>
      <c r="H21">
        <v>10.25</v>
      </c>
      <c r="I21" s="131">
        <f>INDEX('Base de données Mono'!K:K,MATCH(B21,'Base de données Mono'!D:D,0))</f>
        <v>0.23611111111111113</v>
      </c>
      <c r="J21" s="131">
        <f>INDEX('Base de données Mono'!L:L,MATCH(B21,'Base de données Mono'!D:D,0))</f>
        <v>0.86458333333333337</v>
      </c>
      <c r="K21" s="131" t="str">
        <f>INDEX('Base de données Mono'!M:M,MATCH(B21,'Base de données Mono'!D:D,0))</f>
        <v>-</v>
      </c>
      <c r="L21" s="131" t="str">
        <f>INDEX('Base de données Mono'!N:N,MATCH(B21,'Base de données Mono'!D:D,0))</f>
        <v>-</v>
      </c>
      <c r="M21" s="33" t="s">
        <v>811</v>
      </c>
      <c r="N21" s="33">
        <f>IF(AND(E21="Electricité",M21="Hiver"),INDEX('Base de données Mono'!E:E,MATCH(B21,'Base de données Mono'!D:D,0)),IF(AND(E21="Electricité",M21="Mi-saison"),INDEX('Base de données Mono'!F:F,MATCH(B21,'Base de données Mono'!D:D,0)),IF(AND(E21="Electricité",M21="Eté"),INDEX('Base de données Mono'!G:G,MATCH(B21,'Base de données Mono'!D:D,0)),IF(AND(E21="Gaz",M21="Hiver"),INDEX('Base de données Mono'!J:J,MATCH(B21,'Base de données Mono'!D:D,0)),IF(AND(E21="Gaz",M21="Mi-saison"),INDEX('Base de données Mono'!#REF!,MATCH(B21,'Base de données Mono'!D:D,0)),IF(AND(E21="Gaz",M21="Eté"),INDEX('Base de données Mono'!#REF!,MATCH(B21,'Base de données Mono'!D:D,0)),"-"))))))</f>
        <v>85</v>
      </c>
      <c r="O21" s="123">
        <v>45375</v>
      </c>
      <c r="P21" s="123">
        <v>45382</v>
      </c>
      <c r="Q21" s="34">
        <v>110</v>
      </c>
      <c r="R21" s="33">
        <f t="shared" si="2"/>
        <v>25</v>
      </c>
      <c r="S21" s="34">
        <v>8.9</v>
      </c>
      <c r="T21" s="34">
        <f t="shared" si="5"/>
        <v>7</v>
      </c>
      <c r="U21" s="33">
        <f t="shared" si="3"/>
        <v>1557.5</v>
      </c>
      <c r="V21" s="38" t="s">
        <v>148</v>
      </c>
      <c r="W21" s="39">
        <f t="shared" si="4"/>
        <v>0.29411764705882354</v>
      </c>
      <c r="X21" s="40" t="s">
        <v>304</v>
      </c>
      <c r="Y21" s="40" t="s">
        <v>284</v>
      </c>
      <c r="Z21" s="40" t="s">
        <v>305</v>
      </c>
      <c r="AA21" s="33" t="s">
        <v>771</v>
      </c>
      <c r="AB21" s="95"/>
      <c r="AC21" s="95"/>
    </row>
    <row r="22" spans="1:29" ht="14.45" hidden="1" customHeight="1" x14ac:dyDescent="0.25">
      <c r="A22" s="36" t="str">
        <f>INDEX('Base de données Mono'!C:C,MATCH(B22,'Base de données Mono'!D:D,0))</f>
        <v>TOLBIAC</v>
      </c>
      <c r="B22" t="s">
        <v>253</v>
      </c>
      <c r="C22" s="36" t="str">
        <f>INDEX('Base de données Mono'!B:B,MATCH(B22,'Base de données Mono'!D:D,0))</f>
        <v>SES8</v>
      </c>
      <c r="D22" s="36" t="str">
        <f>INDEX('Base de données Mono'!A:A,MATCH(B22,'Base de données Mono'!D:D,0))</f>
        <v>JG</v>
      </c>
      <c r="E22" s="37" t="s">
        <v>303</v>
      </c>
      <c r="F22" s="41">
        <f t="shared" si="0"/>
        <v>13</v>
      </c>
      <c r="G22" s="41">
        <f t="shared" si="1"/>
        <v>3</v>
      </c>
      <c r="H22">
        <v>10.25</v>
      </c>
      <c r="I22" s="131">
        <f>INDEX('Base de données Mono'!K:K,MATCH(B22,'Base de données Mono'!D:D,0))</f>
        <v>0.24305555555555555</v>
      </c>
      <c r="J22" s="131">
        <f>INDEX('Base de données Mono'!L:L,MATCH(B22,'Base de données Mono'!D:D,0))</f>
        <v>0.92708333333333337</v>
      </c>
      <c r="K22" s="131" t="str">
        <f>INDEX('Base de données Mono'!M:M,MATCH(B22,'Base de données Mono'!D:D,0))</f>
        <v>-</v>
      </c>
      <c r="L22" s="131" t="str">
        <f>INDEX('Base de données Mono'!N:N,MATCH(B22,'Base de données Mono'!D:D,0))</f>
        <v>-</v>
      </c>
      <c r="M22" s="33" t="s">
        <v>811</v>
      </c>
      <c r="N22" s="33">
        <f>IF(AND(E22="Electricité",M22="Hiver"),INDEX('Base de données Mono'!E:E,MATCH(B22,'Base de données Mono'!D:D,0)),IF(AND(E22="Electricité",M22="Mi-saison"),INDEX('Base de données Mono'!F:F,MATCH(B22,'Base de données Mono'!D:D,0)),IF(AND(E22="Electricité",M22="Eté"),INDEX('Base de données Mono'!G:G,MATCH(B22,'Base de données Mono'!D:D,0)),IF(AND(E22="Gaz",M22="Hiver"),INDEX('Base de données Mono'!J:J,MATCH(B22,'Base de données Mono'!D:D,0)),IF(AND(E22="Gaz",M22="Mi-saison"),INDEX('Base de données Mono'!#REF!,MATCH(B22,'Base de données Mono'!D:D,0)),IF(AND(E22="Gaz",M22="Eté"),INDEX('Base de données Mono'!#REF!,MATCH(B22,'Base de données Mono'!D:D,0)),"-"))))))</f>
        <v>50</v>
      </c>
      <c r="O22" s="123">
        <v>45375</v>
      </c>
      <c r="P22" s="123">
        <v>45376</v>
      </c>
      <c r="Q22" s="34">
        <v>80</v>
      </c>
      <c r="R22" s="33">
        <f t="shared" si="2"/>
        <v>30</v>
      </c>
      <c r="S22" s="34">
        <v>4</v>
      </c>
      <c r="T22" s="34">
        <f t="shared" si="5"/>
        <v>1</v>
      </c>
      <c r="U22" s="33">
        <f t="shared" si="3"/>
        <v>120</v>
      </c>
      <c r="V22" s="38" t="s">
        <v>148</v>
      </c>
      <c r="W22" s="39">
        <f t="shared" si="4"/>
        <v>0.6</v>
      </c>
      <c r="X22" s="40" t="s">
        <v>304</v>
      </c>
      <c r="Y22" s="40" t="s">
        <v>283</v>
      </c>
      <c r="Z22" s="40" t="s">
        <v>749</v>
      </c>
      <c r="AA22" s="33" t="s">
        <v>749</v>
      </c>
      <c r="AB22" s="95"/>
      <c r="AC22" s="95"/>
    </row>
    <row r="23" spans="1:29" ht="14.45" hidden="1" customHeight="1" x14ac:dyDescent="0.25">
      <c r="A23" s="36" t="str">
        <f>INDEX('Base de données Mono'!C:C,MATCH(B23,'Base de données Mono'!D:D,0))</f>
        <v>TOLBIAC</v>
      </c>
      <c r="B23" t="s">
        <v>253</v>
      </c>
      <c r="C23" s="36" t="str">
        <f>INDEX('Base de données Mono'!B:B,MATCH(B23,'Base de données Mono'!D:D,0))</f>
        <v>SES8</v>
      </c>
      <c r="D23" s="36" t="str">
        <f>INDEX('Base de données Mono'!A:A,MATCH(B23,'Base de données Mono'!D:D,0))</f>
        <v>JG</v>
      </c>
      <c r="E23" s="37" t="s">
        <v>303</v>
      </c>
      <c r="F23" s="41">
        <f t="shared" si="0"/>
        <v>13</v>
      </c>
      <c r="G23" s="41">
        <f t="shared" si="1"/>
        <v>3</v>
      </c>
      <c r="H23">
        <v>10.25</v>
      </c>
      <c r="I23" s="131">
        <f>INDEX('Base de données Mono'!K:K,MATCH(B23,'Base de données Mono'!D:D,0))</f>
        <v>0.24305555555555555</v>
      </c>
      <c r="J23" s="131">
        <f>INDEX('Base de données Mono'!L:L,MATCH(B23,'Base de données Mono'!D:D,0))</f>
        <v>0.92708333333333337</v>
      </c>
      <c r="K23" s="131" t="str">
        <f>INDEX('Base de données Mono'!M:M,MATCH(B23,'Base de données Mono'!D:D,0))</f>
        <v>-</v>
      </c>
      <c r="L23" s="131" t="str">
        <f>INDEX('Base de données Mono'!N:N,MATCH(B23,'Base de données Mono'!D:D,0))</f>
        <v>-</v>
      </c>
      <c r="M23" s="33" t="s">
        <v>811</v>
      </c>
      <c r="N23" s="33">
        <f>IF(AND(E23="Electricité",M23="Hiver"),INDEX('Base de données Mono'!E:E,MATCH(B23,'Base de données Mono'!D:D,0)),IF(AND(E23="Electricité",M23="Mi-saison"),INDEX('Base de données Mono'!F:F,MATCH(B23,'Base de données Mono'!D:D,0)),IF(AND(E23="Electricité",M23="Eté"),INDEX('Base de données Mono'!G:G,MATCH(B23,'Base de données Mono'!D:D,0)),IF(AND(E23="Gaz",M23="Hiver"),INDEX('Base de données Mono'!J:J,MATCH(B23,'Base de données Mono'!D:D,0)),IF(AND(E23="Gaz",M23="Mi-saison"),INDEX('Base de données Mono'!#REF!,MATCH(B23,'Base de données Mono'!D:D,0)),IF(AND(E23="Gaz",M23="Eté"),INDEX('Base de données Mono'!#REF!,MATCH(B23,'Base de données Mono'!D:D,0)),"-"))))))</f>
        <v>50</v>
      </c>
      <c r="O23" s="123">
        <v>45375</v>
      </c>
      <c r="P23" s="123">
        <v>45376</v>
      </c>
      <c r="Q23" s="34">
        <v>60</v>
      </c>
      <c r="R23" s="33">
        <f t="shared" si="2"/>
        <v>10</v>
      </c>
      <c r="S23" s="34">
        <v>2.7</v>
      </c>
      <c r="T23" s="34">
        <f t="shared" si="5"/>
        <v>1</v>
      </c>
      <c r="U23" s="33">
        <f t="shared" si="3"/>
        <v>27</v>
      </c>
      <c r="V23" s="38" t="s">
        <v>148</v>
      </c>
      <c r="W23" s="39">
        <f t="shared" si="4"/>
        <v>0.2</v>
      </c>
      <c r="X23" s="40" t="s">
        <v>304</v>
      </c>
      <c r="Y23" s="40" t="s">
        <v>284</v>
      </c>
      <c r="Z23" s="40" t="s">
        <v>305</v>
      </c>
      <c r="AA23" s="33" t="s">
        <v>771</v>
      </c>
      <c r="AB23" s="95"/>
      <c r="AC23" s="95"/>
    </row>
    <row r="24" spans="1:29" ht="14.45" hidden="1" customHeight="1" x14ac:dyDescent="0.25">
      <c r="A24" s="36" t="str">
        <f>INDEX('Base de données Mono'!C:C,MATCH(B24,'Base de données Mono'!D:D,0))</f>
        <v>TOLBIAC</v>
      </c>
      <c r="B24" t="s">
        <v>253</v>
      </c>
      <c r="C24" s="36" t="str">
        <f>INDEX('Base de données Mono'!B:B,MATCH(B24,'Base de données Mono'!D:D,0))</f>
        <v>SES8</v>
      </c>
      <c r="D24" s="36" t="str">
        <f>INDEX('Base de données Mono'!A:A,MATCH(B24,'Base de données Mono'!D:D,0))</f>
        <v>JG</v>
      </c>
      <c r="E24" s="37" t="s">
        <v>303</v>
      </c>
      <c r="F24" s="41">
        <f t="shared" si="0"/>
        <v>13</v>
      </c>
      <c r="G24" s="41">
        <f t="shared" si="1"/>
        <v>3</v>
      </c>
      <c r="H24">
        <v>10.25</v>
      </c>
      <c r="I24" s="131">
        <f>INDEX('Base de données Mono'!K:K,MATCH(B24,'Base de données Mono'!D:D,0))</f>
        <v>0.24305555555555555</v>
      </c>
      <c r="J24" s="131">
        <f>INDEX('Base de données Mono'!L:L,MATCH(B24,'Base de données Mono'!D:D,0))</f>
        <v>0.92708333333333337</v>
      </c>
      <c r="K24" s="131" t="str">
        <f>INDEX('Base de données Mono'!M:M,MATCH(B24,'Base de données Mono'!D:D,0))</f>
        <v>-</v>
      </c>
      <c r="L24" s="131" t="str">
        <f>INDEX('Base de données Mono'!N:N,MATCH(B24,'Base de données Mono'!D:D,0))</f>
        <v>-</v>
      </c>
      <c r="M24" s="33" t="s">
        <v>811</v>
      </c>
      <c r="N24" s="33">
        <f>IF(AND(E24="Electricité",M24="Hiver"),INDEX('Base de données Mono'!E:E,MATCH(B24,'Base de données Mono'!D:D,0)),IF(AND(E24="Electricité",M24="Mi-saison"),INDEX('Base de données Mono'!F:F,MATCH(B24,'Base de données Mono'!D:D,0)),IF(AND(E24="Electricité",M24="Eté"),INDEX('Base de données Mono'!G:G,MATCH(B24,'Base de données Mono'!D:D,0)),IF(AND(E24="Gaz",M24="Hiver"),INDEX('Base de données Mono'!J:J,MATCH(B24,'Base de données Mono'!D:D,0)),IF(AND(E24="Gaz",M24="Mi-saison"),INDEX('Base de données Mono'!#REF!,MATCH(B24,'Base de données Mono'!D:D,0)),IF(AND(E24="Gaz",M24="Eté"),INDEX('Base de données Mono'!#REF!,MATCH(B24,'Base de données Mono'!D:D,0)),"-"))))))</f>
        <v>50</v>
      </c>
      <c r="O24" s="123">
        <v>45375</v>
      </c>
      <c r="P24" s="123">
        <v>45381</v>
      </c>
      <c r="Q24" s="34">
        <v>80</v>
      </c>
      <c r="R24" s="33">
        <f t="shared" si="2"/>
        <v>30</v>
      </c>
      <c r="S24" s="34">
        <v>0.8</v>
      </c>
      <c r="T24" s="34">
        <f t="shared" si="5"/>
        <v>6</v>
      </c>
      <c r="U24" s="33">
        <f t="shared" si="3"/>
        <v>144</v>
      </c>
      <c r="V24" s="38" t="s">
        <v>148</v>
      </c>
      <c r="W24" s="39">
        <f t="shared" si="4"/>
        <v>0.6</v>
      </c>
      <c r="X24" s="40" t="s">
        <v>304</v>
      </c>
      <c r="Y24" s="40" t="s">
        <v>284</v>
      </c>
      <c r="Z24" s="40" t="s">
        <v>307</v>
      </c>
      <c r="AA24" s="33" t="s">
        <v>414</v>
      </c>
      <c r="AB24" s="95"/>
      <c r="AC24" s="95"/>
    </row>
    <row r="25" spans="1:29" ht="14.45" hidden="1" customHeight="1" x14ac:dyDescent="0.25">
      <c r="A25" s="36" t="str">
        <f>INDEX('Base de données Mono'!C:C,MATCH(B25,'Base de données Mono'!D:D,0))</f>
        <v>TOLBIAC</v>
      </c>
      <c r="B25" t="s">
        <v>253</v>
      </c>
      <c r="C25" s="36" t="str">
        <f>INDEX('Base de données Mono'!B:B,MATCH(B25,'Base de données Mono'!D:D,0))</f>
        <v>SES8</v>
      </c>
      <c r="D25" s="36" t="str">
        <f>INDEX('Base de données Mono'!A:A,MATCH(B25,'Base de données Mono'!D:D,0))</f>
        <v>JG</v>
      </c>
      <c r="E25" s="37" t="s">
        <v>303</v>
      </c>
      <c r="F25" s="41">
        <f t="shared" si="0"/>
        <v>13</v>
      </c>
      <c r="G25" s="41">
        <f t="shared" si="1"/>
        <v>3</v>
      </c>
      <c r="H25">
        <v>10.25</v>
      </c>
      <c r="I25" s="131">
        <f>INDEX('Base de données Mono'!K:K,MATCH(B25,'Base de données Mono'!D:D,0))</f>
        <v>0.24305555555555555</v>
      </c>
      <c r="J25" s="131">
        <f>INDEX('Base de données Mono'!L:L,MATCH(B25,'Base de données Mono'!D:D,0))</f>
        <v>0.92708333333333337</v>
      </c>
      <c r="K25" s="131" t="str">
        <f>INDEX('Base de données Mono'!M:M,MATCH(B25,'Base de données Mono'!D:D,0))</f>
        <v>-</v>
      </c>
      <c r="L25" s="131" t="str">
        <f>INDEX('Base de données Mono'!N:N,MATCH(B25,'Base de données Mono'!D:D,0))</f>
        <v>-</v>
      </c>
      <c r="M25" s="33" t="s">
        <v>811</v>
      </c>
      <c r="N25" s="33">
        <f>IF(AND(E25="Electricité",M25="Hiver"),INDEX('Base de données Mono'!E:E,MATCH(B25,'Base de données Mono'!D:D,0)),IF(AND(E25="Electricité",M25="Mi-saison"),INDEX('Base de données Mono'!F:F,MATCH(B25,'Base de données Mono'!D:D,0)),IF(AND(E25="Electricité",M25="Eté"),INDEX('Base de données Mono'!G:G,MATCH(B25,'Base de données Mono'!D:D,0)),IF(AND(E25="Gaz",M25="Hiver"),INDEX('Base de données Mono'!J:J,MATCH(B25,'Base de données Mono'!D:D,0)),IF(AND(E25="Gaz",M25="Mi-saison"),INDEX('Base de données Mono'!#REF!,MATCH(B25,'Base de données Mono'!D:D,0)),IF(AND(E25="Gaz",M25="Eté"),INDEX('Base de données Mono'!#REF!,MATCH(B25,'Base de données Mono'!D:D,0)),"-"))))))</f>
        <v>50</v>
      </c>
      <c r="O25" s="123">
        <v>45376</v>
      </c>
      <c r="P25" s="123">
        <v>45381</v>
      </c>
      <c r="Q25" s="34">
        <v>60</v>
      </c>
      <c r="R25" s="33">
        <f t="shared" si="2"/>
        <v>10</v>
      </c>
      <c r="S25" s="34">
        <v>6.7</v>
      </c>
      <c r="T25" s="34">
        <f t="shared" si="5"/>
        <v>5</v>
      </c>
      <c r="U25" s="33">
        <f t="shared" si="3"/>
        <v>335</v>
      </c>
      <c r="V25" s="38" t="s">
        <v>148</v>
      </c>
      <c r="W25" s="39">
        <f t="shared" si="4"/>
        <v>0.2</v>
      </c>
      <c r="X25" s="40" t="s">
        <v>304</v>
      </c>
      <c r="Y25" s="40" t="s">
        <v>284</v>
      </c>
      <c r="Z25" s="40" t="s">
        <v>305</v>
      </c>
      <c r="AA25" s="33" t="s">
        <v>771</v>
      </c>
      <c r="AB25" s="95"/>
      <c r="AC25" s="95"/>
    </row>
    <row r="26" spans="1:29" ht="14.45" hidden="1" customHeight="1" x14ac:dyDescent="0.25">
      <c r="A26" s="36" t="str">
        <f>INDEX('Base de données Mono'!C:C,MATCH(B26,'Base de données Mono'!D:D,0))</f>
        <v>TOLBIAC</v>
      </c>
      <c r="B26" t="s">
        <v>253</v>
      </c>
      <c r="C26" s="36" t="str">
        <f>INDEX('Base de données Mono'!B:B,MATCH(B26,'Base de données Mono'!D:D,0))</f>
        <v>SES8</v>
      </c>
      <c r="D26" s="36" t="str">
        <f>INDEX('Base de données Mono'!A:A,MATCH(B26,'Base de données Mono'!D:D,0))</f>
        <v>JG</v>
      </c>
      <c r="E26" s="37" t="s">
        <v>303</v>
      </c>
      <c r="F26" s="41">
        <f t="shared" si="0"/>
        <v>13</v>
      </c>
      <c r="G26" s="41">
        <f t="shared" si="1"/>
        <v>3</v>
      </c>
      <c r="H26">
        <v>9</v>
      </c>
      <c r="I26" s="131">
        <f>INDEX('Base de données Mono'!K:K,MATCH(B26,'Base de données Mono'!D:D,0))</f>
        <v>0.24305555555555555</v>
      </c>
      <c r="J26" s="131">
        <f>INDEX('Base de données Mono'!L:L,MATCH(B26,'Base de données Mono'!D:D,0))</f>
        <v>0.92708333333333337</v>
      </c>
      <c r="K26" s="131" t="str">
        <f>INDEX('Base de données Mono'!M:M,MATCH(B26,'Base de données Mono'!D:D,0))</f>
        <v>-</v>
      </c>
      <c r="L26" s="131" t="str">
        <f>INDEX('Base de données Mono'!N:N,MATCH(B26,'Base de données Mono'!D:D,0))</f>
        <v>-</v>
      </c>
      <c r="M26" s="33" t="s">
        <v>811</v>
      </c>
      <c r="N26" s="33">
        <f>IF(AND(E26="Electricité",M26="Hiver"),INDEX('Base de données Mono'!E:E,MATCH(B26,'Base de données Mono'!D:D,0)),IF(AND(E26="Electricité",M26="Mi-saison"),INDEX('Base de données Mono'!F:F,MATCH(B26,'Base de données Mono'!D:D,0)),IF(AND(E26="Electricité",M26="Eté"),INDEX('Base de données Mono'!G:G,MATCH(B26,'Base de données Mono'!D:D,0)),IF(AND(E26="Gaz",M26="Hiver"),INDEX('Base de données Mono'!J:J,MATCH(B26,'Base de données Mono'!D:D,0)),IF(AND(E26="Gaz",M26="Mi-saison"),INDEX('Base de données Mono'!#REF!,MATCH(B26,'Base de données Mono'!D:D,0)),IF(AND(E26="Gaz",M26="Eté"),INDEX('Base de données Mono'!#REF!,MATCH(B26,'Base de données Mono'!D:D,0)),"-"))))))</f>
        <v>50</v>
      </c>
      <c r="O26" s="123">
        <v>45381</v>
      </c>
      <c r="P26" s="123">
        <v>45382</v>
      </c>
      <c r="Q26" s="34">
        <v>60</v>
      </c>
      <c r="R26" s="33">
        <f t="shared" si="2"/>
        <v>10</v>
      </c>
      <c r="S26" s="34">
        <v>7.5</v>
      </c>
      <c r="T26" s="34">
        <f t="shared" si="5"/>
        <v>1</v>
      </c>
      <c r="U26" s="33">
        <f t="shared" si="3"/>
        <v>75</v>
      </c>
      <c r="V26" s="38" t="s">
        <v>148</v>
      </c>
      <c r="W26" s="39">
        <f t="shared" si="4"/>
        <v>0.2</v>
      </c>
      <c r="X26" s="40" t="s">
        <v>304</v>
      </c>
      <c r="Y26" s="40" t="s">
        <v>284</v>
      </c>
      <c r="Z26" s="40" t="s">
        <v>305</v>
      </c>
      <c r="AA26" s="33" t="s">
        <v>771</v>
      </c>
      <c r="AB26" s="95"/>
      <c r="AC26" s="95"/>
    </row>
    <row r="27" spans="1:29" ht="14.45" hidden="1" customHeight="1" x14ac:dyDescent="0.25">
      <c r="A27" s="36" t="str">
        <f>INDEX('Base de données Mono'!C:C,MATCH(B27,'Base de données Mono'!D:D,0))</f>
        <v>BORDEAUX ST CHRISTOLY</v>
      </c>
      <c r="B27" t="s">
        <v>6</v>
      </c>
      <c r="C27" s="36" t="str">
        <f>INDEX('Base de données Mono'!B:B,MATCH(B27,'Base de données Mono'!D:D,0))</f>
        <v>SES8</v>
      </c>
      <c r="D27" s="36" t="str">
        <f>INDEX('Base de données Mono'!A:A,MATCH(B27,'Base de données Mono'!D:D,0))</f>
        <v>AD</v>
      </c>
      <c r="E27" s="37" t="s">
        <v>303</v>
      </c>
      <c r="F27" s="41">
        <f t="shared" si="0"/>
        <v>13</v>
      </c>
      <c r="G27" s="41">
        <f t="shared" si="1"/>
        <v>3</v>
      </c>
      <c r="H27">
        <v>8</v>
      </c>
      <c r="I27" s="131">
        <f>INDEX('Base de données Mono'!K:K,MATCH(B27,'Base de données Mono'!D:D,0))</f>
        <v>0.16666666666666666</v>
      </c>
      <c r="J27" s="131">
        <f>INDEX('Base de données Mono'!L:L,MATCH(B27,'Base de données Mono'!D:D,0))</f>
        <v>0.875</v>
      </c>
      <c r="K27" s="131">
        <f>INDEX('Base de données Mono'!M:M,MATCH(B27,'Base de données Mono'!D:D,0))</f>
        <v>0.20833333333333334</v>
      </c>
      <c r="L27" s="131">
        <f>INDEX('Base de données Mono'!N:N,MATCH(B27,'Base de données Mono'!D:D,0))</f>
        <v>0.54166666666666696</v>
      </c>
      <c r="M27" s="33" t="s">
        <v>811</v>
      </c>
      <c r="N27" s="33">
        <f>IF(AND(E27="Electricité",M27="Hiver"),INDEX('Base de données Mono'!E:E,MATCH(B27,'Base de données Mono'!D:D,0)),IF(AND(E27="Electricité",M27="Mi-saison"),INDEX('Base de données Mono'!F:F,MATCH(B27,'Base de données Mono'!D:D,0)),IF(AND(E27="Electricité",M27="Eté"),INDEX('Base de données Mono'!G:G,MATCH(B27,'Base de données Mono'!D:D,0)),IF(AND(E27="Gaz",M27="Hiver"),INDEX('Base de données Mono'!J:J,MATCH(B27,'Base de données Mono'!D:D,0)),IF(AND(E27="Gaz",M27="Mi-saison"),INDEX('Base de données Mono'!#REF!,MATCH(B27,'Base de données Mono'!D:D,0)),IF(AND(E27="Gaz",M27="Eté"),INDEX('Base de données Mono'!#REF!,MATCH(B27,'Base de données Mono'!D:D,0)),"-"))))))</f>
        <v>70</v>
      </c>
      <c r="O27" s="123">
        <v>45375</v>
      </c>
      <c r="P27" s="123">
        <v>45382</v>
      </c>
      <c r="Q27" s="164">
        <v>90</v>
      </c>
      <c r="R27" s="33">
        <f t="shared" si="2"/>
        <v>20</v>
      </c>
      <c r="S27" s="164">
        <v>7</v>
      </c>
      <c r="T27" s="34">
        <f t="shared" si="5"/>
        <v>7</v>
      </c>
      <c r="U27" s="33">
        <f t="shared" si="3"/>
        <v>980</v>
      </c>
      <c r="V27" s="38" t="s">
        <v>148</v>
      </c>
      <c r="W27" s="39">
        <f t="shared" si="4"/>
        <v>0.2857142857142857</v>
      </c>
      <c r="X27" s="40" t="s">
        <v>304</v>
      </c>
      <c r="Y27" s="40" t="s">
        <v>284</v>
      </c>
      <c r="Z27" s="40" t="s">
        <v>305</v>
      </c>
      <c r="AA27" s="33" t="s">
        <v>771</v>
      </c>
      <c r="AB27" s="95"/>
      <c r="AC27" s="95"/>
    </row>
    <row r="28" spans="1:29" ht="14.45" hidden="1" customHeight="1" x14ac:dyDescent="0.25">
      <c r="A28" s="36" t="str">
        <f>INDEX('Base de données Mono'!C:C,MATCH(B28,'Base de données Mono'!D:D,0))</f>
        <v>REIMS</v>
      </c>
      <c r="B28" t="s">
        <v>218</v>
      </c>
      <c r="C28" s="36" t="str">
        <f>INDEX('Base de données Mono'!B:B,MATCH(B28,'Base de données Mono'!D:D,0))</f>
        <v>SES8</v>
      </c>
      <c r="D28" s="36" t="str">
        <f>INDEX('Base de données Mono'!A:A,MATCH(B28,'Base de données Mono'!D:D,0))</f>
        <v>JG</v>
      </c>
      <c r="E28" s="37" t="s">
        <v>303</v>
      </c>
      <c r="F28" s="41">
        <f t="shared" si="0"/>
        <v>13</v>
      </c>
      <c r="G28" s="41">
        <f t="shared" si="1"/>
        <v>3</v>
      </c>
      <c r="H28">
        <v>8</v>
      </c>
      <c r="I28" s="131">
        <f>INDEX('Base de données Mono'!K:K,MATCH(B28,'Base de données Mono'!D:D,0))</f>
        <v>0.22916666666666666</v>
      </c>
      <c r="J28" s="131">
        <f>INDEX('Base de données Mono'!L:L,MATCH(B28,'Base de données Mono'!D:D,0))</f>
        <v>0.85416666666666663</v>
      </c>
      <c r="K28" s="131">
        <f>INDEX('Base de données Mono'!M:M,MATCH(B28,'Base de données Mono'!D:D,0))</f>
        <v>0.3125</v>
      </c>
      <c r="L28" s="131">
        <f>INDEX('Base de données Mono'!N:N,MATCH(B28,'Base de données Mono'!D:D,0))</f>
        <v>0.5625</v>
      </c>
      <c r="M28" s="33" t="s">
        <v>811</v>
      </c>
      <c r="N28" s="33">
        <f>IF(AND(E28="Electricité",M28="Hiver"),INDEX('Base de données Mono'!E:E,MATCH(B28,'Base de données Mono'!D:D,0)),IF(AND(E28="Electricité",M28="Mi-saison"),INDEX('Base de données Mono'!F:F,MATCH(B28,'Base de données Mono'!D:D,0)),IF(AND(E28="Electricité",M28="Eté"),INDEX('Base de données Mono'!G:G,MATCH(B28,'Base de données Mono'!D:D,0)),IF(AND(E28="Gaz",M28="Hiver"),INDEX('Base de données Mono'!J:J,MATCH(B28,'Base de données Mono'!D:D,0)),IF(AND(E28="Gaz",M28="Mi-saison"),INDEX('Base de données Mono'!#REF!,MATCH(B28,'Base de données Mono'!D:D,0)),IF(AND(E28="Gaz",M28="Eté"),INDEX('Base de données Mono'!#REF!,MATCH(B28,'Base de données Mono'!D:D,0)),"-"))))))</f>
        <v>50</v>
      </c>
      <c r="O28" s="123">
        <v>45378</v>
      </c>
      <c r="P28" s="123">
        <v>45381</v>
      </c>
      <c r="Q28" s="34">
        <v>90</v>
      </c>
      <c r="R28" s="33">
        <f t="shared" si="2"/>
        <v>40</v>
      </c>
      <c r="S28" s="34">
        <v>9</v>
      </c>
      <c r="T28" s="34">
        <f t="shared" si="5"/>
        <v>3</v>
      </c>
      <c r="U28" s="33">
        <f t="shared" si="3"/>
        <v>1080</v>
      </c>
      <c r="V28" s="38" t="s">
        <v>148</v>
      </c>
      <c r="W28" s="39">
        <f t="shared" si="4"/>
        <v>0.8</v>
      </c>
      <c r="X28" s="40" t="s">
        <v>304</v>
      </c>
      <c r="Y28" s="40" t="s">
        <v>284</v>
      </c>
      <c r="Z28" s="40" t="s">
        <v>311</v>
      </c>
      <c r="AA28" s="33" t="s">
        <v>775</v>
      </c>
      <c r="AB28" s="95"/>
      <c r="AC28" s="95"/>
    </row>
    <row r="29" spans="1:29" ht="14.45" hidden="1" customHeight="1" x14ac:dyDescent="0.25">
      <c r="A29" s="36" t="str">
        <f>INDEX('Base de données Mono'!C:C,MATCH(B29,'Base de données Mono'!D:D,0))</f>
        <v>ST GERMAIN</v>
      </c>
      <c r="B29" t="s">
        <v>35</v>
      </c>
      <c r="C29" s="36" t="str">
        <f>INDEX('Base de données Mono'!B:B,MATCH(B29,'Base de données Mono'!D:D,0))</f>
        <v>SES8</v>
      </c>
      <c r="D29" s="36" t="str">
        <f>INDEX('Base de données Mono'!A:A,MATCH(B29,'Base de données Mono'!D:D,0))</f>
        <v>AD</v>
      </c>
      <c r="E29" s="37" t="s">
        <v>303</v>
      </c>
      <c r="F29" s="41">
        <f t="shared" si="0"/>
        <v>13</v>
      </c>
      <c r="G29" s="41">
        <f t="shared" si="1"/>
        <v>3</v>
      </c>
      <c r="H29">
        <v>8</v>
      </c>
      <c r="I29" s="131">
        <f>INDEX('Base de données Mono'!K:K,MATCH(B29,'Base de données Mono'!D:D,0))</f>
        <v>0.24305555555555555</v>
      </c>
      <c r="J29" s="131">
        <f>INDEX('Base de données Mono'!L:L,MATCH(B29,'Base de données Mono'!D:D,0))</f>
        <v>0.90625</v>
      </c>
      <c r="K29" s="131">
        <f>INDEX('Base de données Mono'!M:M,MATCH(B29,'Base de données Mono'!D:D,0))</f>
        <v>0.28125</v>
      </c>
      <c r="L29" s="131">
        <f>INDEX('Base de données Mono'!N:N,MATCH(B29,'Base de données Mono'!D:D,0))</f>
        <v>0.5625</v>
      </c>
      <c r="M29" s="33" t="s">
        <v>811</v>
      </c>
      <c r="N29" s="33">
        <f>IF(AND(E29="Electricité",M29="Hiver"),INDEX('Base de données Mono'!E:E,MATCH(B29,'Base de données Mono'!D:D,0)),IF(AND(E29="Electricité",M29="Mi-saison"),INDEX('Base de données Mono'!F:F,MATCH(B29,'Base de données Mono'!D:D,0)),IF(AND(E29="Electricité",M29="Eté"),INDEX('Base de données Mono'!G:G,MATCH(B29,'Base de données Mono'!D:D,0)),IF(AND(E29="Gaz",M29="Hiver"),INDEX('Base de données Mono'!J:J,MATCH(B29,'Base de données Mono'!D:D,0)),IF(AND(E29="Gaz",M29="Mi-saison"),INDEX('Base de données Mono'!#REF!,MATCH(B29,'Base de données Mono'!D:D,0)),IF(AND(E29="Gaz",M29="Eté"),INDEX('Base de données Mono'!#REF!,MATCH(B29,'Base de données Mono'!D:D,0)),"-"))))))</f>
        <v>120</v>
      </c>
      <c r="O29" s="123">
        <v>45378</v>
      </c>
      <c r="P29" s="123">
        <v>45379</v>
      </c>
      <c r="Q29" s="34">
        <v>140</v>
      </c>
      <c r="R29" s="33">
        <f t="shared" si="2"/>
        <v>20</v>
      </c>
      <c r="S29" s="34">
        <v>8</v>
      </c>
      <c r="T29" s="34">
        <f t="shared" si="5"/>
        <v>1</v>
      </c>
      <c r="U29" s="33">
        <f t="shared" si="3"/>
        <v>160</v>
      </c>
      <c r="V29" s="38" t="s">
        <v>148</v>
      </c>
      <c r="W29" s="39">
        <f t="shared" si="4"/>
        <v>0.16666666666666666</v>
      </c>
      <c r="X29" s="40" t="s">
        <v>304</v>
      </c>
      <c r="Y29" s="40" t="s">
        <v>284</v>
      </c>
      <c r="Z29" s="40" t="s">
        <v>311</v>
      </c>
      <c r="AA29" s="33" t="s">
        <v>775</v>
      </c>
      <c r="AB29" s="95"/>
      <c r="AC29" s="95"/>
    </row>
    <row r="30" spans="1:29" ht="14.45" hidden="1" customHeight="1" x14ac:dyDescent="0.25">
      <c r="A30" s="36" t="str">
        <f>INDEX('Base de données Mono'!C:C,MATCH(B30,'Base de données Mono'!D:D,0))</f>
        <v>MULHOUSE</v>
      </c>
      <c r="B30" t="s">
        <v>184</v>
      </c>
      <c r="C30" s="36" t="str">
        <f>INDEX('Base de données Mono'!B:B,MATCH(B30,'Base de données Mono'!D:D,0))</f>
        <v>SES8</v>
      </c>
      <c r="D30" s="36" t="str">
        <f>INDEX('Base de données Mono'!A:A,MATCH(B30,'Base de données Mono'!D:D,0))</f>
        <v>JG</v>
      </c>
      <c r="E30" s="37" t="s">
        <v>303</v>
      </c>
      <c r="F30" s="41">
        <f t="shared" si="0"/>
        <v>13</v>
      </c>
      <c r="G30" s="41">
        <f t="shared" si="1"/>
        <v>3</v>
      </c>
      <c r="H30">
        <v>8</v>
      </c>
      <c r="I30" s="131">
        <f>INDEX('Base de données Mono'!K:K,MATCH(B30,'Base de données Mono'!D:D,0))</f>
        <v>0.24305555555555555</v>
      </c>
      <c r="J30" s="131">
        <f>INDEX('Base de données Mono'!L:L,MATCH(B30,'Base de données Mono'!D:D,0))</f>
        <v>0.84375</v>
      </c>
      <c r="K30" s="131" t="str">
        <f>INDEX('Base de données Mono'!M:M,MATCH(B30,'Base de données Mono'!D:D,0))</f>
        <v>-</v>
      </c>
      <c r="L30" s="131" t="str">
        <f>INDEX('Base de données Mono'!N:N,MATCH(B30,'Base de données Mono'!D:D,0))</f>
        <v>-</v>
      </c>
      <c r="M30" s="33" t="s">
        <v>811</v>
      </c>
      <c r="N30" s="33">
        <f>IF(AND(E30="Electricité",M30="Hiver"),INDEX('Base de données Mono'!E:E,MATCH(B30,'Base de données Mono'!D:D,0)),IF(AND(E30="Electricité",M30="Mi-saison"),INDEX('Base de données Mono'!F:F,MATCH(B30,'Base de données Mono'!D:D,0)),IF(AND(E30="Electricité",M30="Eté"),INDEX('Base de données Mono'!G:G,MATCH(B30,'Base de données Mono'!D:D,0)),IF(AND(E30="Gaz",M30="Hiver"),INDEX('Base de données Mono'!J:J,MATCH(B30,'Base de données Mono'!D:D,0)),IF(AND(E30="Gaz",M30="Mi-saison"),INDEX('Base de données Mono'!#REF!,MATCH(B30,'Base de données Mono'!D:D,0)),IF(AND(E30="Gaz",M30="Eté"),INDEX('Base de données Mono'!#REF!,MATCH(B30,'Base de données Mono'!D:D,0)),"-"))))))</f>
        <v>45</v>
      </c>
      <c r="O30" s="123">
        <v>45375</v>
      </c>
      <c r="P30" s="123">
        <v>45376</v>
      </c>
      <c r="Q30" s="34">
        <v>50</v>
      </c>
      <c r="R30" s="33">
        <f t="shared" si="2"/>
        <v>5</v>
      </c>
      <c r="S30" s="34">
        <v>2</v>
      </c>
      <c r="T30" s="34">
        <f t="shared" si="5"/>
        <v>1</v>
      </c>
      <c r="U30" s="33">
        <f t="shared" si="3"/>
        <v>10</v>
      </c>
      <c r="V30" s="38" t="s">
        <v>148</v>
      </c>
      <c r="W30" s="39">
        <f t="shared" si="4"/>
        <v>0.1111111111111111</v>
      </c>
      <c r="X30" s="40" t="s">
        <v>304</v>
      </c>
      <c r="Y30" s="40" t="s">
        <v>284</v>
      </c>
      <c r="Z30" s="40" t="s">
        <v>305</v>
      </c>
      <c r="AA30" s="33" t="s">
        <v>771</v>
      </c>
      <c r="AB30" s="95"/>
      <c r="AC30" s="95"/>
    </row>
    <row r="31" spans="1:29" ht="14.45" hidden="1" customHeight="1" x14ac:dyDescent="0.25">
      <c r="A31" s="36" t="str">
        <f>INDEX('Base de données Mono'!C:C,MATCH(B31,'Base de données Mono'!D:D,0))</f>
        <v>MULHOUSE</v>
      </c>
      <c r="B31" t="s">
        <v>184</v>
      </c>
      <c r="C31" s="36" t="str">
        <f>INDEX('Base de données Mono'!B:B,MATCH(B31,'Base de données Mono'!D:D,0))</f>
        <v>SES8</v>
      </c>
      <c r="D31" s="36" t="str">
        <f>INDEX('Base de données Mono'!A:A,MATCH(B31,'Base de données Mono'!D:D,0))</f>
        <v>JG</v>
      </c>
      <c r="E31" s="37" t="s">
        <v>303</v>
      </c>
      <c r="F31" s="41">
        <f t="shared" si="0"/>
        <v>13</v>
      </c>
      <c r="G31" s="41">
        <f t="shared" si="1"/>
        <v>3</v>
      </c>
      <c r="H31">
        <v>8</v>
      </c>
      <c r="I31" s="131">
        <f>INDEX('Base de données Mono'!K:K,MATCH(B31,'Base de données Mono'!D:D,0))</f>
        <v>0.24305555555555555</v>
      </c>
      <c r="J31" s="131">
        <f>INDEX('Base de données Mono'!L:L,MATCH(B31,'Base de données Mono'!D:D,0))</f>
        <v>0.84375</v>
      </c>
      <c r="K31" s="131" t="str">
        <f>INDEX('Base de données Mono'!M:M,MATCH(B31,'Base de données Mono'!D:D,0))</f>
        <v>-</v>
      </c>
      <c r="L31" s="131" t="str">
        <f>INDEX('Base de données Mono'!N:N,MATCH(B31,'Base de données Mono'!D:D,0))</f>
        <v>-</v>
      </c>
      <c r="M31" s="33" t="s">
        <v>811</v>
      </c>
      <c r="N31" s="33">
        <f>IF(AND(E31="Electricité",M31="Hiver"),INDEX('Base de données Mono'!E:E,MATCH(B31,'Base de données Mono'!D:D,0)),IF(AND(E31="Electricité",M31="Mi-saison"),INDEX('Base de données Mono'!F:F,MATCH(B31,'Base de données Mono'!D:D,0)),IF(AND(E31="Electricité",M31="Eté"),INDEX('Base de données Mono'!G:G,MATCH(B31,'Base de données Mono'!D:D,0)),IF(AND(E31="Gaz",M31="Hiver"),INDEX('Base de données Mono'!J:J,MATCH(B31,'Base de données Mono'!D:D,0)),IF(AND(E31="Gaz",M31="Mi-saison"),INDEX('Base de données Mono'!#REF!,MATCH(B31,'Base de données Mono'!D:D,0)),IF(AND(E31="Gaz",M31="Eté"),INDEX('Base de données Mono'!#REF!,MATCH(B31,'Base de données Mono'!D:D,0)),"-"))))))</f>
        <v>45</v>
      </c>
      <c r="O31" s="123">
        <v>45376</v>
      </c>
      <c r="P31" s="123">
        <v>45382</v>
      </c>
      <c r="Q31" s="164">
        <v>70</v>
      </c>
      <c r="R31" s="33">
        <f t="shared" si="2"/>
        <v>25</v>
      </c>
      <c r="S31" s="164">
        <v>1</v>
      </c>
      <c r="T31" s="34">
        <f t="shared" si="5"/>
        <v>6</v>
      </c>
      <c r="U31" s="33">
        <f t="shared" si="3"/>
        <v>150</v>
      </c>
      <c r="V31" s="38" t="s">
        <v>148</v>
      </c>
      <c r="W31" s="39">
        <f t="shared" si="4"/>
        <v>0.55555555555555558</v>
      </c>
      <c r="X31" s="40" t="s">
        <v>304</v>
      </c>
      <c r="Y31" s="40" t="s">
        <v>284</v>
      </c>
      <c r="Z31" s="40" t="s">
        <v>307</v>
      </c>
      <c r="AA31" s="33" t="s">
        <v>313</v>
      </c>
      <c r="AB31" s="95"/>
      <c r="AC31" s="95"/>
    </row>
    <row r="32" spans="1:29" ht="14.45" hidden="1" customHeight="1" x14ac:dyDescent="0.25">
      <c r="A32" s="36" t="str">
        <f>INDEX('Base de données Mono'!C:C,MATCH(B32,'Base de données Mono'!D:D,0))</f>
        <v>MULHOUSE</v>
      </c>
      <c r="B32" t="s">
        <v>184</v>
      </c>
      <c r="C32" s="36" t="str">
        <f>INDEX('Base de données Mono'!B:B,MATCH(B32,'Base de données Mono'!D:D,0))</f>
        <v>SES8</v>
      </c>
      <c r="D32" s="36" t="str">
        <f>INDEX('Base de données Mono'!A:A,MATCH(B32,'Base de données Mono'!D:D,0))</f>
        <v>JG</v>
      </c>
      <c r="E32" s="37" t="s">
        <v>303</v>
      </c>
      <c r="F32" s="41">
        <f t="shared" si="0"/>
        <v>13</v>
      </c>
      <c r="G32" s="41">
        <f t="shared" si="1"/>
        <v>3</v>
      </c>
      <c r="H32">
        <v>8</v>
      </c>
      <c r="I32" s="131">
        <f>INDEX('Base de données Mono'!K:K,MATCH(B32,'Base de données Mono'!D:D,0))</f>
        <v>0.24305555555555555</v>
      </c>
      <c r="J32" s="131">
        <f>INDEX('Base de données Mono'!L:L,MATCH(B32,'Base de données Mono'!D:D,0))</f>
        <v>0.84375</v>
      </c>
      <c r="K32" s="131" t="str">
        <f>INDEX('Base de données Mono'!M:M,MATCH(B32,'Base de données Mono'!D:D,0))</f>
        <v>-</v>
      </c>
      <c r="L32" s="131" t="str">
        <f>INDEX('Base de données Mono'!N:N,MATCH(B32,'Base de données Mono'!D:D,0))</f>
        <v>-</v>
      </c>
      <c r="M32" s="33" t="s">
        <v>811</v>
      </c>
      <c r="N32" s="33">
        <f>IF(AND(E32="Electricité",M32="Hiver"),INDEX('Base de données Mono'!E:E,MATCH(B32,'Base de données Mono'!D:D,0)),IF(AND(E32="Electricité",M32="Mi-saison"),INDEX('Base de données Mono'!F:F,MATCH(B32,'Base de données Mono'!D:D,0)),IF(AND(E32="Electricité",M32="Eté"),INDEX('Base de données Mono'!G:G,MATCH(B32,'Base de données Mono'!D:D,0)),IF(AND(E32="Gaz",M32="Hiver"),INDEX('Base de données Mono'!J:J,MATCH(B32,'Base de données Mono'!D:D,0)),IF(AND(E32="Gaz",M32="Mi-saison"),INDEX('Base de données Mono'!#REF!,MATCH(B32,'Base de données Mono'!D:D,0)),IF(AND(E32="Gaz",M32="Eté"),INDEX('Base de données Mono'!#REF!,MATCH(B32,'Base de données Mono'!D:D,0)),"-"))))))</f>
        <v>45</v>
      </c>
      <c r="O32" s="123">
        <v>45376</v>
      </c>
      <c r="P32" s="123">
        <v>45382</v>
      </c>
      <c r="Q32" s="164">
        <v>50</v>
      </c>
      <c r="R32" s="33">
        <f t="shared" si="2"/>
        <v>5</v>
      </c>
      <c r="S32" s="164">
        <v>5</v>
      </c>
      <c r="T32" s="34">
        <f t="shared" si="5"/>
        <v>6</v>
      </c>
      <c r="U32" s="33">
        <f t="shared" si="3"/>
        <v>150</v>
      </c>
      <c r="V32" s="38" t="s">
        <v>148</v>
      </c>
      <c r="W32" s="39">
        <f t="shared" si="4"/>
        <v>0.1111111111111111</v>
      </c>
      <c r="X32" s="40" t="s">
        <v>304</v>
      </c>
      <c r="Y32" s="40" t="s">
        <v>284</v>
      </c>
      <c r="Z32" s="40" t="s">
        <v>305</v>
      </c>
      <c r="AA32" s="33" t="s">
        <v>771</v>
      </c>
      <c r="AB32" s="95"/>
      <c r="AC32" s="95"/>
    </row>
    <row r="33" spans="1:29" ht="14.45" hidden="1" customHeight="1" x14ac:dyDescent="0.25">
      <c r="A33" s="36" t="str">
        <f>INDEX('Base de données Mono'!C:C,MATCH(B33,'Base de données Mono'!D:D,0))</f>
        <v>CROIX ROUSSE</v>
      </c>
      <c r="B33" t="s">
        <v>116</v>
      </c>
      <c r="C33" s="36" t="str">
        <f>INDEX('Base de données Mono'!B:B,MATCH(B33,'Base de données Mono'!D:D,0))</f>
        <v>SES8</v>
      </c>
      <c r="D33" s="36" t="str">
        <f>INDEX('Base de données Mono'!A:A,MATCH(B33,'Base de données Mono'!D:D,0))</f>
        <v>JG</v>
      </c>
      <c r="E33" s="37" t="s">
        <v>303</v>
      </c>
      <c r="F33" s="41">
        <f t="shared" si="0"/>
        <v>13</v>
      </c>
      <c r="G33" s="41">
        <f t="shared" si="1"/>
        <v>3</v>
      </c>
      <c r="H33">
        <v>8</v>
      </c>
      <c r="I33" s="131">
        <f>INDEX('Base de données Mono'!K:K,MATCH(B33,'Base de données Mono'!D:D,0))</f>
        <v>0.20486111111111113</v>
      </c>
      <c r="J33" s="131">
        <f>INDEX('Base de données Mono'!L:L,MATCH(B33,'Base de données Mono'!D:D,0))</f>
        <v>0.89583333333333337</v>
      </c>
      <c r="K33" s="131">
        <f>INDEX('Base de données Mono'!M:M,MATCH(B33,'Base de données Mono'!D:D,0))</f>
        <v>0.29166666666666669</v>
      </c>
      <c r="L33" s="131">
        <f>INDEX('Base de données Mono'!N:N,MATCH(B33,'Base de données Mono'!D:D,0))</f>
        <v>0.5625</v>
      </c>
      <c r="M33" s="33" t="s">
        <v>811</v>
      </c>
      <c r="N33" s="33">
        <f>IF(AND(E33="Electricité",M33="Hiver"),INDEX('Base de données Mono'!E:E,MATCH(B33,'Base de données Mono'!D:D,0)),IF(AND(E33="Electricité",M33="Mi-saison"),INDEX('Base de données Mono'!F:F,MATCH(B33,'Base de données Mono'!D:D,0)),IF(AND(E33="Electricité",M33="Eté"),INDEX('Base de données Mono'!G:G,MATCH(B33,'Base de données Mono'!D:D,0)),IF(AND(E33="Gaz",M33="Hiver"),INDEX('Base de données Mono'!J:J,MATCH(B33,'Base de données Mono'!D:D,0)),IF(AND(E33="Gaz",M33="Mi-saison"),INDEX('Base de données Mono'!#REF!,MATCH(B33,'Base de données Mono'!D:D,0)),IF(AND(E33="Gaz",M33="Eté"),INDEX('Base de données Mono'!#REF!,MATCH(B33,'Base de données Mono'!D:D,0)),"-"))))))</f>
        <v>80</v>
      </c>
      <c r="O33" s="123">
        <v>45375</v>
      </c>
      <c r="P33" s="123">
        <v>45381</v>
      </c>
      <c r="Q33" s="34">
        <v>105</v>
      </c>
      <c r="R33" s="33">
        <f t="shared" si="2"/>
        <v>25</v>
      </c>
      <c r="S33" s="34">
        <v>0.5</v>
      </c>
      <c r="T33" s="34">
        <f t="shared" si="5"/>
        <v>6</v>
      </c>
      <c r="U33" s="33">
        <f t="shared" si="3"/>
        <v>75</v>
      </c>
      <c r="V33" s="38" t="s">
        <v>148</v>
      </c>
      <c r="W33" s="39">
        <f t="shared" si="4"/>
        <v>0.3125</v>
      </c>
      <c r="X33" s="40" t="s">
        <v>304</v>
      </c>
      <c r="Y33" s="40" t="s">
        <v>284</v>
      </c>
      <c r="Z33" s="40" t="s">
        <v>307</v>
      </c>
      <c r="AA33" s="33" t="s">
        <v>414</v>
      </c>
      <c r="AB33" s="95"/>
      <c r="AC33" s="95"/>
    </row>
    <row r="34" spans="1:29" ht="14.45" hidden="1" customHeight="1" x14ac:dyDescent="0.25">
      <c r="A34" s="36" t="str">
        <f>INDEX('Base de données Mono'!C:C,MATCH(B34,'Base de données Mono'!D:D,0))</f>
        <v>MONTPELLIER COMEDIE</v>
      </c>
      <c r="B34" t="s">
        <v>179</v>
      </c>
      <c r="C34" s="36" t="str">
        <f>INDEX('Base de données Mono'!B:B,MATCH(B34,'Base de données Mono'!D:D,0))</f>
        <v>SES8</v>
      </c>
      <c r="D34" s="36" t="str">
        <f>INDEX('Base de données Mono'!A:A,MATCH(B34,'Base de données Mono'!D:D,0))</f>
        <v>AD</v>
      </c>
      <c r="E34" s="37" t="s">
        <v>303</v>
      </c>
      <c r="F34" s="41">
        <f t="shared" si="0"/>
        <v>13</v>
      </c>
      <c r="G34" s="41">
        <f t="shared" si="1"/>
        <v>3</v>
      </c>
      <c r="H34">
        <v>8</v>
      </c>
      <c r="I34" s="131">
        <f>INDEX('Base de données Mono'!K:K,MATCH(B34,'Base de données Mono'!D:D,0))</f>
        <v>0.1875</v>
      </c>
      <c r="J34" s="131">
        <f>INDEX('Base de données Mono'!L:L,MATCH(B34,'Base de données Mono'!D:D,0))</f>
        <v>0.91666666666666663</v>
      </c>
      <c r="K34" s="131">
        <f>INDEX('Base de données Mono'!M:M,MATCH(B34,'Base de données Mono'!D:D,0))</f>
        <v>0.29166666666666669</v>
      </c>
      <c r="L34" s="131">
        <f>INDEX('Base de données Mono'!N:N,MATCH(B34,'Base de données Mono'!D:D,0))</f>
        <v>0.54166666666666663</v>
      </c>
      <c r="M34" s="33" t="s">
        <v>811</v>
      </c>
      <c r="N34" s="33">
        <f>IF(AND(E34="Electricité",M34="Hiver"),INDEX('Base de données Mono'!E:E,MATCH(B34,'Base de données Mono'!D:D,0)),IF(AND(E34="Electricité",M34="Mi-saison"),INDEX('Base de données Mono'!F:F,MATCH(B34,'Base de données Mono'!D:D,0)),IF(AND(E34="Electricité",M34="Eté"),INDEX('Base de données Mono'!G:G,MATCH(B34,'Base de données Mono'!D:D,0)),IF(AND(E34="Gaz",M34="Hiver"),INDEX('Base de données Mono'!J:J,MATCH(B34,'Base de données Mono'!D:D,0)),IF(AND(E34="Gaz",M34="Mi-saison"),INDEX('Base de données Mono'!#REF!,MATCH(B34,'Base de données Mono'!D:D,0)),IF(AND(E34="Gaz",M34="Eté"),INDEX('Base de données Mono'!#REF!,MATCH(B34,'Base de données Mono'!D:D,0)),"-"))))))</f>
        <v>60</v>
      </c>
      <c r="O34" s="123">
        <v>45375</v>
      </c>
      <c r="P34" s="123">
        <v>45376</v>
      </c>
      <c r="Q34" s="34">
        <v>65</v>
      </c>
      <c r="R34" s="33">
        <f t="shared" si="2"/>
        <v>5</v>
      </c>
      <c r="S34" s="34">
        <v>6.5</v>
      </c>
      <c r="T34" s="34">
        <f t="shared" si="5"/>
        <v>1</v>
      </c>
      <c r="U34" s="33">
        <f t="shared" si="3"/>
        <v>32.5</v>
      </c>
      <c r="V34" s="38" t="s">
        <v>148</v>
      </c>
      <c r="W34" s="39">
        <f t="shared" si="4"/>
        <v>8.3333333333333329E-2</v>
      </c>
      <c r="X34" s="40" t="s">
        <v>304</v>
      </c>
      <c r="Y34" s="40" t="s">
        <v>284</v>
      </c>
      <c r="Z34" s="40" t="s">
        <v>305</v>
      </c>
      <c r="AA34" s="33" t="s">
        <v>771</v>
      </c>
      <c r="AB34" s="95"/>
      <c r="AC34" s="95"/>
    </row>
    <row r="35" spans="1:29" ht="14.45" hidden="1" customHeight="1" x14ac:dyDescent="0.25">
      <c r="A35" s="36" t="str">
        <f>INDEX('Base de données Mono'!C:C,MATCH(B35,'Base de données Mono'!D:D,0))</f>
        <v>MONTPELLIER COMEDIE</v>
      </c>
      <c r="B35" t="s">
        <v>179</v>
      </c>
      <c r="C35" s="36" t="str">
        <f>INDEX('Base de données Mono'!B:B,MATCH(B35,'Base de données Mono'!D:D,0))</f>
        <v>SES8</v>
      </c>
      <c r="D35" s="36" t="str">
        <f>INDEX('Base de données Mono'!A:A,MATCH(B35,'Base de données Mono'!D:D,0))</f>
        <v>AD</v>
      </c>
      <c r="E35" s="37" t="s">
        <v>303</v>
      </c>
      <c r="F35" s="41">
        <f t="shared" si="0"/>
        <v>13</v>
      </c>
      <c r="G35" s="41">
        <f t="shared" si="1"/>
        <v>3</v>
      </c>
      <c r="H35">
        <v>9.5</v>
      </c>
      <c r="I35" s="131">
        <f>INDEX('Base de données Mono'!K:K,MATCH(B35,'Base de données Mono'!D:D,0))</f>
        <v>0.1875</v>
      </c>
      <c r="J35" s="131">
        <f>INDEX('Base de données Mono'!L:L,MATCH(B35,'Base de données Mono'!D:D,0))</f>
        <v>0.91666666666666663</v>
      </c>
      <c r="K35" s="131">
        <f>INDEX('Base de données Mono'!M:M,MATCH(B35,'Base de données Mono'!D:D,0))</f>
        <v>0.29166666666666669</v>
      </c>
      <c r="L35" s="131">
        <f>INDEX('Base de données Mono'!N:N,MATCH(B35,'Base de données Mono'!D:D,0))</f>
        <v>0.54166666666666663</v>
      </c>
      <c r="M35" s="33" t="s">
        <v>811</v>
      </c>
      <c r="N35" s="33">
        <f>IF(AND(E35="Electricité",M35="Hiver"),INDEX('Base de données Mono'!E:E,MATCH(B35,'Base de données Mono'!D:D,0)),IF(AND(E35="Electricité",M35="Mi-saison"),INDEX('Base de données Mono'!F:F,MATCH(B35,'Base de données Mono'!D:D,0)),IF(AND(E35="Electricité",M35="Eté"),INDEX('Base de données Mono'!G:G,MATCH(B35,'Base de données Mono'!D:D,0)),IF(AND(E35="Gaz",M35="Hiver"),INDEX('Base de données Mono'!J:J,MATCH(B35,'Base de données Mono'!D:D,0)),IF(AND(E35="Gaz",M35="Mi-saison"),INDEX('Base de données Mono'!#REF!,MATCH(B35,'Base de données Mono'!D:D,0)),IF(AND(E35="Gaz",M35="Eté"),INDEX('Base de données Mono'!#REF!,MATCH(B35,'Base de données Mono'!D:D,0)),"-"))))))</f>
        <v>60</v>
      </c>
      <c r="O35" s="123">
        <v>45376</v>
      </c>
      <c r="P35" s="123">
        <v>45381</v>
      </c>
      <c r="Q35" s="34">
        <v>110</v>
      </c>
      <c r="R35" s="33">
        <f t="shared" si="2"/>
        <v>50</v>
      </c>
      <c r="S35" s="34">
        <v>0.3</v>
      </c>
      <c r="T35" s="34">
        <f t="shared" si="5"/>
        <v>5</v>
      </c>
      <c r="U35" s="33">
        <f t="shared" si="3"/>
        <v>75</v>
      </c>
      <c r="V35" s="38" t="s">
        <v>148</v>
      </c>
      <c r="W35" s="39">
        <f t="shared" si="4"/>
        <v>0.83333333333333337</v>
      </c>
      <c r="X35" s="40" t="s">
        <v>304</v>
      </c>
      <c r="Y35" s="40" t="s">
        <v>284</v>
      </c>
      <c r="Z35" s="40" t="s">
        <v>307</v>
      </c>
      <c r="AA35" s="33" t="s">
        <v>414</v>
      </c>
      <c r="AB35" s="95"/>
      <c r="AC35" s="95"/>
    </row>
    <row r="36" spans="1:29" ht="14.45" hidden="1" customHeight="1" x14ac:dyDescent="0.25">
      <c r="A36" s="36" t="str">
        <f>INDEX('Base de données Mono'!C:C,MATCH(B36,'Base de données Mono'!D:D,0))</f>
        <v>MONTPELLIER COMEDIE</v>
      </c>
      <c r="B36" t="s">
        <v>179</v>
      </c>
      <c r="C36" s="36" t="str">
        <f>INDEX('Base de données Mono'!B:B,MATCH(B36,'Base de données Mono'!D:D,0))</f>
        <v>SES8</v>
      </c>
      <c r="D36" s="36" t="str">
        <f>INDEX('Base de données Mono'!A:A,MATCH(B36,'Base de données Mono'!D:D,0))</f>
        <v>AD</v>
      </c>
      <c r="E36" s="37" t="s">
        <v>303</v>
      </c>
      <c r="F36" s="41">
        <f t="shared" si="0"/>
        <v>13</v>
      </c>
      <c r="G36" s="41">
        <f t="shared" si="1"/>
        <v>3</v>
      </c>
      <c r="H36">
        <v>9.5</v>
      </c>
      <c r="I36" s="131">
        <f>INDEX('Base de données Mono'!K:K,MATCH(B36,'Base de données Mono'!D:D,0))</f>
        <v>0.1875</v>
      </c>
      <c r="J36" s="131">
        <f>INDEX('Base de données Mono'!L:L,MATCH(B36,'Base de données Mono'!D:D,0))</f>
        <v>0.91666666666666663</v>
      </c>
      <c r="K36" s="131">
        <f>INDEX('Base de données Mono'!M:M,MATCH(B36,'Base de données Mono'!D:D,0))</f>
        <v>0.29166666666666669</v>
      </c>
      <c r="L36" s="131">
        <f>INDEX('Base de données Mono'!N:N,MATCH(B36,'Base de données Mono'!D:D,0))</f>
        <v>0.54166666666666663</v>
      </c>
      <c r="M36" s="33" t="s">
        <v>811</v>
      </c>
      <c r="N36" s="33">
        <f>IF(AND(E36="Electricité",M36="Hiver"),INDEX('Base de données Mono'!E:E,MATCH(B36,'Base de données Mono'!D:D,0)),IF(AND(E36="Electricité",M36="Mi-saison"),INDEX('Base de données Mono'!F:F,MATCH(B36,'Base de données Mono'!D:D,0)),IF(AND(E36="Electricité",M36="Eté"),INDEX('Base de données Mono'!G:G,MATCH(B36,'Base de données Mono'!D:D,0)),IF(AND(E36="Gaz",M36="Hiver"),INDEX('Base de données Mono'!J:J,MATCH(B36,'Base de données Mono'!D:D,0)),IF(AND(E36="Gaz",M36="Mi-saison"),INDEX('Base de données Mono'!#REF!,MATCH(B36,'Base de données Mono'!D:D,0)),IF(AND(E36="Gaz",M36="Eté"),INDEX('Base de données Mono'!#REF!,MATCH(B36,'Base de données Mono'!D:D,0)),"-"))))))</f>
        <v>60</v>
      </c>
      <c r="O36" s="123">
        <v>45376</v>
      </c>
      <c r="P36" s="123">
        <v>45381</v>
      </c>
      <c r="Q36" s="34">
        <v>70</v>
      </c>
      <c r="R36" s="33">
        <f t="shared" si="2"/>
        <v>10</v>
      </c>
      <c r="S36" s="34">
        <v>6.2</v>
      </c>
      <c r="T36" s="34">
        <f t="shared" si="5"/>
        <v>5</v>
      </c>
      <c r="U36" s="33">
        <f t="shared" si="3"/>
        <v>310</v>
      </c>
      <c r="V36" s="38" t="s">
        <v>148</v>
      </c>
      <c r="W36" s="39">
        <f t="shared" si="4"/>
        <v>0.16666666666666666</v>
      </c>
      <c r="X36" s="40" t="s">
        <v>304</v>
      </c>
      <c r="Y36" s="40" t="s">
        <v>284</v>
      </c>
      <c r="Z36" s="40" t="s">
        <v>305</v>
      </c>
      <c r="AA36" s="33" t="s">
        <v>771</v>
      </c>
      <c r="AB36" s="95"/>
      <c r="AC36" s="95"/>
    </row>
    <row r="37" spans="1:29" ht="14.45" hidden="1" customHeight="1" x14ac:dyDescent="0.25">
      <c r="A37" s="36" t="str">
        <f>INDEX('Base de données Mono'!C:C,MATCH(B37,'Base de données Mono'!D:D,0))</f>
        <v>MONTPELLIER COMEDIE</v>
      </c>
      <c r="B37" t="s">
        <v>179</v>
      </c>
      <c r="C37" s="36" t="str">
        <f>INDEX('Base de données Mono'!B:B,MATCH(B37,'Base de données Mono'!D:D,0))</f>
        <v>SES8</v>
      </c>
      <c r="D37" s="36" t="str">
        <f>INDEX('Base de données Mono'!A:A,MATCH(B37,'Base de données Mono'!D:D,0))</f>
        <v>AD</v>
      </c>
      <c r="E37" s="37" t="s">
        <v>303</v>
      </c>
      <c r="F37" s="41">
        <f t="shared" si="0"/>
        <v>13</v>
      </c>
      <c r="G37" s="41">
        <f t="shared" si="1"/>
        <v>3</v>
      </c>
      <c r="H37">
        <v>9.5</v>
      </c>
      <c r="I37" s="131">
        <f>INDEX('Base de données Mono'!K:K,MATCH(B37,'Base de données Mono'!D:D,0))</f>
        <v>0.1875</v>
      </c>
      <c r="J37" s="131">
        <f>INDEX('Base de données Mono'!L:L,MATCH(B37,'Base de données Mono'!D:D,0))</f>
        <v>0.91666666666666663</v>
      </c>
      <c r="K37" s="131">
        <f>INDEX('Base de données Mono'!M:M,MATCH(B37,'Base de données Mono'!D:D,0))</f>
        <v>0.29166666666666669</v>
      </c>
      <c r="L37" s="131">
        <f>INDEX('Base de données Mono'!N:N,MATCH(B37,'Base de données Mono'!D:D,0))</f>
        <v>0.54166666666666663</v>
      </c>
      <c r="M37" s="33" t="s">
        <v>811</v>
      </c>
      <c r="N37" s="33">
        <f>IF(AND(E37="Electricité",M37="Hiver"),INDEX('Base de données Mono'!E:E,MATCH(B37,'Base de données Mono'!D:D,0)),IF(AND(E37="Electricité",M37="Mi-saison"),INDEX('Base de données Mono'!F:F,MATCH(B37,'Base de données Mono'!D:D,0)),IF(AND(E37="Electricité",M37="Eté"),INDEX('Base de données Mono'!G:G,MATCH(B37,'Base de données Mono'!D:D,0)),IF(AND(E37="Gaz",M37="Hiver"),INDEX('Base de données Mono'!J:J,MATCH(B37,'Base de données Mono'!D:D,0)),IF(AND(E37="Gaz",M37="Mi-saison"),INDEX('Base de données Mono'!#REF!,MATCH(B37,'Base de données Mono'!D:D,0)),IF(AND(E37="Gaz",M37="Eté"),INDEX('Base de données Mono'!#REF!,MATCH(B37,'Base de données Mono'!D:D,0)),"-"))))))</f>
        <v>60</v>
      </c>
      <c r="O37" s="123">
        <v>45381</v>
      </c>
      <c r="P37" s="123">
        <v>45382</v>
      </c>
      <c r="Q37" s="34">
        <v>65</v>
      </c>
      <c r="R37" s="33">
        <f t="shared" si="2"/>
        <v>5</v>
      </c>
      <c r="S37" s="34">
        <v>9</v>
      </c>
      <c r="T37" s="34">
        <f t="shared" si="5"/>
        <v>1</v>
      </c>
      <c r="U37" s="33">
        <f t="shared" si="3"/>
        <v>45</v>
      </c>
      <c r="V37" s="38" t="s">
        <v>148</v>
      </c>
      <c r="W37" s="39">
        <f t="shared" si="4"/>
        <v>8.3333333333333329E-2</v>
      </c>
      <c r="X37" s="40" t="s">
        <v>304</v>
      </c>
      <c r="Y37" s="40" t="s">
        <v>284</v>
      </c>
      <c r="Z37" s="40" t="s">
        <v>305</v>
      </c>
      <c r="AA37" s="33" t="s">
        <v>771</v>
      </c>
      <c r="AB37" s="95"/>
      <c r="AC37" s="95"/>
    </row>
    <row r="38" spans="1:29" ht="14.45" hidden="1" customHeight="1" x14ac:dyDescent="0.25">
      <c r="A38" s="36" t="str">
        <f>INDEX('Base de données Mono'!C:C,MATCH(B38,'Base de données Mono'!D:D,0))</f>
        <v>VILLEJUIF</v>
      </c>
      <c r="B38" t="s">
        <v>273</v>
      </c>
      <c r="C38" s="36" t="str">
        <f>INDEX('Base de données Mono'!B:B,MATCH(B38,'Base de données Mono'!D:D,0))</f>
        <v>SES8</v>
      </c>
      <c r="D38" s="36" t="str">
        <f>INDEX('Base de données Mono'!A:A,MATCH(B38,'Base de données Mono'!D:D,0))</f>
        <v>JG</v>
      </c>
      <c r="E38" s="37" t="s">
        <v>303</v>
      </c>
      <c r="F38" s="41">
        <f t="shared" si="0"/>
        <v>13</v>
      </c>
      <c r="G38" s="41">
        <f t="shared" si="1"/>
        <v>3</v>
      </c>
      <c r="H38">
        <v>9.5</v>
      </c>
      <c r="I38" s="131">
        <f>INDEX('Base de données Mono'!K:K,MATCH(B38,'Base de données Mono'!D:D,0))</f>
        <v>0.23611111111111113</v>
      </c>
      <c r="J38" s="131">
        <f>INDEX('Base de données Mono'!L:L,MATCH(B38,'Base de données Mono'!D:D,0))</f>
        <v>0.85416666666666663</v>
      </c>
      <c r="K38" s="131">
        <f>INDEX('Base de données Mono'!M:M,MATCH(B38,'Base de données Mono'!D:D,0))</f>
        <v>0.31944444444444448</v>
      </c>
      <c r="L38" s="131">
        <f>INDEX('Base de données Mono'!N:N,MATCH(B38,'Base de données Mono'!D:D,0))</f>
        <v>0.55208333333333337</v>
      </c>
      <c r="M38" s="33" t="s">
        <v>811</v>
      </c>
      <c r="N38" s="33">
        <f>IF(AND(E38="Electricité",M38="Hiver"),INDEX('Base de données Mono'!E:E,MATCH(B38,'Base de données Mono'!D:D,0)),IF(AND(E38="Electricité",M38="Mi-saison"),INDEX('Base de données Mono'!F:F,MATCH(B38,'Base de données Mono'!D:D,0)),IF(AND(E38="Electricité",M38="Eté"),INDEX('Base de données Mono'!G:G,MATCH(B38,'Base de données Mono'!D:D,0)),IF(AND(E38="Gaz",M38="Hiver"),INDEX('Base de données Mono'!J:J,MATCH(B38,'Base de données Mono'!D:D,0)),IF(AND(E38="Gaz",M38="Mi-saison"),INDEX('Base de données Mono'!#REF!,MATCH(B38,'Base de données Mono'!D:D,0)),IF(AND(E38="Gaz",M38="Eté"),INDEX('Base de données Mono'!#REF!,MATCH(B38,'Base de données Mono'!D:D,0)),"-"))))))</f>
        <v>45</v>
      </c>
      <c r="O38" s="123">
        <v>45375</v>
      </c>
      <c r="P38" s="123">
        <v>45382</v>
      </c>
      <c r="Q38" s="34">
        <v>50</v>
      </c>
      <c r="R38" s="33">
        <f t="shared" si="2"/>
        <v>5</v>
      </c>
      <c r="S38" s="34">
        <v>3</v>
      </c>
      <c r="T38" s="34">
        <f t="shared" si="5"/>
        <v>7</v>
      </c>
      <c r="U38" s="33">
        <f t="shared" si="3"/>
        <v>105</v>
      </c>
      <c r="V38" s="38" t="s">
        <v>148</v>
      </c>
      <c r="W38" s="39">
        <f t="shared" si="4"/>
        <v>0.1111111111111111</v>
      </c>
      <c r="X38" s="40" t="s">
        <v>304</v>
      </c>
      <c r="Y38" s="40" t="s">
        <v>284</v>
      </c>
      <c r="Z38" s="40" t="s">
        <v>305</v>
      </c>
      <c r="AA38" s="33" t="s">
        <v>771</v>
      </c>
      <c r="AB38" s="95"/>
      <c r="AC38" s="95"/>
    </row>
    <row r="39" spans="1:29" ht="14.45" hidden="1" customHeight="1" x14ac:dyDescent="0.25">
      <c r="A39" s="36" t="str">
        <f>INDEX('Base de données Mono'!C:C,MATCH(B39,'Base de données Mono'!D:D,0))</f>
        <v>VILLEJUIF</v>
      </c>
      <c r="B39" t="s">
        <v>273</v>
      </c>
      <c r="C39" s="36" t="str">
        <f>INDEX('Base de données Mono'!B:B,MATCH(B39,'Base de données Mono'!D:D,0))</f>
        <v>SES8</v>
      </c>
      <c r="D39" s="36" t="str">
        <f>INDEX('Base de données Mono'!A:A,MATCH(B39,'Base de données Mono'!D:D,0))</f>
        <v>JG</v>
      </c>
      <c r="E39" s="37" t="s">
        <v>303</v>
      </c>
      <c r="F39" s="41">
        <f t="shared" si="0"/>
        <v>13</v>
      </c>
      <c r="G39" s="41">
        <f t="shared" si="1"/>
        <v>3</v>
      </c>
      <c r="H39">
        <v>9.5</v>
      </c>
      <c r="I39" s="131">
        <f>INDEX('Base de données Mono'!K:K,MATCH(B39,'Base de données Mono'!D:D,0))</f>
        <v>0.23611111111111113</v>
      </c>
      <c r="J39" s="131">
        <f>INDEX('Base de données Mono'!L:L,MATCH(B39,'Base de données Mono'!D:D,0))</f>
        <v>0.85416666666666663</v>
      </c>
      <c r="K39" s="131">
        <f>INDEX('Base de données Mono'!M:M,MATCH(B39,'Base de données Mono'!D:D,0))</f>
        <v>0.31944444444444448</v>
      </c>
      <c r="L39" s="131">
        <f>INDEX('Base de données Mono'!N:N,MATCH(B39,'Base de données Mono'!D:D,0))</f>
        <v>0.55208333333333337</v>
      </c>
      <c r="M39" s="33" t="s">
        <v>811</v>
      </c>
      <c r="N39" s="33">
        <f>IF(AND(E39="Electricité",M39="Hiver"),INDEX('Base de données Mono'!E:E,MATCH(B39,'Base de données Mono'!D:D,0)),IF(AND(E39="Electricité",M39="Mi-saison"),INDEX('Base de données Mono'!F:F,MATCH(B39,'Base de données Mono'!D:D,0)),IF(AND(E39="Electricité",M39="Eté"),INDEX('Base de données Mono'!G:G,MATCH(B39,'Base de données Mono'!D:D,0)),IF(AND(E39="Gaz",M39="Hiver"),INDEX('Base de données Mono'!J:J,MATCH(B39,'Base de données Mono'!D:D,0)),IF(AND(E39="Gaz",M39="Mi-saison"),INDEX('Base de données Mono'!#REF!,MATCH(B39,'Base de données Mono'!D:D,0)),IF(AND(E39="Gaz",M39="Eté"),INDEX('Base de données Mono'!#REF!,MATCH(B39,'Base de données Mono'!D:D,0)),"-"))))))</f>
        <v>45</v>
      </c>
      <c r="O39" s="123">
        <v>45376</v>
      </c>
      <c r="P39" s="123">
        <v>45382</v>
      </c>
      <c r="Q39" s="34">
        <v>80</v>
      </c>
      <c r="R39" s="33">
        <f t="shared" si="2"/>
        <v>35</v>
      </c>
      <c r="S39" s="34">
        <v>0.3</v>
      </c>
      <c r="T39" s="34">
        <f t="shared" si="5"/>
        <v>6</v>
      </c>
      <c r="U39" s="33">
        <f t="shared" si="3"/>
        <v>63</v>
      </c>
      <c r="V39" s="38" t="s">
        <v>148</v>
      </c>
      <c r="W39" s="39">
        <f t="shared" si="4"/>
        <v>0.77777777777777779</v>
      </c>
      <c r="X39" s="40" t="s">
        <v>304</v>
      </c>
      <c r="Y39" s="40" t="s">
        <v>284</v>
      </c>
      <c r="Z39" s="40" t="s">
        <v>307</v>
      </c>
      <c r="AA39" s="33" t="s">
        <v>313</v>
      </c>
      <c r="AB39" s="95"/>
      <c r="AC39" s="95"/>
    </row>
    <row r="40" spans="1:29" ht="14.45" hidden="1" customHeight="1" x14ac:dyDescent="0.25">
      <c r="A40" s="36" t="str">
        <f>INDEX('Base de données Mono'!C:C,MATCH(B40,'Base de données Mono'!D:D,0))</f>
        <v>VILLEJUIF</v>
      </c>
      <c r="B40" t="s">
        <v>273</v>
      </c>
      <c r="C40" s="36" t="str">
        <f>INDEX('Base de données Mono'!B:B,MATCH(B40,'Base de données Mono'!D:D,0))</f>
        <v>SES8</v>
      </c>
      <c r="D40" s="36" t="str">
        <f>INDEX('Base de données Mono'!A:A,MATCH(B40,'Base de données Mono'!D:D,0))</f>
        <v>JG</v>
      </c>
      <c r="E40" s="37" t="s">
        <v>303</v>
      </c>
      <c r="F40" s="41">
        <f t="shared" si="0"/>
        <v>13</v>
      </c>
      <c r="G40" s="41">
        <f t="shared" si="1"/>
        <v>3</v>
      </c>
      <c r="H40">
        <v>9.5</v>
      </c>
      <c r="I40" s="131">
        <f>INDEX('Base de données Mono'!K:K,MATCH(B40,'Base de données Mono'!D:D,0))</f>
        <v>0.23611111111111113</v>
      </c>
      <c r="J40" s="131">
        <f>INDEX('Base de données Mono'!L:L,MATCH(B40,'Base de données Mono'!D:D,0))</f>
        <v>0.85416666666666663</v>
      </c>
      <c r="K40" s="131">
        <f>INDEX('Base de données Mono'!M:M,MATCH(B40,'Base de données Mono'!D:D,0))</f>
        <v>0.31944444444444448</v>
      </c>
      <c r="L40" s="131">
        <f>INDEX('Base de données Mono'!N:N,MATCH(B40,'Base de données Mono'!D:D,0))</f>
        <v>0.55208333333333337</v>
      </c>
      <c r="M40" s="33" t="s">
        <v>811</v>
      </c>
      <c r="N40" s="33">
        <f>IF(AND(E40="Electricité",M40="Hiver"),INDEX('Base de données Mono'!E:E,MATCH(B40,'Base de données Mono'!D:D,0)),IF(AND(E40="Electricité",M40="Mi-saison"),INDEX('Base de données Mono'!F:F,MATCH(B40,'Base de données Mono'!D:D,0)),IF(AND(E40="Electricité",M40="Eté"),INDEX('Base de données Mono'!G:G,MATCH(B40,'Base de données Mono'!D:D,0)),IF(AND(E40="Gaz",M40="Hiver"),INDEX('Base de données Mono'!J:J,MATCH(B40,'Base de données Mono'!D:D,0)),IF(AND(E40="Gaz",M40="Mi-saison"),INDEX('Base de données Mono'!#REF!,MATCH(B40,'Base de données Mono'!D:D,0)),IF(AND(E40="Gaz",M40="Eté"),INDEX('Base de données Mono'!#REF!,MATCH(B40,'Base de données Mono'!D:D,0)),"-"))))))</f>
        <v>45</v>
      </c>
      <c r="O40" s="123">
        <v>45381</v>
      </c>
      <c r="P40" s="123">
        <v>45382</v>
      </c>
      <c r="Q40" s="34">
        <v>60</v>
      </c>
      <c r="R40" s="33">
        <f t="shared" si="2"/>
        <v>15</v>
      </c>
      <c r="S40" s="34">
        <v>2</v>
      </c>
      <c r="T40" s="34">
        <f t="shared" si="5"/>
        <v>1</v>
      </c>
      <c r="U40" s="33">
        <f t="shared" si="3"/>
        <v>30</v>
      </c>
      <c r="V40" s="38" t="s">
        <v>148</v>
      </c>
      <c r="W40" s="39">
        <f t="shared" si="4"/>
        <v>0.33333333333333331</v>
      </c>
      <c r="X40" s="40" t="s">
        <v>304</v>
      </c>
      <c r="Y40" s="40" t="s">
        <v>284</v>
      </c>
      <c r="Z40" s="40" t="s">
        <v>305</v>
      </c>
      <c r="AA40" s="33" t="s">
        <v>771</v>
      </c>
      <c r="AB40" s="95"/>
      <c r="AC40" s="95"/>
    </row>
    <row r="41" spans="1:29" ht="14.45" hidden="1" customHeight="1" x14ac:dyDescent="0.25">
      <c r="A41" s="36" t="str">
        <f>INDEX('Base de données Mono'!C:C,MATCH(B41,'Base de données Mono'!D:D,0))</f>
        <v>BOULOGNE SEMBAT</v>
      </c>
      <c r="B41" t="s">
        <v>8</v>
      </c>
      <c r="C41" s="36" t="str">
        <f>INDEX('Base de données Mono'!B:B,MATCH(B41,'Base de données Mono'!D:D,0))</f>
        <v>SES8</v>
      </c>
      <c r="D41" s="36" t="str">
        <f>INDEX('Base de données Mono'!A:A,MATCH(B41,'Base de données Mono'!D:D,0))</f>
        <v>AD</v>
      </c>
      <c r="E41" s="37" t="s">
        <v>303</v>
      </c>
      <c r="F41" s="41">
        <f t="shared" si="0"/>
        <v>13</v>
      </c>
      <c r="G41" s="41">
        <f t="shared" si="1"/>
        <v>3</v>
      </c>
      <c r="H41">
        <v>9.5</v>
      </c>
      <c r="I41" s="131">
        <f>INDEX('Base de données Mono'!K:K,MATCH(B41,'Base de données Mono'!D:D,0))</f>
        <v>0.20138888888888887</v>
      </c>
      <c r="J41" s="131">
        <f>INDEX('Base de données Mono'!L:L,MATCH(B41,'Base de données Mono'!D:D,0))</f>
        <v>0.97916666666666663</v>
      </c>
      <c r="K41" s="131">
        <f>INDEX('Base de données Mono'!M:M,MATCH(B41,'Base de données Mono'!D:D,0))</f>
        <v>0.2638888888888889</v>
      </c>
      <c r="L41" s="131">
        <f>INDEX('Base de données Mono'!N:N,MATCH(B41,'Base de données Mono'!D:D,0))</f>
        <v>0.85416666666666663</v>
      </c>
      <c r="M41" s="33" t="s">
        <v>811</v>
      </c>
      <c r="N41" s="33">
        <f>IF(AND(E41="Electricité",M41="Hiver"),INDEX('Base de données Mono'!E:E,MATCH(B41,'Base de données Mono'!D:D,0)),IF(AND(E41="Electricité",M41="Mi-saison"),INDEX('Base de données Mono'!F:F,MATCH(B41,'Base de données Mono'!D:D,0)),IF(AND(E41="Electricité",M41="Eté"),INDEX('Base de données Mono'!G:G,MATCH(B41,'Base de données Mono'!D:D,0)),IF(AND(E41="Gaz",M41="Hiver"),INDEX('Base de données Mono'!J:J,MATCH(B41,'Base de données Mono'!D:D,0)),IF(AND(E41="Gaz",M41="Mi-saison"),INDEX('Base de données Mono'!#REF!,MATCH(B41,'Base de données Mono'!D:D,0)),IF(AND(E41="Gaz",M41="Eté"),INDEX('Base de données Mono'!#REF!,MATCH(B41,'Base de données Mono'!D:D,0)),"-"))))))</f>
        <v>80</v>
      </c>
      <c r="O41" s="123">
        <v>45375</v>
      </c>
      <c r="P41" s="123">
        <v>45381</v>
      </c>
      <c r="Q41" s="34">
        <v>130</v>
      </c>
      <c r="R41" s="33">
        <f t="shared" si="2"/>
        <v>50</v>
      </c>
      <c r="S41" s="34">
        <v>0.6</v>
      </c>
      <c r="T41" s="34">
        <f t="shared" si="5"/>
        <v>6</v>
      </c>
      <c r="U41" s="33">
        <f t="shared" si="3"/>
        <v>180</v>
      </c>
      <c r="V41" s="38" t="s">
        <v>148</v>
      </c>
      <c r="W41" s="39">
        <f t="shared" si="4"/>
        <v>0.625</v>
      </c>
      <c r="X41" s="40" t="s">
        <v>304</v>
      </c>
      <c r="Y41" s="40" t="s">
        <v>284</v>
      </c>
      <c r="Z41" s="40" t="s">
        <v>307</v>
      </c>
      <c r="AA41" s="33" t="s">
        <v>414</v>
      </c>
      <c r="AB41" s="95"/>
      <c r="AC41" s="95"/>
    </row>
    <row r="42" spans="1:29" ht="14.45" hidden="1" customHeight="1" x14ac:dyDescent="0.25">
      <c r="A42" s="36" t="str">
        <f>INDEX('Base de données Mono'!C:C,MATCH(B42,'Base de données Mono'!D:D,0))</f>
        <v>BOULOGNE SEMBAT</v>
      </c>
      <c r="B42" t="s">
        <v>8</v>
      </c>
      <c r="C42" s="36" t="str">
        <f>INDEX('Base de données Mono'!B:B,MATCH(B42,'Base de données Mono'!D:D,0))</f>
        <v>SES8</v>
      </c>
      <c r="D42" s="36" t="str">
        <f>INDEX('Base de données Mono'!A:A,MATCH(B42,'Base de données Mono'!D:D,0))</f>
        <v>AD</v>
      </c>
      <c r="E42" s="37" t="s">
        <v>303</v>
      </c>
      <c r="F42" s="41">
        <f t="shared" si="0"/>
        <v>13</v>
      </c>
      <c r="G42" s="41">
        <f t="shared" si="1"/>
        <v>3</v>
      </c>
      <c r="H42">
        <v>9.5</v>
      </c>
      <c r="I42" s="131">
        <f>INDEX('Base de données Mono'!K:K,MATCH(B42,'Base de données Mono'!D:D,0))</f>
        <v>0.20138888888888887</v>
      </c>
      <c r="J42" s="131">
        <f>INDEX('Base de données Mono'!L:L,MATCH(B42,'Base de données Mono'!D:D,0))</f>
        <v>0.97916666666666663</v>
      </c>
      <c r="K42" s="131">
        <f>INDEX('Base de données Mono'!M:M,MATCH(B42,'Base de données Mono'!D:D,0))</f>
        <v>0.2638888888888889</v>
      </c>
      <c r="L42" s="131">
        <f>INDEX('Base de données Mono'!N:N,MATCH(B42,'Base de données Mono'!D:D,0))</f>
        <v>0.85416666666666663</v>
      </c>
      <c r="M42" s="33" t="s">
        <v>811</v>
      </c>
      <c r="N42" s="33">
        <f>IF(AND(E42="Electricité",M42="Hiver"),INDEX('Base de données Mono'!E:E,MATCH(B42,'Base de données Mono'!D:D,0)),IF(AND(E42="Electricité",M42="Mi-saison"),INDEX('Base de données Mono'!F:F,MATCH(B42,'Base de données Mono'!D:D,0)),IF(AND(E42="Electricité",M42="Eté"),INDEX('Base de données Mono'!G:G,MATCH(B42,'Base de données Mono'!D:D,0)),IF(AND(E42="Gaz",M42="Hiver"),INDEX('Base de données Mono'!J:J,MATCH(B42,'Base de données Mono'!D:D,0)),IF(AND(E42="Gaz",M42="Mi-saison"),INDEX('Base de données Mono'!#REF!,MATCH(B42,'Base de données Mono'!D:D,0)),IF(AND(E42="Gaz",M42="Eté"),INDEX('Base de données Mono'!#REF!,MATCH(B42,'Base de données Mono'!D:D,0)),"-"))))))</f>
        <v>80</v>
      </c>
      <c r="O42" s="123">
        <v>45381</v>
      </c>
      <c r="P42" s="123">
        <v>45382</v>
      </c>
      <c r="Q42" s="34">
        <v>130</v>
      </c>
      <c r="R42" s="33">
        <f t="shared" si="2"/>
        <v>50</v>
      </c>
      <c r="S42" s="34">
        <v>1.3</v>
      </c>
      <c r="T42" s="34">
        <f t="shared" si="5"/>
        <v>1</v>
      </c>
      <c r="U42" s="33">
        <f t="shared" si="3"/>
        <v>65</v>
      </c>
      <c r="V42" s="38" t="s">
        <v>148</v>
      </c>
      <c r="W42" s="39">
        <f t="shared" si="4"/>
        <v>0.625</v>
      </c>
      <c r="X42" s="40" t="s">
        <v>304</v>
      </c>
      <c r="Y42" s="40" t="s">
        <v>284</v>
      </c>
      <c r="Z42" s="40" t="s">
        <v>307</v>
      </c>
      <c r="AA42" s="33" t="s">
        <v>414</v>
      </c>
      <c r="AB42" s="95"/>
      <c r="AC42" s="95"/>
    </row>
    <row r="43" spans="1:29" ht="14.45" hidden="1" customHeight="1" x14ac:dyDescent="0.25">
      <c r="A43" s="36" t="str">
        <f>INDEX('Base de données Mono'!C:C,MATCH(B43,'Base de données Mono'!D:D,0))</f>
        <v>CAEN</v>
      </c>
      <c r="B43" t="s">
        <v>10</v>
      </c>
      <c r="C43" s="36" t="str">
        <f>INDEX('Base de données Mono'!B:B,MATCH(B43,'Base de données Mono'!D:D,0))</f>
        <v>SES8</v>
      </c>
      <c r="D43" s="36" t="str">
        <f>INDEX('Base de données Mono'!A:A,MATCH(B43,'Base de données Mono'!D:D,0))</f>
        <v>AD</v>
      </c>
      <c r="E43" s="37" t="s">
        <v>303</v>
      </c>
      <c r="F43" s="41">
        <f t="shared" si="0"/>
        <v>13</v>
      </c>
      <c r="G43" s="41">
        <f t="shared" si="1"/>
        <v>3</v>
      </c>
      <c r="H43">
        <v>8.83</v>
      </c>
      <c r="I43" s="131">
        <f>INDEX('Base de données Mono'!K:K,MATCH(B43,'Base de données Mono'!D:D,0))</f>
        <v>0.22222222222222221</v>
      </c>
      <c r="J43" s="131">
        <f>INDEX('Base de données Mono'!L:L,MATCH(B43,'Base de données Mono'!D:D,0))</f>
        <v>0.875</v>
      </c>
      <c r="K43" s="131">
        <f>INDEX('Base de données Mono'!M:M,MATCH(B43,'Base de données Mono'!D:D,0))</f>
        <v>0.29166666666666702</v>
      </c>
      <c r="L43" s="131">
        <f>INDEX('Base de données Mono'!N:N,MATCH(B43,'Base de données Mono'!D:D,0))</f>
        <v>0.54166666666666663</v>
      </c>
      <c r="M43" s="33" t="s">
        <v>811</v>
      </c>
      <c r="N43" s="33">
        <f>IF(AND(E43="Electricité",M43="Hiver"),INDEX('Base de données Mono'!E:E,MATCH(B43,'Base de données Mono'!D:D,0)),IF(AND(E43="Electricité",M43="Mi-saison"),INDEX('Base de données Mono'!F:F,MATCH(B43,'Base de données Mono'!D:D,0)),IF(AND(E43="Electricité",M43="Eté"),INDEX('Base de données Mono'!G:G,MATCH(B43,'Base de données Mono'!D:D,0)),IF(AND(E43="Gaz",M43="Hiver"),INDEX('Base de données Mono'!J:J,MATCH(B43,'Base de données Mono'!D:D,0)),IF(AND(E43="Gaz",M43="Mi-saison"),INDEX('Base de données Mono'!#REF!,MATCH(B43,'Base de données Mono'!D:D,0)),IF(AND(E43="Gaz",M43="Eté"),INDEX('Base de données Mono'!#REF!,MATCH(B43,'Base de données Mono'!D:D,0)),"-"))))))</f>
        <v>80</v>
      </c>
      <c r="O43" s="123">
        <v>45375</v>
      </c>
      <c r="P43" s="123">
        <v>45381</v>
      </c>
      <c r="Q43" s="34">
        <v>135</v>
      </c>
      <c r="R43" s="33">
        <f t="shared" si="2"/>
        <v>55</v>
      </c>
      <c r="S43" s="34">
        <v>0.3</v>
      </c>
      <c r="T43" s="34">
        <f t="shared" si="5"/>
        <v>6</v>
      </c>
      <c r="U43" s="33">
        <f t="shared" si="3"/>
        <v>99</v>
      </c>
      <c r="V43" s="38" t="s">
        <v>148</v>
      </c>
      <c r="W43" s="39">
        <f t="shared" si="4"/>
        <v>0.6875</v>
      </c>
      <c r="X43" s="40" t="s">
        <v>304</v>
      </c>
      <c r="Y43" s="40" t="s">
        <v>284</v>
      </c>
      <c r="Z43" s="40" t="s">
        <v>307</v>
      </c>
      <c r="AA43" s="33" t="s">
        <v>414</v>
      </c>
      <c r="AB43" s="95"/>
      <c r="AC43" s="95"/>
    </row>
    <row r="44" spans="1:29" ht="14.45" hidden="1" customHeight="1" x14ac:dyDescent="0.25">
      <c r="A44" s="36" t="str">
        <f>INDEX('Base de données Mono'!C:C,MATCH(B44,'Base de données Mono'!D:D,0))</f>
        <v>SABLONS</v>
      </c>
      <c r="B44" t="s">
        <v>32</v>
      </c>
      <c r="C44" s="36" t="str">
        <f>INDEX('Base de données Mono'!B:B,MATCH(B44,'Base de données Mono'!D:D,0))</f>
        <v>SES8</v>
      </c>
      <c r="D44" s="36" t="str">
        <f>INDEX('Base de données Mono'!A:A,MATCH(B44,'Base de données Mono'!D:D,0))</f>
        <v>AD</v>
      </c>
      <c r="E44" s="37" t="s">
        <v>303</v>
      </c>
      <c r="F44" s="41">
        <f t="shared" si="0"/>
        <v>13</v>
      </c>
      <c r="G44" s="41">
        <f t="shared" si="1"/>
        <v>3</v>
      </c>
      <c r="H44">
        <v>8.83</v>
      </c>
      <c r="I44" s="131">
        <f>INDEX('Base de données Mono'!K:K,MATCH(B44,'Base de données Mono'!D:D,0))</f>
        <v>0.23611111111111113</v>
      </c>
      <c r="J44" s="131">
        <f>INDEX('Base de données Mono'!L:L,MATCH(B44,'Base de données Mono'!D:D,0))</f>
        <v>0.91666666666666663</v>
      </c>
      <c r="K44" s="131">
        <f>INDEX('Base de données Mono'!M:M,MATCH(B44,'Base de données Mono'!D:D,0))</f>
        <v>0.25694444444444448</v>
      </c>
      <c r="L44" s="131">
        <f>INDEX('Base de données Mono'!N:N,MATCH(B44,'Base de données Mono'!D:D,0))</f>
        <v>0.60069444444444442</v>
      </c>
      <c r="M44" s="33" t="s">
        <v>811</v>
      </c>
      <c r="N44" s="33">
        <f>IF(AND(E44="Electricité",M44="Hiver"),INDEX('Base de données Mono'!E:E,MATCH(B44,'Base de données Mono'!D:D,0)),IF(AND(E44="Electricité",M44="Mi-saison"),INDEX('Base de données Mono'!F:F,MATCH(B44,'Base de données Mono'!D:D,0)),IF(AND(E44="Electricité",M44="Eté"),INDEX('Base de données Mono'!G:G,MATCH(B44,'Base de données Mono'!D:D,0)),IF(AND(E44="Gaz",M44="Hiver"),INDEX('Base de données Mono'!J:J,MATCH(B44,'Base de données Mono'!D:D,0)),IF(AND(E44="Gaz",M44="Mi-saison"),INDEX('Base de données Mono'!#REF!,MATCH(B44,'Base de données Mono'!D:D,0)),IF(AND(E44="Gaz",M44="Eté"),INDEX('Base de données Mono'!#REF!,MATCH(B44,'Base de données Mono'!D:D,0)),"-"))))))</f>
        <v>75</v>
      </c>
      <c r="O44" s="123">
        <v>45375</v>
      </c>
      <c r="P44" s="123">
        <v>45382</v>
      </c>
      <c r="Q44" s="34">
        <v>100</v>
      </c>
      <c r="R44" s="33">
        <f t="shared" si="2"/>
        <v>25</v>
      </c>
      <c r="S44" s="34">
        <v>7.6</v>
      </c>
      <c r="T44" s="34">
        <f t="shared" si="5"/>
        <v>7</v>
      </c>
      <c r="U44" s="33">
        <f t="shared" si="3"/>
        <v>1330</v>
      </c>
      <c r="V44" s="38" t="s">
        <v>148</v>
      </c>
      <c r="W44" s="39">
        <f t="shared" si="4"/>
        <v>0.33333333333333331</v>
      </c>
      <c r="X44" s="40" t="s">
        <v>304</v>
      </c>
      <c r="Y44" s="40" t="s">
        <v>284</v>
      </c>
      <c r="Z44" s="40" t="s">
        <v>305</v>
      </c>
      <c r="AA44" s="33" t="s">
        <v>771</v>
      </c>
      <c r="AB44" s="95"/>
      <c r="AC44" s="95"/>
    </row>
    <row r="45" spans="1:29" ht="14.45" hidden="1" customHeight="1" x14ac:dyDescent="0.25">
      <c r="A45" s="36" t="str">
        <f>INDEX('Base de données Mono'!C:C,MATCH(B45,'Base de données Mono'!D:D,0))</f>
        <v>SAINT RAPHAEL</v>
      </c>
      <c r="B45" t="s">
        <v>36</v>
      </c>
      <c r="C45" s="36" t="str">
        <f>INDEX('Base de données Mono'!B:B,MATCH(B45,'Base de données Mono'!D:D,0))</f>
        <v>SES8</v>
      </c>
      <c r="D45" s="36" t="str">
        <f>INDEX('Base de données Mono'!A:A,MATCH(B45,'Base de données Mono'!D:D,0))</f>
        <v>JG</v>
      </c>
      <c r="E45" s="37" t="s">
        <v>303</v>
      </c>
      <c r="F45" s="41">
        <f t="shared" si="0"/>
        <v>13</v>
      </c>
      <c r="G45" s="41">
        <f t="shared" si="1"/>
        <v>3</v>
      </c>
      <c r="H45">
        <v>8.5</v>
      </c>
      <c r="I45" s="131">
        <f>INDEX('Base de données Mono'!K:K,MATCH(B45,'Base de données Mono'!D:D,0))</f>
        <v>0.20833333333333334</v>
      </c>
      <c r="J45" s="131">
        <f>INDEX('Base de données Mono'!L:L,MATCH(B45,'Base de données Mono'!D:D,0))</f>
        <v>0.85416666666666663</v>
      </c>
      <c r="K45" s="131">
        <f>INDEX('Base de données Mono'!M:M,MATCH(B45,'Base de données Mono'!D:D,0))</f>
        <v>0.3125</v>
      </c>
      <c r="L45" s="131">
        <f>INDEX('Base de données Mono'!N:N,MATCH(B45,'Base de données Mono'!D:D,0))</f>
        <v>0.55902777777777779</v>
      </c>
      <c r="M45" s="33" t="s">
        <v>811</v>
      </c>
      <c r="N45" s="33">
        <f>IF(AND(E45="Electricité",M45="Hiver"),INDEX('Base de données Mono'!E:E,MATCH(B45,'Base de données Mono'!D:D,0)),IF(AND(E45="Electricité",M45="Mi-saison"),INDEX('Base de données Mono'!F:F,MATCH(B45,'Base de données Mono'!D:D,0)),IF(AND(E45="Electricité",M45="Eté"),INDEX('Base de données Mono'!G:G,MATCH(B45,'Base de données Mono'!D:D,0)),IF(AND(E45="Gaz",M45="Hiver"),INDEX('Base de données Mono'!J:J,MATCH(B45,'Base de données Mono'!D:D,0)),IF(AND(E45="Gaz",M45="Mi-saison"),INDEX('Base de données Mono'!#REF!,MATCH(B45,'Base de données Mono'!D:D,0)),IF(AND(E45="Gaz",M45="Eté"),INDEX('Base de données Mono'!#REF!,MATCH(B45,'Base de données Mono'!D:D,0)),"-"))))))</f>
        <v>35</v>
      </c>
      <c r="O45" s="123">
        <v>45375</v>
      </c>
      <c r="P45" s="123">
        <v>45382</v>
      </c>
      <c r="Q45" s="34">
        <v>60</v>
      </c>
      <c r="R45" s="33">
        <f t="shared" si="2"/>
        <v>25</v>
      </c>
      <c r="S45" s="34">
        <v>2.5</v>
      </c>
      <c r="T45" s="34">
        <f t="shared" si="5"/>
        <v>7</v>
      </c>
      <c r="U45" s="33">
        <f t="shared" si="3"/>
        <v>437.5</v>
      </c>
      <c r="V45" s="38" t="s">
        <v>148</v>
      </c>
      <c r="W45" s="39">
        <f t="shared" si="4"/>
        <v>0.7142857142857143</v>
      </c>
      <c r="X45" s="40" t="s">
        <v>304</v>
      </c>
      <c r="Y45" s="40" t="s">
        <v>284</v>
      </c>
      <c r="Z45" s="40" t="s">
        <v>307</v>
      </c>
      <c r="AA45" s="33" t="s">
        <v>313</v>
      </c>
      <c r="AB45" s="95"/>
      <c r="AC45" s="95"/>
    </row>
    <row r="46" spans="1:29" ht="14.45" hidden="1" customHeight="1" x14ac:dyDescent="0.25">
      <c r="A46" s="36" t="str">
        <f>INDEX('Base de données Mono'!C:C,MATCH(B46,'Base de données Mono'!D:D,0))</f>
        <v>CHAVILLE</v>
      </c>
      <c r="B46" t="s">
        <v>12</v>
      </c>
      <c r="C46" s="36" t="str">
        <f>INDEX('Base de données Mono'!B:B,MATCH(B46,'Base de données Mono'!D:D,0))</f>
        <v>SES8</v>
      </c>
      <c r="D46" s="36" t="str">
        <f>INDEX('Base de données Mono'!A:A,MATCH(B46,'Base de données Mono'!D:D,0))</f>
        <v>AD</v>
      </c>
      <c r="E46" s="37" t="s">
        <v>303</v>
      </c>
      <c r="F46" s="41">
        <f t="shared" si="0"/>
        <v>13</v>
      </c>
      <c r="G46" s="41">
        <f t="shared" si="1"/>
        <v>3</v>
      </c>
      <c r="H46">
        <v>9</v>
      </c>
      <c r="I46" s="131">
        <f>INDEX('Base de données Mono'!K:K,MATCH(B46,'Base de données Mono'!D:D,0))</f>
        <v>0.25</v>
      </c>
      <c r="J46" s="131">
        <f>INDEX('Base de données Mono'!L:L,MATCH(B46,'Base de données Mono'!D:D,0))</f>
        <v>0.89583333333333337</v>
      </c>
      <c r="K46" s="131">
        <f>INDEX('Base de données Mono'!M:M,MATCH(B46,'Base de données Mono'!D:D,0))</f>
        <v>0.29166666666666702</v>
      </c>
      <c r="L46" s="131">
        <f>INDEX('Base de données Mono'!N:N,MATCH(B46,'Base de données Mono'!D:D,0))</f>
        <v>0.80208333333333337</v>
      </c>
      <c r="M46" s="33" t="s">
        <v>811</v>
      </c>
      <c r="N46" s="33">
        <f>IF(AND(E46="Electricité",M46="Hiver"),INDEX('Base de données Mono'!E:E,MATCH(B46,'Base de données Mono'!D:D,0)),IF(AND(E46="Electricité",M46="Mi-saison"),INDEX('Base de données Mono'!F:F,MATCH(B46,'Base de données Mono'!D:D,0)),IF(AND(E46="Electricité",M46="Eté"),INDEX('Base de données Mono'!G:G,MATCH(B46,'Base de données Mono'!D:D,0)),IF(AND(E46="Gaz",M46="Hiver"),INDEX('Base de données Mono'!J:J,MATCH(B46,'Base de données Mono'!D:D,0)),IF(AND(E46="Gaz",M46="Mi-saison"),INDEX('Base de données Mono'!#REF!,MATCH(B46,'Base de données Mono'!D:D,0)),IF(AND(E46="Gaz",M46="Eté"),INDEX('Base de données Mono'!#REF!,MATCH(B46,'Base de données Mono'!D:D,0)),"-"))))))</f>
        <v>75</v>
      </c>
      <c r="O46" s="123">
        <v>45375</v>
      </c>
      <c r="P46" s="123">
        <v>45376</v>
      </c>
      <c r="Q46" s="34">
        <v>90</v>
      </c>
      <c r="R46" s="33">
        <f t="shared" si="2"/>
        <v>15</v>
      </c>
      <c r="S46" s="34">
        <v>8</v>
      </c>
      <c r="T46" s="34">
        <f t="shared" si="5"/>
        <v>1</v>
      </c>
      <c r="U46" s="33">
        <f t="shared" si="3"/>
        <v>120</v>
      </c>
      <c r="V46" s="38" t="s">
        <v>148</v>
      </c>
      <c r="W46" s="39">
        <f t="shared" si="4"/>
        <v>0.2</v>
      </c>
      <c r="X46" s="40" t="s">
        <v>304</v>
      </c>
      <c r="Y46" s="40" t="s">
        <v>284</v>
      </c>
      <c r="Z46" s="40" t="s">
        <v>305</v>
      </c>
      <c r="AA46" s="33" t="s">
        <v>771</v>
      </c>
      <c r="AB46" s="95"/>
      <c r="AC46" s="95"/>
    </row>
    <row r="47" spans="1:29" ht="14.45" hidden="1" customHeight="1" x14ac:dyDescent="0.25">
      <c r="A47" s="36" t="str">
        <f>INDEX('Base de données Mono'!C:C,MATCH(B47,'Base de données Mono'!D:D,0))</f>
        <v>CHAVILLE</v>
      </c>
      <c r="B47" t="s">
        <v>12</v>
      </c>
      <c r="C47" s="36" t="str">
        <f>INDEX('Base de données Mono'!B:B,MATCH(B47,'Base de données Mono'!D:D,0))</f>
        <v>SES8</v>
      </c>
      <c r="D47" s="36" t="str">
        <f>INDEX('Base de données Mono'!A:A,MATCH(B47,'Base de données Mono'!D:D,0))</f>
        <v>AD</v>
      </c>
      <c r="E47" s="37" t="s">
        <v>303</v>
      </c>
      <c r="F47" s="41">
        <f t="shared" si="0"/>
        <v>13</v>
      </c>
      <c r="G47" s="41">
        <f t="shared" si="1"/>
        <v>3</v>
      </c>
      <c r="H47">
        <v>8.5</v>
      </c>
      <c r="I47" s="131">
        <f>INDEX('Base de données Mono'!K:K,MATCH(B47,'Base de données Mono'!D:D,0))</f>
        <v>0.25</v>
      </c>
      <c r="J47" s="131">
        <f>INDEX('Base de données Mono'!L:L,MATCH(B47,'Base de données Mono'!D:D,0))</f>
        <v>0.89583333333333337</v>
      </c>
      <c r="K47" s="131">
        <f>INDEX('Base de données Mono'!M:M,MATCH(B47,'Base de données Mono'!D:D,0))</f>
        <v>0.29166666666666702</v>
      </c>
      <c r="L47" s="131">
        <f>INDEX('Base de données Mono'!N:N,MATCH(B47,'Base de données Mono'!D:D,0))</f>
        <v>0.80208333333333337</v>
      </c>
      <c r="M47" s="33" t="s">
        <v>811</v>
      </c>
      <c r="N47" s="33">
        <f>IF(AND(E47="Electricité",M47="Hiver"),INDEX('Base de données Mono'!E:E,MATCH(B47,'Base de données Mono'!D:D,0)),IF(AND(E47="Electricité",M47="Mi-saison"),INDEX('Base de données Mono'!F:F,MATCH(B47,'Base de données Mono'!D:D,0)),IF(AND(E47="Electricité",M47="Eté"),INDEX('Base de données Mono'!G:G,MATCH(B47,'Base de données Mono'!D:D,0)),IF(AND(E47="Gaz",M47="Hiver"),INDEX('Base de données Mono'!J:J,MATCH(B47,'Base de données Mono'!D:D,0)),IF(AND(E47="Gaz",M47="Mi-saison"),INDEX('Base de données Mono'!#REF!,MATCH(B47,'Base de données Mono'!D:D,0)),IF(AND(E47="Gaz",M47="Eté"),INDEX('Base de données Mono'!#REF!,MATCH(B47,'Base de données Mono'!D:D,0)),"-"))))))</f>
        <v>75</v>
      </c>
      <c r="O47" s="123">
        <v>45375</v>
      </c>
      <c r="P47" s="123">
        <v>45381</v>
      </c>
      <c r="Q47" s="34">
        <v>130</v>
      </c>
      <c r="R47" s="33">
        <f t="shared" si="2"/>
        <v>55</v>
      </c>
      <c r="S47" s="34">
        <v>0.5</v>
      </c>
      <c r="T47" s="34">
        <f t="shared" si="5"/>
        <v>6</v>
      </c>
      <c r="U47" s="33">
        <f t="shared" si="3"/>
        <v>165</v>
      </c>
      <c r="V47" s="38" t="s">
        <v>148</v>
      </c>
      <c r="W47" s="39">
        <f t="shared" si="4"/>
        <v>0.73333333333333328</v>
      </c>
      <c r="X47" s="40" t="s">
        <v>304</v>
      </c>
      <c r="Y47" s="40" t="s">
        <v>284</v>
      </c>
      <c r="Z47" s="40" t="s">
        <v>307</v>
      </c>
      <c r="AA47" s="33" t="s">
        <v>414</v>
      </c>
      <c r="AB47" s="95"/>
      <c r="AC47" s="95"/>
    </row>
    <row r="48" spans="1:29" ht="14.45" hidden="1" customHeight="1" x14ac:dyDescent="0.25">
      <c r="A48" s="36" t="str">
        <f>INDEX('Base de données Mono'!C:C,MATCH(B48,'Base de données Mono'!D:D,0))</f>
        <v>CHAVILLE</v>
      </c>
      <c r="B48" t="s">
        <v>12</v>
      </c>
      <c r="C48" s="36" t="str">
        <f>INDEX('Base de données Mono'!B:B,MATCH(B48,'Base de données Mono'!D:D,0))</f>
        <v>SES8</v>
      </c>
      <c r="D48" s="36" t="str">
        <f>INDEX('Base de données Mono'!A:A,MATCH(B48,'Base de données Mono'!D:D,0))</f>
        <v>AD</v>
      </c>
      <c r="E48" s="37" t="s">
        <v>303</v>
      </c>
      <c r="F48" s="41">
        <f t="shared" si="0"/>
        <v>13</v>
      </c>
      <c r="G48" s="41">
        <f t="shared" si="1"/>
        <v>3</v>
      </c>
      <c r="H48">
        <v>9</v>
      </c>
      <c r="I48" s="131">
        <f>INDEX('Base de données Mono'!K:K,MATCH(B48,'Base de données Mono'!D:D,0))</f>
        <v>0.25</v>
      </c>
      <c r="J48" s="131">
        <f>INDEX('Base de données Mono'!L:L,MATCH(B48,'Base de données Mono'!D:D,0))</f>
        <v>0.89583333333333337</v>
      </c>
      <c r="K48" s="131">
        <f>INDEX('Base de données Mono'!M:M,MATCH(B48,'Base de données Mono'!D:D,0))</f>
        <v>0.29166666666666702</v>
      </c>
      <c r="L48" s="131">
        <f>INDEX('Base de données Mono'!N:N,MATCH(B48,'Base de données Mono'!D:D,0))</f>
        <v>0.80208333333333337</v>
      </c>
      <c r="M48" s="33" t="s">
        <v>811</v>
      </c>
      <c r="N48" s="33">
        <f>IF(AND(E48="Electricité",M48="Hiver"),INDEX('Base de données Mono'!E:E,MATCH(B48,'Base de données Mono'!D:D,0)),IF(AND(E48="Electricité",M48="Mi-saison"),INDEX('Base de données Mono'!F:F,MATCH(B48,'Base de données Mono'!D:D,0)),IF(AND(E48="Electricité",M48="Eté"),INDEX('Base de données Mono'!G:G,MATCH(B48,'Base de données Mono'!D:D,0)),IF(AND(E48="Gaz",M48="Hiver"),INDEX('Base de données Mono'!J:J,MATCH(B48,'Base de données Mono'!D:D,0)),IF(AND(E48="Gaz",M48="Mi-saison"),INDEX('Base de données Mono'!#REF!,MATCH(B48,'Base de données Mono'!D:D,0)),IF(AND(E48="Gaz",M48="Eté"),INDEX('Base de données Mono'!#REF!,MATCH(B48,'Base de données Mono'!D:D,0)),"-"))))))</f>
        <v>75</v>
      </c>
      <c r="O48" s="123">
        <v>45376</v>
      </c>
      <c r="P48" s="123">
        <v>45378</v>
      </c>
      <c r="Q48" s="34">
        <v>125</v>
      </c>
      <c r="R48" s="33">
        <f t="shared" si="2"/>
        <v>50</v>
      </c>
      <c r="S48" s="34">
        <v>2</v>
      </c>
      <c r="T48" s="34">
        <f t="shared" si="5"/>
        <v>2</v>
      </c>
      <c r="U48" s="33">
        <f t="shared" si="3"/>
        <v>200</v>
      </c>
      <c r="V48" s="38" t="s">
        <v>148</v>
      </c>
      <c r="W48" s="39">
        <f t="shared" si="4"/>
        <v>0.66666666666666663</v>
      </c>
      <c r="X48" s="40" t="s">
        <v>304</v>
      </c>
      <c r="Y48" s="40" t="s">
        <v>284</v>
      </c>
      <c r="Z48" s="40" t="s">
        <v>307</v>
      </c>
      <c r="AA48" s="33" t="s">
        <v>313</v>
      </c>
      <c r="AB48" s="95"/>
      <c r="AC48" s="95"/>
    </row>
    <row r="49" spans="1:29" ht="14.45" hidden="1" customHeight="1" x14ac:dyDescent="0.25">
      <c r="A49" s="36" t="str">
        <f>INDEX('Base de données Mono'!C:C,MATCH(B49,'Base de données Mono'!D:D,0))</f>
        <v>CHAVILLE</v>
      </c>
      <c r="B49" t="s">
        <v>12</v>
      </c>
      <c r="C49" s="36" t="str">
        <f>INDEX('Base de données Mono'!B:B,MATCH(B49,'Base de données Mono'!D:D,0))</f>
        <v>SES8</v>
      </c>
      <c r="D49" s="36" t="str">
        <f>INDEX('Base de données Mono'!A:A,MATCH(B49,'Base de données Mono'!D:D,0))</f>
        <v>AD</v>
      </c>
      <c r="E49" s="37" t="s">
        <v>303</v>
      </c>
      <c r="F49" s="41">
        <f t="shared" si="0"/>
        <v>13</v>
      </c>
      <c r="G49" s="41">
        <f t="shared" si="1"/>
        <v>3</v>
      </c>
      <c r="H49">
        <v>9</v>
      </c>
      <c r="I49" s="131">
        <f>INDEX('Base de données Mono'!K:K,MATCH(B49,'Base de données Mono'!D:D,0))</f>
        <v>0.25</v>
      </c>
      <c r="J49" s="131">
        <f>INDEX('Base de données Mono'!L:L,MATCH(B49,'Base de données Mono'!D:D,0))</f>
        <v>0.89583333333333337</v>
      </c>
      <c r="K49" s="131">
        <f>INDEX('Base de données Mono'!M:M,MATCH(B49,'Base de données Mono'!D:D,0))</f>
        <v>0.29166666666666702</v>
      </c>
      <c r="L49" s="131">
        <f>INDEX('Base de données Mono'!N:N,MATCH(B49,'Base de données Mono'!D:D,0))</f>
        <v>0.80208333333333337</v>
      </c>
      <c r="M49" s="33" t="s">
        <v>811</v>
      </c>
      <c r="N49" s="33">
        <f>IF(AND(E49="Electricité",M49="Hiver"),INDEX('Base de données Mono'!E:E,MATCH(B49,'Base de données Mono'!D:D,0)),IF(AND(E49="Electricité",M49="Mi-saison"),INDEX('Base de données Mono'!F:F,MATCH(B49,'Base de données Mono'!D:D,0)),IF(AND(E49="Electricité",M49="Eté"),INDEX('Base de données Mono'!G:G,MATCH(B49,'Base de données Mono'!D:D,0)),IF(AND(E49="Gaz",M49="Hiver"),INDEX('Base de données Mono'!J:J,MATCH(B49,'Base de données Mono'!D:D,0)),IF(AND(E49="Gaz",M49="Mi-saison"),INDEX('Base de données Mono'!#REF!,MATCH(B49,'Base de données Mono'!D:D,0)),IF(AND(E49="Gaz",M49="Eté"),INDEX('Base de données Mono'!#REF!,MATCH(B49,'Base de données Mono'!D:D,0)),"-"))))))</f>
        <v>75</v>
      </c>
      <c r="O49" s="123">
        <v>45376</v>
      </c>
      <c r="P49" s="123">
        <v>45378</v>
      </c>
      <c r="Q49" s="34">
        <v>90</v>
      </c>
      <c r="R49" s="33">
        <f t="shared" si="2"/>
        <v>15</v>
      </c>
      <c r="S49" s="34">
        <v>6</v>
      </c>
      <c r="T49" s="34">
        <f t="shared" si="5"/>
        <v>2</v>
      </c>
      <c r="U49" s="33">
        <f t="shared" si="3"/>
        <v>180</v>
      </c>
      <c r="V49" s="38" t="s">
        <v>148</v>
      </c>
      <c r="W49" s="39">
        <f t="shared" si="4"/>
        <v>0.2</v>
      </c>
      <c r="X49" s="40" t="s">
        <v>304</v>
      </c>
      <c r="Y49" s="40" t="s">
        <v>284</v>
      </c>
      <c r="Z49" s="40" t="s">
        <v>305</v>
      </c>
      <c r="AA49" s="33" t="s">
        <v>771</v>
      </c>
      <c r="AB49" s="95"/>
      <c r="AC49" s="95"/>
    </row>
    <row r="50" spans="1:29" ht="14.45" hidden="1" customHeight="1" x14ac:dyDescent="0.25">
      <c r="A50" s="36" t="str">
        <f>INDEX('Base de données Mono'!C:C,MATCH(B50,'Base de données Mono'!D:D,0))</f>
        <v>CHAVILLE</v>
      </c>
      <c r="B50" t="s">
        <v>12</v>
      </c>
      <c r="C50" s="36" t="str">
        <f>INDEX('Base de données Mono'!B:B,MATCH(B50,'Base de données Mono'!D:D,0))</f>
        <v>SES8</v>
      </c>
      <c r="D50" s="36" t="str">
        <f>INDEX('Base de données Mono'!A:A,MATCH(B50,'Base de données Mono'!D:D,0))</f>
        <v>AD</v>
      </c>
      <c r="E50" s="37" t="s">
        <v>303</v>
      </c>
      <c r="F50" s="41">
        <f t="shared" si="0"/>
        <v>13</v>
      </c>
      <c r="G50" s="41">
        <f t="shared" si="1"/>
        <v>3</v>
      </c>
      <c r="H50">
        <v>9</v>
      </c>
      <c r="I50" s="131">
        <f>INDEX('Base de données Mono'!K:K,MATCH(B50,'Base de données Mono'!D:D,0))</f>
        <v>0.25</v>
      </c>
      <c r="J50" s="131">
        <f>INDEX('Base de données Mono'!L:L,MATCH(B50,'Base de données Mono'!D:D,0))</f>
        <v>0.89583333333333337</v>
      </c>
      <c r="K50" s="131">
        <f>INDEX('Base de données Mono'!M:M,MATCH(B50,'Base de données Mono'!D:D,0))</f>
        <v>0.29166666666666702</v>
      </c>
      <c r="L50" s="131">
        <f>INDEX('Base de données Mono'!N:N,MATCH(B50,'Base de données Mono'!D:D,0))</f>
        <v>0.80208333333333337</v>
      </c>
      <c r="M50" s="33" t="s">
        <v>811</v>
      </c>
      <c r="N50" s="33">
        <f>IF(AND(E50="Electricité",M50="Hiver"),INDEX('Base de données Mono'!E:E,MATCH(B50,'Base de données Mono'!D:D,0)),IF(AND(E50="Electricité",M50="Mi-saison"),INDEX('Base de données Mono'!F:F,MATCH(B50,'Base de données Mono'!D:D,0)),IF(AND(E50="Electricité",M50="Eté"),INDEX('Base de données Mono'!G:G,MATCH(B50,'Base de données Mono'!D:D,0)),IF(AND(E50="Gaz",M50="Hiver"),INDEX('Base de données Mono'!J:J,MATCH(B50,'Base de données Mono'!D:D,0)),IF(AND(E50="Gaz",M50="Mi-saison"),INDEX('Base de données Mono'!#REF!,MATCH(B50,'Base de données Mono'!D:D,0)),IF(AND(E50="Gaz",M50="Eté"),INDEX('Base de données Mono'!#REF!,MATCH(B50,'Base de données Mono'!D:D,0)),"-"))))))</f>
        <v>75</v>
      </c>
      <c r="O50" s="123">
        <v>45378</v>
      </c>
      <c r="P50" s="123">
        <v>45381</v>
      </c>
      <c r="Q50" s="34">
        <v>90</v>
      </c>
      <c r="R50" s="33">
        <f t="shared" si="2"/>
        <v>15</v>
      </c>
      <c r="S50" s="34">
        <v>8</v>
      </c>
      <c r="T50" s="34">
        <f t="shared" si="5"/>
        <v>3</v>
      </c>
      <c r="U50" s="33">
        <f t="shared" si="3"/>
        <v>360</v>
      </c>
      <c r="V50" s="38" t="s">
        <v>148</v>
      </c>
      <c r="W50" s="39">
        <f t="shared" si="4"/>
        <v>0.2</v>
      </c>
      <c r="X50" s="40" t="s">
        <v>304</v>
      </c>
      <c r="Y50" s="40" t="s">
        <v>284</v>
      </c>
      <c r="Z50" s="40" t="s">
        <v>305</v>
      </c>
      <c r="AA50" s="33" t="s">
        <v>771</v>
      </c>
      <c r="AB50" s="95"/>
      <c r="AC50" s="95"/>
    </row>
    <row r="51" spans="1:29" ht="14.45" hidden="1" customHeight="1" x14ac:dyDescent="0.25">
      <c r="A51" s="36" t="str">
        <f>INDEX('Base de données Mono'!C:C,MATCH(B51,'Base de données Mono'!D:D,0))</f>
        <v>CHAVILLE</v>
      </c>
      <c r="B51" t="s">
        <v>12</v>
      </c>
      <c r="C51" s="36" t="str">
        <f>INDEX('Base de données Mono'!B:B,MATCH(B51,'Base de données Mono'!D:D,0))</f>
        <v>SES8</v>
      </c>
      <c r="D51" s="36" t="str">
        <f>INDEX('Base de données Mono'!A:A,MATCH(B51,'Base de données Mono'!D:D,0))</f>
        <v>AD</v>
      </c>
      <c r="E51" s="37" t="s">
        <v>303</v>
      </c>
      <c r="F51" s="41">
        <f t="shared" si="0"/>
        <v>13</v>
      </c>
      <c r="G51" s="41">
        <f t="shared" si="1"/>
        <v>3</v>
      </c>
      <c r="H51">
        <v>9</v>
      </c>
      <c r="I51" s="131">
        <f>INDEX('Base de données Mono'!K:K,MATCH(B51,'Base de données Mono'!D:D,0))</f>
        <v>0.25</v>
      </c>
      <c r="J51" s="131">
        <f>INDEX('Base de données Mono'!L:L,MATCH(B51,'Base de données Mono'!D:D,0))</f>
        <v>0.89583333333333337</v>
      </c>
      <c r="K51" s="131">
        <f>INDEX('Base de données Mono'!M:M,MATCH(B51,'Base de données Mono'!D:D,0))</f>
        <v>0.29166666666666702</v>
      </c>
      <c r="L51" s="131">
        <f>INDEX('Base de données Mono'!N:N,MATCH(B51,'Base de données Mono'!D:D,0))</f>
        <v>0.80208333333333337</v>
      </c>
      <c r="M51" s="33" t="s">
        <v>811</v>
      </c>
      <c r="N51" s="33">
        <f>IF(AND(E51="Electricité",M51="Hiver"),INDEX('Base de données Mono'!E:E,MATCH(B51,'Base de données Mono'!D:D,0)),IF(AND(E51="Electricité",M51="Mi-saison"),INDEX('Base de données Mono'!F:F,MATCH(B51,'Base de données Mono'!D:D,0)),IF(AND(E51="Electricité",M51="Eté"),INDEX('Base de données Mono'!G:G,MATCH(B51,'Base de données Mono'!D:D,0)),IF(AND(E51="Gaz",M51="Hiver"),INDEX('Base de données Mono'!J:J,MATCH(B51,'Base de données Mono'!D:D,0)),IF(AND(E51="Gaz",M51="Mi-saison"),INDEX('Base de données Mono'!#REF!,MATCH(B51,'Base de données Mono'!D:D,0)),IF(AND(E51="Gaz",M51="Eté"),INDEX('Base de données Mono'!#REF!,MATCH(B51,'Base de données Mono'!D:D,0)),"-"))))))</f>
        <v>75</v>
      </c>
      <c r="O51" s="123">
        <v>45381</v>
      </c>
      <c r="P51" s="123">
        <v>45382</v>
      </c>
      <c r="Q51" s="34">
        <v>125</v>
      </c>
      <c r="R51" s="33">
        <f t="shared" si="2"/>
        <v>50</v>
      </c>
      <c r="S51" s="34">
        <v>2</v>
      </c>
      <c r="T51" s="34">
        <f t="shared" si="5"/>
        <v>1</v>
      </c>
      <c r="U51" s="33">
        <f t="shared" si="3"/>
        <v>100</v>
      </c>
      <c r="V51" s="38" t="s">
        <v>148</v>
      </c>
      <c r="W51" s="39">
        <f t="shared" si="4"/>
        <v>0.66666666666666663</v>
      </c>
      <c r="X51" s="40" t="s">
        <v>304</v>
      </c>
      <c r="Y51" s="40" t="s">
        <v>284</v>
      </c>
      <c r="Z51" s="40" t="s">
        <v>307</v>
      </c>
      <c r="AA51" s="33" t="s">
        <v>313</v>
      </c>
      <c r="AB51" s="95"/>
      <c r="AC51" s="95"/>
    </row>
    <row r="52" spans="1:29" ht="14.45" hidden="1" customHeight="1" x14ac:dyDescent="0.25">
      <c r="A52" s="36" t="str">
        <f>INDEX('Base de données Mono'!C:C,MATCH(B52,'Base de données Mono'!D:D,0))</f>
        <v>CHAVILLE</v>
      </c>
      <c r="B52" t="s">
        <v>12</v>
      </c>
      <c r="C52" s="36" t="str">
        <f>INDEX('Base de données Mono'!B:B,MATCH(B52,'Base de données Mono'!D:D,0))</f>
        <v>SES8</v>
      </c>
      <c r="D52" s="36" t="str">
        <f>INDEX('Base de données Mono'!A:A,MATCH(B52,'Base de données Mono'!D:D,0))</f>
        <v>AD</v>
      </c>
      <c r="E52" s="37" t="s">
        <v>303</v>
      </c>
      <c r="F52" s="41">
        <f t="shared" si="0"/>
        <v>13</v>
      </c>
      <c r="G52" s="41">
        <f t="shared" si="1"/>
        <v>3</v>
      </c>
      <c r="H52">
        <v>9</v>
      </c>
      <c r="I52" s="131">
        <f>INDEX('Base de données Mono'!K:K,MATCH(B52,'Base de données Mono'!D:D,0))</f>
        <v>0.25</v>
      </c>
      <c r="J52" s="131">
        <f>INDEX('Base de données Mono'!L:L,MATCH(B52,'Base de données Mono'!D:D,0))</f>
        <v>0.89583333333333337</v>
      </c>
      <c r="K52" s="131">
        <f>INDEX('Base de données Mono'!M:M,MATCH(B52,'Base de données Mono'!D:D,0))</f>
        <v>0.29166666666666702</v>
      </c>
      <c r="L52" s="131">
        <f>INDEX('Base de données Mono'!N:N,MATCH(B52,'Base de données Mono'!D:D,0))</f>
        <v>0.80208333333333337</v>
      </c>
      <c r="M52" s="33" t="s">
        <v>811</v>
      </c>
      <c r="N52" s="33">
        <f>IF(AND(E52="Electricité",M52="Hiver"),INDEX('Base de données Mono'!E:E,MATCH(B52,'Base de données Mono'!D:D,0)),IF(AND(E52="Electricité",M52="Mi-saison"),INDEX('Base de données Mono'!F:F,MATCH(B52,'Base de données Mono'!D:D,0)),IF(AND(E52="Electricité",M52="Eté"),INDEX('Base de données Mono'!G:G,MATCH(B52,'Base de données Mono'!D:D,0)),IF(AND(E52="Gaz",M52="Hiver"),INDEX('Base de données Mono'!J:J,MATCH(B52,'Base de données Mono'!D:D,0)),IF(AND(E52="Gaz",M52="Mi-saison"),INDEX('Base de données Mono'!#REF!,MATCH(B52,'Base de données Mono'!D:D,0)),IF(AND(E52="Gaz",M52="Eté"),INDEX('Base de données Mono'!#REF!,MATCH(B52,'Base de données Mono'!D:D,0)),"-"))))))</f>
        <v>75</v>
      </c>
      <c r="O52" s="123">
        <v>45381</v>
      </c>
      <c r="P52" s="123">
        <v>45382</v>
      </c>
      <c r="Q52" s="34">
        <v>90</v>
      </c>
      <c r="R52" s="33">
        <f t="shared" si="2"/>
        <v>15</v>
      </c>
      <c r="S52" s="34">
        <v>7.5</v>
      </c>
      <c r="T52" s="34">
        <f t="shared" si="5"/>
        <v>1</v>
      </c>
      <c r="U52" s="33">
        <f t="shared" si="3"/>
        <v>112.5</v>
      </c>
      <c r="V52" s="38" t="s">
        <v>148</v>
      </c>
      <c r="W52" s="39">
        <f t="shared" si="4"/>
        <v>0.2</v>
      </c>
      <c r="X52" s="40" t="s">
        <v>304</v>
      </c>
      <c r="Y52" s="40" t="s">
        <v>284</v>
      </c>
      <c r="Z52" s="40" t="s">
        <v>305</v>
      </c>
      <c r="AA52" s="33" t="s">
        <v>771</v>
      </c>
      <c r="AB52" s="95"/>
      <c r="AC52" s="95"/>
    </row>
    <row r="53" spans="1:29" ht="14.45" hidden="1" customHeight="1" x14ac:dyDescent="0.25">
      <c r="A53" s="36" t="str">
        <f>INDEX('Base de données Mono'!C:C,MATCH(B53,'Base de données Mono'!D:D,0))</f>
        <v>VANNES</v>
      </c>
      <c r="B53" t="s">
        <v>260</v>
      </c>
      <c r="C53" s="36" t="str">
        <f>INDEX('Base de données Mono'!B:B,MATCH(B53,'Base de données Mono'!D:D,0))</f>
        <v>SES8</v>
      </c>
      <c r="D53" s="36" t="str">
        <f>INDEX('Base de données Mono'!A:A,MATCH(B53,'Base de données Mono'!D:D,0))</f>
        <v>AD</v>
      </c>
      <c r="E53" s="37" t="s">
        <v>303</v>
      </c>
      <c r="F53" s="41">
        <f t="shared" si="0"/>
        <v>13</v>
      </c>
      <c r="G53" s="41">
        <f t="shared" si="1"/>
        <v>3</v>
      </c>
      <c r="H53">
        <v>9</v>
      </c>
      <c r="I53" s="131">
        <f>INDEX('Base de données Mono'!K:K,MATCH(B53,'Base de données Mono'!D:D,0))</f>
        <v>0.24305555555555555</v>
      </c>
      <c r="J53" s="131">
        <f>INDEX('Base de données Mono'!L:L,MATCH(B53,'Base de données Mono'!D:D,0))</f>
        <v>0.83333333333333337</v>
      </c>
      <c r="K53" s="131">
        <f>INDEX('Base de données Mono'!M:M,MATCH(B53,'Base de données Mono'!D:D,0))</f>
        <v>0.34722222222222227</v>
      </c>
      <c r="L53" s="131">
        <f>INDEX('Base de données Mono'!N:N,MATCH(B53,'Base de données Mono'!D:D,0))</f>
        <v>0.57986111111111105</v>
      </c>
      <c r="M53" s="33" t="s">
        <v>811</v>
      </c>
      <c r="N53" s="33">
        <f>IF(AND(E53="Electricité",M53="Hiver"),INDEX('Base de données Mono'!E:E,MATCH(B53,'Base de données Mono'!D:D,0)),IF(AND(E53="Electricité",M53="Mi-saison"),INDEX('Base de données Mono'!F:F,MATCH(B53,'Base de données Mono'!D:D,0)),IF(AND(E53="Electricité",M53="Eté"),INDEX('Base de données Mono'!G:G,MATCH(B53,'Base de données Mono'!D:D,0)),IF(AND(E53="Gaz",M53="Hiver"),INDEX('Base de données Mono'!J:J,MATCH(B53,'Base de données Mono'!D:D,0)),IF(AND(E53="Gaz",M53="Mi-saison"),INDEX('Base de données Mono'!#REF!,MATCH(B53,'Base de données Mono'!D:D,0)),IF(AND(E53="Gaz",M53="Eté"),INDEX('Base de données Mono'!#REF!,MATCH(B53,'Base de données Mono'!D:D,0)),"-"))))))</f>
        <v>50</v>
      </c>
      <c r="O53" s="123">
        <v>45375</v>
      </c>
      <c r="P53" s="123">
        <v>45381</v>
      </c>
      <c r="Q53" s="34">
        <v>80</v>
      </c>
      <c r="R53" s="33">
        <f t="shared" si="2"/>
        <v>30</v>
      </c>
      <c r="S53" s="34">
        <v>0.3</v>
      </c>
      <c r="T53" s="34">
        <f t="shared" si="5"/>
        <v>6</v>
      </c>
      <c r="U53" s="33">
        <f t="shared" si="3"/>
        <v>54</v>
      </c>
      <c r="V53" s="38" t="s">
        <v>148</v>
      </c>
      <c r="W53" s="39">
        <f t="shared" si="4"/>
        <v>0.6</v>
      </c>
      <c r="X53" s="40" t="s">
        <v>304</v>
      </c>
      <c r="Y53" s="40" t="s">
        <v>284</v>
      </c>
      <c r="Z53" s="40" t="s">
        <v>307</v>
      </c>
      <c r="AA53" s="33" t="s">
        <v>414</v>
      </c>
      <c r="AB53" s="95"/>
      <c r="AC53" s="95"/>
    </row>
    <row r="54" spans="1:29" ht="14.45" hidden="1" customHeight="1" x14ac:dyDescent="0.25">
      <c r="A54" s="36" t="str">
        <f>INDEX('Base de données Mono'!C:C,MATCH(B54,'Base de données Mono'!D:D,0))</f>
        <v>PERIGUEUX</v>
      </c>
      <c r="B54" t="s">
        <v>29</v>
      </c>
      <c r="C54" s="36" t="str">
        <f>INDEX('Base de données Mono'!B:B,MATCH(B54,'Base de données Mono'!D:D,0))</f>
        <v>SES8</v>
      </c>
      <c r="D54" s="36" t="str">
        <f>INDEX('Base de données Mono'!A:A,MATCH(B54,'Base de données Mono'!D:D,0))</f>
        <v>AD</v>
      </c>
      <c r="E54" s="37" t="s">
        <v>303</v>
      </c>
      <c r="F54" s="41">
        <f t="shared" si="0"/>
        <v>13</v>
      </c>
      <c r="G54" s="41">
        <f t="shared" si="1"/>
        <v>3</v>
      </c>
      <c r="H54">
        <v>9.67</v>
      </c>
      <c r="I54" s="131">
        <f>INDEX('Base de données Mono'!K:K,MATCH(B54,'Base de données Mono'!D:D,0))</f>
        <v>0.24305555555555555</v>
      </c>
      <c r="J54" s="131">
        <f>INDEX('Base de données Mono'!L:L,MATCH(B54,'Base de données Mono'!D:D,0))</f>
        <v>0.84375</v>
      </c>
      <c r="K54" s="131" t="str">
        <f>INDEX('Base de données Mono'!M:M,MATCH(B54,'Base de données Mono'!D:D,0))</f>
        <v>-</v>
      </c>
      <c r="L54" s="131" t="str">
        <f>INDEX('Base de données Mono'!N:N,MATCH(B54,'Base de données Mono'!D:D,0))</f>
        <v>-</v>
      </c>
      <c r="M54" s="33" t="s">
        <v>811</v>
      </c>
      <c r="N54" s="33">
        <f>IF(AND(E54="Electricité",M54="Hiver"),INDEX('Base de données Mono'!E:E,MATCH(B54,'Base de données Mono'!D:D,0)),IF(AND(E54="Electricité",M54="Mi-saison"),INDEX('Base de données Mono'!F:F,MATCH(B54,'Base de données Mono'!D:D,0)),IF(AND(E54="Electricité",M54="Eté"),INDEX('Base de données Mono'!G:G,MATCH(B54,'Base de données Mono'!D:D,0)),IF(AND(E54="Gaz",M54="Hiver"),INDEX('Base de données Mono'!J:J,MATCH(B54,'Base de données Mono'!D:D,0)),IF(AND(E54="Gaz",M54="Mi-saison"),INDEX('Base de données Mono'!#REF!,MATCH(B54,'Base de données Mono'!D:D,0)),IF(AND(E54="Gaz",M54="Eté"),INDEX('Base de données Mono'!#REF!,MATCH(B54,'Base de données Mono'!D:D,0)),"-"))))))</f>
        <v>50</v>
      </c>
      <c r="O54" s="123">
        <v>45379</v>
      </c>
      <c r="P54" s="123">
        <v>45380</v>
      </c>
      <c r="Q54" s="34">
        <v>115</v>
      </c>
      <c r="R54" s="33">
        <f t="shared" si="2"/>
        <v>65</v>
      </c>
      <c r="S54" s="34">
        <v>9.5</v>
      </c>
      <c r="T54" s="34">
        <f t="shared" si="5"/>
        <v>1</v>
      </c>
      <c r="U54" s="33">
        <f t="shared" si="3"/>
        <v>617.5</v>
      </c>
      <c r="V54" s="38" t="s">
        <v>148</v>
      </c>
      <c r="W54" s="39">
        <f t="shared" si="4"/>
        <v>1.3</v>
      </c>
      <c r="X54" s="40" t="s">
        <v>304</v>
      </c>
      <c r="Y54" s="40" t="s">
        <v>284</v>
      </c>
      <c r="Z54" s="40" t="s">
        <v>311</v>
      </c>
      <c r="AA54" s="33" t="s">
        <v>775</v>
      </c>
      <c r="AB54" s="95"/>
      <c r="AC54" s="95"/>
    </row>
    <row r="55" spans="1:29" ht="14.45" hidden="1" customHeight="1" x14ac:dyDescent="0.25">
      <c r="A55" s="36" t="str">
        <f>INDEX('Base de données Mono'!C:C,MATCH(B55,'Base de données Mono'!D:D,0))</f>
        <v>ASNIERES MARCHE</v>
      </c>
      <c r="B55" t="s">
        <v>5</v>
      </c>
      <c r="C55" s="36" t="str">
        <f>INDEX('Base de données Mono'!B:B,MATCH(B55,'Base de données Mono'!D:D,0))</f>
        <v>SES8</v>
      </c>
      <c r="D55" s="36" t="str">
        <f>INDEX('Base de données Mono'!A:A,MATCH(B55,'Base de données Mono'!D:D,0))</f>
        <v>AD</v>
      </c>
      <c r="E55" s="37" t="s">
        <v>303</v>
      </c>
      <c r="F55" s="41">
        <f t="shared" si="0"/>
        <v>13</v>
      </c>
      <c r="G55" s="41">
        <f t="shared" si="1"/>
        <v>3</v>
      </c>
      <c r="H55">
        <v>9.67</v>
      </c>
      <c r="I55" s="131">
        <f>INDEX('Base de données Mono'!K:K,MATCH(B55,'Base de données Mono'!D:D,0))</f>
        <v>0.20833333333333334</v>
      </c>
      <c r="J55" s="131">
        <f>INDEX('Base de données Mono'!L:L,MATCH(B55,'Base de données Mono'!D:D,0))</f>
        <v>0.83333333333333337</v>
      </c>
      <c r="K55" s="131">
        <f>INDEX('Base de données Mono'!M:M,MATCH(B55,'Base de données Mono'!D:D,0))</f>
        <v>0.25</v>
      </c>
      <c r="L55" s="131">
        <f>INDEX('Base de données Mono'!N:N,MATCH(B55,'Base de données Mono'!D:D,0))</f>
        <v>0.79166666666666663</v>
      </c>
      <c r="M55" s="33" t="s">
        <v>811</v>
      </c>
      <c r="N55" s="33">
        <f>IF(AND(E55="Electricité",M55="Hiver"),INDEX('Base de données Mono'!E:E,MATCH(B55,'Base de données Mono'!D:D,0)),IF(AND(E55="Electricité",M55="Mi-saison"),INDEX('Base de données Mono'!F:F,MATCH(B55,'Base de données Mono'!D:D,0)),IF(AND(E55="Electricité",M55="Eté"),INDEX('Base de données Mono'!G:G,MATCH(B55,'Base de données Mono'!D:D,0)),IF(AND(E55="Gaz",M55="Hiver"),INDEX('Base de données Mono'!J:J,MATCH(B55,'Base de données Mono'!D:D,0)),IF(AND(E55="Gaz",M55="Mi-saison"),INDEX('Base de données Mono'!#REF!,MATCH(B55,'Base de données Mono'!D:D,0)),IF(AND(E55="Gaz",M55="Eté"),INDEX('Base de données Mono'!#REF!,MATCH(B55,'Base de données Mono'!D:D,0)),"-"))))))</f>
        <v>45</v>
      </c>
      <c r="O55" s="123">
        <v>45376</v>
      </c>
      <c r="P55" s="123">
        <v>45382</v>
      </c>
      <c r="Q55" s="34">
        <v>70</v>
      </c>
      <c r="R55" s="33">
        <f t="shared" si="2"/>
        <v>25</v>
      </c>
      <c r="S55" s="34">
        <v>0.8</v>
      </c>
      <c r="T55" s="34">
        <f t="shared" si="5"/>
        <v>6</v>
      </c>
      <c r="U55" s="33">
        <f t="shared" si="3"/>
        <v>120</v>
      </c>
      <c r="V55" s="38" t="s">
        <v>148</v>
      </c>
      <c r="W55" s="39">
        <f t="shared" si="4"/>
        <v>0.55555555555555558</v>
      </c>
      <c r="X55" s="40" t="s">
        <v>304</v>
      </c>
      <c r="Y55" s="40" t="s">
        <v>284</v>
      </c>
      <c r="Z55" s="40" t="s">
        <v>307</v>
      </c>
      <c r="AA55" s="33" t="s">
        <v>313</v>
      </c>
      <c r="AB55" s="95"/>
      <c r="AC55" s="95"/>
    </row>
    <row r="56" spans="1:29" ht="14.45" hidden="1" customHeight="1" x14ac:dyDescent="0.25">
      <c r="A56" s="36" t="str">
        <f>INDEX('Base de données Mono'!C:C,MATCH(B56,'Base de données Mono'!D:D,0))</f>
        <v>VINCI COURBEVOIE</v>
      </c>
      <c r="B56" t="s">
        <v>279</v>
      </c>
      <c r="C56" s="36" t="str">
        <f>INDEX('Base de données Mono'!B:B,MATCH(B56,'Base de données Mono'!D:D,0))</f>
        <v>SES8</v>
      </c>
      <c r="D56" s="36" t="str">
        <f>INDEX('Base de données Mono'!A:A,MATCH(B56,'Base de données Mono'!D:D,0))</f>
        <v>AD</v>
      </c>
      <c r="E56" s="37" t="s">
        <v>303</v>
      </c>
      <c r="F56" s="41">
        <f t="shared" si="0"/>
        <v>13</v>
      </c>
      <c r="G56" s="41">
        <f t="shared" si="1"/>
        <v>3</v>
      </c>
      <c r="H56">
        <v>7</v>
      </c>
      <c r="I56" s="131">
        <f>INDEX('Base de données Mono'!K:K,MATCH(B56,'Base de données Mono'!D:D,0))</f>
        <v>0.25</v>
      </c>
      <c r="J56" s="131">
        <f>INDEX('Base de données Mono'!L:L,MATCH(B56,'Base de données Mono'!D:D,0))</f>
        <v>0.91666666666666663</v>
      </c>
      <c r="K56" s="131">
        <f>INDEX('Base de données Mono'!M:M,MATCH(B56,'Base de données Mono'!D:D,0))</f>
        <v>0.27777777777777779</v>
      </c>
      <c r="L56" s="131">
        <f>INDEX('Base de données Mono'!N:N,MATCH(B56,'Base de données Mono'!D:D,0))</f>
        <v>0.5625</v>
      </c>
      <c r="M56" s="33" t="s">
        <v>811</v>
      </c>
      <c r="N56" s="33">
        <f>IF(AND(E56="Electricité",M56="Hiver"),INDEX('Base de données Mono'!E:E,MATCH(B56,'Base de données Mono'!D:D,0)),IF(AND(E56="Electricité",M56="Mi-saison"),INDEX('Base de données Mono'!F:F,MATCH(B56,'Base de données Mono'!D:D,0)),IF(AND(E56="Electricité",M56="Eté"),INDEX('Base de données Mono'!G:G,MATCH(B56,'Base de données Mono'!D:D,0)),IF(AND(E56="Gaz",M56="Hiver"),INDEX('Base de données Mono'!J:J,MATCH(B56,'Base de données Mono'!D:D,0)),IF(AND(E56="Gaz",M56="Mi-saison"),INDEX('Base de données Mono'!#REF!,MATCH(B56,'Base de données Mono'!D:D,0)),IF(AND(E56="Gaz",M56="Eté"),INDEX('Base de données Mono'!#REF!,MATCH(B56,'Base de données Mono'!D:D,0)),"-"))))))</f>
        <v>65</v>
      </c>
      <c r="O56" s="123">
        <v>45375</v>
      </c>
      <c r="P56" s="123">
        <v>45378</v>
      </c>
      <c r="Q56" s="34">
        <v>80</v>
      </c>
      <c r="R56" s="33">
        <f t="shared" si="2"/>
        <v>15</v>
      </c>
      <c r="S56" s="34">
        <v>8</v>
      </c>
      <c r="T56" s="34">
        <f t="shared" si="5"/>
        <v>3</v>
      </c>
      <c r="U56" s="33">
        <f t="shared" si="3"/>
        <v>360</v>
      </c>
      <c r="V56" s="38" t="s">
        <v>148</v>
      </c>
      <c r="W56" s="39">
        <f t="shared" si="4"/>
        <v>0.23076923076923078</v>
      </c>
      <c r="X56" s="40" t="s">
        <v>304</v>
      </c>
      <c r="Y56" s="40" t="s">
        <v>284</v>
      </c>
      <c r="Z56" s="40" t="s">
        <v>305</v>
      </c>
      <c r="AA56" s="33" t="s">
        <v>771</v>
      </c>
      <c r="AB56" s="95"/>
      <c r="AC56" s="95"/>
    </row>
    <row r="57" spans="1:29" ht="14.45" hidden="1" customHeight="1" x14ac:dyDescent="0.25">
      <c r="A57" s="36" t="str">
        <f>INDEX('Base de données Mono'!C:C,MATCH(B57,'Base de données Mono'!D:D,0))</f>
        <v>VINCI COURBEVOIE</v>
      </c>
      <c r="B57" t="s">
        <v>279</v>
      </c>
      <c r="C57" s="36" t="str">
        <f>INDEX('Base de données Mono'!B:B,MATCH(B57,'Base de données Mono'!D:D,0))</f>
        <v>SES8</v>
      </c>
      <c r="D57" s="36" t="str">
        <f>INDEX('Base de données Mono'!A:A,MATCH(B57,'Base de données Mono'!D:D,0))</f>
        <v>AD</v>
      </c>
      <c r="E57" s="37" t="s">
        <v>303</v>
      </c>
      <c r="F57" s="41">
        <f t="shared" si="0"/>
        <v>13</v>
      </c>
      <c r="G57" s="41">
        <f t="shared" si="1"/>
        <v>3</v>
      </c>
      <c r="H57">
        <v>7</v>
      </c>
      <c r="I57" s="131">
        <f>INDEX('Base de données Mono'!K:K,MATCH(B57,'Base de données Mono'!D:D,0))</f>
        <v>0.25</v>
      </c>
      <c r="J57" s="131">
        <f>INDEX('Base de données Mono'!L:L,MATCH(B57,'Base de données Mono'!D:D,0))</f>
        <v>0.91666666666666663</v>
      </c>
      <c r="K57" s="131">
        <f>INDEX('Base de données Mono'!M:M,MATCH(B57,'Base de données Mono'!D:D,0))</f>
        <v>0.27777777777777779</v>
      </c>
      <c r="L57" s="131">
        <f>INDEX('Base de données Mono'!N:N,MATCH(B57,'Base de données Mono'!D:D,0))</f>
        <v>0.5625</v>
      </c>
      <c r="M57" s="33" t="s">
        <v>811</v>
      </c>
      <c r="N57" s="33">
        <f>IF(AND(E57="Electricité",M57="Hiver"),INDEX('Base de données Mono'!E:E,MATCH(B57,'Base de données Mono'!D:D,0)),IF(AND(E57="Electricité",M57="Mi-saison"),INDEX('Base de données Mono'!F:F,MATCH(B57,'Base de données Mono'!D:D,0)),IF(AND(E57="Electricité",M57="Eté"),INDEX('Base de données Mono'!G:G,MATCH(B57,'Base de données Mono'!D:D,0)),IF(AND(E57="Gaz",M57="Hiver"),INDEX('Base de données Mono'!J:J,MATCH(B57,'Base de données Mono'!D:D,0)),IF(AND(E57="Gaz",M57="Mi-saison"),INDEX('Base de données Mono'!#REF!,MATCH(B57,'Base de données Mono'!D:D,0)),IF(AND(E57="Gaz",M57="Eté"),INDEX('Base de données Mono'!#REF!,MATCH(B57,'Base de données Mono'!D:D,0)),"-"))))))</f>
        <v>65</v>
      </c>
      <c r="O57" s="123">
        <v>45378</v>
      </c>
      <c r="P57" s="123">
        <v>45379</v>
      </c>
      <c r="Q57" s="34">
        <v>120</v>
      </c>
      <c r="R57" s="33">
        <f t="shared" si="2"/>
        <v>55</v>
      </c>
      <c r="S57" s="34">
        <v>8</v>
      </c>
      <c r="T57" s="34">
        <f t="shared" si="5"/>
        <v>1</v>
      </c>
      <c r="U57" s="33">
        <f t="shared" si="3"/>
        <v>440</v>
      </c>
      <c r="V57" s="38" t="s">
        <v>148</v>
      </c>
      <c r="W57" s="39">
        <f t="shared" si="4"/>
        <v>0.84615384615384615</v>
      </c>
      <c r="X57" s="40" t="s">
        <v>304</v>
      </c>
      <c r="Y57" s="40" t="s">
        <v>284</v>
      </c>
      <c r="Z57" s="40" t="s">
        <v>311</v>
      </c>
      <c r="AA57" s="33" t="s">
        <v>775</v>
      </c>
      <c r="AB57" s="95"/>
      <c r="AC57" s="95"/>
    </row>
    <row r="58" spans="1:29" ht="14.45" hidden="1" customHeight="1" x14ac:dyDescent="0.25">
      <c r="A58" s="36" t="str">
        <f>INDEX('Base de données Mono'!C:C,MATCH(B58,'Base de données Mono'!D:D,0))</f>
        <v>VINCI COURBEVOIE</v>
      </c>
      <c r="B58" t="s">
        <v>279</v>
      </c>
      <c r="C58" s="36" t="str">
        <f>INDEX('Base de données Mono'!B:B,MATCH(B58,'Base de données Mono'!D:D,0))</f>
        <v>SES8</v>
      </c>
      <c r="D58" s="36" t="str">
        <f>INDEX('Base de données Mono'!A:A,MATCH(B58,'Base de données Mono'!D:D,0))</f>
        <v>AD</v>
      </c>
      <c r="E58" s="37" t="s">
        <v>303</v>
      </c>
      <c r="F58" s="41">
        <f t="shared" si="0"/>
        <v>13</v>
      </c>
      <c r="G58" s="41">
        <f t="shared" si="1"/>
        <v>3</v>
      </c>
      <c r="H58">
        <v>7</v>
      </c>
      <c r="I58" s="131">
        <f>INDEX('Base de données Mono'!K:K,MATCH(B58,'Base de données Mono'!D:D,0))</f>
        <v>0.25</v>
      </c>
      <c r="J58" s="131">
        <f>INDEX('Base de données Mono'!L:L,MATCH(B58,'Base de données Mono'!D:D,0))</f>
        <v>0.91666666666666663</v>
      </c>
      <c r="K58" s="131">
        <f>INDEX('Base de données Mono'!M:M,MATCH(B58,'Base de données Mono'!D:D,0))</f>
        <v>0.27777777777777779</v>
      </c>
      <c r="L58" s="131">
        <f>INDEX('Base de données Mono'!N:N,MATCH(B58,'Base de données Mono'!D:D,0))</f>
        <v>0.5625</v>
      </c>
      <c r="M58" s="33" t="s">
        <v>811</v>
      </c>
      <c r="N58" s="33">
        <f>IF(AND(E58="Electricité",M58="Hiver"),INDEX('Base de données Mono'!E:E,MATCH(B58,'Base de données Mono'!D:D,0)),IF(AND(E58="Electricité",M58="Mi-saison"),INDEX('Base de données Mono'!F:F,MATCH(B58,'Base de données Mono'!D:D,0)),IF(AND(E58="Electricité",M58="Eté"),INDEX('Base de données Mono'!G:G,MATCH(B58,'Base de données Mono'!D:D,0)),IF(AND(E58="Gaz",M58="Hiver"),INDEX('Base de données Mono'!J:J,MATCH(B58,'Base de données Mono'!D:D,0)),IF(AND(E58="Gaz",M58="Mi-saison"),INDEX('Base de données Mono'!#REF!,MATCH(B58,'Base de données Mono'!D:D,0)),IF(AND(E58="Gaz",M58="Eté"),INDEX('Base de données Mono'!#REF!,MATCH(B58,'Base de données Mono'!D:D,0)),"-"))))))</f>
        <v>65</v>
      </c>
      <c r="O58" s="123">
        <v>45379</v>
      </c>
      <c r="P58" s="123">
        <v>45381</v>
      </c>
      <c r="Q58" s="34">
        <v>80</v>
      </c>
      <c r="R58" s="33">
        <f t="shared" si="2"/>
        <v>15</v>
      </c>
      <c r="S58" s="34">
        <v>8</v>
      </c>
      <c r="T58" s="34">
        <f t="shared" si="5"/>
        <v>2</v>
      </c>
      <c r="U58" s="33">
        <f t="shared" si="3"/>
        <v>240</v>
      </c>
      <c r="V58" s="38" t="s">
        <v>148</v>
      </c>
      <c r="W58" s="39">
        <f t="shared" si="4"/>
        <v>0.23076923076923078</v>
      </c>
      <c r="X58" s="40" t="s">
        <v>304</v>
      </c>
      <c r="Y58" s="40" t="s">
        <v>284</v>
      </c>
      <c r="Z58" s="40" t="s">
        <v>305</v>
      </c>
      <c r="AA58" s="33" t="s">
        <v>771</v>
      </c>
      <c r="AB58" s="95"/>
      <c r="AC58" s="95"/>
    </row>
    <row r="59" spans="1:29" ht="14.45" hidden="1" customHeight="1" x14ac:dyDescent="0.25">
      <c r="A59" s="36" t="str">
        <f>INDEX('Base de données Mono'!C:C,MATCH(B59,'Base de données Mono'!D:D,0))</f>
        <v>VINCI COURBEVOIE</v>
      </c>
      <c r="B59" t="s">
        <v>279</v>
      </c>
      <c r="C59" s="36" t="str">
        <f>INDEX('Base de données Mono'!B:B,MATCH(B59,'Base de données Mono'!D:D,0))</f>
        <v>SES8</v>
      </c>
      <c r="D59" s="36" t="str">
        <f>INDEX('Base de données Mono'!A:A,MATCH(B59,'Base de données Mono'!D:D,0))</f>
        <v>AD</v>
      </c>
      <c r="E59" s="37" t="s">
        <v>303</v>
      </c>
      <c r="F59" s="41">
        <f t="shared" si="0"/>
        <v>13</v>
      </c>
      <c r="G59" s="41">
        <f t="shared" si="1"/>
        <v>3</v>
      </c>
      <c r="H59">
        <v>7</v>
      </c>
      <c r="I59" s="131">
        <f>INDEX('Base de données Mono'!K:K,MATCH(B59,'Base de données Mono'!D:D,0))</f>
        <v>0.25</v>
      </c>
      <c r="J59" s="131">
        <f>INDEX('Base de données Mono'!L:L,MATCH(B59,'Base de données Mono'!D:D,0))</f>
        <v>0.91666666666666663</v>
      </c>
      <c r="K59" s="131">
        <f>INDEX('Base de données Mono'!M:M,MATCH(B59,'Base de données Mono'!D:D,0))</f>
        <v>0.27777777777777779</v>
      </c>
      <c r="L59" s="131">
        <f>INDEX('Base de données Mono'!N:N,MATCH(B59,'Base de données Mono'!D:D,0))</f>
        <v>0.5625</v>
      </c>
      <c r="M59" s="33" t="s">
        <v>811</v>
      </c>
      <c r="N59" s="33">
        <f>IF(AND(E59="Electricité",M59="Hiver"),INDEX('Base de données Mono'!E:E,MATCH(B59,'Base de données Mono'!D:D,0)),IF(AND(E59="Electricité",M59="Mi-saison"),INDEX('Base de données Mono'!F:F,MATCH(B59,'Base de données Mono'!D:D,0)),IF(AND(E59="Electricité",M59="Eté"),INDEX('Base de données Mono'!G:G,MATCH(B59,'Base de données Mono'!D:D,0)),IF(AND(E59="Gaz",M59="Hiver"),INDEX('Base de données Mono'!J:J,MATCH(B59,'Base de données Mono'!D:D,0)),IF(AND(E59="Gaz",M59="Mi-saison"),INDEX('Base de données Mono'!#REF!,MATCH(B59,'Base de données Mono'!D:D,0)),IF(AND(E59="Gaz",M59="Eté"),INDEX('Base de données Mono'!#REF!,MATCH(B59,'Base de données Mono'!D:D,0)),"-"))))))</f>
        <v>65</v>
      </c>
      <c r="O59" s="123">
        <v>45381</v>
      </c>
      <c r="P59" s="123">
        <v>45382</v>
      </c>
      <c r="Q59" s="34">
        <v>80</v>
      </c>
      <c r="R59" s="33">
        <f t="shared" si="2"/>
        <v>15</v>
      </c>
      <c r="S59" s="34">
        <v>8.6</v>
      </c>
      <c r="T59" s="34">
        <f t="shared" si="5"/>
        <v>1</v>
      </c>
      <c r="U59" s="33">
        <f t="shared" si="3"/>
        <v>129</v>
      </c>
      <c r="V59" s="38" t="s">
        <v>148</v>
      </c>
      <c r="W59" s="39">
        <f t="shared" si="4"/>
        <v>0.23076923076923078</v>
      </c>
      <c r="X59" s="40" t="s">
        <v>304</v>
      </c>
      <c r="Y59" s="40" t="s">
        <v>284</v>
      </c>
      <c r="Z59" s="40" t="s">
        <v>305</v>
      </c>
      <c r="AA59" s="33" t="s">
        <v>771</v>
      </c>
      <c r="AB59" s="95"/>
      <c r="AC59" s="95"/>
    </row>
    <row r="60" spans="1:29" ht="14.45" hidden="1" customHeight="1" x14ac:dyDescent="0.25">
      <c r="A60" s="36" t="str">
        <f>INDEX('Base de données Mono'!C:C,MATCH(B60,'Base de données Mono'!D:D,0))</f>
        <v>RENNES COLOMBIA</v>
      </c>
      <c r="B60" t="s">
        <v>30</v>
      </c>
      <c r="C60" s="36" t="str">
        <f>INDEX('Base de données Mono'!B:B,MATCH(B60,'Base de données Mono'!D:D,0))</f>
        <v>SES8</v>
      </c>
      <c r="D60" s="36" t="str">
        <f>INDEX('Base de données Mono'!A:A,MATCH(B60,'Base de données Mono'!D:D,0))</f>
        <v>AD</v>
      </c>
      <c r="E60" s="37" t="s">
        <v>303</v>
      </c>
      <c r="F60" s="41">
        <f t="shared" si="0"/>
        <v>13</v>
      </c>
      <c r="G60" s="41">
        <f t="shared" si="1"/>
        <v>3</v>
      </c>
      <c r="H60">
        <v>7</v>
      </c>
      <c r="I60" s="131">
        <f>INDEX('Base de données Mono'!K:K,MATCH(B60,'Base de données Mono'!D:D,0))</f>
        <v>0.22916666666666666</v>
      </c>
      <c r="J60" s="131">
        <f>INDEX('Base de données Mono'!L:L,MATCH(B60,'Base de données Mono'!D:D,0))</f>
        <v>0.86458333333333337</v>
      </c>
      <c r="K60" s="131" t="str">
        <f>INDEX('Base de données Mono'!M:M,MATCH(B60,'Base de données Mono'!D:D,0))</f>
        <v>-</v>
      </c>
      <c r="L60" s="131" t="str">
        <f>INDEX('Base de données Mono'!N:N,MATCH(B60,'Base de données Mono'!D:D,0))</f>
        <v>-</v>
      </c>
      <c r="M60" s="33" t="s">
        <v>811</v>
      </c>
      <c r="N60" s="33">
        <f>IF(AND(E60="Electricité",M60="Hiver"),INDEX('Base de données Mono'!E:E,MATCH(B60,'Base de données Mono'!D:D,0)),IF(AND(E60="Electricité",M60="Mi-saison"),INDEX('Base de données Mono'!F:F,MATCH(B60,'Base de données Mono'!D:D,0)),IF(AND(E60="Electricité",M60="Eté"),INDEX('Base de données Mono'!G:G,MATCH(B60,'Base de données Mono'!D:D,0)),IF(AND(E60="Gaz",M60="Hiver"),INDEX('Base de données Mono'!J:J,MATCH(B60,'Base de données Mono'!D:D,0)),IF(AND(E60="Gaz",M60="Mi-saison"),INDEX('Base de données Mono'!#REF!,MATCH(B60,'Base de données Mono'!D:D,0)),IF(AND(E60="Gaz",M60="Eté"),INDEX('Base de données Mono'!#REF!,MATCH(B60,'Base de données Mono'!D:D,0)),"-"))))))</f>
        <v>60</v>
      </c>
      <c r="O60" s="123">
        <v>45375</v>
      </c>
      <c r="P60" s="123">
        <v>45381</v>
      </c>
      <c r="Q60" s="34">
        <v>85</v>
      </c>
      <c r="R60" s="33">
        <f t="shared" si="2"/>
        <v>25</v>
      </c>
      <c r="S60" s="164">
        <v>0.5</v>
      </c>
      <c r="T60" s="34">
        <f t="shared" si="5"/>
        <v>6</v>
      </c>
      <c r="U60" s="33">
        <f t="shared" si="3"/>
        <v>75</v>
      </c>
      <c r="V60" s="38" t="s">
        <v>148</v>
      </c>
      <c r="W60" s="39">
        <f t="shared" si="4"/>
        <v>0.41666666666666669</v>
      </c>
      <c r="X60" s="40" t="s">
        <v>304</v>
      </c>
      <c r="Y60" s="40" t="s">
        <v>284</v>
      </c>
      <c r="Z60" s="40" t="s">
        <v>307</v>
      </c>
      <c r="AA60" s="33" t="s">
        <v>414</v>
      </c>
      <c r="AB60" s="95"/>
      <c r="AC60" s="95"/>
    </row>
    <row r="61" spans="1:29" ht="14.45" hidden="1" customHeight="1" x14ac:dyDescent="0.25">
      <c r="A61" s="36" t="str">
        <f>INDEX('Base de données Mono'!C:C,MATCH(B61,'Base de données Mono'!D:D,0))</f>
        <v>RENNES COLOMBIA</v>
      </c>
      <c r="B61" t="s">
        <v>30</v>
      </c>
      <c r="C61" s="36" t="str">
        <f>INDEX('Base de données Mono'!B:B,MATCH(B61,'Base de données Mono'!D:D,0))</f>
        <v>SES8</v>
      </c>
      <c r="D61" s="36" t="str">
        <f>INDEX('Base de données Mono'!A:A,MATCH(B61,'Base de données Mono'!D:D,0))</f>
        <v>AD</v>
      </c>
      <c r="E61" s="37" t="s">
        <v>303</v>
      </c>
      <c r="F61" s="41">
        <f t="shared" si="0"/>
        <v>13</v>
      </c>
      <c r="G61" s="41">
        <f t="shared" si="1"/>
        <v>3</v>
      </c>
      <c r="H61">
        <v>11</v>
      </c>
      <c r="I61" s="131">
        <f>INDEX('Base de données Mono'!K:K,MATCH(B61,'Base de données Mono'!D:D,0))</f>
        <v>0.22916666666666666</v>
      </c>
      <c r="J61" s="131">
        <f>INDEX('Base de données Mono'!L:L,MATCH(B61,'Base de données Mono'!D:D,0))</f>
        <v>0.86458333333333337</v>
      </c>
      <c r="K61" s="131" t="str">
        <f>INDEX('Base de données Mono'!M:M,MATCH(B61,'Base de données Mono'!D:D,0))</f>
        <v>-</v>
      </c>
      <c r="L61" s="131" t="str">
        <f>INDEX('Base de données Mono'!N:N,MATCH(B61,'Base de données Mono'!D:D,0))</f>
        <v>-</v>
      </c>
      <c r="M61" s="33" t="s">
        <v>811</v>
      </c>
      <c r="N61" s="33">
        <f>IF(AND(E61="Electricité",M61="Hiver"),INDEX('Base de données Mono'!E:E,MATCH(B61,'Base de données Mono'!D:D,0)),IF(AND(E61="Electricité",M61="Mi-saison"),INDEX('Base de données Mono'!F:F,MATCH(B61,'Base de données Mono'!D:D,0)),IF(AND(E61="Electricité",M61="Eté"),INDEX('Base de données Mono'!G:G,MATCH(B61,'Base de données Mono'!D:D,0)),IF(AND(E61="Gaz",M61="Hiver"),INDEX('Base de données Mono'!J:J,MATCH(B61,'Base de données Mono'!D:D,0)),IF(AND(E61="Gaz",M61="Mi-saison"),INDEX('Base de données Mono'!#REF!,MATCH(B61,'Base de données Mono'!D:D,0)),IF(AND(E61="Gaz",M61="Eté"),INDEX('Base de données Mono'!#REF!,MATCH(B61,'Base de données Mono'!D:D,0)),"-"))))))</f>
        <v>60</v>
      </c>
      <c r="O61" s="123">
        <v>45375</v>
      </c>
      <c r="P61" s="123">
        <v>45382</v>
      </c>
      <c r="Q61" s="34">
        <v>65</v>
      </c>
      <c r="R61" s="33">
        <f t="shared" si="2"/>
        <v>5</v>
      </c>
      <c r="S61" s="34">
        <v>5</v>
      </c>
      <c r="T61" s="34">
        <f t="shared" si="5"/>
        <v>7</v>
      </c>
      <c r="U61" s="33">
        <f t="shared" si="3"/>
        <v>175</v>
      </c>
      <c r="V61" s="38" t="s">
        <v>148</v>
      </c>
      <c r="W61" s="39">
        <f t="shared" si="4"/>
        <v>8.3333333333333329E-2</v>
      </c>
      <c r="X61" s="40" t="s">
        <v>304</v>
      </c>
      <c r="Y61" s="40" t="s">
        <v>284</v>
      </c>
      <c r="Z61" s="40" t="s">
        <v>305</v>
      </c>
      <c r="AA61" s="33" t="s">
        <v>771</v>
      </c>
      <c r="AB61" s="95"/>
      <c r="AC61" s="95"/>
    </row>
    <row r="62" spans="1:29" ht="14.45" hidden="1" customHeight="1" x14ac:dyDescent="0.25">
      <c r="A62" s="36" t="str">
        <f>INDEX('Base de données Mono'!C:C,MATCH(B62,'Base de données Mono'!D:D,0))</f>
        <v>BOULOGNE LES PASSAGES</v>
      </c>
      <c r="B62" t="s">
        <v>7</v>
      </c>
      <c r="C62" s="36" t="str">
        <f>INDEX('Base de données Mono'!B:B,MATCH(B62,'Base de données Mono'!D:D,0))</f>
        <v>SES8</v>
      </c>
      <c r="D62" s="36" t="str">
        <f>INDEX('Base de données Mono'!A:A,MATCH(B62,'Base de données Mono'!D:D,0))</f>
        <v>AD</v>
      </c>
      <c r="E62" s="37" t="s">
        <v>303</v>
      </c>
      <c r="F62" s="41">
        <f t="shared" si="0"/>
        <v>13</v>
      </c>
      <c r="G62" s="41">
        <f t="shared" si="1"/>
        <v>3</v>
      </c>
      <c r="H62">
        <v>11</v>
      </c>
      <c r="I62" s="131">
        <f>INDEX('Base de données Mono'!K:K,MATCH(B62,'Base de données Mono'!D:D,0))</f>
        <v>0.20833333333333334</v>
      </c>
      <c r="J62" s="131">
        <f>INDEX('Base de données Mono'!L:L,MATCH(B62,'Base de données Mono'!D:D,0))</f>
        <v>0.85416666666666663</v>
      </c>
      <c r="K62" s="131" t="str">
        <f>INDEX('Base de données Mono'!M:M,MATCH(B62,'Base de données Mono'!D:D,0))</f>
        <v>-</v>
      </c>
      <c r="L62" s="131" t="str">
        <f>INDEX('Base de données Mono'!N:N,MATCH(B62,'Base de données Mono'!D:D,0))</f>
        <v>-</v>
      </c>
      <c r="M62" s="33" t="s">
        <v>811</v>
      </c>
      <c r="N62" s="33">
        <f>IF(AND(E62="Electricité",M62="Hiver"),INDEX('Base de données Mono'!E:E,MATCH(B62,'Base de données Mono'!D:D,0)),IF(AND(E62="Electricité",M62="Mi-saison"),INDEX('Base de données Mono'!F:F,MATCH(B62,'Base de données Mono'!D:D,0)),IF(AND(E62="Electricité",M62="Eté"),INDEX('Base de données Mono'!G:G,MATCH(B62,'Base de données Mono'!D:D,0)),IF(AND(E62="Gaz",M62="Hiver"),INDEX('Base de données Mono'!J:J,MATCH(B62,'Base de données Mono'!D:D,0)),IF(AND(E62="Gaz",M62="Mi-saison"),INDEX('Base de données Mono'!#REF!,MATCH(B62,'Base de données Mono'!D:D,0)),IF(AND(E62="Gaz",M62="Eté"),INDEX('Base de données Mono'!#REF!,MATCH(B62,'Base de données Mono'!D:D,0)),"-"))))))</f>
        <v>95</v>
      </c>
      <c r="O62" s="123">
        <v>45375</v>
      </c>
      <c r="P62" s="123">
        <v>45376</v>
      </c>
      <c r="Q62" s="34">
        <v>110</v>
      </c>
      <c r="R62" s="33">
        <f t="shared" si="2"/>
        <v>15</v>
      </c>
      <c r="S62" s="34">
        <v>8.5</v>
      </c>
      <c r="T62" s="34">
        <f t="shared" si="5"/>
        <v>1</v>
      </c>
      <c r="U62" s="33">
        <f t="shared" si="3"/>
        <v>127.5</v>
      </c>
      <c r="V62" s="38" t="s">
        <v>148</v>
      </c>
      <c r="W62" s="39">
        <f t="shared" si="4"/>
        <v>0.15789473684210525</v>
      </c>
      <c r="X62" s="40" t="s">
        <v>304</v>
      </c>
      <c r="Y62" s="40" t="s">
        <v>284</v>
      </c>
      <c r="Z62" s="40" t="s">
        <v>305</v>
      </c>
      <c r="AA62" s="33" t="s">
        <v>771</v>
      </c>
      <c r="AB62" s="95"/>
      <c r="AC62" s="95"/>
    </row>
    <row r="63" spans="1:29" ht="14.45" hidden="1" customHeight="1" x14ac:dyDescent="0.25">
      <c r="A63" s="36" t="str">
        <f>INDEX('Base de données Mono'!C:C,MATCH(B63,'Base de données Mono'!D:D,0))</f>
        <v>BOULOGNE LES PASSAGES</v>
      </c>
      <c r="B63" t="s">
        <v>7</v>
      </c>
      <c r="C63" s="36" t="str">
        <f>INDEX('Base de données Mono'!B:B,MATCH(B63,'Base de données Mono'!D:D,0))</f>
        <v>SES8</v>
      </c>
      <c r="D63" s="36" t="str">
        <f>INDEX('Base de données Mono'!A:A,MATCH(B63,'Base de données Mono'!D:D,0))</f>
        <v>AD</v>
      </c>
      <c r="E63" s="37" t="s">
        <v>303</v>
      </c>
      <c r="F63" s="41">
        <f t="shared" si="0"/>
        <v>13</v>
      </c>
      <c r="G63" s="41">
        <f t="shared" si="1"/>
        <v>3</v>
      </c>
      <c r="H63">
        <v>11</v>
      </c>
      <c r="I63" s="131">
        <f>INDEX('Base de données Mono'!K:K,MATCH(B63,'Base de données Mono'!D:D,0))</f>
        <v>0.20833333333333334</v>
      </c>
      <c r="J63" s="131">
        <f>INDEX('Base de données Mono'!L:L,MATCH(B63,'Base de données Mono'!D:D,0))</f>
        <v>0.85416666666666663</v>
      </c>
      <c r="K63" s="131" t="str">
        <f>INDEX('Base de données Mono'!M:M,MATCH(B63,'Base de données Mono'!D:D,0))</f>
        <v>-</v>
      </c>
      <c r="L63" s="131" t="str">
        <f>INDEX('Base de données Mono'!N:N,MATCH(B63,'Base de données Mono'!D:D,0))</f>
        <v>-</v>
      </c>
      <c r="M63" s="33" t="s">
        <v>811</v>
      </c>
      <c r="N63" s="33">
        <f>IF(AND(E63="Electricité",M63="Hiver"),INDEX('Base de données Mono'!E:E,MATCH(B63,'Base de données Mono'!D:D,0)),IF(AND(E63="Electricité",M63="Mi-saison"),INDEX('Base de données Mono'!F:F,MATCH(B63,'Base de données Mono'!D:D,0)),IF(AND(E63="Electricité",M63="Eté"),INDEX('Base de données Mono'!G:G,MATCH(B63,'Base de données Mono'!D:D,0)),IF(AND(E63="Gaz",M63="Hiver"),INDEX('Base de données Mono'!J:J,MATCH(B63,'Base de données Mono'!D:D,0)),IF(AND(E63="Gaz",M63="Mi-saison"),INDEX('Base de données Mono'!#REF!,MATCH(B63,'Base de données Mono'!D:D,0)),IF(AND(E63="Gaz",M63="Eté"),INDEX('Base de données Mono'!#REF!,MATCH(B63,'Base de données Mono'!D:D,0)),"-"))))))</f>
        <v>95</v>
      </c>
      <c r="O63" s="123">
        <v>45376</v>
      </c>
      <c r="P63" s="123">
        <v>45378</v>
      </c>
      <c r="Q63" s="34">
        <v>160</v>
      </c>
      <c r="R63" s="33">
        <f t="shared" si="2"/>
        <v>65</v>
      </c>
      <c r="S63" s="34">
        <v>8.5</v>
      </c>
      <c r="T63" s="34">
        <f t="shared" si="5"/>
        <v>2</v>
      </c>
      <c r="U63" s="33">
        <f t="shared" si="3"/>
        <v>1105</v>
      </c>
      <c r="V63" s="38" t="s">
        <v>148</v>
      </c>
      <c r="W63" s="39">
        <f t="shared" si="4"/>
        <v>0.68421052631578949</v>
      </c>
      <c r="X63" s="40" t="s">
        <v>304</v>
      </c>
      <c r="Y63" s="40" t="s">
        <v>284</v>
      </c>
      <c r="Z63" s="40" t="s">
        <v>311</v>
      </c>
      <c r="AA63" s="33" t="s">
        <v>775</v>
      </c>
      <c r="AB63" s="95"/>
      <c r="AC63" s="95"/>
    </row>
    <row r="64" spans="1:29" ht="14.45" hidden="1" customHeight="1" x14ac:dyDescent="0.25">
      <c r="A64" s="36" t="str">
        <f>INDEX('Base de données Mono'!C:C,MATCH(B64,'Base de données Mono'!D:D,0))</f>
        <v>BOULOGNE LES PASSAGES</v>
      </c>
      <c r="B64" t="s">
        <v>7</v>
      </c>
      <c r="C64" s="36" t="str">
        <f>INDEX('Base de données Mono'!B:B,MATCH(B64,'Base de données Mono'!D:D,0))</f>
        <v>SES8</v>
      </c>
      <c r="D64" s="36" t="str">
        <f>INDEX('Base de données Mono'!A:A,MATCH(B64,'Base de données Mono'!D:D,0))</f>
        <v>AD</v>
      </c>
      <c r="E64" s="37" t="s">
        <v>303</v>
      </c>
      <c r="F64" s="41">
        <f t="shared" si="0"/>
        <v>13</v>
      </c>
      <c r="G64" s="41">
        <f t="shared" si="1"/>
        <v>3</v>
      </c>
      <c r="H64">
        <v>6</v>
      </c>
      <c r="I64" s="131">
        <f>INDEX('Base de données Mono'!K:K,MATCH(B64,'Base de données Mono'!D:D,0))</f>
        <v>0.20833333333333334</v>
      </c>
      <c r="J64" s="131">
        <f>INDEX('Base de données Mono'!L:L,MATCH(B64,'Base de données Mono'!D:D,0))</f>
        <v>0.85416666666666663</v>
      </c>
      <c r="K64" s="131" t="str">
        <f>INDEX('Base de données Mono'!M:M,MATCH(B64,'Base de données Mono'!D:D,0))</f>
        <v>-</v>
      </c>
      <c r="L64" s="131" t="str">
        <f>INDEX('Base de données Mono'!N:N,MATCH(B64,'Base de données Mono'!D:D,0))</f>
        <v>-</v>
      </c>
      <c r="M64" s="33" t="s">
        <v>811</v>
      </c>
      <c r="N64" s="33">
        <f>IF(AND(E64="Electricité",M64="Hiver"),INDEX('Base de données Mono'!E:E,MATCH(B64,'Base de données Mono'!D:D,0)),IF(AND(E64="Electricité",M64="Mi-saison"),INDEX('Base de données Mono'!F:F,MATCH(B64,'Base de données Mono'!D:D,0)),IF(AND(E64="Electricité",M64="Eté"),INDEX('Base de données Mono'!G:G,MATCH(B64,'Base de données Mono'!D:D,0)),IF(AND(E64="Gaz",M64="Hiver"),INDEX('Base de données Mono'!J:J,MATCH(B64,'Base de données Mono'!D:D,0)),IF(AND(E64="Gaz",M64="Mi-saison"),INDEX('Base de données Mono'!#REF!,MATCH(B64,'Base de données Mono'!D:D,0)),IF(AND(E64="Gaz",M64="Eté"),INDEX('Base de données Mono'!#REF!,MATCH(B64,'Base de données Mono'!D:D,0)),"-"))))))</f>
        <v>95</v>
      </c>
      <c r="O64" s="123">
        <v>45378</v>
      </c>
      <c r="P64" s="123">
        <v>45380</v>
      </c>
      <c r="Q64" s="34">
        <v>140</v>
      </c>
      <c r="R64" s="33">
        <f t="shared" si="2"/>
        <v>45</v>
      </c>
      <c r="S64" s="34">
        <v>8.5</v>
      </c>
      <c r="T64" s="34">
        <f t="shared" si="5"/>
        <v>2</v>
      </c>
      <c r="U64" s="33">
        <f t="shared" si="3"/>
        <v>765</v>
      </c>
      <c r="V64" s="38" t="s">
        <v>148</v>
      </c>
      <c r="W64" s="39">
        <f t="shared" si="4"/>
        <v>0.47368421052631576</v>
      </c>
      <c r="X64" s="40" t="s">
        <v>304</v>
      </c>
      <c r="Y64" s="40" t="s">
        <v>284</v>
      </c>
      <c r="Z64" s="40" t="s">
        <v>311</v>
      </c>
      <c r="AA64" s="33" t="s">
        <v>775</v>
      </c>
      <c r="AB64" s="95"/>
      <c r="AC64" s="95"/>
    </row>
    <row r="65" spans="1:29" ht="14.45" hidden="1" customHeight="1" x14ac:dyDescent="0.25">
      <c r="A65" s="36" t="str">
        <f>INDEX('Base de données Mono'!C:C,MATCH(B65,'Base de données Mono'!D:D,0))</f>
        <v>BOULOGNE LES PASSAGES</v>
      </c>
      <c r="B65" t="s">
        <v>7</v>
      </c>
      <c r="C65" s="36" t="str">
        <f>INDEX('Base de données Mono'!B:B,MATCH(B65,'Base de données Mono'!D:D,0))</f>
        <v>SES8</v>
      </c>
      <c r="D65" s="36" t="str">
        <f>INDEX('Base de données Mono'!A:A,MATCH(B65,'Base de données Mono'!D:D,0))</f>
        <v>AD</v>
      </c>
      <c r="E65" s="37" t="s">
        <v>303</v>
      </c>
      <c r="F65" s="41">
        <f t="shared" si="0"/>
        <v>13</v>
      </c>
      <c r="G65" s="41">
        <f t="shared" si="1"/>
        <v>3</v>
      </c>
      <c r="H65">
        <v>10.33</v>
      </c>
      <c r="I65" s="131">
        <f>INDEX('Base de données Mono'!K:K,MATCH(B65,'Base de données Mono'!D:D,0))</f>
        <v>0.20833333333333334</v>
      </c>
      <c r="J65" s="131">
        <f>INDEX('Base de données Mono'!L:L,MATCH(B65,'Base de données Mono'!D:D,0))</f>
        <v>0.85416666666666663</v>
      </c>
      <c r="K65" s="131" t="str">
        <f>INDEX('Base de données Mono'!M:M,MATCH(B65,'Base de données Mono'!D:D,0))</f>
        <v>-</v>
      </c>
      <c r="L65" s="131" t="str">
        <f>INDEX('Base de données Mono'!N:N,MATCH(B65,'Base de données Mono'!D:D,0))</f>
        <v>-</v>
      </c>
      <c r="M65" s="33" t="s">
        <v>811</v>
      </c>
      <c r="N65" s="33">
        <f>IF(AND(E65="Electricité",M65="Hiver"),INDEX('Base de données Mono'!E:E,MATCH(B65,'Base de données Mono'!D:D,0)),IF(AND(E65="Electricité",M65="Mi-saison"),INDEX('Base de données Mono'!F:F,MATCH(B65,'Base de données Mono'!D:D,0)),IF(AND(E65="Electricité",M65="Eté"),INDEX('Base de données Mono'!G:G,MATCH(B65,'Base de données Mono'!D:D,0)),IF(AND(E65="Gaz",M65="Hiver"),INDEX('Base de données Mono'!J:J,MATCH(B65,'Base de données Mono'!D:D,0)),IF(AND(E65="Gaz",M65="Mi-saison"),INDEX('Base de données Mono'!#REF!,MATCH(B65,'Base de données Mono'!D:D,0)),IF(AND(E65="Gaz",M65="Eté"),INDEX('Base de données Mono'!#REF!,MATCH(B65,'Base de données Mono'!D:D,0)),"-"))))))</f>
        <v>95</v>
      </c>
      <c r="O65" s="123">
        <v>45380</v>
      </c>
      <c r="P65" s="123">
        <v>45382</v>
      </c>
      <c r="Q65" s="34">
        <v>105</v>
      </c>
      <c r="R65" s="33">
        <f t="shared" si="2"/>
        <v>10</v>
      </c>
      <c r="S65" s="34">
        <v>8.5</v>
      </c>
      <c r="T65" s="34">
        <f t="shared" si="5"/>
        <v>2</v>
      </c>
      <c r="U65" s="33">
        <f t="shared" si="3"/>
        <v>170</v>
      </c>
      <c r="V65" s="38" t="s">
        <v>148</v>
      </c>
      <c r="W65" s="39">
        <f t="shared" si="4"/>
        <v>0.10526315789473684</v>
      </c>
      <c r="X65" s="40" t="s">
        <v>304</v>
      </c>
      <c r="Y65" s="40" t="s">
        <v>284</v>
      </c>
      <c r="Z65" s="40" t="s">
        <v>305</v>
      </c>
      <c r="AA65" s="33" t="s">
        <v>771</v>
      </c>
      <c r="AB65" s="95"/>
      <c r="AC65" s="95"/>
    </row>
    <row r="66" spans="1:29" ht="14.45" hidden="1" customHeight="1" x14ac:dyDescent="0.25">
      <c r="A66" s="36" t="str">
        <f>INDEX('Base de données Mono'!C:C,MATCH(B66,'Base de données Mono'!D:D,0))</f>
        <v>ANNECY COURRIER</v>
      </c>
      <c r="B66" t="s">
        <v>59</v>
      </c>
      <c r="C66" s="36" t="str">
        <f>INDEX('Base de données Mono'!B:B,MATCH(B66,'Base de données Mono'!D:D,0))</f>
        <v>SES8</v>
      </c>
      <c r="D66" s="36" t="str">
        <f>INDEX('Base de données Mono'!A:A,MATCH(B66,'Base de données Mono'!D:D,0))</f>
        <v>JG</v>
      </c>
      <c r="E66" s="37" t="s">
        <v>303</v>
      </c>
      <c r="F66" s="41">
        <f t="shared" ref="F66:F129" si="6">IF(O66="","-",IF(AND(X66="Nuit",WEEKDAY(O66,2)=7,O66&lt;&gt;P66),WEEKNUM(O66,2),WEEKNUM(O66,2)-1))+1</f>
        <v>13</v>
      </c>
      <c r="G66" s="41">
        <f t="shared" ref="G66:G129" si="7">IF(O66="","-",MONTH(O66))</f>
        <v>3</v>
      </c>
      <c r="I66" s="131">
        <f>INDEX('Base de données Mono'!K:K,MATCH(B66,'Base de données Mono'!D:D,0))</f>
        <v>0.20833333333333334</v>
      </c>
      <c r="J66" s="131">
        <f>INDEX('Base de données Mono'!L:L,MATCH(B66,'Base de données Mono'!D:D,0))</f>
        <v>0.83333333333333304</v>
      </c>
      <c r="K66" s="131" t="str">
        <f>INDEX('Base de données Mono'!M:M,MATCH(B66,'Base de données Mono'!D:D,0))</f>
        <v>-</v>
      </c>
      <c r="L66" s="131" t="str">
        <f>INDEX('Base de données Mono'!N:N,MATCH(B66,'Base de données Mono'!D:D,0))</f>
        <v>-</v>
      </c>
      <c r="M66" s="33" t="s">
        <v>811</v>
      </c>
      <c r="N66" s="33">
        <f>IF(AND(E66="Electricité",M66="Hiver"),INDEX('Base de données Mono'!E:E,MATCH(B66,'Base de données Mono'!D:D,0)),IF(AND(E66="Electricité",M66="Mi-saison"),INDEX('Base de données Mono'!F:F,MATCH(B66,'Base de données Mono'!D:D,0)),IF(AND(E66="Electricité",M66="Eté"),INDEX('Base de données Mono'!G:G,MATCH(B66,'Base de données Mono'!D:D,0)),IF(AND(E66="Gaz",M66="Hiver"),INDEX('Base de données Mono'!J:J,MATCH(B66,'Base de données Mono'!D:D,0)),IF(AND(E66="Gaz",M66="Mi-saison"),INDEX('Base de données Mono'!#REF!,MATCH(B66,'Base de données Mono'!D:D,0)),IF(AND(E66="Gaz",M66="Eté"),INDEX('Base de données Mono'!#REF!,MATCH(B66,'Base de données Mono'!D:D,0)),"-"))))))</f>
        <v>110</v>
      </c>
      <c r="O66" s="123">
        <v>45375</v>
      </c>
      <c r="P66" s="123">
        <v>45378</v>
      </c>
      <c r="Q66" s="34">
        <v>150</v>
      </c>
      <c r="R66" s="33">
        <f t="shared" ref="R66:R129" si="8">IF(Q66="","",Q66-N66)</f>
        <v>40</v>
      </c>
      <c r="S66" s="34">
        <v>9</v>
      </c>
      <c r="T66" s="34">
        <f t="shared" si="5"/>
        <v>3</v>
      </c>
      <c r="U66" s="33">
        <f t="shared" ref="U66:U129" si="9">R66*S66*T66</f>
        <v>1080</v>
      </c>
      <c r="V66" s="38" t="s">
        <v>148</v>
      </c>
      <c r="W66" s="39">
        <f t="shared" ref="W66:W129" si="10">IFERROR(IF(E66="Gaz","-",R66/N66),"-")</f>
        <v>0.36363636363636365</v>
      </c>
      <c r="X66" s="40" t="s">
        <v>304</v>
      </c>
      <c r="Y66" s="40" t="s">
        <v>284</v>
      </c>
      <c r="Z66" s="40" t="s">
        <v>305</v>
      </c>
      <c r="AA66" s="33" t="s">
        <v>771</v>
      </c>
      <c r="AB66" s="95"/>
      <c r="AC66" s="95"/>
    </row>
    <row r="67" spans="1:29" ht="14.45" hidden="1" customHeight="1" x14ac:dyDescent="0.25">
      <c r="A67" s="36" t="str">
        <f>INDEX('Base de données Mono'!C:C,MATCH(B67,'Base de données Mono'!D:D,0))</f>
        <v>ANNECY COURRIER</v>
      </c>
      <c r="B67" t="s">
        <v>59</v>
      </c>
      <c r="C67" s="36" t="str">
        <f>INDEX('Base de données Mono'!B:B,MATCH(B67,'Base de données Mono'!D:D,0))</f>
        <v>SES8</v>
      </c>
      <c r="D67" s="36" t="str">
        <f>INDEX('Base de données Mono'!A:A,MATCH(B67,'Base de données Mono'!D:D,0))</f>
        <v>JG</v>
      </c>
      <c r="E67" s="37" t="s">
        <v>303</v>
      </c>
      <c r="F67" s="41">
        <f t="shared" si="6"/>
        <v>13</v>
      </c>
      <c r="G67" s="41">
        <f t="shared" si="7"/>
        <v>3</v>
      </c>
      <c r="I67" s="131">
        <f>INDEX('Base de données Mono'!K:K,MATCH(B67,'Base de données Mono'!D:D,0))</f>
        <v>0.20833333333333334</v>
      </c>
      <c r="J67" s="131">
        <f>INDEX('Base de données Mono'!L:L,MATCH(B67,'Base de données Mono'!D:D,0))</f>
        <v>0.83333333333333304</v>
      </c>
      <c r="K67" s="131" t="str">
        <f>INDEX('Base de données Mono'!M:M,MATCH(B67,'Base de données Mono'!D:D,0))</f>
        <v>-</v>
      </c>
      <c r="L67" s="131" t="str">
        <f>INDEX('Base de données Mono'!N:N,MATCH(B67,'Base de données Mono'!D:D,0))</f>
        <v>-</v>
      </c>
      <c r="M67" s="33" t="s">
        <v>811</v>
      </c>
      <c r="N67" s="33">
        <f>IF(AND(E67="Electricité",M67="Hiver"),INDEX('Base de données Mono'!E:E,MATCH(B67,'Base de données Mono'!D:D,0)),IF(AND(E67="Electricité",M67="Mi-saison"),INDEX('Base de données Mono'!F:F,MATCH(B67,'Base de données Mono'!D:D,0)),IF(AND(E67="Electricité",M67="Eté"),INDEX('Base de données Mono'!G:G,MATCH(B67,'Base de données Mono'!D:D,0)),IF(AND(E67="Gaz",M67="Hiver"),INDEX('Base de données Mono'!J:J,MATCH(B67,'Base de données Mono'!D:D,0)),IF(AND(E67="Gaz",M67="Mi-saison"),INDEX('Base de données Mono'!#REF!,MATCH(B67,'Base de données Mono'!D:D,0)),IF(AND(E67="Gaz",M67="Eté"),INDEX('Base de données Mono'!#REF!,MATCH(B67,'Base de données Mono'!D:D,0)),"-"))))))</f>
        <v>110</v>
      </c>
      <c r="O67" s="123">
        <v>45378</v>
      </c>
      <c r="P67" s="123">
        <v>45379</v>
      </c>
      <c r="Q67" s="34">
        <v>170</v>
      </c>
      <c r="R67" s="33">
        <f t="shared" si="8"/>
        <v>60</v>
      </c>
      <c r="S67" s="34">
        <v>9</v>
      </c>
      <c r="T67" s="34">
        <f t="shared" ref="T67:T91" si="11">P67-O67</f>
        <v>1</v>
      </c>
      <c r="U67" s="33">
        <f t="shared" si="9"/>
        <v>540</v>
      </c>
      <c r="V67" s="38" t="s">
        <v>148</v>
      </c>
      <c r="W67" s="39">
        <f t="shared" si="10"/>
        <v>0.54545454545454541</v>
      </c>
      <c r="X67" s="40" t="s">
        <v>304</v>
      </c>
      <c r="Y67" s="40" t="s">
        <v>284</v>
      </c>
      <c r="Z67" s="40" t="s">
        <v>305</v>
      </c>
      <c r="AA67" s="33" t="s">
        <v>771</v>
      </c>
      <c r="AB67" s="95"/>
      <c r="AC67" s="95"/>
    </row>
    <row r="68" spans="1:29" ht="14.45" hidden="1" customHeight="1" x14ac:dyDescent="0.25">
      <c r="A68" s="36" t="str">
        <f>INDEX('Base de données Mono'!C:C,MATCH(B68,'Base de données Mono'!D:D,0))</f>
        <v>ANNECY COURRIER</v>
      </c>
      <c r="B68" t="s">
        <v>59</v>
      </c>
      <c r="C68" s="36" t="str">
        <f>INDEX('Base de données Mono'!B:B,MATCH(B68,'Base de données Mono'!D:D,0))</f>
        <v>SES8</v>
      </c>
      <c r="D68" s="36" t="str">
        <f>INDEX('Base de données Mono'!A:A,MATCH(B68,'Base de données Mono'!D:D,0))</f>
        <v>JG</v>
      </c>
      <c r="E68" s="37" t="s">
        <v>303</v>
      </c>
      <c r="F68" s="41">
        <f t="shared" si="6"/>
        <v>13</v>
      </c>
      <c r="G68" s="41">
        <f t="shared" si="7"/>
        <v>3</v>
      </c>
      <c r="I68" s="131">
        <f>INDEX('Base de données Mono'!K:K,MATCH(B68,'Base de données Mono'!D:D,0))</f>
        <v>0.20833333333333334</v>
      </c>
      <c r="J68" s="131">
        <f>INDEX('Base de données Mono'!L:L,MATCH(B68,'Base de données Mono'!D:D,0))</f>
        <v>0.83333333333333304</v>
      </c>
      <c r="K68" s="131" t="str">
        <f>INDEX('Base de données Mono'!M:M,MATCH(B68,'Base de données Mono'!D:D,0))</f>
        <v>-</v>
      </c>
      <c r="L68" s="131" t="str">
        <f>INDEX('Base de données Mono'!N:N,MATCH(B68,'Base de données Mono'!D:D,0))</f>
        <v>-</v>
      </c>
      <c r="M68" s="33" t="s">
        <v>811</v>
      </c>
      <c r="N68" s="33">
        <f>IF(AND(E68="Electricité",M68="Hiver"),INDEX('Base de données Mono'!E:E,MATCH(B68,'Base de données Mono'!D:D,0)),IF(AND(E68="Electricité",M68="Mi-saison"),INDEX('Base de données Mono'!F:F,MATCH(B68,'Base de données Mono'!D:D,0)),IF(AND(E68="Electricité",M68="Eté"),INDEX('Base de données Mono'!G:G,MATCH(B68,'Base de données Mono'!D:D,0)),IF(AND(E68="Gaz",M68="Hiver"),INDEX('Base de données Mono'!J:J,MATCH(B68,'Base de données Mono'!D:D,0)),IF(AND(E68="Gaz",M68="Mi-saison"),INDEX('Base de données Mono'!#REF!,MATCH(B68,'Base de données Mono'!D:D,0)),IF(AND(E68="Gaz",M68="Eté"),INDEX('Base de données Mono'!#REF!,MATCH(B68,'Base de données Mono'!D:D,0)),"-"))))))</f>
        <v>110</v>
      </c>
      <c r="O68" s="123">
        <v>45379</v>
      </c>
      <c r="P68" s="123">
        <v>45382</v>
      </c>
      <c r="Q68" s="34">
        <v>150</v>
      </c>
      <c r="R68" s="33">
        <f t="shared" si="8"/>
        <v>40</v>
      </c>
      <c r="S68" s="34">
        <v>9</v>
      </c>
      <c r="T68" s="34">
        <f t="shared" si="11"/>
        <v>3</v>
      </c>
      <c r="U68" s="33">
        <f t="shared" si="9"/>
        <v>1080</v>
      </c>
      <c r="V68" s="38" t="s">
        <v>148</v>
      </c>
      <c r="W68" s="39">
        <f t="shared" si="10"/>
        <v>0.36363636363636365</v>
      </c>
      <c r="X68" s="40" t="s">
        <v>304</v>
      </c>
      <c r="Y68" s="40" t="s">
        <v>284</v>
      </c>
      <c r="Z68" s="40" t="s">
        <v>305</v>
      </c>
      <c r="AA68" s="33" t="s">
        <v>771</v>
      </c>
      <c r="AB68" s="95"/>
      <c r="AC68" s="95"/>
    </row>
    <row r="69" spans="1:29" ht="14.45" hidden="1" customHeight="1" x14ac:dyDescent="0.25">
      <c r="A69" s="36" t="str">
        <f>INDEX('Base de données Mono'!C:C,MATCH(B69,'Base de données Mono'!D:D,0))</f>
        <v>MARSEILLE CANNEBIERE</v>
      </c>
      <c r="B69" t="s">
        <v>24</v>
      </c>
      <c r="C69" s="36" t="str">
        <f>INDEX('Base de données Mono'!B:B,MATCH(B69,'Base de données Mono'!D:D,0))</f>
        <v>SES8</v>
      </c>
      <c r="D69" s="36" t="str">
        <f>INDEX('Base de données Mono'!A:A,MATCH(B69,'Base de données Mono'!D:D,0))</f>
        <v>JG</v>
      </c>
      <c r="E69" s="37" t="s">
        <v>303</v>
      </c>
      <c r="F69" s="41">
        <f t="shared" si="6"/>
        <v>13</v>
      </c>
      <c r="G69" s="41">
        <f t="shared" si="7"/>
        <v>3</v>
      </c>
      <c r="H69">
        <v>7.75</v>
      </c>
      <c r="I69" s="131">
        <f>INDEX('Base de données Mono'!K:K,MATCH(B69,'Base de données Mono'!D:D,0))</f>
        <v>0.14583333333333334</v>
      </c>
      <c r="J69" s="131">
        <f>INDEX('Base de données Mono'!L:L,MATCH(B69,'Base de données Mono'!D:D,0))</f>
        <v>0.875</v>
      </c>
      <c r="K69" s="131">
        <f>INDEX('Base de données Mono'!M:M,MATCH(B69,'Base de données Mono'!D:D,0))</f>
        <v>0.28472222222222221</v>
      </c>
      <c r="L69" s="131">
        <f>INDEX('Base de données Mono'!N:N,MATCH(B69,'Base de données Mono'!D:D,0))</f>
        <v>0.54166666666666663</v>
      </c>
      <c r="M69" s="33" t="s">
        <v>811</v>
      </c>
      <c r="N69" s="33">
        <f>IF(AND(E69="Electricité",M69="Hiver"),INDEX('Base de données Mono'!E:E,MATCH(B69,'Base de données Mono'!D:D,0)),IF(AND(E69="Electricité",M69="Mi-saison"),INDEX('Base de données Mono'!F:F,MATCH(B69,'Base de données Mono'!D:D,0)),IF(AND(E69="Electricité",M69="Eté"),INDEX('Base de données Mono'!G:G,MATCH(B69,'Base de données Mono'!D:D,0)),IF(AND(E69="Gaz",M69="Hiver"),INDEX('Base de données Mono'!J:J,MATCH(B69,'Base de données Mono'!D:D,0)),IF(AND(E69="Gaz",M69="Mi-saison"),INDEX('Base de données Mono'!#REF!,MATCH(B69,'Base de données Mono'!D:D,0)),IF(AND(E69="Gaz",M69="Eté"),INDEX('Base de données Mono'!#REF!,MATCH(B69,'Base de données Mono'!D:D,0)),"-"))))))</f>
        <v>110</v>
      </c>
      <c r="O69" s="123">
        <v>45378</v>
      </c>
      <c r="P69" s="123">
        <v>45380</v>
      </c>
      <c r="Q69" s="34">
        <v>125</v>
      </c>
      <c r="R69" s="33">
        <f t="shared" si="8"/>
        <v>15</v>
      </c>
      <c r="S69" s="34">
        <v>6.5</v>
      </c>
      <c r="T69" s="34">
        <f t="shared" si="11"/>
        <v>2</v>
      </c>
      <c r="U69" s="33">
        <f t="shared" si="9"/>
        <v>195</v>
      </c>
      <c r="V69" s="38" t="s">
        <v>148</v>
      </c>
      <c r="W69" s="39">
        <f t="shared" si="10"/>
        <v>0.13636363636363635</v>
      </c>
      <c r="X69" s="40" t="s">
        <v>304</v>
      </c>
      <c r="Y69" s="40" t="s">
        <v>284</v>
      </c>
      <c r="Z69" s="40" t="s">
        <v>305</v>
      </c>
      <c r="AA69" s="33" t="s">
        <v>771</v>
      </c>
      <c r="AB69" s="95"/>
      <c r="AC69" s="95"/>
    </row>
    <row r="70" spans="1:29" ht="14.45" hidden="1" customHeight="1" x14ac:dyDescent="0.25">
      <c r="A70" s="36" t="str">
        <f>INDEX('Base de données Mono'!C:C,MATCH(B70,'Base de données Mono'!D:D,0))</f>
        <v>MARSEILLE CANNEBIERE</v>
      </c>
      <c r="B70" t="s">
        <v>24</v>
      </c>
      <c r="C70" s="36" t="str">
        <f>INDEX('Base de données Mono'!B:B,MATCH(B70,'Base de données Mono'!D:D,0))</f>
        <v>SES8</v>
      </c>
      <c r="D70" s="36" t="str">
        <f>INDEX('Base de données Mono'!A:A,MATCH(B70,'Base de données Mono'!D:D,0))</f>
        <v>JG</v>
      </c>
      <c r="E70" s="37" t="s">
        <v>303</v>
      </c>
      <c r="F70" s="41">
        <f t="shared" si="6"/>
        <v>13</v>
      </c>
      <c r="G70" s="41">
        <f t="shared" si="7"/>
        <v>3</v>
      </c>
      <c r="H70">
        <v>10.5</v>
      </c>
      <c r="I70" s="131">
        <f>INDEX('Base de données Mono'!K:K,MATCH(B70,'Base de données Mono'!D:D,0))</f>
        <v>0.14583333333333334</v>
      </c>
      <c r="J70" s="131">
        <f>INDEX('Base de données Mono'!L:L,MATCH(B70,'Base de données Mono'!D:D,0))</f>
        <v>0.875</v>
      </c>
      <c r="K70" s="131">
        <f>INDEX('Base de données Mono'!M:M,MATCH(B70,'Base de données Mono'!D:D,0))</f>
        <v>0.28472222222222221</v>
      </c>
      <c r="L70" s="131">
        <f>INDEX('Base de données Mono'!N:N,MATCH(B70,'Base de données Mono'!D:D,0))</f>
        <v>0.54166666666666663</v>
      </c>
      <c r="M70" s="33" t="s">
        <v>811</v>
      </c>
      <c r="N70" s="33">
        <f>IF(AND(E70="Electricité",M70="Hiver"),INDEX('Base de données Mono'!E:E,MATCH(B70,'Base de données Mono'!D:D,0)),IF(AND(E70="Electricité",M70="Mi-saison"),INDEX('Base de données Mono'!F:F,MATCH(B70,'Base de données Mono'!D:D,0)),IF(AND(E70="Electricité",M70="Eté"),INDEX('Base de données Mono'!G:G,MATCH(B70,'Base de données Mono'!D:D,0)),IF(AND(E70="Gaz",M70="Hiver"),INDEX('Base de données Mono'!J:J,MATCH(B70,'Base de données Mono'!D:D,0)),IF(AND(E70="Gaz",M70="Mi-saison"),INDEX('Base de données Mono'!#REF!,MATCH(B70,'Base de données Mono'!D:D,0)),IF(AND(E70="Gaz",M70="Eté"),INDEX('Base de données Mono'!#REF!,MATCH(B70,'Base de données Mono'!D:D,0)),"-"))))))</f>
        <v>110</v>
      </c>
      <c r="O70" s="123">
        <v>45381</v>
      </c>
      <c r="P70" s="123">
        <v>45382</v>
      </c>
      <c r="Q70" s="34">
        <v>120</v>
      </c>
      <c r="R70" s="33">
        <f t="shared" si="8"/>
        <v>10</v>
      </c>
      <c r="S70" s="34">
        <v>2</v>
      </c>
      <c r="T70" s="34">
        <f t="shared" si="11"/>
        <v>1</v>
      </c>
      <c r="U70" s="33">
        <f t="shared" si="9"/>
        <v>20</v>
      </c>
      <c r="V70" s="38" t="s">
        <v>148</v>
      </c>
      <c r="W70" s="39">
        <f t="shared" si="10"/>
        <v>9.0909090909090912E-2</v>
      </c>
      <c r="X70" s="40" t="s">
        <v>304</v>
      </c>
      <c r="Y70" s="40" t="s">
        <v>284</v>
      </c>
      <c r="Z70" s="40" t="s">
        <v>305</v>
      </c>
      <c r="AA70" s="33" t="s">
        <v>771</v>
      </c>
      <c r="AB70" s="95"/>
      <c r="AC70" s="95"/>
    </row>
    <row r="71" spans="1:29" ht="14.45" hidden="1" customHeight="1" x14ac:dyDescent="0.25">
      <c r="A71" s="36" t="str">
        <f>INDEX('Base de données Mono'!C:C,MATCH(B71,'Base de données Mono'!D:D,0))</f>
        <v>OULLINS</v>
      </c>
      <c r="B71" t="s">
        <v>203</v>
      </c>
      <c r="C71" s="36" t="str">
        <f>INDEX('Base de données Mono'!B:B,MATCH(B71,'Base de données Mono'!D:D,0))</f>
        <v>SES8</v>
      </c>
      <c r="D71" s="36" t="str">
        <f>INDEX('Base de données Mono'!A:A,MATCH(B71,'Base de données Mono'!D:D,0))</f>
        <v>JG</v>
      </c>
      <c r="E71" s="37" t="s">
        <v>303</v>
      </c>
      <c r="F71" s="41">
        <f t="shared" si="6"/>
        <v>13</v>
      </c>
      <c r="G71" s="41">
        <f t="shared" si="7"/>
        <v>3</v>
      </c>
      <c r="H71">
        <v>9.5</v>
      </c>
      <c r="I71" s="131">
        <f>INDEX('Base de données Mono'!K:K,MATCH(B71,'Base de données Mono'!D:D,0))</f>
        <v>0.1875</v>
      </c>
      <c r="J71" s="131">
        <f>INDEX('Base de données Mono'!L:L,MATCH(B71,'Base de données Mono'!D:D,0))</f>
        <v>0.83333333333333337</v>
      </c>
      <c r="K71" s="131">
        <f>INDEX('Base de données Mono'!M:M,MATCH(B71,'Base de données Mono'!D:D,0))</f>
        <v>0.27083333333333331</v>
      </c>
      <c r="L71" s="131">
        <f>INDEX('Base de données Mono'!N:N,MATCH(B71,'Base de données Mono'!D:D,0))</f>
        <v>0.8125</v>
      </c>
      <c r="M71" s="33" t="s">
        <v>811</v>
      </c>
      <c r="N71" s="33">
        <f>IF(AND(E71="Electricité",M71="Hiver"),INDEX('Base de données Mono'!E:E,MATCH(B71,'Base de données Mono'!D:D,0)),IF(AND(E71="Electricité",M71="Mi-saison"),INDEX('Base de données Mono'!F:F,MATCH(B71,'Base de données Mono'!D:D,0)),IF(AND(E71="Electricité",M71="Eté"),INDEX('Base de données Mono'!G:G,MATCH(B71,'Base de données Mono'!D:D,0)),IF(AND(E71="Gaz",M71="Hiver"),INDEX('Base de données Mono'!J:J,MATCH(B71,'Base de données Mono'!D:D,0)),IF(AND(E71="Gaz",M71="Mi-saison"),INDEX('Base de données Mono'!#REF!,MATCH(B71,'Base de données Mono'!D:D,0)),IF(AND(E71="Gaz",M71="Eté"),INDEX('Base de données Mono'!#REF!,MATCH(B71,'Base de données Mono'!D:D,0)),"-"))))))</f>
        <v>40</v>
      </c>
      <c r="O71" s="123">
        <v>45375</v>
      </c>
      <c r="P71" s="123">
        <v>45382</v>
      </c>
      <c r="Q71" s="34">
        <v>70</v>
      </c>
      <c r="R71" s="33">
        <f t="shared" si="8"/>
        <v>30</v>
      </c>
      <c r="S71" s="34">
        <v>0.3</v>
      </c>
      <c r="T71" s="34">
        <f t="shared" si="11"/>
        <v>7</v>
      </c>
      <c r="U71" s="33">
        <f t="shared" si="9"/>
        <v>63</v>
      </c>
      <c r="V71" s="38" t="s">
        <v>148</v>
      </c>
      <c r="W71" s="39">
        <f t="shared" si="10"/>
        <v>0.75</v>
      </c>
      <c r="X71" s="40" t="s">
        <v>304</v>
      </c>
      <c r="Y71" s="40" t="s">
        <v>284</v>
      </c>
      <c r="Z71" s="40" t="s">
        <v>307</v>
      </c>
      <c r="AA71" s="33" t="s">
        <v>313</v>
      </c>
      <c r="AB71" s="95"/>
      <c r="AC71" s="95"/>
    </row>
    <row r="72" spans="1:29" ht="14.45" hidden="1" customHeight="1" x14ac:dyDescent="0.25">
      <c r="A72" s="36" t="str">
        <f>INDEX('Base de données Mono'!C:C,MATCH(B72,'Base de données Mono'!D:D,0))</f>
        <v>OULLINS</v>
      </c>
      <c r="B72" t="s">
        <v>203</v>
      </c>
      <c r="C72" s="36" t="str">
        <f>INDEX('Base de données Mono'!B:B,MATCH(B72,'Base de données Mono'!D:D,0))</f>
        <v>SES8</v>
      </c>
      <c r="D72" s="36" t="str">
        <f>INDEX('Base de données Mono'!A:A,MATCH(B72,'Base de données Mono'!D:D,0))</f>
        <v>JG</v>
      </c>
      <c r="E72" s="37" t="s">
        <v>303</v>
      </c>
      <c r="F72" s="41">
        <f t="shared" si="6"/>
        <v>13</v>
      </c>
      <c r="G72" s="41">
        <f t="shared" si="7"/>
        <v>3</v>
      </c>
      <c r="H72">
        <v>10.5</v>
      </c>
      <c r="I72" s="131">
        <f>INDEX('Base de données Mono'!K:K,MATCH(B72,'Base de données Mono'!D:D,0))</f>
        <v>0.1875</v>
      </c>
      <c r="J72" s="131">
        <f>INDEX('Base de données Mono'!L:L,MATCH(B72,'Base de données Mono'!D:D,0))</f>
        <v>0.83333333333333337</v>
      </c>
      <c r="K72" s="131">
        <f>INDEX('Base de données Mono'!M:M,MATCH(B72,'Base de données Mono'!D:D,0))</f>
        <v>0.27083333333333331</v>
      </c>
      <c r="L72" s="131">
        <f>INDEX('Base de données Mono'!N:N,MATCH(B72,'Base de données Mono'!D:D,0))</f>
        <v>0.8125</v>
      </c>
      <c r="M72" s="33" t="s">
        <v>811</v>
      </c>
      <c r="N72" s="33">
        <f>IF(AND(E72="Electricité",M72="Hiver"),INDEX('Base de données Mono'!E:E,MATCH(B72,'Base de données Mono'!D:D,0)),IF(AND(E72="Electricité",M72="Mi-saison"),INDEX('Base de données Mono'!F:F,MATCH(B72,'Base de données Mono'!D:D,0)),IF(AND(E72="Electricité",M72="Eté"),INDEX('Base de données Mono'!G:G,MATCH(B72,'Base de données Mono'!D:D,0)),IF(AND(E72="Gaz",M72="Hiver"),INDEX('Base de données Mono'!J:J,MATCH(B72,'Base de données Mono'!D:D,0)),IF(AND(E72="Gaz",M72="Mi-saison"),INDEX('Base de données Mono'!#REF!,MATCH(B72,'Base de données Mono'!D:D,0)),IF(AND(E72="Gaz",M72="Eté"),INDEX('Base de données Mono'!#REF!,MATCH(B72,'Base de données Mono'!D:D,0)),"-"))))))</f>
        <v>40</v>
      </c>
      <c r="O72" s="123">
        <v>45375</v>
      </c>
      <c r="P72" s="123">
        <v>45382</v>
      </c>
      <c r="Q72" s="34">
        <v>50</v>
      </c>
      <c r="R72" s="33">
        <f t="shared" si="8"/>
        <v>10</v>
      </c>
      <c r="S72" s="34">
        <v>8.1999999999999993</v>
      </c>
      <c r="T72" s="34">
        <f t="shared" si="11"/>
        <v>7</v>
      </c>
      <c r="U72" s="33">
        <f t="shared" si="9"/>
        <v>574</v>
      </c>
      <c r="V72" s="38" t="s">
        <v>148</v>
      </c>
      <c r="W72" s="39">
        <f t="shared" si="10"/>
        <v>0.25</v>
      </c>
      <c r="X72" s="40" t="s">
        <v>304</v>
      </c>
      <c r="Y72" s="40" t="s">
        <v>284</v>
      </c>
      <c r="Z72" s="40" t="s">
        <v>305</v>
      </c>
      <c r="AA72" s="33" t="s">
        <v>771</v>
      </c>
      <c r="AB72" s="95"/>
      <c r="AC72" s="95"/>
    </row>
    <row r="73" spans="1:29" ht="14.45" hidden="1" customHeight="1" x14ac:dyDescent="0.25">
      <c r="A73" s="36" t="str">
        <f>INDEX('Base de données Mono'!C:C,MATCH(B73,'Base de données Mono'!D:D,0))</f>
        <v>POITIERS</v>
      </c>
      <c r="B73" t="s">
        <v>212</v>
      </c>
      <c r="C73" s="36" t="str">
        <f>INDEX('Base de données Mono'!B:B,MATCH(B73,'Base de données Mono'!D:D,0))</f>
        <v>SES8</v>
      </c>
      <c r="D73" s="36" t="str">
        <f>INDEX('Base de données Mono'!A:A,MATCH(B73,'Base de données Mono'!D:D,0))</f>
        <v>AD</v>
      </c>
      <c r="E73" s="37" t="s">
        <v>303</v>
      </c>
      <c r="F73" s="41">
        <f t="shared" si="6"/>
        <v>13</v>
      </c>
      <c r="G73" s="41">
        <f t="shared" si="7"/>
        <v>3</v>
      </c>
      <c r="H73">
        <v>10.5</v>
      </c>
      <c r="I73" s="131">
        <f>INDEX('Base de données Mono'!K:K,MATCH(B73,'Base de données Mono'!D:D,0))</f>
        <v>0.22916666666666666</v>
      </c>
      <c r="J73" s="131">
        <f>INDEX('Base de données Mono'!L:L,MATCH(B73,'Base de données Mono'!D:D,0))</f>
        <v>0.875</v>
      </c>
      <c r="K73" s="131">
        <f>INDEX('Base de données Mono'!M:M,MATCH(B73,'Base de données Mono'!D:D,0))</f>
        <v>0.22916666666666666</v>
      </c>
      <c r="L73" s="131">
        <f>INDEX('Base de données Mono'!N:N,MATCH(B73,'Base de données Mono'!D:D,0))</f>
        <v>0.54166666666666663</v>
      </c>
      <c r="M73" s="33" t="s">
        <v>811</v>
      </c>
      <c r="N73" s="33">
        <f>IF(AND(E73="Electricité",M73="Hiver"),INDEX('Base de données Mono'!E:E,MATCH(B73,'Base de données Mono'!D:D,0)),IF(AND(E73="Electricité",M73="Mi-saison"),INDEX('Base de données Mono'!F:F,MATCH(B73,'Base de données Mono'!D:D,0)),IF(AND(E73="Electricité",M73="Eté"),INDEX('Base de données Mono'!G:G,MATCH(B73,'Base de données Mono'!D:D,0)),IF(AND(E73="Gaz",M73="Hiver"),INDEX('Base de données Mono'!J:J,MATCH(B73,'Base de données Mono'!D:D,0)),IF(AND(E73="Gaz",M73="Mi-saison"),INDEX('Base de données Mono'!#REF!,MATCH(B73,'Base de données Mono'!D:D,0)),IF(AND(E73="Gaz",M73="Eté"),INDEX('Base de données Mono'!#REF!,MATCH(B73,'Base de données Mono'!D:D,0)),"-"))))))</f>
        <v>80</v>
      </c>
      <c r="O73" s="123">
        <v>45375</v>
      </c>
      <c r="P73" s="123">
        <v>45382</v>
      </c>
      <c r="Q73" s="34">
        <v>90</v>
      </c>
      <c r="R73" s="33">
        <f t="shared" si="8"/>
        <v>10</v>
      </c>
      <c r="S73" s="34">
        <v>7</v>
      </c>
      <c r="T73" s="34">
        <f t="shared" si="11"/>
        <v>7</v>
      </c>
      <c r="U73" s="33">
        <f t="shared" si="9"/>
        <v>490</v>
      </c>
      <c r="V73" s="38" t="s">
        <v>148</v>
      </c>
      <c r="W73" s="39">
        <f t="shared" si="10"/>
        <v>0.125</v>
      </c>
      <c r="X73" s="40" t="s">
        <v>304</v>
      </c>
      <c r="Y73" s="40" t="s">
        <v>284</v>
      </c>
      <c r="Z73" s="40" t="s">
        <v>305</v>
      </c>
      <c r="AA73" s="33" t="s">
        <v>771</v>
      </c>
      <c r="AB73" s="95"/>
      <c r="AC73" s="95"/>
    </row>
    <row r="74" spans="1:29" ht="14.45" hidden="1" customHeight="1" x14ac:dyDescent="0.25">
      <c r="A74" s="36" t="str">
        <f>INDEX('Base de données Mono'!C:C,MATCH(B74,'Base de données Mono'!D:D,0))</f>
        <v>MONTREUIL</v>
      </c>
      <c r="B74" t="s">
        <v>25</v>
      </c>
      <c r="C74" s="36" t="str">
        <f>INDEX('Base de données Mono'!B:B,MATCH(B74,'Base de données Mono'!D:D,0))</f>
        <v>SES8</v>
      </c>
      <c r="D74" s="36" t="str">
        <f>INDEX('Base de données Mono'!A:A,MATCH(B74,'Base de données Mono'!D:D,0))</f>
        <v>JG</v>
      </c>
      <c r="E74" s="37" t="s">
        <v>303</v>
      </c>
      <c r="F74" s="41">
        <f t="shared" si="6"/>
        <v>13</v>
      </c>
      <c r="G74" s="41">
        <f t="shared" si="7"/>
        <v>3</v>
      </c>
      <c r="H74">
        <v>10.5</v>
      </c>
      <c r="I74" s="131">
        <f>INDEX('Base de données Mono'!K:K,MATCH(B74,'Base de données Mono'!D:D,0))</f>
        <v>0.24305555555555555</v>
      </c>
      <c r="J74" s="131">
        <f>INDEX('Base de données Mono'!L:L,MATCH(B74,'Base de données Mono'!D:D,0))</f>
        <v>0.875</v>
      </c>
      <c r="K74" s="131">
        <f>INDEX('Base de données Mono'!M:M,MATCH(B74,'Base de données Mono'!D:D,0))</f>
        <v>0.27083333333333331</v>
      </c>
      <c r="L74" s="131">
        <f>INDEX('Base de données Mono'!N:N,MATCH(B74,'Base de données Mono'!D:D,0))</f>
        <v>0.55902777777777779</v>
      </c>
      <c r="M74" s="33" t="s">
        <v>811</v>
      </c>
      <c r="N74" s="33">
        <f>IF(AND(E74="Electricité",M74="Hiver"),INDEX('Base de données Mono'!E:E,MATCH(B74,'Base de données Mono'!D:D,0)),IF(AND(E74="Electricité",M74="Mi-saison"),INDEX('Base de données Mono'!F:F,MATCH(B74,'Base de données Mono'!D:D,0)),IF(AND(E74="Electricité",M74="Eté"),INDEX('Base de données Mono'!G:G,MATCH(B74,'Base de données Mono'!D:D,0)),IF(AND(E74="Gaz",M74="Hiver"),INDEX('Base de données Mono'!J:J,MATCH(B74,'Base de données Mono'!D:D,0)),IF(AND(E74="Gaz",M74="Mi-saison"),INDEX('Base de données Mono'!#REF!,MATCH(B74,'Base de données Mono'!D:D,0)),IF(AND(E74="Gaz",M74="Eté"),INDEX('Base de données Mono'!#REF!,MATCH(B74,'Base de données Mono'!D:D,0)),"-"))))))</f>
        <v>95</v>
      </c>
      <c r="O74" s="123">
        <v>45375</v>
      </c>
      <c r="P74" s="123">
        <v>45382</v>
      </c>
      <c r="Q74" s="34">
        <v>110</v>
      </c>
      <c r="R74" s="33">
        <f t="shared" si="8"/>
        <v>15</v>
      </c>
      <c r="S74" s="34">
        <v>8.8000000000000007</v>
      </c>
      <c r="T74" s="34">
        <f t="shared" si="11"/>
        <v>7</v>
      </c>
      <c r="U74" s="33">
        <f t="shared" si="9"/>
        <v>924</v>
      </c>
      <c r="V74" s="38" t="s">
        <v>148</v>
      </c>
      <c r="W74" s="39">
        <f t="shared" si="10"/>
        <v>0.15789473684210525</v>
      </c>
      <c r="X74" s="40" t="s">
        <v>304</v>
      </c>
      <c r="Y74" s="40" t="s">
        <v>284</v>
      </c>
      <c r="Z74" s="40" t="s">
        <v>305</v>
      </c>
      <c r="AA74" s="33" t="s">
        <v>771</v>
      </c>
      <c r="AB74" s="95"/>
      <c r="AC74" s="95"/>
    </row>
    <row r="75" spans="1:29" ht="14.45" hidden="1" customHeight="1" x14ac:dyDescent="0.25">
      <c r="A75" s="36" t="str">
        <f>INDEX('Base de données Mono'!C:C,MATCH(B75,'Base de données Mono'!D:D,0))</f>
        <v>MONTREUIL</v>
      </c>
      <c r="B75" t="s">
        <v>25</v>
      </c>
      <c r="C75" s="36" t="str">
        <f>INDEX('Base de données Mono'!B:B,MATCH(B75,'Base de données Mono'!D:D,0))</f>
        <v>SES8</v>
      </c>
      <c r="D75" s="36" t="str">
        <f>INDEX('Base de données Mono'!A:A,MATCH(B75,'Base de données Mono'!D:D,0))</f>
        <v>JG</v>
      </c>
      <c r="E75" s="37" t="s">
        <v>303</v>
      </c>
      <c r="F75" s="41">
        <f t="shared" si="6"/>
        <v>13</v>
      </c>
      <c r="G75" s="41">
        <f t="shared" si="7"/>
        <v>3</v>
      </c>
      <c r="H75">
        <v>10.5</v>
      </c>
      <c r="I75" s="131">
        <f>INDEX('Base de données Mono'!K:K,MATCH(B75,'Base de données Mono'!D:D,0))</f>
        <v>0.24305555555555555</v>
      </c>
      <c r="J75" s="131">
        <f>INDEX('Base de données Mono'!L:L,MATCH(B75,'Base de données Mono'!D:D,0))</f>
        <v>0.875</v>
      </c>
      <c r="K75" s="131">
        <f>INDEX('Base de données Mono'!M:M,MATCH(B75,'Base de données Mono'!D:D,0))</f>
        <v>0.27083333333333331</v>
      </c>
      <c r="L75" s="131">
        <f>INDEX('Base de données Mono'!N:N,MATCH(B75,'Base de données Mono'!D:D,0))</f>
        <v>0.55902777777777779</v>
      </c>
      <c r="M75" s="33" t="s">
        <v>811</v>
      </c>
      <c r="N75" s="33">
        <f>IF(AND(E75="Electricité",M75="Hiver"),INDEX('Base de données Mono'!E:E,MATCH(B75,'Base de données Mono'!D:D,0)),IF(AND(E75="Electricité",M75="Mi-saison"),INDEX('Base de données Mono'!F:F,MATCH(B75,'Base de données Mono'!D:D,0)),IF(AND(E75="Electricité",M75="Eté"),INDEX('Base de données Mono'!G:G,MATCH(B75,'Base de données Mono'!D:D,0)),IF(AND(E75="Gaz",M75="Hiver"),INDEX('Base de données Mono'!J:J,MATCH(B75,'Base de données Mono'!D:D,0)),IF(AND(E75="Gaz",M75="Mi-saison"),INDEX('Base de données Mono'!#REF!,MATCH(B75,'Base de données Mono'!D:D,0)),IF(AND(E75="Gaz",M75="Eté"),INDEX('Base de données Mono'!#REF!,MATCH(B75,'Base de données Mono'!D:D,0)),"-"))))))</f>
        <v>95</v>
      </c>
      <c r="O75" s="123">
        <v>45375</v>
      </c>
      <c r="P75" s="123">
        <v>45382</v>
      </c>
      <c r="Q75" s="34">
        <v>140</v>
      </c>
      <c r="R75" s="33">
        <f t="shared" si="8"/>
        <v>45</v>
      </c>
      <c r="S75" s="34">
        <v>0.8</v>
      </c>
      <c r="T75" s="34">
        <f t="shared" si="11"/>
        <v>7</v>
      </c>
      <c r="U75" s="33">
        <f t="shared" si="9"/>
        <v>252</v>
      </c>
      <c r="V75" s="38" t="s">
        <v>148</v>
      </c>
      <c r="W75" s="39">
        <f t="shared" si="10"/>
        <v>0.47368421052631576</v>
      </c>
      <c r="X75" s="40" t="s">
        <v>304</v>
      </c>
      <c r="Y75" s="40" t="s">
        <v>284</v>
      </c>
      <c r="Z75" s="40" t="s">
        <v>307</v>
      </c>
      <c r="AA75" s="33" t="s">
        <v>313</v>
      </c>
      <c r="AB75" s="95"/>
      <c r="AC75" s="95"/>
    </row>
    <row r="76" spans="1:29" ht="14.45" hidden="1" customHeight="1" x14ac:dyDescent="0.25">
      <c r="A76" s="36" t="str">
        <f>INDEX('Base de données Mono'!C:C,MATCH(B76,'Base de données Mono'!D:D,0))</f>
        <v>MONTREUIL</v>
      </c>
      <c r="B76" t="s">
        <v>25</v>
      </c>
      <c r="C76" s="36" t="str">
        <f>INDEX('Base de données Mono'!B:B,MATCH(B76,'Base de données Mono'!D:D,0))</f>
        <v>SES8</v>
      </c>
      <c r="D76" s="36" t="str">
        <f>INDEX('Base de données Mono'!A:A,MATCH(B76,'Base de données Mono'!D:D,0))</f>
        <v>JG</v>
      </c>
      <c r="E76" s="37" t="s">
        <v>303</v>
      </c>
      <c r="F76" s="41">
        <f t="shared" si="6"/>
        <v>13</v>
      </c>
      <c r="G76" s="41">
        <f t="shared" si="7"/>
        <v>3</v>
      </c>
      <c r="H76">
        <v>10</v>
      </c>
      <c r="I76" s="131">
        <f>INDEX('Base de données Mono'!K:K,MATCH(B76,'Base de données Mono'!D:D,0))</f>
        <v>0.24305555555555555</v>
      </c>
      <c r="J76" s="131">
        <f>INDEX('Base de données Mono'!L:L,MATCH(B76,'Base de données Mono'!D:D,0))</f>
        <v>0.875</v>
      </c>
      <c r="K76" s="131">
        <f>INDEX('Base de données Mono'!M:M,MATCH(B76,'Base de données Mono'!D:D,0))</f>
        <v>0.27083333333333331</v>
      </c>
      <c r="L76" s="131">
        <f>INDEX('Base de données Mono'!N:N,MATCH(B76,'Base de données Mono'!D:D,0))</f>
        <v>0.55902777777777779</v>
      </c>
      <c r="M76" s="33" t="s">
        <v>811</v>
      </c>
      <c r="N76" s="33">
        <f>IF(AND(E76="Electricité",M76="Hiver"),INDEX('Base de données Mono'!E:E,MATCH(B76,'Base de données Mono'!D:D,0)),IF(AND(E76="Electricité",M76="Mi-saison"),INDEX('Base de données Mono'!F:F,MATCH(B76,'Base de données Mono'!D:D,0)),IF(AND(E76="Electricité",M76="Eté"),INDEX('Base de données Mono'!G:G,MATCH(B76,'Base de données Mono'!D:D,0)),IF(AND(E76="Gaz",M76="Hiver"),INDEX('Base de données Mono'!J:J,MATCH(B76,'Base de données Mono'!D:D,0)),IF(AND(E76="Gaz",M76="Mi-saison"),INDEX('Base de données Mono'!#REF!,MATCH(B76,'Base de données Mono'!D:D,0)),IF(AND(E76="Gaz",M76="Eté"),INDEX('Base de données Mono'!#REF!,MATCH(B76,'Base de données Mono'!D:D,0)),"-"))))))</f>
        <v>95</v>
      </c>
      <c r="O76" s="123">
        <v>45375</v>
      </c>
      <c r="P76" s="123">
        <v>45382</v>
      </c>
      <c r="Q76" s="34">
        <v>110</v>
      </c>
      <c r="R76" s="33">
        <f t="shared" si="8"/>
        <v>15</v>
      </c>
      <c r="S76" s="34">
        <v>8</v>
      </c>
      <c r="T76" s="34">
        <f t="shared" si="11"/>
        <v>7</v>
      </c>
      <c r="U76" s="33">
        <f t="shared" si="9"/>
        <v>840</v>
      </c>
      <c r="V76" s="38" t="s">
        <v>148</v>
      </c>
      <c r="W76" s="39">
        <f t="shared" si="10"/>
        <v>0.15789473684210525</v>
      </c>
      <c r="X76" s="40" t="s">
        <v>304</v>
      </c>
      <c r="Y76" s="40" t="s">
        <v>284</v>
      </c>
      <c r="Z76" s="40" t="s">
        <v>305</v>
      </c>
      <c r="AA76" s="33" t="s">
        <v>771</v>
      </c>
      <c r="AB76" s="95"/>
      <c r="AC76" s="95"/>
    </row>
    <row r="77" spans="1:29" ht="14.45" hidden="1" customHeight="1" x14ac:dyDescent="0.25">
      <c r="A77" s="36" t="str">
        <f>INDEX('Base de données Mono'!C:C,MATCH(B77,'Base de données Mono'!D:D,0))</f>
        <v>PLACE DES FETES</v>
      </c>
      <c r="B77" t="s">
        <v>210</v>
      </c>
      <c r="C77" s="36" t="str">
        <f>INDEX('Base de données Mono'!B:B,MATCH(B77,'Base de données Mono'!D:D,0))</f>
        <v>SES8</v>
      </c>
      <c r="D77" s="36" t="str">
        <f>INDEX('Base de données Mono'!A:A,MATCH(B77,'Base de données Mono'!D:D,0))</f>
        <v>AD</v>
      </c>
      <c r="E77" s="37" t="s">
        <v>303</v>
      </c>
      <c r="F77" s="41">
        <f t="shared" si="6"/>
        <v>13</v>
      </c>
      <c r="G77" s="41">
        <f t="shared" si="7"/>
        <v>3</v>
      </c>
      <c r="H77">
        <v>10</v>
      </c>
      <c r="I77" s="131">
        <f>INDEX('Base de données Mono'!K:K,MATCH(B77,'Base de données Mono'!D:D,0))</f>
        <v>0.22916666666666666</v>
      </c>
      <c r="J77" s="131">
        <f>INDEX('Base de données Mono'!L:L,MATCH(B77,'Base de données Mono'!D:D,0))</f>
        <v>0.86111111111111116</v>
      </c>
      <c r="K77" s="131">
        <f>INDEX('Base de données Mono'!M:M,MATCH(B77,'Base de données Mono'!D:D,0))</f>
        <v>0.27777777777777779</v>
      </c>
      <c r="L77" s="131">
        <f>INDEX('Base de données Mono'!N:N,MATCH(B77,'Base de données Mono'!D:D,0))</f>
        <v>0.77777777777777779</v>
      </c>
      <c r="M77" s="33" t="s">
        <v>811</v>
      </c>
      <c r="N77" s="33">
        <f>IF(AND(E77="Electricité",M77="Hiver"),INDEX('Base de données Mono'!E:E,MATCH(B77,'Base de données Mono'!D:D,0)),IF(AND(E77="Electricité",M77="Mi-saison"),INDEX('Base de données Mono'!F:F,MATCH(B77,'Base de données Mono'!D:D,0)),IF(AND(E77="Electricité",M77="Eté"),INDEX('Base de données Mono'!G:G,MATCH(B77,'Base de données Mono'!D:D,0)),IF(AND(E77="Gaz",M77="Hiver"),INDEX('Base de données Mono'!J:J,MATCH(B77,'Base de données Mono'!D:D,0)),IF(AND(E77="Gaz",M77="Mi-saison"),INDEX('Base de données Mono'!#REF!,MATCH(B77,'Base de données Mono'!D:D,0)),IF(AND(E77="Gaz",M77="Eté"),INDEX('Base de données Mono'!#REF!,MATCH(B77,'Base de données Mono'!D:D,0)),"-"))))))</f>
        <v>80</v>
      </c>
      <c r="O77" s="123">
        <v>45375</v>
      </c>
      <c r="P77" s="123">
        <v>45377</v>
      </c>
      <c r="Q77" s="34">
        <v>115</v>
      </c>
      <c r="R77" s="33">
        <f t="shared" si="8"/>
        <v>35</v>
      </c>
      <c r="S77" s="34">
        <v>0.3</v>
      </c>
      <c r="T77" s="34">
        <f t="shared" si="11"/>
        <v>2</v>
      </c>
      <c r="U77" s="33">
        <f t="shared" si="9"/>
        <v>21</v>
      </c>
      <c r="V77" s="38" t="s">
        <v>148</v>
      </c>
      <c r="W77" s="39">
        <f t="shared" si="10"/>
        <v>0.4375</v>
      </c>
      <c r="X77" s="40" t="s">
        <v>304</v>
      </c>
      <c r="Y77" s="40" t="s">
        <v>284</v>
      </c>
      <c r="Z77" s="40" t="s">
        <v>305</v>
      </c>
      <c r="AA77" s="33" t="s">
        <v>771</v>
      </c>
      <c r="AB77" s="95"/>
      <c r="AC77" s="95"/>
    </row>
    <row r="78" spans="1:29" ht="14.45" hidden="1" customHeight="1" x14ac:dyDescent="0.25">
      <c r="A78" s="36" t="str">
        <f>INDEX('Base de données Mono'!C:C,MATCH(B78,'Base de données Mono'!D:D,0))</f>
        <v>PLACE DES FETES</v>
      </c>
      <c r="B78" t="s">
        <v>210</v>
      </c>
      <c r="C78" s="36" t="str">
        <f>INDEX('Base de données Mono'!B:B,MATCH(B78,'Base de données Mono'!D:D,0))</f>
        <v>SES8</v>
      </c>
      <c r="D78" s="36" t="str">
        <f>INDEX('Base de données Mono'!A:A,MATCH(B78,'Base de données Mono'!D:D,0))</f>
        <v>AD</v>
      </c>
      <c r="E78" s="37" t="s">
        <v>303</v>
      </c>
      <c r="F78" s="41">
        <f t="shared" si="6"/>
        <v>13</v>
      </c>
      <c r="G78" s="41">
        <f t="shared" si="7"/>
        <v>3</v>
      </c>
      <c r="H78">
        <v>10</v>
      </c>
      <c r="I78" s="131">
        <f>INDEX('Base de données Mono'!K:K,MATCH(B78,'Base de données Mono'!D:D,0))</f>
        <v>0.22916666666666666</v>
      </c>
      <c r="J78" s="131">
        <f>INDEX('Base de données Mono'!L:L,MATCH(B78,'Base de données Mono'!D:D,0))</f>
        <v>0.86111111111111116</v>
      </c>
      <c r="K78" s="131">
        <f>INDEX('Base de données Mono'!M:M,MATCH(B78,'Base de données Mono'!D:D,0))</f>
        <v>0.27777777777777779</v>
      </c>
      <c r="L78" s="131">
        <f>INDEX('Base de données Mono'!N:N,MATCH(B78,'Base de données Mono'!D:D,0))</f>
        <v>0.77777777777777779</v>
      </c>
      <c r="M78" s="33" t="s">
        <v>811</v>
      </c>
      <c r="N78" s="33">
        <f>IF(AND(E78="Electricité",M78="Hiver"),INDEX('Base de données Mono'!E:E,MATCH(B78,'Base de données Mono'!D:D,0)),IF(AND(E78="Electricité",M78="Mi-saison"),INDEX('Base de données Mono'!F:F,MATCH(B78,'Base de données Mono'!D:D,0)),IF(AND(E78="Electricité",M78="Eté"),INDEX('Base de données Mono'!G:G,MATCH(B78,'Base de données Mono'!D:D,0)),IF(AND(E78="Gaz",M78="Hiver"),INDEX('Base de données Mono'!J:J,MATCH(B78,'Base de données Mono'!D:D,0)),IF(AND(E78="Gaz",M78="Mi-saison"),INDEX('Base de données Mono'!#REF!,MATCH(B78,'Base de données Mono'!D:D,0)),IF(AND(E78="Gaz",M78="Eté"),INDEX('Base de données Mono'!#REF!,MATCH(B78,'Base de données Mono'!D:D,0)),"-"))))))</f>
        <v>80</v>
      </c>
      <c r="O78" s="123">
        <v>45377</v>
      </c>
      <c r="P78" s="123">
        <v>45380</v>
      </c>
      <c r="Q78" s="34">
        <v>120</v>
      </c>
      <c r="R78" s="33">
        <f t="shared" si="8"/>
        <v>40</v>
      </c>
      <c r="S78" s="34">
        <v>8.8000000000000007</v>
      </c>
      <c r="T78" s="34">
        <f t="shared" si="11"/>
        <v>3</v>
      </c>
      <c r="U78" s="33">
        <f t="shared" si="9"/>
        <v>1056</v>
      </c>
      <c r="V78" s="38" t="s">
        <v>148</v>
      </c>
      <c r="W78" s="39">
        <f t="shared" si="10"/>
        <v>0.5</v>
      </c>
      <c r="X78" s="40" t="s">
        <v>304</v>
      </c>
      <c r="Y78" s="40" t="s">
        <v>284</v>
      </c>
      <c r="Z78" s="40" t="s">
        <v>311</v>
      </c>
      <c r="AA78" s="33" t="s">
        <v>775</v>
      </c>
      <c r="AB78" s="95"/>
      <c r="AC78" s="95"/>
    </row>
    <row r="79" spans="1:29" ht="14.45" hidden="1" customHeight="1" x14ac:dyDescent="0.25">
      <c r="A79" s="36" t="str">
        <f>INDEX('Base de données Mono'!C:C,MATCH(B79,'Base de données Mono'!D:D,0))</f>
        <v>PLACE DES FETES</v>
      </c>
      <c r="B79" t="s">
        <v>210</v>
      </c>
      <c r="C79" s="36" t="str">
        <f>INDEX('Base de données Mono'!B:B,MATCH(B79,'Base de données Mono'!D:D,0))</f>
        <v>SES8</v>
      </c>
      <c r="D79" s="36" t="str">
        <f>INDEX('Base de données Mono'!A:A,MATCH(B79,'Base de données Mono'!D:D,0))</f>
        <v>AD</v>
      </c>
      <c r="E79" s="37" t="s">
        <v>303</v>
      </c>
      <c r="F79" s="41">
        <f t="shared" si="6"/>
        <v>13</v>
      </c>
      <c r="G79" s="41">
        <f t="shared" si="7"/>
        <v>3</v>
      </c>
      <c r="H79">
        <v>10</v>
      </c>
      <c r="I79" s="131">
        <f>INDEX('Base de données Mono'!K:K,MATCH(B79,'Base de données Mono'!D:D,0))</f>
        <v>0.22916666666666666</v>
      </c>
      <c r="J79" s="131">
        <f>INDEX('Base de données Mono'!L:L,MATCH(B79,'Base de données Mono'!D:D,0))</f>
        <v>0.86111111111111116</v>
      </c>
      <c r="K79" s="131">
        <f>INDEX('Base de données Mono'!M:M,MATCH(B79,'Base de données Mono'!D:D,0))</f>
        <v>0.27777777777777779</v>
      </c>
      <c r="L79" s="131">
        <f>INDEX('Base de données Mono'!N:N,MATCH(B79,'Base de données Mono'!D:D,0))</f>
        <v>0.77777777777777779</v>
      </c>
      <c r="M79" s="33" t="s">
        <v>811</v>
      </c>
      <c r="N79" s="33">
        <f>IF(AND(E79="Electricité",M79="Hiver"),INDEX('Base de données Mono'!E:E,MATCH(B79,'Base de données Mono'!D:D,0)),IF(AND(E79="Electricité",M79="Mi-saison"),INDEX('Base de données Mono'!F:F,MATCH(B79,'Base de données Mono'!D:D,0)),IF(AND(E79="Electricité",M79="Eté"),INDEX('Base de données Mono'!G:G,MATCH(B79,'Base de données Mono'!D:D,0)),IF(AND(E79="Gaz",M79="Hiver"),INDEX('Base de données Mono'!J:J,MATCH(B79,'Base de données Mono'!D:D,0)),IF(AND(E79="Gaz",M79="Mi-saison"),INDEX('Base de données Mono'!#REF!,MATCH(B79,'Base de données Mono'!D:D,0)),IF(AND(E79="Gaz",M79="Eté"),INDEX('Base de données Mono'!#REF!,MATCH(B79,'Base de données Mono'!D:D,0)),"-"))))))</f>
        <v>80</v>
      </c>
      <c r="O79" s="123">
        <v>45380</v>
      </c>
      <c r="P79" s="123">
        <v>45382</v>
      </c>
      <c r="Q79" s="34">
        <v>130</v>
      </c>
      <c r="R79" s="33">
        <f t="shared" si="8"/>
        <v>50</v>
      </c>
      <c r="S79" s="34">
        <v>0.3</v>
      </c>
      <c r="T79" s="34">
        <f t="shared" si="11"/>
        <v>2</v>
      </c>
      <c r="U79" s="33">
        <f t="shared" si="9"/>
        <v>30</v>
      </c>
      <c r="V79" s="38" t="s">
        <v>148</v>
      </c>
      <c r="W79" s="39">
        <f t="shared" si="10"/>
        <v>0.625</v>
      </c>
      <c r="X79" s="40" t="s">
        <v>304</v>
      </c>
      <c r="Y79" s="40" t="s">
        <v>284</v>
      </c>
      <c r="Z79" s="40" t="s">
        <v>307</v>
      </c>
      <c r="AA79" s="33" t="s">
        <v>313</v>
      </c>
      <c r="AB79" s="95"/>
      <c r="AC79" s="95"/>
    </row>
    <row r="80" spans="1:29" ht="14.45" hidden="1" customHeight="1" x14ac:dyDescent="0.25">
      <c r="A80" s="36" t="str">
        <f>INDEX('Base de données Mono'!C:C,MATCH(B80,'Base de données Mono'!D:D,0))</f>
        <v>PLACE DES FETES</v>
      </c>
      <c r="B80" t="s">
        <v>210</v>
      </c>
      <c r="C80" s="36" t="str">
        <f>INDEX('Base de données Mono'!B:B,MATCH(B80,'Base de données Mono'!D:D,0))</f>
        <v>SES8</v>
      </c>
      <c r="D80" s="36" t="str">
        <f>INDEX('Base de données Mono'!A:A,MATCH(B80,'Base de données Mono'!D:D,0))</f>
        <v>AD</v>
      </c>
      <c r="E80" s="37" t="s">
        <v>303</v>
      </c>
      <c r="F80" s="41">
        <f t="shared" si="6"/>
        <v>13</v>
      </c>
      <c r="G80" s="41">
        <f t="shared" si="7"/>
        <v>3</v>
      </c>
      <c r="H80">
        <v>10</v>
      </c>
      <c r="I80" s="131">
        <f>INDEX('Base de données Mono'!K:K,MATCH(B80,'Base de données Mono'!D:D,0))</f>
        <v>0.22916666666666666</v>
      </c>
      <c r="J80" s="131">
        <f>INDEX('Base de données Mono'!L:L,MATCH(B80,'Base de données Mono'!D:D,0))</f>
        <v>0.86111111111111116</v>
      </c>
      <c r="K80" s="131">
        <f>INDEX('Base de données Mono'!M:M,MATCH(B80,'Base de données Mono'!D:D,0))</f>
        <v>0.27777777777777779</v>
      </c>
      <c r="L80" s="131">
        <f>INDEX('Base de données Mono'!N:N,MATCH(B80,'Base de données Mono'!D:D,0))</f>
        <v>0.77777777777777779</v>
      </c>
      <c r="M80" s="33" t="s">
        <v>811</v>
      </c>
      <c r="N80" s="33">
        <f>IF(AND(E80="Electricité",M80="Hiver"),INDEX('Base de données Mono'!E:E,MATCH(B80,'Base de données Mono'!D:D,0)),IF(AND(E80="Electricité",M80="Mi-saison"),INDEX('Base de données Mono'!F:F,MATCH(B80,'Base de données Mono'!D:D,0)),IF(AND(E80="Electricité",M80="Eté"),INDEX('Base de données Mono'!G:G,MATCH(B80,'Base de données Mono'!D:D,0)),IF(AND(E80="Gaz",M80="Hiver"),INDEX('Base de données Mono'!J:J,MATCH(B80,'Base de données Mono'!D:D,0)),IF(AND(E80="Gaz",M80="Mi-saison"),INDEX('Base de données Mono'!#REF!,MATCH(B80,'Base de données Mono'!D:D,0)),IF(AND(E80="Gaz",M80="Eté"),INDEX('Base de données Mono'!#REF!,MATCH(B80,'Base de données Mono'!D:D,0)),"-"))))))</f>
        <v>80</v>
      </c>
      <c r="O80" s="123">
        <v>45380</v>
      </c>
      <c r="P80" s="123">
        <v>45382</v>
      </c>
      <c r="Q80" s="34">
        <v>110</v>
      </c>
      <c r="R80" s="33">
        <f t="shared" si="8"/>
        <v>30</v>
      </c>
      <c r="S80" s="34">
        <v>0.3</v>
      </c>
      <c r="T80" s="34">
        <f t="shared" si="11"/>
        <v>2</v>
      </c>
      <c r="U80" s="33">
        <f t="shared" si="9"/>
        <v>18</v>
      </c>
      <c r="V80" s="38" t="s">
        <v>148</v>
      </c>
      <c r="W80" s="39">
        <f t="shared" si="10"/>
        <v>0.375</v>
      </c>
      <c r="X80" s="40" t="s">
        <v>304</v>
      </c>
      <c r="Y80" s="40" t="s">
        <v>284</v>
      </c>
      <c r="Z80" s="40" t="s">
        <v>305</v>
      </c>
      <c r="AA80" s="33" t="s">
        <v>771</v>
      </c>
      <c r="AB80" s="95"/>
      <c r="AC80" s="95"/>
    </row>
    <row r="81" spans="1:29" ht="14.45" hidden="1" customHeight="1" x14ac:dyDescent="0.25">
      <c r="A81" s="36" t="str">
        <f>INDEX('Base de données Mono'!C:C,MATCH(B81,'Base de données Mono'!D:D,0))</f>
        <v>LES HUISSIERS</v>
      </c>
      <c r="B81" t="s">
        <v>156</v>
      </c>
      <c r="C81" s="36" t="str">
        <f>INDEX('Base de données Mono'!B:B,MATCH(B81,'Base de données Mono'!D:D,0))</f>
        <v>SES8</v>
      </c>
      <c r="D81" s="36" t="str">
        <f>INDEX('Base de données Mono'!A:A,MATCH(B81,'Base de données Mono'!D:D,0))</f>
        <v>AD</v>
      </c>
      <c r="E81" s="37" t="s">
        <v>303</v>
      </c>
      <c r="F81" s="41">
        <f t="shared" si="6"/>
        <v>13</v>
      </c>
      <c r="G81" s="41">
        <f t="shared" si="7"/>
        <v>3</v>
      </c>
      <c r="H81">
        <v>10</v>
      </c>
      <c r="I81" s="131">
        <f>INDEX('Base de données Mono'!K:K,MATCH(B81,'Base de données Mono'!D:D,0))</f>
        <v>0.22916666666666666</v>
      </c>
      <c r="J81" s="131">
        <f>INDEX('Base de données Mono'!L:L,MATCH(B81,'Base de données Mono'!D:D,0))</f>
        <v>0.89583333333333337</v>
      </c>
      <c r="K81" s="131">
        <f>INDEX('Base de données Mono'!M:M,MATCH(B81,'Base de données Mono'!D:D,0))</f>
        <v>0.27777777777777779</v>
      </c>
      <c r="L81" s="131">
        <f>INDEX('Base de données Mono'!N:N,MATCH(B81,'Base de données Mono'!D:D,0))</f>
        <v>0.5625</v>
      </c>
      <c r="M81" s="33" t="s">
        <v>811</v>
      </c>
      <c r="N81" s="33">
        <f>IF(AND(E81="Electricité",M81="Hiver"),INDEX('Base de données Mono'!E:E,MATCH(B81,'Base de données Mono'!D:D,0)),IF(AND(E81="Electricité",M81="Mi-saison"),INDEX('Base de données Mono'!F:F,MATCH(B81,'Base de données Mono'!D:D,0)),IF(AND(E81="Electricité",M81="Eté"),INDEX('Base de données Mono'!G:G,MATCH(B81,'Base de données Mono'!D:D,0)),IF(AND(E81="Gaz",M81="Hiver"),INDEX('Base de données Mono'!J:J,MATCH(B81,'Base de données Mono'!D:D,0)),IF(AND(E81="Gaz",M81="Mi-saison"),INDEX('Base de données Mono'!#REF!,MATCH(B81,'Base de données Mono'!D:D,0)),IF(AND(E81="Gaz",M81="Eté"),INDEX('Base de données Mono'!#REF!,MATCH(B81,'Base de données Mono'!D:D,0)),"-"))))))</f>
        <v>60</v>
      </c>
      <c r="O81" s="123">
        <v>45375</v>
      </c>
      <c r="P81" s="123">
        <v>45382</v>
      </c>
      <c r="Q81" s="34">
        <v>65</v>
      </c>
      <c r="R81" s="33">
        <f t="shared" si="8"/>
        <v>5</v>
      </c>
      <c r="S81" s="34">
        <v>8</v>
      </c>
      <c r="T81" s="34">
        <f t="shared" si="11"/>
        <v>7</v>
      </c>
      <c r="U81" s="33">
        <f t="shared" si="9"/>
        <v>280</v>
      </c>
      <c r="V81" s="38" t="s">
        <v>148</v>
      </c>
      <c r="W81" s="39">
        <f t="shared" si="10"/>
        <v>8.3333333333333329E-2</v>
      </c>
      <c r="X81" s="40" t="s">
        <v>304</v>
      </c>
      <c r="Y81" s="40" t="s">
        <v>284</v>
      </c>
      <c r="Z81" s="40" t="s">
        <v>305</v>
      </c>
      <c r="AA81" s="33" t="s">
        <v>771</v>
      </c>
      <c r="AB81" s="95"/>
      <c r="AC81" s="95"/>
    </row>
    <row r="82" spans="1:29" ht="14.45" hidden="1" customHeight="1" x14ac:dyDescent="0.25">
      <c r="A82" s="36" t="str">
        <f>INDEX('Base de données Mono'!C:C,MATCH(B82,'Base de données Mono'!D:D,0))</f>
        <v>LES HUISSIERS</v>
      </c>
      <c r="B82" t="s">
        <v>156</v>
      </c>
      <c r="C82" s="36" t="str">
        <f>INDEX('Base de données Mono'!B:B,MATCH(B82,'Base de données Mono'!D:D,0))</f>
        <v>SES8</v>
      </c>
      <c r="D82" s="36" t="str">
        <f>INDEX('Base de données Mono'!A:A,MATCH(B82,'Base de données Mono'!D:D,0))</f>
        <v>AD</v>
      </c>
      <c r="E82" s="37" t="s">
        <v>303</v>
      </c>
      <c r="F82" s="41">
        <f t="shared" si="6"/>
        <v>13</v>
      </c>
      <c r="G82" s="41">
        <f t="shared" si="7"/>
        <v>3</v>
      </c>
      <c r="H82">
        <v>10</v>
      </c>
      <c r="I82" s="131">
        <f>INDEX('Base de données Mono'!K:K,MATCH(B82,'Base de données Mono'!D:D,0))</f>
        <v>0.22916666666666666</v>
      </c>
      <c r="J82" s="131">
        <f>INDEX('Base de données Mono'!L:L,MATCH(B82,'Base de données Mono'!D:D,0))</f>
        <v>0.89583333333333337</v>
      </c>
      <c r="K82" s="131">
        <f>INDEX('Base de données Mono'!M:M,MATCH(B82,'Base de données Mono'!D:D,0))</f>
        <v>0.27777777777777779</v>
      </c>
      <c r="L82" s="131">
        <f>INDEX('Base de données Mono'!N:N,MATCH(B82,'Base de données Mono'!D:D,0))</f>
        <v>0.5625</v>
      </c>
      <c r="M82" s="33" t="s">
        <v>811</v>
      </c>
      <c r="N82" s="33">
        <f>IF(AND(E82="Electricité",M82="Hiver"),INDEX('Base de données Mono'!E:E,MATCH(B82,'Base de données Mono'!D:D,0)),IF(AND(E82="Electricité",M82="Mi-saison"),INDEX('Base de données Mono'!F:F,MATCH(B82,'Base de données Mono'!D:D,0)),IF(AND(E82="Electricité",M82="Eté"),INDEX('Base de données Mono'!G:G,MATCH(B82,'Base de données Mono'!D:D,0)),IF(AND(E82="Gaz",M82="Hiver"),INDEX('Base de données Mono'!J:J,MATCH(B82,'Base de données Mono'!D:D,0)),IF(AND(E82="Gaz",M82="Mi-saison"),INDEX('Base de données Mono'!#REF!,MATCH(B82,'Base de données Mono'!D:D,0)),IF(AND(E82="Gaz",M82="Eté"),INDEX('Base de données Mono'!#REF!,MATCH(B82,'Base de données Mono'!D:D,0)),"-"))))))</f>
        <v>60</v>
      </c>
      <c r="O82" s="123">
        <v>45381</v>
      </c>
      <c r="P82" s="123">
        <v>45382</v>
      </c>
      <c r="Q82" s="34">
        <v>90</v>
      </c>
      <c r="R82" s="33">
        <f t="shared" si="8"/>
        <v>30</v>
      </c>
      <c r="S82" s="34">
        <v>1</v>
      </c>
      <c r="T82" s="34">
        <f t="shared" si="11"/>
        <v>1</v>
      </c>
      <c r="U82" s="33">
        <f t="shared" si="9"/>
        <v>30</v>
      </c>
      <c r="V82" s="38" t="s">
        <v>148</v>
      </c>
      <c r="W82" s="39">
        <f t="shared" si="10"/>
        <v>0.5</v>
      </c>
      <c r="X82" s="40" t="s">
        <v>304</v>
      </c>
      <c r="Y82" s="40" t="s">
        <v>284</v>
      </c>
      <c r="Z82" s="40" t="s">
        <v>307</v>
      </c>
      <c r="AA82" s="33" t="s">
        <v>414</v>
      </c>
      <c r="AB82" s="95"/>
      <c r="AC82" s="95"/>
    </row>
    <row r="83" spans="1:29" ht="14.45" hidden="1" customHeight="1" x14ac:dyDescent="0.25">
      <c r="A83" s="36" t="str">
        <f>INDEX('Base de données Mono'!C:C,MATCH(B83,'Base de données Mono'!D:D,0))</f>
        <v>ROQUETTE</v>
      </c>
      <c r="B83" t="s">
        <v>225</v>
      </c>
      <c r="C83" s="36" t="str">
        <f>INDEX('Base de données Mono'!B:B,MATCH(B83,'Base de données Mono'!D:D,0))</f>
        <v>SES8</v>
      </c>
      <c r="D83" s="36" t="str">
        <f>INDEX('Base de données Mono'!A:A,MATCH(B83,'Base de données Mono'!D:D,0))</f>
        <v>JG</v>
      </c>
      <c r="E83" s="37" t="s">
        <v>303</v>
      </c>
      <c r="F83" s="41">
        <f t="shared" si="6"/>
        <v>13</v>
      </c>
      <c r="G83" s="41">
        <f t="shared" si="7"/>
        <v>3</v>
      </c>
      <c r="H83">
        <v>10</v>
      </c>
      <c r="I83" s="131">
        <f>INDEX('Base de données Mono'!K:K,MATCH(B83,'Base de données Mono'!D:D,0))</f>
        <v>0.25</v>
      </c>
      <c r="J83" s="131">
        <f>INDEX('Base de données Mono'!L:L,MATCH(B83,'Base de données Mono'!D:D,0))</f>
        <v>0.91666666666666663</v>
      </c>
      <c r="K83" s="131">
        <f>INDEX('Base de données Mono'!M:M,MATCH(B83,'Base de données Mono'!D:D,0))</f>
        <v>0.29166666666666669</v>
      </c>
      <c r="L83" s="131">
        <f>INDEX('Base de données Mono'!N:N,MATCH(B83,'Base de données Mono'!D:D,0))</f>
        <v>0.55208333333333337</v>
      </c>
      <c r="M83" s="33" t="s">
        <v>811</v>
      </c>
      <c r="N83" s="33">
        <f>IF(AND(E83="Electricité",M83="Hiver"),INDEX('Base de données Mono'!E:E,MATCH(B83,'Base de données Mono'!D:D,0)),IF(AND(E83="Electricité",M83="Mi-saison"),INDEX('Base de données Mono'!F:F,MATCH(B83,'Base de données Mono'!D:D,0)),IF(AND(E83="Electricité",M83="Eté"),INDEX('Base de données Mono'!G:G,MATCH(B83,'Base de données Mono'!D:D,0)),IF(AND(E83="Gaz",M83="Hiver"),INDEX('Base de données Mono'!J:J,MATCH(B83,'Base de données Mono'!D:D,0)),IF(AND(E83="Gaz",M83="Mi-saison"),INDEX('Base de données Mono'!#REF!,MATCH(B83,'Base de données Mono'!D:D,0)),IF(AND(E83="Gaz",M83="Eté"),INDEX('Base de données Mono'!#REF!,MATCH(B83,'Base de données Mono'!D:D,0)),"-"))))))</f>
        <v>60</v>
      </c>
      <c r="O83" s="123">
        <v>45375</v>
      </c>
      <c r="P83" s="123">
        <v>45376</v>
      </c>
      <c r="Q83" s="34">
        <v>85</v>
      </c>
      <c r="R83" s="33">
        <f t="shared" si="8"/>
        <v>25</v>
      </c>
      <c r="S83" s="34">
        <v>5</v>
      </c>
      <c r="T83" s="34">
        <f t="shared" si="11"/>
        <v>1</v>
      </c>
      <c r="U83" s="33">
        <f t="shared" si="9"/>
        <v>125</v>
      </c>
      <c r="V83" s="38" t="s">
        <v>148</v>
      </c>
      <c r="W83" s="39">
        <f t="shared" si="10"/>
        <v>0.41666666666666669</v>
      </c>
      <c r="X83" s="40" t="s">
        <v>304</v>
      </c>
      <c r="Y83" s="40" t="s">
        <v>284</v>
      </c>
      <c r="Z83" s="40" t="s">
        <v>305</v>
      </c>
      <c r="AA83" s="33" t="s">
        <v>771</v>
      </c>
      <c r="AB83" s="95"/>
      <c r="AC83" s="95"/>
    </row>
    <row r="84" spans="1:29" ht="14.45" hidden="1" customHeight="1" x14ac:dyDescent="0.25">
      <c r="A84" s="36" t="str">
        <f>INDEX('Base de données Mono'!C:C,MATCH(B84,'Base de données Mono'!D:D,0))</f>
        <v>ROQUETTE</v>
      </c>
      <c r="B84" t="s">
        <v>225</v>
      </c>
      <c r="C84" s="36" t="str">
        <f>INDEX('Base de données Mono'!B:B,MATCH(B84,'Base de données Mono'!D:D,0))</f>
        <v>SES8</v>
      </c>
      <c r="D84" s="36" t="str">
        <f>INDEX('Base de données Mono'!A:A,MATCH(B84,'Base de données Mono'!D:D,0))</f>
        <v>JG</v>
      </c>
      <c r="E84" s="37" t="s">
        <v>303</v>
      </c>
      <c r="F84" s="41">
        <f t="shared" si="6"/>
        <v>13</v>
      </c>
      <c r="G84" s="41">
        <f t="shared" si="7"/>
        <v>3</v>
      </c>
      <c r="H84">
        <v>8</v>
      </c>
      <c r="I84" s="131">
        <f>INDEX('Base de données Mono'!K:K,MATCH(B84,'Base de données Mono'!D:D,0))</f>
        <v>0.25</v>
      </c>
      <c r="J84" s="131">
        <f>INDEX('Base de données Mono'!L:L,MATCH(B84,'Base de données Mono'!D:D,0))</f>
        <v>0.91666666666666663</v>
      </c>
      <c r="K84" s="131">
        <f>INDEX('Base de données Mono'!M:M,MATCH(B84,'Base de données Mono'!D:D,0))</f>
        <v>0.29166666666666669</v>
      </c>
      <c r="L84" s="131">
        <f>INDEX('Base de données Mono'!N:N,MATCH(B84,'Base de données Mono'!D:D,0))</f>
        <v>0.55208333333333337</v>
      </c>
      <c r="M84" s="33" t="s">
        <v>811</v>
      </c>
      <c r="N84" s="33">
        <f>IF(AND(E84="Electricité",M84="Hiver"),INDEX('Base de données Mono'!E:E,MATCH(B84,'Base de données Mono'!D:D,0)),IF(AND(E84="Electricité",M84="Mi-saison"),INDEX('Base de données Mono'!F:F,MATCH(B84,'Base de données Mono'!D:D,0)),IF(AND(E84="Electricité",M84="Eté"),INDEX('Base de données Mono'!G:G,MATCH(B84,'Base de données Mono'!D:D,0)),IF(AND(E84="Gaz",M84="Hiver"),INDEX('Base de données Mono'!J:J,MATCH(B84,'Base de données Mono'!D:D,0)),IF(AND(E84="Gaz",M84="Mi-saison"),INDEX('Base de données Mono'!#REF!,MATCH(B84,'Base de données Mono'!D:D,0)),IF(AND(E84="Gaz",M84="Eté"),INDEX('Base de données Mono'!#REF!,MATCH(B84,'Base de données Mono'!D:D,0)),"-"))))))</f>
        <v>60</v>
      </c>
      <c r="O84" s="123">
        <v>45375</v>
      </c>
      <c r="P84" s="123">
        <v>45376</v>
      </c>
      <c r="Q84" s="34">
        <v>115</v>
      </c>
      <c r="R84" s="33">
        <f t="shared" si="8"/>
        <v>55</v>
      </c>
      <c r="S84" s="34">
        <v>2</v>
      </c>
      <c r="T84" s="34">
        <f t="shared" si="11"/>
        <v>1</v>
      </c>
      <c r="U84" s="33">
        <f t="shared" si="9"/>
        <v>110</v>
      </c>
      <c r="V84" s="38" t="s">
        <v>148</v>
      </c>
      <c r="W84" s="39">
        <f t="shared" si="10"/>
        <v>0.91666666666666663</v>
      </c>
      <c r="X84" s="40" t="s">
        <v>304</v>
      </c>
      <c r="Y84" s="40" t="s">
        <v>283</v>
      </c>
      <c r="Z84" s="40" t="s">
        <v>749</v>
      </c>
      <c r="AA84" s="33" t="s">
        <v>749</v>
      </c>
      <c r="AB84" s="95"/>
      <c r="AC84" s="95"/>
    </row>
    <row r="85" spans="1:29" ht="14.45" hidden="1" customHeight="1" x14ac:dyDescent="0.25">
      <c r="A85" s="36" t="str">
        <f>INDEX('Base de données Mono'!C:C,MATCH(B85,'Base de données Mono'!D:D,0))</f>
        <v>ROQUETTE</v>
      </c>
      <c r="B85" t="s">
        <v>225</v>
      </c>
      <c r="C85" s="36" t="str">
        <f>INDEX('Base de données Mono'!B:B,MATCH(B85,'Base de données Mono'!D:D,0))</f>
        <v>SES8</v>
      </c>
      <c r="D85" s="36" t="str">
        <f>INDEX('Base de données Mono'!A:A,MATCH(B85,'Base de données Mono'!D:D,0))</f>
        <v>JG</v>
      </c>
      <c r="E85" s="37" t="s">
        <v>303</v>
      </c>
      <c r="F85" s="41">
        <f t="shared" si="6"/>
        <v>13</v>
      </c>
      <c r="G85" s="41">
        <f t="shared" si="7"/>
        <v>3</v>
      </c>
      <c r="H85">
        <v>8</v>
      </c>
      <c r="I85" s="131">
        <f>INDEX('Base de données Mono'!K:K,MATCH(B85,'Base de données Mono'!D:D,0))</f>
        <v>0.25</v>
      </c>
      <c r="J85" s="131">
        <f>INDEX('Base de données Mono'!L:L,MATCH(B85,'Base de données Mono'!D:D,0))</f>
        <v>0.91666666666666663</v>
      </c>
      <c r="K85" s="131">
        <f>INDEX('Base de données Mono'!M:M,MATCH(B85,'Base de données Mono'!D:D,0))</f>
        <v>0.29166666666666669</v>
      </c>
      <c r="L85" s="131">
        <f>INDEX('Base de données Mono'!N:N,MATCH(B85,'Base de données Mono'!D:D,0))</f>
        <v>0.55208333333333337</v>
      </c>
      <c r="M85" s="33" t="s">
        <v>811</v>
      </c>
      <c r="N85" s="33">
        <f>IF(AND(E85="Electricité",M85="Hiver"),INDEX('Base de données Mono'!E:E,MATCH(B85,'Base de données Mono'!D:D,0)),IF(AND(E85="Electricité",M85="Mi-saison"),INDEX('Base de données Mono'!F:F,MATCH(B85,'Base de données Mono'!D:D,0)),IF(AND(E85="Electricité",M85="Eté"),INDEX('Base de données Mono'!G:G,MATCH(B85,'Base de données Mono'!D:D,0)),IF(AND(E85="Gaz",M85="Hiver"),INDEX('Base de données Mono'!J:J,MATCH(B85,'Base de données Mono'!D:D,0)),IF(AND(E85="Gaz",M85="Mi-saison"),INDEX('Base de données Mono'!#REF!,MATCH(B85,'Base de données Mono'!D:D,0)),IF(AND(E85="Gaz",M85="Eté"),INDEX('Base de données Mono'!#REF!,MATCH(B85,'Base de données Mono'!D:D,0)),"-"))))))</f>
        <v>60</v>
      </c>
      <c r="O85" s="123">
        <v>45376</v>
      </c>
      <c r="P85" s="123">
        <v>45378</v>
      </c>
      <c r="Q85" s="34">
        <v>75</v>
      </c>
      <c r="R85" s="33">
        <f t="shared" si="8"/>
        <v>15</v>
      </c>
      <c r="S85" s="34">
        <v>6.5</v>
      </c>
      <c r="T85" s="34">
        <f t="shared" si="11"/>
        <v>2</v>
      </c>
      <c r="U85" s="33">
        <f t="shared" si="9"/>
        <v>195</v>
      </c>
      <c r="V85" s="38" t="s">
        <v>148</v>
      </c>
      <c r="W85" s="39">
        <f t="shared" si="10"/>
        <v>0.25</v>
      </c>
      <c r="X85" s="40" t="s">
        <v>304</v>
      </c>
      <c r="Y85" s="40" t="s">
        <v>284</v>
      </c>
      <c r="Z85" s="40" t="s">
        <v>305</v>
      </c>
      <c r="AA85" s="33" t="s">
        <v>771</v>
      </c>
      <c r="AB85" s="95"/>
      <c r="AC85" s="95"/>
    </row>
    <row r="86" spans="1:29" ht="14.45" hidden="1" customHeight="1" x14ac:dyDescent="0.25">
      <c r="A86" s="36" t="str">
        <f>INDEX('Base de données Mono'!C:C,MATCH(B86,'Base de données Mono'!D:D,0))</f>
        <v>ROQUETTE</v>
      </c>
      <c r="B86" t="s">
        <v>225</v>
      </c>
      <c r="C86" s="36" t="str">
        <f>INDEX('Base de données Mono'!B:B,MATCH(B86,'Base de données Mono'!D:D,0))</f>
        <v>SES8</v>
      </c>
      <c r="D86" s="36" t="str">
        <f>INDEX('Base de données Mono'!A:A,MATCH(B86,'Base de données Mono'!D:D,0))</f>
        <v>JG</v>
      </c>
      <c r="E86" s="37" t="s">
        <v>303</v>
      </c>
      <c r="F86" s="41">
        <f t="shared" si="6"/>
        <v>13</v>
      </c>
      <c r="G86" s="41">
        <f t="shared" si="7"/>
        <v>3</v>
      </c>
      <c r="H86">
        <v>8</v>
      </c>
      <c r="I86" s="131">
        <f>INDEX('Base de données Mono'!K:K,MATCH(B86,'Base de données Mono'!D:D,0))</f>
        <v>0.25</v>
      </c>
      <c r="J86" s="131">
        <f>INDEX('Base de données Mono'!L:L,MATCH(B86,'Base de données Mono'!D:D,0))</f>
        <v>0.91666666666666663</v>
      </c>
      <c r="K86" s="131">
        <f>INDEX('Base de données Mono'!M:M,MATCH(B86,'Base de données Mono'!D:D,0))</f>
        <v>0.29166666666666669</v>
      </c>
      <c r="L86" s="131">
        <f>INDEX('Base de données Mono'!N:N,MATCH(B86,'Base de données Mono'!D:D,0))</f>
        <v>0.55208333333333337</v>
      </c>
      <c r="M86" s="33" t="s">
        <v>811</v>
      </c>
      <c r="N86" s="33">
        <f>IF(AND(E86="Electricité",M86="Hiver"),INDEX('Base de données Mono'!E:E,MATCH(B86,'Base de données Mono'!D:D,0)),IF(AND(E86="Electricité",M86="Mi-saison"),INDEX('Base de données Mono'!F:F,MATCH(B86,'Base de données Mono'!D:D,0)),IF(AND(E86="Electricité",M86="Eté"),INDEX('Base de données Mono'!G:G,MATCH(B86,'Base de données Mono'!D:D,0)),IF(AND(E86="Gaz",M86="Hiver"),INDEX('Base de données Mono'!J:J,MATCH(B86,'Base de données Mono'!D:D,0)),IF(AND(E86="Gaz",M86="Mi-saison"),INDEX('Base de données Mono'!#REF!,MATCH(B86,'Base de données Mono'!D:D,0)),IF(AND(E86="Gaz",M86="Eté"),INDEX('Base de données Mono'!#REF!,MATCH(B86,'Base de données Mono'!D:D,0)),"-"))))))</f>
        <v>60</v>
      </c>
      <c r="O86" s="123">
        <v>45376</v>
      </c>
      <c r="P86" s="123">
        <v>45378</v>
      </c>
      <c r="Q86" s="34">
        <v>95</v>
      </c>
      <c r="R86" s="33">
        <f t="shared" si="8"/>
        <v>35</v>
      </c>
      <c r="S86" s="34">
        <v>1.5</v>
      </c>
      <c r="T86" s="34">
        <f t="shared" si="11"/>
        <v>2</v>
      </c>
      <c r="U86" s="33">
        <f t="shared" si="9"/>
        <v>105</v>
      </c>
      <c r="V86" s="38" t="s">
        <v>148</v>
      </c>
      <c r="W86" s="39">
        <f t="shared" si="10"/>
        <v>0.58333333333333337</v>
      </c>
      <c r="X86" s="40" t="s">
        <v>304</v>
      </c>
      <c r="Y86" s="40" t="s">
        <v>283</v>
      </c>
      <c r="Z86" s="40" t="s">
        <v>749</v>
      </c>
      <c r="AA86" s="33" t="s">
        <v>749</v>
      </c>
      <c r="AB86" s="95"/>
      <c r="AC86" s="95"/>
    </row>
    <row r="87" spans="1:29" ht="14.45" hidden="1" customHeight="1" x14ac:dyDescent="0.25">
      <c r="A87" s="36" t="str">
        <f>INDEX('Base de données Mono'!C:C,MATCH(B87,'Base de données Mono'!D:D,0))</f>
        <v>ROQUETTE</v>
      </c>
      <c r="B87" t="s">
        <v>225</v>
      </c>
      <c r="C87" s="36" t="str">
        <f>INDEX('Base de données Mono'!B:B,MATCH(B87,'Base de données Mono'!D:D,0))</f>
        <v>SES8</v>
      </c>
      <c r="D87" s="36" t="str">
        <f>INDEX('Base de données Mono'!A:A,MATCH(B87,'Base de données Mono'!D:D,0))</f>
        <v>JG</v>
      </c>
      <c r="E87" s="37" t="s">
        <v>303</v>
      </c>
      <c r="F87" s="41">
        <f t="shared" si="6"/>
        <v>13</v>
      </c>
      <c r="G87" s="41">
        <f t="shared" si="7"/>
        <v>3</v>
      </c>
      <c r="H87">
        <v>8</v>
      </c>
      <c r="I87" s="131">
        <f>INDEX('Base de données Mono'!K:K,MATCH(B87,'Base de données Mono'!D:D,0))</f>
        <v>0.25</v>
      </c>
      <c r="J87" s="131">
        <f>INDEX('Base de données Mono'!L:L,MATCH(B87,'Base de données Mono'!D:D,0))</f>
        <v>0.91666666666666663</v>
      </c>
      <c r="K87" s="131">
        <f>INDEX('Base de données Mono'!M:M,MATCH(B87,'Base de données Mono'!D:D,0))</f>
        <v>0.29166666666666669</v>
      </c>
      <c r="L87" s="131">
        <f>INDEX('Base de données Mono'!N:N,MATCH(B87,'Base de données Mono'!D:D,0))</f>
        <v>0.55208333333333337</v>
      </c>
      <c r="M87" s="33" t="s">
        <v>811</v>
      </c>
      <c r="N87" s="33">
        <f>IF(AND(E87="Electricité",M87="Hiver"),INDEX('Base de données Mono'!E:E,MATCH(B87,'Base de données Mono'!D:D,0)),IF(AND(E87="Electricité",M87="Mi-saison"),INDEX('Base de données Mono'!F:F,MATCH(B87,'Base de données Mono'!D:D,0)),IF(AND(E87="Electricité",M87="Eté"),INDEX('Base de données Mono'!G:G,MATCH(B87,'Base de données Mono'!D:D,0)),IF(AND(E87="Gaz",M87="Hiver"),INDEX('Base de données Mono'!J:J,MATCH(B87,'Base de données Mono'!D:D,0)),IF(AND(E87="Gaz",M87="Mi-saison"),INDEX('Base de données Mono'!#REF!,MATCH(B87,'Base de données Mono'!D:D,0)),IF(AND(E87="Gaz",M87="Eté"),INDEX('Base de données Mono'!#REF!,MATCH(B87,'Base de données Mono'!D:D,0)),"-"))))))</f>
        <v>60</v>
      </c>
      <c r="O87" s="123">
        <v>45378</v>
      </c>
      <c r="P87" s="123">
        <v>45379</v>
      </c>
      <c r="Q87" s="34">
        <v>90</v>
      </c>
      <c r="R87" s="33">
        <f t="shared" si="8"/>
        <v>30</v>
      </c>
      <c r="S87" s="34">
        <v>6</v>
      </c>
      <c r="T87" s="34">
        <f t="shared" si="11"/>
        <v>1</v>
      </c>
      <c r="U87" s="33">
        <f t="shared" si="9"/>
        <v>180</v>
      </c>
      <c r="V87" s="38" t="s">
        <v>148</v>
      </c>
      <c r="W87" s="39">
        <f t="shared" si="10"/>
        <v>0.5</v>
      </c>
      <c r="X87" s="40" t="s">
        <v>304</v>
      </c>
      <c r="Y87" s="40" t="s">
        <v>284</v>
      </c>
      <c r="Z87" s="40" t="s">
        <v>305</v>
      </c>
      <c r="AA87" s="33" t="s">
        <v>771</v>
      </c>
      <c r="AB87" s="95"/>
      <c r="AC87" s="95"/>
    </row>
    <row r="88" spans="1:29" ht="14.45" hidden="1" customHeight="1" x14ac:dyDescent="0.25">
      <c r="A88" s="36" t="str">
        <f>INDEX('Base de données Mono'!C:C,MATCH(B88,'Base de données Mono'!D:D,0))</f>
        <v>ROQUETTE</v>
      </c>
      <c r="B88" t="s">
        <v>225</v>
      </c>
      <c r="C88" s="36" t="str">
        <f>INDEX('Base de données Mono'!B:B,MATCH(B88,'Base de données Mono'!D:D,0))</f>
        <v>SES8</v>
      </c>
      <c r="D88" s="36" t="str">
        <f>INDEX('Base de données Mono'!A:A,MATCH(B88,'Base de données Mono'!D:D,0))</f>
        <v>JG</v>
      </c>
      <c r="E88" s="37" t="s">
        <v>303</v>
      </c>
      <c r="F88" s="41">
        <f t="shared" si="6"/>
        <v>13</v>
      </c>
      <c r="G88" s="41">
        <f t="shared" si="7"/>
        <v>3</v>
      </c>
      <c r="H88">
        <v>8</v>
      </c>
      <c r="I88" s="131">
        <f>INDEX('Base de données Mono'!K:K,MATCH(B88,'Base de données Mono'!D:D,0))</f>
        <v>0.25</v>
      </c>
      <c r="J88" s="131">
        <f>INDEX('Base de données Mono'!L:L,MATCH(B88,'Base de données Mono'!D:D,0))</f>
        <v>0.91666666666666663</v>
      </c>
      <c r="K88" s="131">
        <f>INDEX('Base de données Mono'!M:M,MATCH(B88,'Base de données Mono'!D:D,0))</f>
        <v>0.29166666666666669</v>
      </c>
      <c r="L88" s="131">
        <f>INDEX('Base de données Mono'!N:N,MATCH(B88,'Base de données Mono'!D:D,0))</f>
        <v>0.55208333333333337</v>
      </c>
      <c r="M88" s="33" t="s">
        <v>811</v>
      </c>
      <c r="N88" s="33">
        <f>IF(AND(E88="Electricité",M88="Hiver"),INDEX('Base de données Mono'!E:E,MATCH(B88,'Base de données Mono'!D:D,0)),IF(AND(E88="Electricité",M88="Mi-saison"),INDEX('Base de données Mono'!F:F,MATCH(B88,'Base de données Mono'!D:D,0)),IF(AND(E88="Electricité",M88="Eté"),INDEX('Base de données Mono'!G:G,MATCH(B88,'Base de données Mono'!D:D,0)),IF(AND(E88="Gaz",M88="Hiver"),INDEX('Base de données Mono'!J:J,MATCH(B88,'Base de données Mono'!D:D,0)),IF(AND(E88="Gaz",M88="Mi-saison"),INDEX('Base de données Mono'!#REF!,MATCH(B88,'Base de données Mono'!D:D,0)),IF(AND(E88="Gaz",M88="Eté"),INDEX('Base de données Mono'!#REF!,MATCH(B88,'Base de données Mono'!D:D,0)),"-"))))))</f>
        <v>60</v>
      </c>
      <c r="O88" s="123">
        <v>45378</v>
      </c>
      <c r="P88" s="123">
        <v>45379</v>
      </c>
      <c r="Q88" s="34">
        <v>105</v>
      </c>
      <c r="R88" s="33">
        <f t="shared" si="8"/>
        <v>45</v>
      </c>
      <c r="S88" s="34">
        <v>2</v>
      </c>
      <c r="T88" s="34">
        <f t="shared" si="11"/>
        <v>1</v>
      </c>
      <c r="U88" s="33">
        <f t="shared" si="9"/>
        <v>90</v>
      </c>
      <c r="V88" s="38" t="s">
        <v>148</v>
      </c>
      <c r="W88" s="39">
        <f t="shared" si="10"/>
        <v>0.75</v>
      </c>
      <c r="X88" s="40" t="s">
        <v>304</v>
      </c>
      <c r="Y88" s="40" t="s">
        <v>283</v>
      </c>
      <c r="Z88" s="40" t="s">
        <v>749</v>
      </c>
      <c r="AA88" s="33" t="s">
        <v>749</v>
      </c>
      <c r="AB88" s="95"/>
      <c r="AC88" s="95"/>
    </row>
    <row r="89" spans="1:29" ht="14.45" hidden="1" customHeight="1" x14ac:dyDescent="0.25">
      <c r="A89" s="36" t="str">
        <f>INDEX('Base de données Mono'!C:C,MATCH(B89,'Base de données Mono'!D:D,0))</f>
        <v>ROQUETTE</v>
      </c>
      <c r="B89" t="s">
        <v>225</v>
      </c>
      <c r="C89" s="36" t="str">
        <f>INDEX('Base de données Mono'!B:B,MATCH(B89,'Base de données Mono'!D:D,0))</f>
        <v>SES8</v>
      </c>
      <c r="D89" s="36" t="str">
        <f>INDEX('Base de données Mono'!A:A,MATCH(B89,'Base de données Mono'!D:D,0))</f>
        <v>JG</v>
      </c>
      <c r="E89" s="37" t="s">
        <v>303</v>
      </c>
      <c r="F89" s="41">
        <f t="shared" si="6"/>
        <v>13</v>
      </c>
      <c r="G89" s="41">
        <f t="shared" si="7"/>
        <v>3</v>
      </c>
      <c r="H89">
        <v>8</v>
      </c>
      <c r="I89" s="131">
        <f>INDEX('Base de données Mono'!K:K,MATCH(B89,'Base de données Mono'!D:D,0))</f>
        <v>0.25</v>
      </c>
      <c r="J89" s="131">
        <f>INDEX('Base de données Mono'!L:L,MATCH(B89,'Base de données Mono'!D:D,0))</f>
        <v>0.91666666666666663</v>
      </c>
      <c r="K89" s="131">
        <f>INDEX('Base de données Mono'!M:M,MATCH(B89,'Base de données Mono'!D:D,0))</f>
        <v>0.29166666666666669</v>
      </c>
      <c r="L89" s="131">
        <f>INDEX('Base de données Mono'!N:N,MATCH(B89,'Base de données Mono'!D:D,0))</f>
        <v>0.55208333333333337</v>
      </c>
      <c r="M89" s="33" t="s">
        <v>811</v>
      </c>
      <c r="N89" s="33">
        <f>IF(AND(E89="Electricité",M89="Hiver"),INDEX('Base de données Mono'!E:E,MATCH(B89,'Base de données Mono'!D:D,0)),IF(AND(E89="Electricité",M89="Mi-saison"),INDEX('Base de données Mono'!F:F,MATCH(B89,'Base de données Mono'!D:D,0)),IF(AND(E89="Electricité",M89="Eté"),INDEX('Base de données Mono'!G:G,MATCH(B89,'Base de données Mono'!D:D,0)),IF(AND(E89="Gaz",M89="Hiver"),INDEX('Base de données Mono'!J:J,MATCH(B89,'Base de données Mono'!D:D,0)),IF(AND(E89="Gaz",M89="Mi-saison"),INDEX('Base de données Mono'!#REF!,MATCH(B89,'Base de données Mono'!D:D,0)),IF(AND(E89="Gaz",M89="Eté"),INDEX('Base de données Mono'!#REF!,MATCH(B89,'Base de données Mono'!D:D,0)),"-"))))))</f>
        <v>60</v>
      </c>
      <c r="O89" s="123">
        <v>45379</v>
      </c>
      <c r="P89" s="123">
        <v>45380</v>
      </c>
      <c r="Q89" s="34">
        <v>75</v>
      </c>
      <c r="R89" s="33">
        <f t="shared" si="8"/>
        <v>15</v>
      </c>
      <c r="S89" s="34">
        <v>8</v>
      </c>
      <c r="T89" s="34">
        <f t="shared" si="11"/>
        <v>1</v>
      </c>
      <c r="U89" s="33">
        <f t="shared" si="9"/>
        <v>120</v>
      </c>
      <c r="V89" s="38" t="s">
        <v>148</v>
      </c>
      <c r="W89" s="39">
        <f t="shared" si="10"/>
        <v>0.25</v>
      </c>
      <c r="X89" s="40" t="s">
        <v>304</v>
      </c>
      <c r="Y89" s="40" t="s">
        <v>284</v>
      </c>
      <c r="Z89" s="40" t="s">
        <v>305</v>
      </c>
      <c r="AA89" s="33" t="s">
        <v>771</v>
      </c>
      <c r="AB89" s="95"/>
      <c r="AC89" s="95"/>
    </row>
    <row r="90" spans="1:29" ht="14.45" hidden="1" customHeight="1" x14ac:dyDescent="0.25">
      <c r="A90" s="36" t="str">
        <f>INDEX('Base de données Mono'!C:C,MATCH(B90,'Base de données Mono'!D:D,0))</f>
        <v>ROQUETTE</v>
      </c>
      <c r="B90" t="s">
        <v>225</v>
      </c>
      <c r="C90" s="36" t="str">
        <f>INDEX('Base de données Mono'!B:B,MATCH(B90,'Base de données Mono'!D:D,0))</f>
        <v>SES8</v>
      </c>
      <c r="D90" s="36" t="str">
        <f>INDEX('Base de données Mono'!A:A,MATCH(B90,'Base de données Mono'!D:D,0))</f>
        <v>JG</v>
      </c>
      <c r="E90" s="37" t="s">
        <v>303</v>
      </c>
      <c r="F90" s="41">
        <f t="shared" si="6"/>
        <v>13</v>
      </c>
      <c r="G90" s="41">
        <f t="shared" si="7"/>
        <v>3</v>
      </c>
      <c r="H90">
        <v>8</v>
      </c>
      <c r="I90" s="131">
        <f>INDEX('Base de données Mono'!K:K,MATCH(B90,'Base de données Mono'!D:D,0))</f>
        <v>0.25</v>
      </c>
      <c r="J90" s="131">
        <f>INDEX('Base de données Mono'!L:L,MATCH(B90,'Base de données Mono'!D:D,0))</f>
        <v>0.91666666666666663</v>
      </c>
      <c r="K90" s="131">
        <f>INDEX('Base de données Mono'!M:M,MATCH(B90,'Base de données Mono'!D:D,0))</f>
        <v>0.29166666666666669</v>
      </c>
      <c r="L90" s="131">
        <f>INDEX('Base de données Mono'!N:N,MATCH(B90,'Base de données Mono'!D:D,0))</f>
        <v>0.55208333333333337</v>
      </c>
      <c r="M90" s="33" t="s">
        <v>811</v>
      </c>
      <c r="N90" s="33">
        <f>IF(AND(E90="Electricité",M90="Hiver"),INDEX('Base de données Mono'!E:E,MATCH(B90,'Base de données Mono'!D:D,0)),IF(AND(E90="Electricité",M90="Mi-saison"),INDEX('Base de données Mono'!F:F,MATCH(B90,'Base de données Mono'!D:D,0)),IF(AND(E90="Electricité",M90="Eté"),INDEX('Base de données Mono'!G:G,MATCH(B90,'Base de données Mono'!D:D,0)),IF(AND(E90="Gaz",M90="Hiver"),INDEX('Base de données Mono'!J:J,MATCH(B90,'Base de données Mono'!D:D,0)),IF(AND(E90="Gaz",M90="Mi-saison"),INDEX('Base de données Mono'!#REF!,MATCH(B90,'Base de données Mono'!D:D,0)),IF(AND(E90="Gaz",M90="Eté"),INDEX('Base de données Mono'!#REF!,MATCH(B90,'Base de données Mono'!D:D,0)),"-"))))))</f>
        <v>60</v>
      </c>
      <c r="O90" s="123">
        <v>45380</v>
      </c>
      <c r="P90" s="123">
        <v>45382</v>
      </c>
      <c r="Q90" s="34">
        <v>90</v>
      </c>
      <c r="R90" s="33">
        <f t="shared" si="8"/>
        <v>30</v>
      </c>
      <c r="S90" s="34">
        <v>8</v>
      </c>
      <c r="T90" s="34">
        <f t="shared" si="11"/>
        <v>2</v>
      </c>
      <c r="U90" s="33">
        <f t="shared" si="9"/>
        <v>480</v>
      </c>
      <c r="V90" s="38" t="s">
        <v>148</v>
      </c>
      <c r="W90" s="39">
        <f t="shared" si="10"/>
        <v>0.5</v>
      </c>
      <c r="X90" s="40" t="s">
        <v>304</v>
      </c>
      <c r="Y90" s="40" t="s">
        <v>284</v>
      </c>
      <c r="Z90" s="40" t="s">
        <v>305</v>
      </c>
      <c r="AA90" s="33" t="s">
        <v>771</v>
      </c>
      <c r="AB90" s="95"/>
      <c r="AC90" s="95"/>
    </row>
    <row r="91" spans="1:29" ht="14.45" hidden="1" customHeight="1" x14ac:dyDescent="0.25">
      <c r="A91" s="36" t="str">
        <f>INDEX('Base de données Mono'!C:C,MATCH(B91,'Base de données Mono'!D:D,0))</f>
        <v>UNI POTEAU</v>
      </c>
      <c r="B91" t="s">
        <v>258</v>
      </c>
      <c r="C91" s="36" t="str">
        <f>INDEX('Base de données Mono'!B:B,MATCH(B91,'Base de données Mono'!D:D,0))</f>
        <v>SES8</v>
      </c>
      <c r="D91" s="36" t="str">
        <f>INDEX('Base de données Mono'!A:A,MATCH(B91,'Base de données Mono'!D:D,0))</f>
        <v>JG</v>
      </c>
      <c r="E91" s="37" t="s">
        <v>303</v>
      </c>
      <c r="F91" s="41">
        <f t="shared" si="6"/>
        <v>13</v>
      </c>
      <c r="G91" s="41">
        <f t="shared" si="7"/>
        <v>3</v>
      </c>
      <c r="H91">
        <v>8</v>
      </c>
      <c r="I91" s="131">
        <f>INDEX('Base de données Mono'!K:K,MATCH(B91,'Base de données Mono'!D:D,0))</f>
        <v>0.20138888888888887</v>
      </c>
      <c r="J91" s="131">
        <f>INDEX('Base de données Mono'!L:L,MATCH(B91,'Base de données Mono'!D:D,0))</f>
        <v>0.92013888888888884</v>
      </c>
      <c r="K91" s="131">
        <f>INDEX('Base de données Mono'!M:M,MATCH(B91,'Base de données Mono'!D:D,0))</f>
        <v>0.27777777777777779</v>
      </c>
      <c r="L91" s="131">
        <f>INDEX('Base de données Mono'!N:N,MATCH(B91,'Base de données Mono'!D:D,0))</f>
        <v>0.55208333333333337</v>
      </c>
      <c r="M91" s="33" t="s">
        <v>811</v>
      </c>
      <c r="N91" s="33">
        <f>IF(AND(E91="Electricité",M91="Hiver"),INDEX('Base de données Mono'!E:E,MATCH(B91,'Base de données Mono'!D:D,0)),IF(AND(E91="Electricité",M91="Mi-saison"),INDEX('Base de données Mono'!F:F,MATCH(B91,'Base de données Mono'!D:D,0)),IF(AND(E91="Electricité",M91="Eté"),INDEX('Base de données Mono'!G:G,MATCH(B91,'Base de données Mono'!D:D,0)),IF(AND(E91="Gaz",M91="Hiver"),INDEX('Base de données Mono'!J:J,MATCH(B91,'Base de données Mono'!D:D,0)),IF(AND(E91="Gaz",M91="Mi-saison"),INDEX('Base de données Mono'!#REF!,MATCH(B91,'Base de données Mono'!D:D,0)),IF(AND(E91="Gaz",M91="Eté"),INDEX('Base de données Mono'!#REF!,MATCH(B91,'Base de données Mono'!D:D,0)),"-"))))))</f>
        <v>70</v>
      </c>
      <c r="O91" s="123">
        <v>45376</v>
      </c>
      <c r="P91" s="123">
        <v>45378</v>
      </c>
      <c r="Q91" s="34">
        <v>100</v>
      </c>
      <c r="R91" s="33">
        <f t="shared" si="8"/>
        <v>30</v>
      </c>
      <c r="S91" s="34">
        <v>4</v>
      </c>
      <c r="T91" s="34">
        <f t="shared" si="11"/>
        <v>2</v>
      </c>
      <c r="U91" s="33">
        <f t="shared" si="9"/>
        <v>240</v>
      </c>
      <c r="V91" s="38" t="s">
        <v>148</v>
      </c>
      <c r="W91" s="39">
        <f t="shared" si="10"/>
        <v>0.42857142857142855</v>
      </c>
      <c r="X91" s="40" t="s">
        <v>304</v>
      </c>
      <c r="Y91" s="40" t="s">
        <v>284</v>
      </c>
      <c r="Z91" s="40" t="s">
        <v>311</v>
      </c>
      <c r="AA91" s="33" t="s">
        <v>775</v>
      </c>
      <c r="AB91" s="95"/>
      <c r="AC91" s="95"/>
    </row>
    <row r="92" spans="1:29" ht="14.45" hidden="1" customHeight="1" x14ac:dyDescent="0.25">
      <c r="A92" s="36" t="str">
        <f>INDEX('Base de données Mono'!C:C,MATCH(B92,'Base de données Mono'!D:D,0))</f>
        <v>UNI POTEAU</v>
      </c>
      <c r="B92" t="s">
        <v>258</v>
      </c>
      <c r="C92" s="36" t="str">
        <f>INDEX('Base de données Mono'!B:B,MATCH(B92,'Base de données Mono'!D:D,0))</f>
        <v>SES8</v>
      </c>
      <c r="D92" s="36" t="str">
        <f>INDEX('Base de données Mono'!A:A,MATCH(B92,'Base de données Mono'!D:D,0))</f>
        <v>JG</v>
      </c>
      <c r="E92" s="37" t="s">
        <v>303</v>
      </c>
      <c r="F92" s="41">
        <f t="shared" si="6"/>
        <v>13</v>
      </c>
      <c r="G92" s="41">
        <f t="shared" si="7"/>
        <v>3</v>
      </c>
      <c r="H92">
        <v>8</v>
      </c>
      <c r="I92" s="131">
        <f>INDEX('Base de données Mono'!K:K,MATCH(B92,'Base de données Mono'!D:D,0))</f>
        <v>0.20138888888888887</v>
      </c>
      <c r="J92" s="131">
        <f>INDEX('Base de données Mono'!L:L,MATCH(B92,'Base de données Mono'!D:D,0))</f>
        <v>0.92013888888888884</v>
      </c>
      <c r="K92" s="131">
        <f>INDEX('Base de données Mono'!M:M,MATCH(B92,'Base de données Mono'!D:D,0))</f>
        <v>0.27777777777777779</v>
      </c>
      <c r="L92" s="131">
        <f>INDEX('Base de données Mono'!N:N,MATCH(B92,'Base de données Mono'!D:D,0))</f>
        <v>0.55208333333333337</v>
      </c>
      <c r="M92" s="33" t="s">
        <v>811</v>
      </c>
      <c r="N92" s="33">
        <f>IF(AND(E92="Electricité",M92="Hiver"),INDEX('Base de données Mono'!E:E,MATCH(B92,'Base de données Mono'!D:D,0)),IF(AND(E92="Electricité",M92="Mi-saison"),INDEX('Base de données Mono'!F:F,MATCH(B92,'Base de données Mono'!D:D,0)),IF(AND(E92="Electricité",M92="Eté"),INDEX('Base de données Mono'!G:G,MATCH(B92,'Base de données Mono'!D:D,0)),IF(AND(E92="Gaz",M92="Hiver"),INDEX('Base de données Mono'!J:J,MATCH(B92,'Base de données Mono'!D:D,0)),IF(AND(E92="Gaz",M92="Mi-saison"),INDEX('Base de données Mono'!#REF!,MATCH(B92,'Base de données Mono'!D:D,0)),IF(AND(E92="Gaz",M92="Eté"),INDEX('Base de données Mono'!#REF!,MATCH(B92,'Base de données Mono'!D:D,0)),"-"))))))</f>
        <v>70</v>
      </c>
      <c r="O92" s="123">
        <v>45382</v>
      </c>
      <c r="P92" s="123">
        <v>45382</v>
      </c>
      <c r="Q92" s="34">
        <v>95</v>
      </c>
      <c r="R92" s="33">
        <f t="shared" si="8"/>
        <v>25</v>
      </c>
      <c r="S92" s="34">
        <v>6.5</v>
      </c>
      <c r="T92" s="34">
        <v>1</v>
      </c>
      <c r="U92" s="33">
        <f t="shared" si="9"/>
        <v>162.5</v>
      </c>
      <c r="V92" s="38" t="s">
        <v>148</v>
      </c>
      <c r="W92" s="39">
        <f t="shared" si="10"/>
        <v>0.35714285714285715</v>
      </c>
      <c r="X92" s="40" t="s">
        <v>730</v>
      </c>
      <c r="Y92" s="40" t="s">
        <v>284</v>
      </c>
      <c r="Z92" s="40" t="s">
        <v>307</v>
      </c>
      <c r="AA92" s="33" t="s">
        <v>308</v>
      </c>
      <c r="AB92" s="95"/>
      <c r="AC92" s="95"/>
    </row>
    <row r="93" spans="1:29" ht="14.45" hidden="1" customHeight="1" x14ac:dyDescent="0.25">
      <c r="A93" s="36" t="str">
        <f>INDEX('Base de données Mono'!C:C,MATCH(B93,'Base de données Mono'!D:D,0))</f>
        <v>GRENOBLE CASERNE</v>
      </c>
      <c r="B93" t="s">
        <v>135</v>
      </c>
      <c r="C93" s="36" t="str">
        <f>INDEX('Base de données Mono'!B:B,MATCH(B93,'Base de données Mono'!D:D,0))</f>
        <v>SES8</v>
      </c>
      <c r="D93" s="36" t="str">
        <f>INDEX('Base de données Mono'!A:A,MATCH(B93,'Base de données Mono'!D:D,0))</f>
        <v>JG</v>
      </c>
      <c r="E93" s="37" t="s">
        <v>303</v>
      </c>
      <c r="F93" s="41">
        <f t="shared" si="6"/>
        <v>13</v>
      </c>
      <c r="G93" s="41">
        <f t="shared" si="7"/>
        <v>3</v>
      </c>
      <c r="H93">
        <v>8</v>
      </c>
      <c r="I93" s="131">
        <f>INDEX('Base de données Mono'!K:K,MATCH(B93,'Base de données Mono'!D:D,0))</f>
        <v>0.22222222222222221</v>
      </c>
      <c r="J93" s="131">
        <f>INDEX('Base de données Mono'!L:L,MATCH(B93,'Base de données Mono'!D:D,0))</f>
        <v>0.89583333333333337</v>
      </c>
      <c r="K93" s="131">
        <f>INDEX('Base de données Mono'!M:M,MATCH(B93,'Base de données Mono'!D:D,0))</f>
        <v>0.3125</v>
      </c>
      <c r="L93" s="131">
        <f>INDEX('Base de données Mono'!N:N,MATCH(B93,'Base de données Mono'!D:D,0))</f>
        <v>0.55208333333333337</v>
      </c>
      <c r="M93" s="33" t="s">
        <v>811</v>
      </c>
      <c r="N93" s="33">
        <f>IF(AND(E93="Electricité",M93="Hiver"),INDEX('Base de données Mono'!E:E,MATCH(B93,'Base de données Mono'!D:D,0)),IF(AND(E93="Electricité",M93="Mi-saison"),INDEX('Base de données Mono'!F:F,MATCH(B93,'Base de données Mono'!D:D,0)),IF(AND(E93="Electricité",M93="Eté"),INDEX('Base de données Mono'!G:G,MATCH(B93,'Base de données Mono'!D:D,0)),IF(AND(E93="Gaz",M93="Hiver"),INDEX('Base de données Mono'!J:J,MATCH(B93,'Base de données Mono'!D:D,0)),IF(AND(E93="Gaz",M93="Mi-saison"),INDEX('Base de données Mono'!#REF!,MATCH(B93,'Base de données Mono'!D:D,0)),IF(AND(E93="Gaz",M93="Eté"),INDEX('Base de données Mono'!#REF!,MATCH(B93,'Base de données Mono'!D:D,0)),"-"))))))</f>
        <v>40</v>
      </c>
      <c r="O93" s="123">
        <v>45375</v>
      </c>
      <c r="P93" s="123">
        <v>45381</v>
      </c>
      <c r="Q93" s="34">
        <v>55</v>
      </c>
      <c r="R93" s="33">
        <f t="shared" si="8"/>
        <v>15</v>
      </c>
      <c r="S93" s="34">
        <v>1</v>
      </c>
      <c r="T93" s="34">
        <f t="shared" ref="T93:T156" si="12">P93-O93</f>
        <v>6</v>
      </c>
      <c r="U93" s="33">
        <f t="shared" si="9"/>
        <v>90</v>
      </c>
      <c r="V93" s="38" t="s">
        <v>148</v>
      </c>
      <c r="W93" s="39">
        <f t="shared" si="10"/>
        <v>0.375</v>
      </c>
      <c r="X93" s="40" t="s">
        <v>304</v>
      </c>
      <c r="Y93" s="40" t="s">
        <v>284</v>
      </c>
      <c r="Z93" s="40" t="s">
        <v>305</v>
      </c>
      <c r="AA93" s="33" t="s">
        <v>771</v>
      </c>
      <c r="AB93" s="95"/>
      <c r="AC93" s="95"/>
    </row>
    <row r="94" spans="1:29" ht="14.45" hidden="1" customHeight="1" x14ac:dyDescent="0.25">
      <c r="A94" s="36" t="str">
        <f>INDEX('Base de données Mono'!C:C,MATCH(B94,'Base de données Mono'!D:D,0))</f>
        <v>PELLEPORT</v>
      </c>
      <c r="B94" t="s">
        <v>205</v>
      </c>
      <c r="C94" s="36" t="str">
        <f>INDEX('Base de données Mono'!B:B,MATCH(B94,'Base de données Mono'!D:D,0))</f>
        <v>SES8</v>
      </c>
      <c r="D94" s="36" t="str">
        <f>INDEX('Base de données Mono'!A:A,MATCH(B94,'Base de données Mono'!D:D,0))</f>
        <v>JG</v>
      </c>
      <c r="E94" s="37" t="s">
        <v>303</v>
      </c>
      <c r="F94" s="41">
        <f t="shared" si="6"/>
        <v>13</v>
      </c>
      <c r="G94" s="41">
        <f t="shared" si="7"/>
        <v>3</v>
      </c>
      <c r="H94">
        <v>8</v>
      </c>
      <c r="I94" s="131">
        <f>INDEX('Base de données Mono'!K:K,MATCH(B94,'Base de données Mono'!D:D,0))</f>
        <v>0.20833333333333334</v>
      </c>
      <c r="J94" s="131">
        <f>INDEX('Base de données Mono'!L:L,MATCH(B94,'Base de données Mono'!D:D,0))</f>
        <v>0.93055555555555547</v>
      </c>
      <c r="K94" s="131">
        <f>INDEX('Base de données Mono'!M:M,MATCH(B94,'Base de données Mono'!D:D,0))</f>
        <v>0.28472222222222221</v>
      </c>
      <c r="L94" s="131">
        <f>INDEX('Base de données Mono'!N:N,MATCH(B94,'Base de données Mono'!D:D,0))</f>
        <v>0.83333333333333337</v>
      </c>
      <c r="M94" s="33" t="s">
        <v>811</v>
      </c>
      <c r="N94" s="33">
        <f>IF(AND(E94="Electricité",M94="Hiver"),INDEX('Base de données Mono'!E:E,MATCH(B94,'Base de données Mono'!D:D,0)),IF(AND(E94="Electricité",M94="Mi-saison"),INDEX('Base de données Mono'!F:F,MATCH(B94,'Base de données Mono'!D:D,0)),IF(AND(E94="Electricité",M94="Eté"),INDEX('Base de données Mono'!G:G,MATCH(B94,'Base de données Mono'!D:D,0)),IF(AND(E94="Gaz",M94="Hiver"),INDEX('Base de données Mono'!J:J,MATCH(B94,'Base de données Mono'!D:D,0)),IF(AND(E94="Gaz",M94="Mi-saison"),INDEX('Base de données Mono'!#REF!,MATCH(B94,'Base de données Mono'!D:D,0)),IF(AND(E94="Gaz",M94="Eté"),INDEX('Base de données Mono'!#REF!,MATCH(B94,'Base de données Mono'!D:D,0)),"-"))))))</f>
        <v>90</v>
      </c>
      <c r="O94" s="123">
        <v>45375</v>
      </c>
      <c r="P94" s="123">
        <v>45381</v>
      </c>
      <c r="Q94" s="34">
        <v>100</v>
      </c>
      <c r="R94" s="33">
        <f t="shared" si="8"/>
        <v>10</v>
      </c>
      <c r="S94" s="34">
        <v>6.6</v>
      </c>
      <c r="T94" s="34">
        <f t="shared" si="12"/>
        <v>6</v>
      </c>
      <c r="U94" s="33">
        <f t="shared" si="9"/>
        <v>396</v>
      </c>
      <c r="V94" s="38" t="s">
        <v>148</v>
      </c>
      <c r="W94" s="39">
        <f t="shared" si="10"/>
        <v>0.1111111111111111</v>
      </c>
      <c r="X94" s="40" t="s">
        <v>304</v>
      </c>
      <c r="Y94" s="40" t="s">
        <v>284</v>
      </c>
      <c r="Z94" s="40" t="s">
        <v>305</v>
      </c>
      <c r="AA94" s="33" t="s">
        <v>771</v>
      </c>
      <c r="AB94" s="95"/>
      <c r="AC94" s="95"/>
    </row>
    <row r="95" spans="1:29" ht="14.45" hidden="1" customHeight="1" x14ac:dyDescent="0.25">
      <c r="A95" s="36" t="str">
        <f>INDEX('Base de données Mono'!C:C,MATCH(B95,'Base de données Mono'!D:D,0))</f>
        <v>TERNES</v>
      </c>
      <c r="B95" t="s">
        <v>251</v>
      </c>
      <c r="C95" s="36" t="str">
        <f>INDEX('Base de données Mono'!B:B,MATCH(B95,'Base de données Mono'!D:D,0))</f>
        <v>SES8</v>
      </c>
      <c r="D95" s="36" t="str">
        <f>INDEX('Base de données Mono'!A:A,MATCH(B95,'Base de données Mono'!D:D,0))</f>
        <v>AD</v>
      </c>
      <c r="E95" s="37" t="s">
        <v>303</v>
      </c>
      <c r="F95" s="41">
        <f t="shared" si="6"/>
        <v>13</v>
      </c>
      <c r="G95" s="41">
        <f t="shared" si="7"/>
        <v>3</v>
      </c>
      <c r="H95">
        <v>8</v>
      </c>
      <c r="I95" s="131">
        <f>INDEX('Base de données Mono'!K:K,MATCH(B95,'Base de données Mono'!D:D,0))</f>
        <v>0.1875</v>
      </c>
      <c r="J95" s="131">
        <f>INDEX('Base de données Mono'!L:L,MATCH(B95,'Base de données Mono'!D:D,0))</f>
        <v>0.89583333333333337</v>
      </c>
      <c r="K95" s="131">
        <f>INDEX('Base de données Mono'!M:M,MATCH(B95,'Base de données Mono'!D:D,0))</f>
        <v>0.22916666666666666</v>
      </c>
      <c r="L95" s="131">
        <f>INDEX('Base de données Mono'!N:N,MATCH(B95,'Base de données Mono'!D:D,0))</f>
        <v>0.8125</v>
      </c>
      <c r="M95" s="33" t="s">
        <v>811</v>
      </c>
      <c r="N95" s="33">
        <f>IF(AND(E95="Electricité",M95="Hiver"),INDEX('Base de données Mono'!E:E,MATCH(B95,'Base de données Mono'!D:D,0)),IF(AND(E95="Electricité",M95="Mi-saison"),INDEX('Base de données Mono'!F:F,MATCH(B95,'Base de données Mono'!D:D,0)),IF(AND(E95="Electricité",M95="Eté"),INDEX('Base de données Mono'!G:G,MATCH(B95,'Base de données Mono'!D:D,0)),IF(AND(E95="Gaz",M95="Hiver"),INDEX('Base de données Mono'!J:J,MATCH(B95,'Base de données Mono'!D:D,0)),IF(AND(E95="Gaz",M95="Mi-saison"),INDEX('Base de données Mono'!#REF!,MATCH(B95,'Base de données Mono'!D:D,0)),IF(AND(E95="Gaz",M95="Eté"),INDEX('Base de données Mono'!#REF!,MATCH(B95,'Base de données Mono'!D:D,0)),"-"))))))</f>
        <v>80</v>
      </c>
      <c r="O95" s="123">
        <v>45375</v>
      </c>
      <c r="P95" s="123">
        <v>45381</v>
      </c>
      <c r="Q95" s="34">
        <v>105</v>
      </c>
      <c r="R95" s="33">
        <f t="shared" si="8"/>
        <v>25</v>
      </c>
      <c r="S95" s="34">
        <v>0.5</v>
      </c>
      <c r="T95" s="34">
        <f t="shared" si="12"/>
        <v>6</v>
      </c>
      <c r="U95" s="33">
        <f t="shared" si="9"/>
        <v>75</v>
      </c>
      <c r="V95" s="38" t="s">
        <v>148</v>
      </c>
      <c r="W95" s="39">
        <f t="shared" si="10"/>
        <v>0.3125</v>
      </c>
      <c r="X95" s="40" t="s">
        <v>304</v>
      </c>
      <c r="Y95" s="40" t="s">
        <v>284</v>
      </c>
      <c r="Z95" s="40" t="s">
        <v>305</v>
      </c>
      <c r="AA95" s="33" t="s">
        <v>771</v>
      </c>
      <c r="AB95" s="95"/>
      <c r="AC95" s="95"/>
    </row>
    <row r="96" spans="1:29" ht="14.45" hidden="1" customHeight="1" x14ac:dyDescent="0.25">
      <c r="A96" s="36" t="str">
        <f>INDEX('Base de données Mono'!C:C,MATCH(B96,'Base de données Mono'!D:D,0))</f>
        <v>TERNES</v>
      </c>
      <c r="B96" t="s">
        <v>251</v>
      </c>
      <c r="C96" s="36" t="str">
        <f>INDEX('Base de données Mono'!B:B,MATCH(B96,'Base de données Mono'!D:D,0))</f>
        <v>SES8</v>
      </c>
      <c r="D96" s="36" t="str">
        <f>INDEX('Base de données Mono'!A:A,MATCH(B96,'Base de données Mono'!D:D,0))</f>
        <v>AD</v>
      </c>
      <c r="E96" s="37" t="s">
        <v>303</v>
      </c>
      <c r="F96" s="41">
        <f t="shared" si="6"/>
        <v>13</v>
      </c>
      <c r="G96" s="41">
        <f t="shared" si="7"/>
        <v>3</v>
      </c>
      <c r="H96">
        <v>7.42</v>
      </c>
      <c r="I96" s="131">
        <f>INDEX('Base de données Mono'!K:K,MATCH(B96,'Base de données Mono'!D:D,0))</f>
        <v>0.1875</v>
      </c>
      <c r="J96" s="131">
        <f>INDEX('Base de données Mono'!L:L,MATCH(B96,'Base de données Mono'!D:D,0))</f>
        <v>0.89583333333333337</v>
      </c>
      <c r="K96" s="131">
        <f>INDEX('Base de données Mono'!M:M,MATCH(B96,'Base de données Mono'!D:D,0))</f>
        <v>0.22916666666666666</v>
      </c>
      <c r="L96" s="131">
        <f>INDEX('Base de données Mono'!N:N,MATCH(B96,'Base de données Mono'!D:D,0))</f>
        <v>0.8125</v>
      </c>
      <c r="M96" s="33" t="s">
        <v>811</v>
      </c>
      <c r="N96" s="33">
        <f>IF(AND(E96="Electricité",M96="Hiver"),INDEX('Base de données Mono'!E:E,MATCH(B96,'Base de données Mono'!D:D,0)),IF(AND(E96="Electricité",M96="Mi-saison"),INDEX('Base de données Mono'!F:F,MATCH(B96,'Base de données Mono'!D:D,0)),IF(AND(E96="Electricité",M96="Eté"),INDEX('Base de données Mono'!G:G,MATCH(B96,'Base de données Mono'!D:D,0)),IF(AND(E96="Gaz",M96="Hiver"),INDEX('Base de données Mono'!J:J,MATCH(B96,'Base de données Mono'!D:D,0)),IF(AND(E96="Gaz",M96="Mi-saison"),INDEX('Base de données Mono'!#REF!,MATCH(B96,'Base de données Mono'!D:D,0)),IF(AND(E96="Gaz",M96="Eté"),INDEX('Base de données Mono'!#REF!,MATCH(B96,'Base de données Mono'!D:D,0)),"-"))))))</f>
        <v>80</v>
      </c>
      <c r="O96" s="123">
        <v>45376</v>
      </c>
      <c r="P96" s="123">
        <v>45382</v>
      </c>
      <c r="Q96" s="34">
        <v>125</v>
      </c>
      <c r="R96" s="33">
        <f t="shared" si="8"/>
        <v>45</v>
      </c>
      <c r="S96" s="34">
        <v>0.7</v>
      </c>
      <c r="T96" s="34">
        <f t="shared" si="12"/>
        <v>6</v>
      </c>
      <c r="U96" s="33">
        <f t="shared" si="9"/>
        <v>188.99999999999997</v>
      </c>
      <c r="V96" s="38" t="s">
        <v>148</v>
      </c>
      <c r="W96" s="39">
        <f t="shared" si="10"/>
        <v>0.5625</v>
      </c>
      <c r="X96" s="40" t="s">
        <v>304</v>
      </c>
      <c r="Y96" s="40" t="s">
        <v>284</v>
      </c>
      <c r="Z96" s="40" t="s">
        <v>307</v>
      </c>
      <c r="AA96" s="33" t="s">
        <v>313</v>
      </c>
      <c r="AB96" s="95"/>
      <c r="AC96" s="95"/>
    </row>
    <row r="97" spans="1:29" ht="14.45" hidden="1" customHeight="1" x14ac:dyDescent="0.25">
      <c r="A97" s="36" t="str">
        <f>INDEX('Base de données Mono'!C:C,MATCH(B97,'Base de données Mono'!D:D,0))</f>
        <v>LES TOITS DE BOULOGNE</v>
      </c>
      <c r="B97" t="s">
        <v>158</v>
      </c>
      <c r="C97" s="36" t="str">
        <f>INDEX('Base de données Mono'!B:B,MATCH(B97,'Base de données Mono'!D:D,0))</f>
        <v>SES8</v>
      </c>
      <c r="D97" s="36" t="str">
        <f>INDEX('Base de données Mono'!A:A,MATCH(B97,'Base de données Mono'!D:D,0))</f>
        <v>AD</v>
      </c>
      <c r="E97" s="37" t="s">
        <v>303</v>
      </c>
      <c r="F97" s="41">
        <f t="shared" si="6"/>
        <v>13</v>
      </c>
      <c r="G97" s="41">
        <f t="shared" si="7"/>
        <v>3</v>
      </c>
      <c r="H97">
        <v>7.42</v>
      </c>
      <c r="I97" s="131">
        <f>INDEX('Base de données Mono'!K:K,MATCH(B97,'Base de données Mono'!D:D,0))</f>
        <v>0.22916666666666666</v>
      </c>
      <c r="J97" s="131">
        <f>INDEX('Base de données Mono'!L:L,MATCH(B97,'Base de données Mono'!D:D,0))</f>
        <v>0.875</v>
      </c>
      <c r="K97" s="131">
        <f>INDEX('Base de données Mono'!M:M,MATCH(B97,'Base de données Mono'!D:D,0))</f>
        <v>0.29166666666666669</v>
      </c>
      <c r="L97" s="131">
        <f>INDEX('Base de données Mono'!N:N,MATCH(B97,'Base de données Mono'!D:D,0))</f>
        <v>0.83333333333333337</v>
      </c>
      <c r="M97" s="33" t="s">
        <v>811</v>
      </c>
      <c r="N97" s="33">
        <f>IF(AND(E97="Electricité",M97="Hiver"),INDEX('Base de données Mono'!E:E,MATCH(B97,'Base de données Mono'!D:D,0)),IF(AND(E97="Electricité",M97="Mi-saison"),INDEX('Base de données Mono'!F:F,MATCH(B97,'Base de données Mono'!D:D,0)),IF(AND(E97="Electricité",M97="Eté"),INDEX('Base de données Mono'!G:G,MATCH(B97,'Base de données Mono'!D:D,0)),IF(AND(E97="Gaz",M97="Hiver"),INDEX('Base de données Mono'!J:J,MATCH(B97,'Base de données Mono'!D:D,0)),IF(AND(E97="Gaz",M97="Mi-saison"),INDEX('Base de données Mono'!#REF!,MATCH(B97,'Base de données Mono'!D:D,0)),IF(AND(E97="Gaz",M97="Eté"),INDEX('Base de données Mono'!#REF!,MATCH(B97,'Base de données Mono'!D:D,0)),"-"))))))</f>
        <v>65</v>
      </c>
      <c r="O97" s="123">
        <v>45375</v>
      </c>
      <c r="P97" s="123">
        <v>45376</v>
      </c>
      <c r="Q97" s="34">
        <v>105</v>
      </c>
      <c r="R97" s="33">
        <f t="shared" si="8"/>
        <v>40</v>
      </c>
      <c r="S97" s="34">
        <v>8</v>
      </c>
      <c r="T97" s="34">
        <f t="shared" si="12"/>
        <v>1</v>
      </c>
      <c r="U97" s="33">
        <f t="shared" si="9"/>
        <v>320</v>
      </c>
      <c r="V97" s="38" t="s">
        <v>148</v>
      </c>
      <c r="W97" s="39">
        <f t="shared" si="10"/>
        <v>0.61538461538461542</v>
      </c>
      <c r="X97" s="40" t="s">
        <v>304</v>
      </c>
      <c r="Y97" s="40" t="s">
        <v>284</v>
      </c>
      <c r="Z97" s="40" t="s">
        <v>305</v>
      </c>
      <c r="AA97" s="33" t="s">
        <v>771</v>
      </c>
      <c r="AB97" s="95"/>
      <c r="AC97" s="95"/>
    </row>
    <row r="98" spans="1:29" ht="14.45" hidden="1" customHeight="1" x14ac:dyDescent="0.25">
      <c r="A98" s="36" t="str">
        <f>INDEX('Base de données Mono'!C:C,MATCH(B98,'Base de données Mono'!D:D,0))</f>
        <v>LES TOITS DE BOULOGNE</v>
      </c>
      <c r="B98" t="s">
        <v>158</v>
      </c>
      <c r="C98" s="36" t="str">
        <f>INDEX('Base de données Mono'!B:B,MATCH(B98,'Base de données Mono'!D:D,0))</f>
        <v>SES8</v>
      </c>
      <c r="D98" s="36" t="str">
        <f>INDEX('Base de données Mono'!A:A,MATCH(B98,'Base de données Mono'!D:D,0))</f>
        <v>AD</v>
      </c>
      <c r="E98" s="37" t="s">
        <v>303</v>
      </c>
      <c r="F98" s="41">
        <f t="shared" si="6"/>
        <v>13</v>
      </c>
      <c r="G98" s="41">
        <f t="shared" si="7"/>
        <v>3</v>
      </c>
      <c r="H98">
        <v>7.42</v>
      </c>
      <c r="I98" s="131">
        <f>INDEX('Base de données Mono'!K:K,MATCH(B98,'Base de données Mono'!D:D,0))</f>
        <v>0.22916666666666666</v>
      </c>
      <c r="J98" s="131">
        <f>INDEX('Base de données Mono'!L:L,MATCH(B98,'Base de données Mono'!D:D,0))</f>
        <v>0.875</v>
      </c>
      <c r="K98" s="131">
        <f>INDEX('Base de données Mono'!M:M,MATCH(B98,'Base de données Mono'!D:D,0))</f>
        <v>0.29166666666666669</v>
      </c>
      <c r="L98" s="131">
        <f>INDEX('Base de données Mono'!N:N,MATCH(B98,'Base de données Mono'!D:D,0))</f>
        <v>0.83333333333333337</v>
      </c>
      <c r="M98" s="33" t="s">
        <v>811</v>
      </c>
      <c r="N98" s="33">
        <f>IF(AND(E98="Electricité",M98="Hiver"),INDEX('Base de données Mono'!E:E,MATCH(B98,'Base de données Mono'!D:D,0)),IF(AND(E98="Electricité",M98="Mi-saison"),INDEX('Base de données Mono'!F:F,MATCH(B98,'Base de données Mono'!D:D,0)),IF(AND(E98="Electricité",M98="Eté"),INDEX('Base de données Mono'!G:G,MATCH(B98,'Base de données Mono'!D:D,0)),IF(AND(E98="Gaz",M98="Hiver"),INDEX('Base de données Mono'!J:J,MATCH(B98,'Base de données Mono'!D:D,0)),IF(AND(E98="Gaz",M98="Mi-saison"),INDEX('Base de données Mono'!#REF!,MATCH(B98,'Base de données Mono'!D:D,0)),IF(AND(E98="Gaz",M98="Eté"),INDEX('Base de données Mono'!#REF!,MATCH(B98,'Base de données Mono'!D:D,0)),"-"))))))</f>
        <v>65</v>
      </c>
      <c r="O98" s="123">
        <v>45376</v>
      </c>
      <c r="P98" s="123">
        <v>45379</v>
      </c>
      <c r="Q98" s="34">
        <v>135</v>
      </c>
      <c r="R98" s="33">
        <f t="shared" si="8"/>
        <v>70</v>
      </c>
      <c r="S98" s="34">
        <v>0.8</v>
      </c>
      <c r="T98" s="34">
        <f t="shared" si="12"/>
        <v>3</v>
      </c>
      <c r="U98" s="33">
        <f t="shared" si="9"/>
        <v>168</v>
      </c>
      <c r="V98" s="38" t="s">
        <v>148</v>
      </c>
      <c r="W98" s="39">
        <f t="shared" si="10"/>
        <v>1.0769230769230769</v>
      </c>
      <c r="X98" s="40" t="s">
        <v>304</v>
      </c>
      <c r="Y98" s="40" t="s">
        <v>284</v>
      </c>
      <c r="Z98" s="40" t="s">
        <v>307</v>
      </c>
      <c r="AA98" s="33" t="s">
        <v>313</v>
      </c>
      <c r="AB98" s="95"/>
      <c r="AC98" s="95"/>
    </row>
    <row r="99" spans="1:29" ht="14.45" hidden="1" customHeight="1" x14ac:dyDescent="0.25">
      <c r="A99" s="36" t="str">
        <f>INDEX('Base de données Mono'!C:C,MATCH(B99,'Base de données Mono'!D:D,0))</f>
        <v>LES TOITS DE BOULOGNE</v>
      </c>
      <c r="B99" t="s">
        <v>158</v>
      </c>
      <c r="C99" s="36" t="str">
        <f>INDEX('Base de données Mono'!B:B,MATCH(B99,'Base de données Mono'!D:D,0))</f>
        <v>SES8</v>
      </c>
      <c r="D99" s="36" t="str">
        <f>INDEX('Base de données Mono'!A:A,MATCH(B99,'Base de données Mono'!D:D,0))</f>
        <v>AD</v>
      </c>
      <c r="E99" s="37" t="s">
        <v>303</v>
      </c>
      <c r="F99" s="41">
        <f t="shared" si="6"/>
        <v>13</v>
      </c>
      <c r="G99" s="41">
        <f t="shared" si="7"/>
        <v>3</v>
      </c>
      <c r="H99">
        <v>7.42</v>
      </c>
      <c r="I99" s="131">
        <f>INDEX('Base de données Mono'!K:K,MATCH(B99,'Base de données Mono'!D:D,0))</f>
        <v>0.22916666666666666</v>
      </c>
      <c r="J99" s="131">
        <f>INDEX('Base de données Mono'!L:L,MATCH(B99,'Base de données Mono'!D:D,0))</f>
        <v>0.875</v>
      </c>
      <c r="K99" s="131">
        <f>INDEX('Base de données Mono'!M:M,MATCH(B99,'Base de données Mono'!D:D,0))</f>
        <v>0.29166666666666669</v>
      </c>
      <c r="L99" s="131">
        <f>INDEX('Base de données Mono'!N:N,MATCH(B99,'Base de données Mono'!D:D,0))</f>
        <v>0.83333333333333337</v>
      </c>
      <c r="M99" s="33" t="s">
        <v>811</v>
      </c>
      <c r="N99" s="33">
        <f>IF(AND(E99="Electricité",M99="Hiver"),INDEX('Base de données Mono'!E:E,MATCH(B99,'Base de données Mono'!D:D,0)),IF(AND(E99="Electricité",M99="Mi-saison"),INDEX('Base de données Mono'!F:F,MATCH(B99,'Base de données Mono'!D:D,0)),IF(AND(E99="Electricité",M99="Eté"),INDEX('Base de données Mono'!G:G,MATCH(B99,'Base de données Mono'!D:D,0)),IF(AND(E99="Gaz",M99="Hiver"),INDEX('Base de données Mono'!J:J,MATCH(B99,'Base de données Mono'!D:D,0)),IF(AND(E99="Gaz",M99="Mi-saison"),INDEX('Base de données Mono'!#REF!,MATCH(B99,'Base de données Mono'!D:D,0)),IF(AND(E99="Gaz",M99="Eté"),INDEX('Base de données Mono'!#REF!,MATCH(B99,'Base de données Mono'!D:D,0)),"-"))))))</f>
        <v>65</v>
      </c>
      <c r="O99" s="123">
        <v>45376</v>
      </c>
      <c r="P99" s="123">
        <v>45379</v>
      </c>
      <c r="Q99" s="34">
        <v>95</v>
      </c>
      <c r="R99" s="33">
        <f t="shared" si="8"/>
        <v>30</v>
      </c>
      <c r="S99" s="34">
        <v>7.7</v>
      </c>
      <c r="T99" s="34">
        <f t="shared" si="12"/>
        <v>3</v>
      </c>
      <c r="U99" s="33">
        <f t="shared" si="9"/>
        <v>693</v>
      </c>
      <c r="V99" s="38" t="s">
        <v>148</v>
      </c>
      <c r="W99" s="39">
        <f t="shared" si="10"/>
        <v>0.46153846153846156</v>
      </c>
      <c r="X99" s="40" t="s">
        <v>304</v>
      </c>
      <c r="Y99" s="40" t="s">
        <v>284</v>
      </c>
      <c r="Z99" s="40" t="s">
        <v>305</v>
      </c>
      <c r="AA99" s="33" t="s">
        <v>771</v>
      </c>
      <c r="AB99" s="95"/>
      <c r="AC99" s="95"/>
    </row>
    <row r="100" spans="1:29" ht="14.45" hidden="1" customHeight="1" x14ac:dyDescent="0.25">
      <c r="A100" s="36" t="str">
        <f>INDEX('Base de données Mono'!C:C,MATCH(B100,'Base de données Mono'!D:D,0))</f>
        <v>LES TOITS DE BOULOGNE</v>
      </c>
      <c r="B100" t="s">
        <v>158</v>
      </c>
      <c r="C100" s="36" t="str">
        <f>INDEX('Base de données Mono'!B:B,MATCH(B100,'Base de données Mono'!D:D,0))</f>
        <v>SES8</v>
      </c>
      <c r="D100" s="36" t="str">
        <f>INDEX('Base de données Mono'!A:A,MATCH(B100,'Base de données Mono'!D:D,0))</f>
        <v>AD</v>
      </c>
      <c r="E100" s="37" t="s">
        <v>303</v>
      </c>
      <c r="F100" s="41">
        <f t="shared" si="6"/>
        <v>13</v>
      </c>
      <c r="G100" s="41">
        <f t="shared" si="7"/>
        <v>3</v>
      </c>
      <c r="H100">
        <v>10.25</v>
      </c>
      <c r="I100" s="131">
        <f>INDEX('Base de données Mono'!K:K,MATCH(B100,'Base de données Mono'!D:D,0))</f>
        <v>0.22916666666666666</v>
      </c>
      <c r="J100" s="131">
        <f>INDEX('Base de données Mono'!L:L,MATCH(B100,'Base de données Mono'!D:D,0))</f>
        <v>0.875</v>
      </c>
      <c r="K100" s="131">
        <f>INDEX('Base de données Mono'!M:M,MATCH(B100,'Base de données Mono'!D:D,0))</f>
        <v>0.29166666666666669</v>
      </c>
      <c r="L100" s="131">
        <f>INDEX('Base de données Mono'!N:N,MATCH(B100,'Base de données Mono'!D:D,0))</f>
        <v>0.83333333333333337</v>
      </c>
      <c r="M100" s="33" t="s">
        <v>811</v>
      </c>
      <c r="N100" s="33">
        <f>IF(AND(E100="Electricité",M100="Hiver"),INDEX('Base de données Mono'!E:E,MATCH(B100,'Base de données Mono'!D:D,0)),IF(AND(E100="Electricité",M100="Mi-saison"),INDEX('Base de données Mono'!F:F,MATCH(B100,'Base de données Mono'!D:D,0)),IF(AND(E100="Electricité",M100="Eté"),INDEX('Base de données Mono'!G:G,MATCH(B100,'Base de données Mono'!D:D,0)),IF(AND(E100="Gaz",M100="Hiver"),INDEX('Base de données Mono'!J:J,MATCH(B100,'Base de données Mono'!D:D,0)),IF(AND(E100="Gaz",M100="Mi-saison"),INDEX('Base de données Mono'!#REF!,MATCH(B100,'Base de données Mono'!D:D,0)),IF(AND(E100="Gaz",M100="Eté"),INDEX('Base de données Mono'!#REF!,MATCH(B100,'Base de données Mono'!D:D,0)),"-"))))))</f>
        <v>65</v>
      </c>
      <c r="O100" s="123">
        <v>45379</v>
      </c>
      <c r="P100" s="123">
        <v>45381</v>
      </c>
      <c r="Q100" s="34">
        <v>125</v>
      </c>
      <c r="R100" s="33">
        <f t="shared" si="8"/>
        <v>60</v>
      </c>
      <c r="S100" s="34">
        <v>8.5</v>
      </c>
      <c r="T100" s="34">
        <f t="shared" si="12"/>
        <v>2</v>
      </c>
      <c r="U100" s="33">
        <f t="shared" si="9"/>
        <v>1020</v>
      </c>
      <c r="V100" s="38" t="s">
        <v>148</v>
      </c>
      <c r="W100" s="39">
        <f t="shared" si="10"/>
        <v>0.92307692307692313</v>
      </c>
      <c r="X100" s="40" t="s">
        <v>304</v>
      </c>
      <c r="Y100" s="40" t="s">
        <v>284</v>
      </c>
      <c r="Z100" s="40" t="s">
        <v>311</v>
      </c>
      <c r="AA100" s="33" t="s">
        <v>775</v>
      </c>
      <c r="AB100" s="95"/>
      <c r="AC100" s="95"/>
    </row>
    <row r="101" spans="1:29" ht="14.45" hidden="1" customHeight="1" x14ac:dyDescent="0.25">
      <c r="A101" s="36" t="str">
        <f>INDEX('Base de données Mono'!C:C,MATCH(B101,'Base de données Mono'!D:D,0))</f>
        <v>LES TOITS DE BOULOGNE</v>
      </c>
      <c r="B101" t="s">
        <v>158</v>
      </c>
      <c r="C101" s="36" t="str">
        <f>INDEX('Base de données Mono'!B:B,MATCH(B101,'Base de données Mono'!D:D,0))</f>
        <v>SES8</v>
      </c>
      <c r="D101" s="36" t="str">
        <f>INDEX('Base de données Mono'!A:A,MATCH(B101,'Base de données Mono'!D:D,0))</f>
        <v>AD</v>
      </c>
      <c r="E101" s="37" t="s">
        <v>303</v>
      </c>
      <c r="F101" s="41">
        <f t="shared" si="6"/>
        <v>13</v>
      </c>
      <c r="G101" s="41">
        <f t="shared" si="7"/>
        <v>3</v>
      </c>
      <c r="H101">
        <v>9.83</v>
      </c>
      <c r="I101" s="131">
        <f>INDEX('Base de données Mono'!K:K,MATCH(B101,'Base de données Mono'!D:D,0))</f>
        <v>0.22916666666666666</v>
      </c>
      <c r="J101" s="131">
        <f>INDEX('Base de données Mono'!L:L,MATCH(B101,'Base de données Mono'!D:D,0))</f>
        <v>0.875</v>
      </c>
      <c r="K101" s="131">
        <f>INDEX('Base de données Mono'!M:M,MATCH(B101,'Base de données Mono'!D:D,0))</f>
        <v>0.29166666666666669</v>
      </c>
      <c r="L101" s="131">
        <f>INDEX('Base de données Mono'!N:N,MATCH(B101,'Base de données Mono'!D:D,0))</f>
        <v>0.83333333333333337</v>
      </c>
      <c r="M101" s="33" t="s">
        <v>811</v>
      </c>
      <c r="N101" s="33">
        <f>IF(AND(E101="Electricité",M101="Hiver"),INDEX('Base de données Mono'!E:E,MATCH(B101,'Base de données Mono'!D:D,0)),IF(AND(E101="Electricité",M101="Mi-saison"),INDEX('Base de données Mono'!F:F,MATCH(B101,'Base de données Mono'!D:D,0)),IF(AND(E101="Electricité",M101="Eté"),INDEX('Base de données Mono'!G:G,MATCH(B101,'Base de données Mono'!D:D,0)),IF(AND(E101="Gaz",M101="Hiver"),INDEX('Base de données Mono'!J:J,MATCH(B101,'Base de données Mono'!D:D,0)),IF(AND(E101="Gaz",M101="Mi-saison"),INDEX('Base de données Mono'!#REF!,MATCH(B101,'Base de données Mono'!D:D,0)),IF(AND(E101="Gaz",M101="Eté"),INDEX('Base de données Mono'!#REF!,MATCH(B101,'Base de données Mono'!D:D,0)),"-"))))))</f>
        <v>65</v>
      </c>
      <c r="O101" s="123">
        <v>45381</v>
      </c>
      <c r="P101" s="123">
        <v>45382</v>
      </c>
      <c r="Q101" s="34">
        <v>140</v>
      </c>
      <c r="R101" s="33">
        <f t="shared" si="8"/>
        <v>75</v>
      </c>
      <c r="S101" s="34">
        <v>0.6</v>
      </c>
      <c r="T101" s="34">
        <f t="shared" si="12"/>
        <v>1</v>
      </c>
      <c r="U101" s="33">
        <f t="shared" si="9"/>
        <v>45</v>
      </c>
      <c r="V101" s="38" t="s">
        <v>148</v>
      </c>
      <c r="W101" s="39">
        <f t="shared" si="10"/>
        <v>1.1538461538461537</v>
      </c>
      <c r="X101" s="40" t="s">
        <v>304</v>
      </c>
      <c r="Y101" s="40" t="s">
        <v>284</v>
      </c>
      <c r="Z101" s="40" t="s">
        <v>307</v>
      </c>
      <c r="AA101" s="33" t="s">
        <v>313</v>
      </c>
      <c r="AB101" s="95"/>
      <c r="AC101" s="95"/>
    </row>
    <row r="102" spans="1:29" ht="14.45" hidden="1" customHeight="1" x14ac:dyDescent="0.25">
      <c r="A102" s="36" t="str">
        <f>INDEX('Base de données Mono'!C:C,MATCH(B102,'Base de données Mono'!D:D,0))</f>
        <v>LES TOITS DE BOULOGNE</v>
      </c>
      <c r="B102" t="s">
        <v>158</v>
      </c>
      <c r="C102" s="36" t="str">
        <f>INDEX('Base de données Mono'!B:B,MATCH(B102,'Base de données Mono'!D:D,0))</f>
        <v>SES8</v>
      </c>
      <c r="D102" s="36" t="str">
        <f>INDEX('Base de données Mono'!A:A,MATCH(B102,'Base de données Mono'!D:D,0))</f>
        <v>AD</v>
      </c>
      <c r="E102" s="37" t="s">
        <v>303</v>
      </c>
      <c r="F102" s="41">
        <f t="shared" si="6"/>
        <v>13</v>
      </c>
      <c r="G102" s="41">
        <f t="shared" si="7"/>
        <v>3</v>
      </c>
      <c r="H102">
        <v>8.33</v>
      </c>
      <c r="I102" s="131">
        <f>INDEX('Base de données Mono'!K:K,MATCH(B102,'Base de données Mono'!D:D,0))</f>
        <v>0.22916666666666666</v>
      </c>
      <c r="J102" s="131">
        <f>INDEX('Base de données Mono'!L:L,MATCH(B102,'Base de données Mono'!D:D,0))</f>
        <v>0.875</v>
      </c>
      <c r="K102" s="131">
        <f>INDEX('Base de données Mono'!M:M,MATCH(B102,'Base de données Mono'!D:D,0))</f>
        <v>0.29166666666666669</v>
      </c>
      <c r="L102" s="131">
        <f>INDEX('Base de données Mono'!N:N,MATCH(B102,'Base de données Mono'!D:D,0))</f>
        <v>0.83333333333333337</v>
      </c>
      <c r="M102" s="33" t="s">
        <v>811</v>
      </c>
      <c r="N102" s="33">
        <f>IF(AND(E102="Electricité",M102="Hiver"),INDEX('Base de données Mono'!E:E,MATCH(B102,'Base de données Mono'!D:D,0)),IF(AND(E102="Electricité",M102="Mi-saison"),INDEX('Base de données Mono'!F:F,MATCH(B102,'Base de données Mono'!D:D,0)),IF(AND(E102="Electricité",M102="Eté"),INDEX('Base de données Mono'!G:G,MATCH(B102,'Base de données Mono'!D:D,0)),IF(AND(E102="Gaz",M102="Hiver"),INDEX('Base de données Mono'!J:J,MATCH(B102,'Base de données Mono'!D:D,0)),IF(AND(E102="Gaz",M102="Mi-saison"),INDEX('Base de données Mono'!#REF!,MATCH(B102,'Base de données Mono'!D:D,0)),IF(AND(E102="Gaz",M102="Eté"),INDEX('Base de données Mono'!#REF!,MATCH(B102,'Base de données Mono'!D:D,0)),"-"))))))</f>
        <v>65</v>
      </c>
      <c r="O102" s="123">
        <v>45381</v>
      </c>
      <c r="P102" s="123">
        <v>45382</v>
      </c>
      <c r="Q102" s="34">
        <v>100</v>
      </c>
      <c r="R102" s="33">
        <f t="shared" si="8"/>
        <v>35</v>
      </c>
      <c r="S102" s="34">
        <v>9.4</v>
      </c>
      <c r="T102" s="34">
        <f t="shared" si="12"/>
        <v>1</v>
      </c>
      <c r="U102" s="33">
        <f t="shared" si="9"/>
        <v>329</v>
      </c>
      <c r="V102" s="38" t="s">
        <v>148</v>
      </c>
      <c r="W102" s="39">
        <f t="shared" si="10"/>
        <v>0.53846153846153844</v>
      </c>
      <c r="X102" s="40" t="s">
        <v>304</v>
      </c>
      <c r="Y102" s="40" t="s">
        <v>284</v>
      </c>
      <c r="Z102" s="40" t="s">
        <v>305</v>
      </c>
      <c r="AA102" s="33" t="s">
        <v>771</v>
      </c>
      <c r="AB102" s="95"/>
      <c r="AC102" s="95"/>
    </row>
    <row r="103" spans="1:29" ht="14.45" hidden="1" customHeight="1" x14ac:dyDescent="0.25">
      <c r="A103" s="36" t="str">
        <f>INDEX('Base de données Mono'!C:C,MATCH(B103,'Base de données Mono'!D:D,0))</f>
        <v>VAUGIRARD</v>
      </c>
      <c r="B103" t="s">
        <v>262</v>
      </c>
      <c r="C103" s="36" t="str">
        <f>INDEX('Base de données Mono'!B:B,MATCH(B103,'Base de données Mono'!D:D,0))</f>
        <v>SES8</v>
      </c>
      <c r="D103" s="36" t="str">
        <f>INDEX('Base de données Mono'!A:A,MATCH(B103,'Base de données Mono'!D:D,0))</f>
        <v>AD</v>
      </c>
      <c r="E103" s="37" t="s">
        <v>303</v>
      </c>
      <c r="F103" s="41">
        <f t="shared" si="6"/>
        <v>13</v>
      </c>
      <c r="G103" s="41">
        <f t="shared" si="7"/>
        <v>3</v>
      </c>
      <c r="H103">
        <v>8.33</v>
      </c>
      <c r="I103" s="131">
        <f>INDEX('Base de données Mono'!K:K,MATCH(B103,'Base de données Mono'!D:D,0))</f>
        <v>0.20138888888888887</v>
      </c>
      <c r="J103" s="131">
        <f>INDEX('Base de données Mono'!L:L,MATCH(B103,'Base de données Mono'!D:D,0))</f>
        <v>0.92708333333333337</v>
      </c>
      <c r="K103" s="131">
        <f>INDEX('Base de données Mono'!M:M,MATCH(B103,'Base de données Mono'!D:D,0))</f>
        <v>0.2638888888888889</v>
      </c>
      <c r="L103" s="131">
        <f>INDEX('Base de données Mono'!N:N,MATCH(B103,'Base de données Mono'!D:D,0))</f>
        <v>0.5625</v>
      </c>
      <c r="M103" s="33" t="s">
        <v>811</v>
      </c>
      <c r="N103" s="33">
        <f>IF(AND(E103="Electricité",M103="Hiver"),INDEX('Base de données Mono'!E:E,MATCH(B103,'Base de données Mono'!D:D,0)),IF(AND(E103="Electricité",M103="Mi-saison"),INDEX('Base de données Mono'!F:F,MATCH(B103,'Base de données Mono'!D:D,0)),IF(AND(E103="Electricité",M103="Eté"),INDEX('Base de données Mono'!G:G,MATCH(B103,'Base de données Mono'!D:D,0)),IF(AND(E103="Gaz",M103="Hiver"),INDEX('Base de données Mono'!J:J,MATCH(B103,'Base de données Mono'!D:D,0)),IF(AND(E103="Gaz",M103="Mi-saison"),INDEX('Base de données Mono'!#REF!,MATCH(B103,'Base de données Mono'!D:D,0)),IF(AND(E103="Gaz",M103="Eté"),INDEX('Base de données Mono'!#REF!,MATCH(B103,'Base de données Mono'!D:D,0)),"-"))))))</f>
        <v>85</v>
      </c>
      <c r="O103" s="123">
        <v>45375</v>
      </c>
      <c r="P103" s="123">
        <v>45377</v>
      </c>
      <c r="Q103" s="34">
        <v>150</v>
      </c>
      <c r="R103" s="33">
        <f t="shared" si="8"/>
        <v>65</v>
      </c>
      <c r="S103" s="34">
        <v>1</v>
      </c>
      <c r="T103" s="34">
        <f t="shared" si="12"/>
        <v>2</v>
      </c>
      <c r="U103" s="33">
        <f t="shared" si="9"/>
        <v>130</v>
      </c>
      <c r="V103" s="38" t="s">
        <v>148</v>
      </c>
      <c r="W103" s="39">
        <f t="shared" si="10"/>
        <v>0.76470588235294112</v>
      </c>
      <c r="X103" s="40" t="s">
        <v>304</v>
      </c>
      <c r="Y103" s="40" t="s">
        <v>284</v>
      </c>
      <c r="Z103" s="40" t="s">
        <v>311</v>
      </c>
      <c r="AA103" s="33" t="s">
        <v>775</v>
      </c>
      <c r="AB103" s="95"/>
      <c r="AC103" s="95"/>
    </row>
    <row r="104" spans="1:29" ht="14.45" hidden="1" customHeight="1" x14ac:dyDescent="0.25">
      <c r="A104" s="36" t="str">
        <f>INDEX('Base de données Mono'!C:C,MATCH(B104,'Base de données Mono'!D:D,0))</f>
        <v>VAUGIRARD</v>
      </c>
      <c r="B104" t="s">
        <v>262</v>
      </c>
      <c r="C104" s="36" t="str">
        <f>INDEX('Base de données Mono'!B:B,MATCH(B104,'Base de données Mono'!D:D,0))</f>
        <v>SES8</v>
      </c>
      <c r="D104" s="36" t="str">
        <f>INDEX('Base de données Mono'!A:A,MATCH(B104,'Base de données Mono'!D:D,0))</f>
        <v>AD</v>
      </c>
      <c r="E104" s="37" t="s">
        <v>303</v>
      </c>
      <c r="F104" s="41">
        <f t="shared" si="6"/>
        <v>13</v>
      </c>
      <c r="G104" s="41">
        <f t="shared" si="7"/>
        <v>3</v>
      </c>
      <c r="H104">
        <v>8.33</v>
      </c>
      <c r="I104" s="131">
        <f>INDEX('Base de données Mono'!K:K,MATCH(B104,'Base de données Mono'!D:D,0))</f>
        <v>0.20138888888888887</v>
      </c>
      <c r="J104" s="131">
        <f>INDEX('Base de données Mono'!L:L,MATCH(B104,'Base de données Mono'!D:D,0))</f>
        <v>0.92708333333333337</v>
      </c>
      <c r="K104" s="131">
        <f>INDEX('Base de données Mono'!M:M,MATCH(B104,'Base de données Mono'!D:D,0))</f>
        <v>0.2638888888888889</v>
      </c>
      <c r="L104" s="131">
        <f>INDEX('Base de données Mono'!N:N,MATCH(B104,'Base de données Mono'!D:D,0))</f>
        <v>0.5625</v>
      </c>
      <c r="M104" s="33" t="s">
        <v>811</v>
      </c>
      <c r="N104" s="33">
        <f>IF(AND(E104="Electricité",M104="Hiver"),INDEX('Base de données Mono'!E:E,MATCH(B104,'Base de données Mono'!D:D,0)),IF(AND(E104="Electricité",M104="Mi-saison"),INDEX('Base de données Mono'!F:F,MATCH(B104,'Base de données Mono'!D:D,0)),IF(AND(E104="Electricité",M104="Eté"),INDEX('Base de données Mono'!G:G,MATCH(B104,'Base de données Mono'!D:D,0)),IF(AND(E104="Gaz",M104="Hiver"),INDEX('Base de données Mono'!J:J,MATCH(B104,'Base de données Mono'!D:D,0)),IF(AND(E104="Gaz",M104="Mi-saison"),INDEX('Base de données Mono'!#REF!,MATCH(B104,'Base de données Mono'!D:D,0)),IF(AND(E104="Gaz",M104="Eté"),INDEX('Base de données Mono'!#REF!,MATCH(B104,'Base de données Mono'!D:D,0)),"-"))))))</f>
        <v>85</v>
      </c>
      <c r="O104" s="123">
        <v>45378</v>
      </c>
      <c r="P104" s="123">
        <v>45380</v>
      </c>
      <c r="Q104" s="34">
        <v>165</v>
      </c>
      <c r="R104" s="33">
        <f t="shared" si="8"/>
        <v>80</v>
      </c>
      <c r="S104" s="34">
        <v>6.5</v>
      </c>
      <c r="T104" s="34">
        <f t="shared" si="12"/>
        <v>2</v>
      </c>
      <c r="U104" s="33">
        <f t="shared" si="9"/>
        <v>1040</v>
      </c>
      <c r="V104" s="38" t="s">
        <v>148</v>
      </c>
      <c r="W104" s="39">
        <f t="shared" si="10"/>
        <v>0.94117647058823528</v>
      </c>
      <c r="X104" s="40" t="s">
        <v>304</v>
      </c>
      <c r="Y104" s="40" t="s">
        <v>284</v>
      </c>
      <c r="Z104" s="40" t="s">
        <v>311</v>
      </c>
      <c r="AA104" s="33" t="s">
        <v>775</v>
      </c>
      <c r="AB104" s="95"/>
      <c r="AC104" s="95"/>
    </row>
    <row r="105" spans="1:29" ht="14.45" hidden="1" customHeight="1" x14ac:dyDescent="0.25">
      <c r="A105" s="36" t="str">
        <f>INDEX('Base de données Mono'!C:C,MATCH(B105,'Base de données Mono'!D:D,0))</f>
        <v>VAUGIRARD</v>
      </c>
      <c r="B105" t="s">
        <v>262</v>
      </c>
      <c r="C105" s="36" t="str">
        <f>INDEX('Base de données Mono'!B:B,MATCH(B105,'Base de données Mono'!D:D,0))</f>
        <v>SES8</v>
      </c>
      <c r="D105" s="36" t="str">
        <f>INDEX('Base de données Mono'!A:A,MATCH(B105,'Base de données Mono'!D:D,0))</f>
        <v>AD</v>
      </c>
      <c r="E105" s="37" t="s">
        <v>303</v>
      </c>
      <c r="F105" s="41">
        <f t="shared" si="6"/>
        <v>13</v>
      </c>
      <c r="G105" s="41">
        <f t="shared" si="7"/>
        <v>3</v>
      </c>
      <c r="H105">
        <v>8.33</v>
      </c>
      <c r="I105" s="131">
        <f>INDEX('Base de données Mono'!K:K,MATCH(B105,'Base de données Mono'!D:D,0))</f>
        <v>0.20138888888888887</v>
      </c>
      <c r="J105" s="131">
        <f>INDEX('Base de données Mono'!L:L,MATCH(B105,'Base de données Mono'!D:D,0))</f>
        <v>0.92708333333333337</v>
      </c>
      <c r="K105" s="131">
        <f>INDEX('Base de données Mono'!M:M,MATCH(B105,'Base de données Mono'!D:D,0))</f>
        <v>0.2638888888888889</v>
      </c>
      <c r="L105" s="131">
        <f>INDEX('Base de données Mono'!N:N,MATCH(B105,'Base de données Mono'!D:D,0))</f>
        <v>0.5625</v>
      </c>
      <c r="M105" s="33" t="s">
        <v>811</v>
      </c>
      <c r="N105" s="33">
        <f>IF(AND(E105="Electricité",M105="Hiver"),INDEX('Base de données Mono'!E:E,MATCH(B105,'Base de données Mono'!D:D,0)),IF(AND(E105="Electricité",M105="Mi-saison"),INDEX('Base de données Mono'!F:F,MATCH(B105,'Base de données Mono'!D:D,0)),IF(AND(E105="Electricité",M105="Eté"),INDEX('Base de données Mono'!G:G,MATCH(B105,'Base de données Mono'!D:D,0)),IF(AND(E105="Gaz",M105="Hiver"),INDEX('Base de données Mono'!J:J,MATCH(B105,'Base de données Mono'!D:D,0)),IF(AND(E105="Gaz",M105="Mi-saison"),INDEX('Base de données Mono'!#REF!,MATCH(B105,'Base de données Mono'!D:D,0)),IF(AND(E105="Gaz",M105="Eté"),INDEX('Base de données Mono'!#REF!,MATCH(B105,'Base de données Mono'!D:D,0)),"-"))))))</f>
        <v>85</v>
      </c>
      <c r="O105" s="123">
        <v>45380</v>
      </c>
      <c r="P105" s="123">
        <v>45381</v>
      </c>
      <c r="Q105" s="34">
        <v>155</v>
      </c>
      <c r="R105" s="33">
        <f t="shared" si="8"/>
        <v>70</v>
      </c>
      <c r="S105" s="34">
        <v>0.8</v>
      </c>
      <c r="T105" s="34">
        <f t="shared" si="12"/>
        <v>1</v>
      </c>
      <c r="U105" s="33">
        <f t="shared" si="9"/>
        <v>56</v>
      </c>
      <c r="V105" s="38" t="s">
        <v>148</v>
      </c>
      <c r="W105" s="39">
        <f t="shared" si="10"/>
        <v>0.82352941176470584</v>
      </c>
      <c r="X105" s="40" t="s">
        <v>304</v>
      </c>
      <c r="Y105" s="40" t="s">
        <v>284</v>
      </c>
      <c r="Z105" s="40" t="s">
        <v>311</v>
      </c>
      <c r="AA105" s="33" t="s">
        <v>775</v>
      </c>
      <c r="AB105" s="95"/>
      <c r="AC105" s="95"/>
    </row>
    <row r="106" spans="1:29" ht="14.45" hidden="1" customHeight="1" x14ac:dyDescent="0.25">
      <c r="A106" s="36" t="str">
        <f>INDEX('Base de données Mono'!C:C,MATCH(B106,'Base de données Mono'!D:D,0))</f>
        <v>VAUGIRARD</v>
      </c>
      <c r="B106" t="s">
        <v>262</v>
      </c>
      <c r="C106" s="36" t="str">
        <f>INDEX('Base de données Mono'!B:B,MATCH(B106,'Base de données Mono'!D:D,0))</f>
        <v>SES8</v>
      </c>
      <c r="D106" s="36" t="str">
        <f>INDEX('Base de données Mono'!A:A,MATCH(B106,'Base de données Mono'!D:D,0))</f>
        <v>AD</v>
      </c>
      <c r="E106" s="37" t="s">
        <v>303</v>
      </c>
      <c r="F106" s="41">
        <f t="shared" si="6"/>
        <v>13</v>
      </c>
      <c r="G106" s="41">
        <f t="shared" si="7"/>
        <v>3</v>
      </c>
      <c r="H106">
        <v>8.33</v>
      </c>
      <c r="I106" s="131">
        <f>INDEX('Base de données Mono'!K:K,MATCH(B106,'Base de données Mono'!D:D,0))</f>
        <v>0.20138888888888887</v>
      </c>
      <c r="J106" s="131">
        <f>INDEX('Base de données Mono'!L:L,MATCH(B106,'Base de données Mono'!D:D,0))</f>
        <v>0.92708333333333337</v>
      </c>
      <c r="K106" s="131">
        <f>INDEX('Base de données Mono'!M:M,MATCH(B106,'Base de données Mono'!D:D,0))</f>
        <v>0.2638888888888889</v>
      </c>
      <c r="L106" s="131">
        <f>INDEX('Base de données Mono'!N:N,MATCH(B106,'Base de données Mono'!D:D,0))</f>
        <v>0.5625</v>
      </c>
      <c r="M106" s="33" t="s">
        <v>811</v>
      </c>
      <c r="N106" s="33">
        <f>IF(AND(E106="Electricité",M106="Hiver"),INDEX('Base de données Mono'!E:E,MATCH(B106,'Base de données Mono'!D:D,0)),IF(AND(E106="Electricité",M106="Mi-saison"),INDEX('Base de données Mono'!F:F,MATCH(B106,'Base de données Mono'!D:D,0)),IF(AND(E106="Electricité",M106="Eté"),INDEX('Base de données Mono'!G:G,MATCH(B106,'Base de données Mono'!D:D,0)),IF(AND(E106="Gaz",M106="Hiver"),INDEX('Base de données Mono'!J:J,MATCH(B106,'Base de données Mono'!D:D,0)),IF(AND(E106="Gaz",M106="Mi-saison"),INDEX('Base de données Mono'!#REF!,MATCH(B106,'Base de données Mono'!D:D,0)),IF(AND(E106="Gaz",M106="Eté"),INDEX('Base de données Mono'!#REF!,MATCH(B106,'Base de données Mono'!D:D,0)),"-"))))))</f>
        <v>85</v>
      </c>
      <c r="O106" s="123">
        <v>45381</v>
      </c>
      <c r="P106" s="123">
        <v>45382</v>
      </c>
      <c r="Q106" s="34">
        <v>95</v>
      </c>
      <c r="R106" s="33">
        <f t="shared" si="8"/>
        <v>10</v>
      </c>
      <c r="S106" s="34">
        <v>7</v>
      </c>
      <c r="T106" s="34">
        <f t="shared" si="12"/>
        <v>1</v>
      </c>
      <c r="U106" s="33">
        <f t="shared" si="9"/>
        <v>70</v>
      </c>
      <c r="V106" s="38" t="s">
        <v>148</v>
      </c>
      <c r="W106" s="39">
        <f t="shared" si="10"/>
        <v>0.11764705882352941</v>
      </c>
      <c r="X106" s="40" t="s">
        <v>304</v>
      </c>
      <c r="Y106" s="40" t="s">
        <v>284</v>
      </c>
      <c r="Z106" s="40" t="s">
        <v>305</v>
      </c>
      <c r="AA106" s="33" t="s">
        <v>771</v>
      </c>
      <c r="AB106" s="95"/>
      <c r="AC106" s="95"/>
    </row>
    <row r="107" spans="1:29" ht="14.45" hidden="1" customHeight="1" x14ac:dyDescent="0.25">
      <c r="A107" s="36" t="str">
        <f>INDEX('Base de données Mono'!C:C,MATCH(B107,'Base de données Mono'!D:D,0))</f>
        <v>VAUGIRARD</v>
      </c>
      <c r="B107" t="s">
        <v>262</v>
      </c>
      <c r="C107" s="36" t="str">
        <f>INDEX('Base de données Mono'!B:B,MATCH(B107,'Base de données Mono'!D:D,0))</f>
        <v>SES8</v>
      </c>
      <c r="D107" s="36" t="str">
        <f>INDEX('Base de données Mono'!A:A,MATCH(B107,'Base de données Mono'!D:D,0))</f>
        <v>AD</v>
      </c>
      <c r="E107" s="37" t="s">
        <v>303</v>
      </c>
      <c r="F107" s="41">
        <f t="shared" si="6"/>
        <v>13</v>
      </c>
      <c r="G107" s="41">
        <f t="shared" si="7"/>
        <v>3</v>
      </c>
      <c r="H107">
        <v>8.33</v>
      </c>
      <c r="I107" s="131">
        <f>INDEX('Base de données Mono'!K:K,MATCH(B107,'Base de données Mono'!D:D,0))</f>
        <v>0.20138888888888887</v>
      </c>
      <c r="J107" s="131">
        <f>INDEX('Base de données Mono'!L:L,MATCH(B107,'Base de données Mono'!D:D,0))</f>
        <v>0.92708333333333337</v>
      </c>
      <c r="K107" s="131">
        <f>INDEX('Base de données Mono'!M:M,MATCH(B107,'Base de données Mono'!D:D,0))</f>
        <v>0.2638888888888889</v>
      </c>
      <c r="L107" s="131">
        <f>INDEX('Base de données Mono'!N:N,MATCH(B107,'Base de données Mono'!D:D,0))</f>
        <v>0.5625</v>
      </c>
      <c r="M107" s="33" t="s">
        <v>811</v>
      </c>
      <c r="N107" s="33">
        <f>IF(AND(E107="Electricité",M107="Hiver"),INDEX('Base de données Mono'!E:E,MATCH(B107,'Base de données Mono'!D:D,0)),IF(AND(E107="Electricité",M107="Mi-saison"),INDEX('Base de données Mono'!F:F,MATCH(B107,'Base de données Mono'!D:D,0)),IF(AND(E107="Electricité",M107="Eté"),INDEX('Base de données Mono'!G:G,MATCH(B107,'Base de données Mono'!D:D,0)),IF(AND(E107="Gaz",M107="Hiver"),INDEX('Base de données Mono'!J:J,MATCH(B107,'Base de données Mono'!D:D,0)),IF(AND(E107="Gaz",M107="Mi-saison"),INDEX('Base de données Mono'!#REF!,MATCH(B107,'Base de données Mono'!D:D,0)),IF(AND(E107="Gaz",M107="Eté"),INDEX('Base de données Mono'!#REF!,MATCH(B107,'Base de données Mono'!D:D,0)),"-"))))))</f>
        <v>85</v>
      </c>
      <c r="O107" s="123">
        <v>45381</v>
      </c>
      <c r="P107" s="123">
        <v>45382</v>
      </c>
      <c r="Q107" s="34">
        <v>170</v>
      </c>
      <c r="R107" s="33">
        <f t="shared" si="8"/>
        <v>85</v>
      </c>
      <c r="S107" s="34">
        <v>1.3</v>
      </c>
      <c r="T107" s="34">
        <f t="shared" si="12"/>
        <v>1</v>
      </c>
      <c r="U107" s="33">
        <f t="shared" si="9"/>
        <v>110.5</v>
      </c>
      <c r="V107" s="38" t="s">
        <v>148</v>
      </c>
      <c r="W107" s="39">
        <f t="shared" si="10"/>
        <v>1</v>
      </c>
      <c r="X107" s="40" t="s">
        <v>304</v>
      </c>
      <c r="Y107" s="40" t="s">
        <v>284</v>
      </c>
      <c r="Z107" s="40" t="s">
        <v>311</v>
      </c>
      <c r="AA107" s="33" t="s">
        <v>775</v>
      </c>
      <c r="AB107" s="95"/>
      <c r="AC107" s="95"/>
    </row>
    <row r="108" spans="1:29" ht="14.45" hidden="1" customHeight="1" x14ac:dyDescent="0.25">
      <c r="A108" s="36" t="str">
        <f>INDEX('Base de données Mono'!C:C,MATCH(B108,'Base de données Mono'!D:D,0))</f>
        <v>SAINT MAUR</v>
      </c>
      <c r="B108" t="s">
        <v>235</v>
      </c>
      <c r="C108" s="36" t="str">
        <f>INDEX('Base de données Mono'!B:B,MATCH(B108,'Base de données Mono'!D:D,0))</f>
        <v>SES8</v>
      </c>
      <c r="D108" s="36" t="str">
        <f>INDEX('Base de données Mono'!A:A,MATCH(B108,'Base de données Mono'!D:D,0))</f>
        <v>JG</v>
      </c>
      <c r="E108" s="37" t="s">
        <v>303</v>
      </c>
      <c r="F108" s="41">
        <f t="shared" si="6"/>
        <v>13</v>
      </c>
      <c r="G108" s="41">
        <f t="shared" si="7"/>
        <v>3</v>
      </c>
      <c r="H108">
        <v>8.33</v>
      </c>
      <c r="I108" s="131">
        <f>INDEX('Base de données Mono'!K:K,MATCH(B108,'Base de données Mono'!D:D,0))</f>
        <v>0.24305555555555555</v>
      </c>
      <c r="J108" s="131">
        <f>INDEX('Base de données Mono'!L:L,MATCH(B108,'Base de données Mono'!D:D,0))</f>
        <v>0.875</v>
      </c>
      <c r="K108" s="131">
        <f>INDEX('Base de données Mono'!M:M,MATCH(B108,'Base de données Mono'!D:D,0))</f>
        <v>0.28472222222222221</v>
      </c>
      <c r="L108" s="131">
        <f>INDEX('Base de données Mono'!N:N,MATCH(B108,'Base de données Mono'!D:D,0))</f>
        <v>0.55208333333333337</v>
      </c>
      <c r="M108" s="33" t="s">
        <v>811</v>
      </c>
      <c r="N108" s="33">
        <f>IF(AND(E108="Electricité",M108="Hiver"),INDEX('Base de données Mono'!E:E,MATCH(B108,'Base de données Mono'!D:D,0)),IF(AND(E108="Electricité",M108="Mi-saison"),INDEX('Base de données Mono'!F:F,MATCH(B108,'Base de données Mono'!D:D,0)),IF(AND(E108="Electricité",M108="Eté"),INDEX('Base de données Mono'!G:G,MATCH(B108,'Base de données Mono'!D:D,0)),IF(AND(E108="Gaz",M108="Hiver"),INDEX('Base de données Mono'!J:J,MATCH(B108,'Base de données Mono'!D:D,0)),IF(AND(E108="Gaz",M108="Mi-saison"),INDEX('Base de données Mono'!#REF!,MATCH(B108,'Base de données Mono'!D:D,0)),IF(AND(E108="Gaz",M108="Eté"),INDEX('Base de données Mono'!#REF!,MATCH(B108,'Base de données Mono'!D:D,0)),"-"))))))</f>
        <v>50</v>
      </c>
      <c r="O108" s="123">
        <v>45375</v>
      </c>
      <c r="P108" s="123">
        <v>45379</v>
      </c>
      <c r="Q108" s="34">
        <v>60</v>
      </c>
      <c r="R108" s="33">
        <f t="shared" si="8"/>
        <v>10</v>
      </c>
      <c r="S108" s="34">
        <v>8.8000000000000007</v>
      </c>
      <c r="T108" s="34">
        <f t="shared" si="12"/>
        <v>4</v>
      </c>
      <c r="U108" s="33">
        <f t="shared" si="9"/>
        <v>352</v>
      </c>
      <c r="V108" s="38" t="s">
        <v>148</v>
      </c>
      <c r="W108" s="39">
        <f t="shared" si="10"/>
        <v>0.2</v>
      </c>
      <c r="X108" s="40" t="s">
        <v>304</v>
      </c>
      <c r="Y108" s="40" t="s">
        <v>284</v>
      </c>
      <c r="Z108" s="40" t="s">
        <v>305</v>
      </c>
      <c r="AA108" s="33" t="s">
        <v>771</v>
      </c>
      <c r="AB108" s="95"/>
      <c r="AC108" s="95"/>
    </row>
    <row r="109" spans="1:29" ht="14.45" hidden="1" customHeight="1" x14ac:dyDescent="0.25">
      <c r="A109" s="36" t="str">
        <f>INDEX('Base de données Mono'!C:C,MATCH(B109,'Base de données Mono'!D:D,0))</f>
        <v>SAINT MAUR</v>
      </c>
      <c r="B109" t="s">
        <v>235</v>
      </c>
      <c r="C109" s="36" t="str">
        <f>INDEX('Base de données Mono'!B:B,MATCH(B109,'Base de données Mono'!D:D,0))</f>
        <v>SES8</v>
      </c>
      <c r="D109" s="36" t="str">
        <f>INDEX('Base de données Mono'!A:A,MATCH(B109,'Base de données Mono'!D:D,0))</f>
        <v>JG</v>
      </c>
      <c r="E109" s="37" t="s">
        <v>303</v>
      </c>
      <c r="F109" s="41">
        <f t="shared" si="6"/>
        <v>13</v>
      </c>
      <c r="G109" s="41">
        <f t="shared" si="7"/>
        <v>3</v>
      </c>
      <c r="H109">
        <v>10</v>
      </c>
      <c r="I109" s="131">
        <f>INDEX('Base de données Mono'!K:K,MATCH(B109,'Base de données Mono'!D:D,0))</f>
        <v>0.24305555555555555</v>
      </c>
      <c r="J109" s="131">
        <f>INDEX('Base de données Mono'!L:L,MATCH(B109,'Base de données Mono'!D:D,0))</f>
        <v>0.875</v>
      </c>
      <c r="K109" s="131">
        <f>INDEX('Base de données Mono'!M:M,MATCH(B109,'Base de données Mono'!D:D,0))</f>
        <v>0.28472222222222221</v>
      </c>
      <c r="L109" s="131">
        <f>INDEX('Base de données Mono'!N:N,MATCH(B109,'Base de données Mono'!D:D,0))</f>
        <v>0.55208333333333337</v>
      </c>
      <c r="M109" s="33" t="s">
        <v>811</v>
      </c>
      <c r="N109" s="33">
        <f>IF(AND(E109="Electricité",M109="Hiver"),INDEX('Base de données Mono'!E:E,MATCH(B109,'Base de données Mono'!D:D,0)),IF(AND(E109="Electricité",M109="Mi-saison"),INDEX('Base de données Mono'!F:F,MATCH(B109,'Base de données Mono'!D:D,0)),IF(AND(E109="Electricité",M109="Eté"),INDEX('Base de données Mono'!G:G,MATCH(B109,'Base de données Mono'!D:D,0)),IF(AND(E109="Gaz",M109="Hiver"),INDEX('Base de données Mono'!J:J,MATCH(B109,'Base de données Mono'!D:D,0)),IF(AND(E109="Gaz",M109="Mi-saison"),INDEX('Base de données Mono'!#REF!,MATCH(B109,'Base de données Mono'!D:D,0)),IF(AND(E109="Gaz",M109="Eté"),INDEX('Base de données Mono'!#REF!,MATCH(B109,'Base de données Mono'!D:D,0)),"-"))))))</f>
        <v>50</v>
      </c>
      <c r="O109" s="123">
        <v>45379</v>
      </c>
      <c r="P109" s="123">
        <v>45381</v>
      </c>
      <c r="Q109" s="34">
        <v>75</v>
      </c>
      <c r="R109" s="33">
        <f t="shared" si="8"/>
        <v>25</v>
      </c>
      <c r="S109" s="34">
        <v>8.8000000000000007</v>
      </c>
      <c r="T109" s="34">
        <f t="shared" si="12"/>
        <v>2</v>
      </c>
      <c r="U109" s="33">
        <f t="shared" si="9"/>
        <v>440.00000000000006</v>
      </c>
      <c r="V109" s="38" t="s">
        <v>148</v>
      </c>
      <c r="W109" s="39">
        <f t="shared" si="10"/>
        <v>0.5</v>
      </c>
      <c r="X109" s="40" t="s">
        <v>304</v>
      </c>
      <c r="Y109" s="40" t="s">
        <v>284</v>
      </c>
      <c r="Z109" s="40" t="s">
        <v>305</v>
      </c>
      <c r="AA109" s="33" t="s">
        <v>771</v>
      </c>
      <c r="AB109" s="95"/>
      <c r="AC109" s="95"/>
    </row>
    <row r="110" spans="1:29" ht="14.45" hidden="1" customHeight="1" x14ac:dyDescent="0.25">
      <c r="A110" s="36" t="str">
        <f>INDEX('Base de données Mono'!C:C,MATCH(B110,'Base de données Mono'!D:D,0))</f>
        <v>SAINT MAUR</v>
      </c>
      <c r="B110" t="s">
        <v>235</v>
      </c>
      <c r="C110" s="36" t="str">
        <f>INDEX('Base de données Mono'!B:B,MATCH(B110,'Base de données Mono'!D:D,0))</f>
        <v>SES8</v>
      </c>
      <c r="D110" s="36" t="str">
        <f>INDEX('Base de données Mono'!A:A,MATCH(B110,'Base de données Mono'!D:D,0))</f>
        <v>JG</v>
      </c>
      <c r="E110" s="37" t="s">
        <v>303</v>
      </c>
      <c r="F110" s="41">
        <f t="shared" si="6"/>
        <v>13</v>
      </c>
      <c r="G110" s="41">
        <f t="shared" si="7"/>
        <v>3</v>
      </c>
      <c r="H110">
        <v>5.5</v>
      </c>
      <c r="I110" s="131">
        <f>INDEX('Base de données Mono'!K:K,MATCH(B110,'Base de données Mono'!D:D,0))</f>
        <v>0.24305555555555555</v>
      </c>
      <c r="J110" s="131">
        <f>INDEX('Base de données Mono'!L:L,MATCH(B110,'Base de données Mono'!D:D,0))</f>
        <v>0.875</v>
      </c>
      <c r="K110" s="131">
        <f>INDEX('Base de données Mono'!M:M,MATCH(B110,'Base de données Mono'!D:D,0))</f>
        <v>0.28472222222222221</v>
      </c>
      <c r="L110" s="131">
        <f>INDEX('Base de données Mono'!N:N,MATCH(B110,'Base de données Mono'!D:D,0))</f>
        <v>0.55208333333333337</v>
      </c>
      <c r="M110" s="33" t="s">
        <v>811</v>
      </c>
      <c r="N110" s="33">
        <f>IF(AND(E110="Electricité",M110="Hiver"),INDEX('Base de données Mono'!E:E,MATCH(B110,'Base de données Mono'!D:D,0)),IF(AND(E110="Electricité",M110="Mi-saison"),INDEX('Base de données Mono'!F:F,MATCH(B110,'Base de données Mono'!D:D,0)),IF(AND(E110="Electricité",M110="Eté"),INDEX('Base de données Mono'!G:G,MATCH(B110,'Base de données Mono'!D:D,0)),IF(AND(E110="Gaz",M110="Hiver"),INDEX('Base de données Mono'!J:J,MATCH(B110,'Base de données Mono'!D:D,0)),IF(AND(E110="Gaz",M110="Mi-saison"),INDEX('Base de données Mono'!#REF!,MATCH(B110,'Base de données Mono'!D:D,0)),IF(AND(E110="Gaz",M110="Eté"),INDEX('Base de données Mono'!#REF!,MATCH(B110,'Base de données Mono'!D:D,0)),"-"))))))</f>
        <v>50</v>
      </c>
      <c r="O110" s="123">
        <v>45381</v>
      </c>
      <c r="P110" s="123">
        <v>45382</v>
      </c>
      <c r="Q110" s="34">
        <v>75</v>
      </c>
      <c r="R110" s="33">
        <f t="shared" si="8"/>
        <v>25</v>
      </c>
      <c r="S110" s="34">
        <v>9.8000000000000007</v>
      </c>
      <c r="T110" s="34">
        <f t="shared" si="12"/>
        <v>1</v>
      </c>
      <c r="U110" s="33">
        <f t="shared" si="9"/>
        <v>245.00000000000003</v>
      </c>
      <c r="V110" s="38" t="s">
        <v>148</v>
      </c>
      <c r="W110" s="39">
        <f t="shared" si="10"/>
        <v>0.5</v>
      </c>
      <c r="X110" s="40" t="s">
        <v>304</v>
      </c>
      <c r="Y110" s="40" t="s">
        <v>284</v>
      </c>
      <c r="Z110" s="40" t="s">
        <v>305</v>
      </c>
      <c r="AA110" s="33" t="s">
        <v>771</v>
      </c>
      <c r="AB110" s="95"/>
      <c r="AC110" s="95"/>
    </row>
    <row r="111" spans="1:29" ht="14.45" hidden="1" customHeight="1" x14ac:dyDescent="0.25">
      <c r="A111" s="36" t="str">
        <f>INDEX('Base de données Mono'!C:C,MATCH(B111,'Base de données Mono'!D:D,0))</f>
        <v>RUEIL MALMAISON</v>
      </c>
      <c r="B111" t="s">
        <v>31</v>
      </c>
      <c r="C111" s="36" t="str">
        <f>INDEX('Base de données Mono'!B:B,MATCH(B111,'Base de données Mono'!D:D,0))</f>
        <v>SES8</v>
      </c>
      <c r="D111" s="36" t="str">
        <f>INDEX('Base de données Mono'!A:A,MATCH(B111,'Base de données Mono'!D:D,0))</f>
        <v>AD</v>
      </c>
      <c r="E111" s="37" t="s">
        <v>303</v>
      </c>
      <c r="F111" s="41">
        <f t="shared" si="6"/>
        <v>13</v>
      </c>
      <c r="G111" s="41">
        <f t="shared" si="7"/>
        <v>3</v>
      </c>
      <c r="H111">
        <v>5.5</v>
      </c>
      <c r="I111" s="131">
        <f>INDEX('Base de données Mono'!K:K,MATCH(B111,'Base de données Mono'!D:D,0))</f>
        <v>0.26041666666666669</v>
      </c>
      <c r="J111" s="131">
        <f>INDEX('Base de données Mono'!L:L,MATCH(B111,'Base de données Mono'!D:D,0))</f>
        <v>0.92708333333333337</v>
      </c>
      <c r="K111" s="131">
        <f>INDEX('Base de données Mono'!M:M,MATCH(B111,'Base de données Mono'!D:D,0))</f>
        <v>0.27777777777777779</v>
      </c>
      <c r="L111" s="131">
        <f>INDEX('Base de données Mono'!N:N,MATCH(B111,'Base de données Mono'!D:D,0))</f>
        <v>0.59375</v>
      </c>
      <c r="M111" s="33" t="s">
        <v>811</v>
      </c>
      <c r="N111" s="33">
        <f>IF(AND(E111="Electricité",M111="Hiver"),INDEX('Base de données Mono'!E:E,MATCH(B111,'Base de données Mono'!D:D,0)),IF(AND(E111="Electricité",M111="Mi-saison"),INDEX('Base de données Mono'!F:F,MATCH(B111,'Base de données Mono'!D:D,0)),IF(AND(E111="Electricité",M111="Eté"),INDEX('Base de données Mono'!G:G,MATCH(B111,'Base de données Mono'!D:D,0)),IF(AND(E111="Gaz",M111="Hiver"),INDEX('Base de données Mono'!J:J,MATCH(B111,'Base de données Mono'!D:D,0)),IF(AND(E111="Gaz",M111="Mi-saison"),INDEX('Base de données Mono'!#REF!,MATCH(B111,'Base de données Mono'!D:D,0)),IF(AND(E111="Gaz",M111="Eté"),INDEX('Base de données Mono'!#REF!,MATCH(B111,'Base de données Mono'!D:D,0)),"-"))))))</f>
        <v>55</v>
      </c>
      <c r="O111" s="123">
        <v>45375</v>
      </c>
      <c r="P111" s="123">
        <v>45376</v>
      </c>
      <c r="Q111" s="34">
        <v>85</v>
      </c>
      <c r="R111" s="33">
        <f t="shared" si="8"/>
        <v>30</v>
      </c>
      <c r="S111" s="34">
        <v>3</v>
      </c>
      <c r="T111" s="34">
        <f t="shared" si="12"/>
        <v>1</v>
      </c>
      <c r="U111" s="33">
        <f t="shared" si="9"/>
        <v>90</v>
      </c>
      <c r="V111" s="38" t="s">
        <v>148</v>
      </c>
      <c r="W111" s="39">
        <f t="shared" si="10"/>
        <v>0.54545454545454541</v>
      </c>
      <c r="X111" s="40" t="s">
        <v>304</v>
      </c>
      <c r="Y111" s="40" t="s">
        <v>284</v>
      </c>
      <c r="Z111" s="40" t="s">
        <v>305</v>
      </c>
      <c r="AA111" s="33" t="s">
        <v>771</v>
      </c>
      <c r="AB111" s="95"/>
      <c r="AC111" s="95"/>
    </row>
    <row r="112" spans="1:29" ht="14.45" hidden="1" customHeight="1" x14ac:dyDescent="0.25">
      <c r="A112" s="36" t="str">
        <f>INDEX('Base de données Mono'!C:C,MATCH(B112,'Base de données Mono'!D:D,0))</f>
        <v>RUEIL MALMAISON</v>
      </c>
      <c r="B112" t="s">
        <v>31</v>
      </c>
      <c r="C112" s="36" t="str">
        <f>INDEX('Base de données Mono'!B:B,MATCH(B112,'Base de données Mono'!D:D,0))</f>
        <v>SES8</v>
      </c>
      <c r="D112" s="36" t="str">
        <f>INDEX('Base de données Mono'!A:A,MATCH(B112,'Base de données Mono'!D:D,0))</f>
        <v>AD</v>
      </c>
      <c r="E112" s="37" t="s">
        <v>303</v>
      </c>
      <c r="F112" s="41">
        <f t="shared" si="6"/>
        <v>13</v>
      </c>
      <c r="G112" s="41">
        <f t="shared" si="7"/>
        <v>3</v>
      </c>
      <c r="H112">
        <v>5.5</v>
      </c>
      <c r="I112" s="131">
        <f>INDEX('Base de données Mono'!K:K,MATCH(B112,'Base de données Mono'!D:D,0))</f>
        <v>0.26041666666666669</v>
      </c>
      <c r="J112" s="131">
        <f>INDEX('Base de données Mono'!L:L,MATCH(B112,'Base de données Mono'!D:D,0))</f>
        <v>0.92708333333333337</v>
      </c>
      <c r="K112" s="131">
        <f>INDEX('Base de données Mono'!M:M,MATCH(B112,'Base de données Mono'!D:D,0))</f>
        <v>0.27777777777777779</v>
      </c>
      <c r="L112" s="131">
        <f>INDEX('Base de données Mono'!N:N,MATCH(B112,'Base de données Mono'!D:D,0))</f>
        <v>0.59375</v>
      </c>
      <c r="M112" s="33" t="s">
        <v>811</v>
      </c>
      <c r="N112" s="33">
        <f>IF(AND(E112="Electricité",M112="Hiver"),INDEX('Base de données Mono'!E:E,MATCH(B112,'Base de données Mono'!D:D,0)),IF(AND(E112="Electricité",M112="Mi-saison"),INDEX('Base de données Mono'!F:F,MATCH(B112,'Base de données Mono'!D:D,0)),IF(AND(E112="Electricité",M112="Eté"),INDEX('Base de données Mono'!G:G,MATCH(B112,'Base de données Mono'!D:D,0)),IF(AND(E112="Gaz",M112="Hiver"),INDEX('Base de données Mono'!J:J,MATCH(B112,'Base de données Mono'!D:D,0)),IF(AND(E112="Gaz",M112="Mi-saison"),INDEX('Base de données Mono'!#REF!,MATCH(B112,'Base de données Mono'!D:D,0)),IF(AND(E112="Gaz",M112="Eté"),INDEX('Base de données Mono'!#REF!,MATCH(B112,'Base de données Mono'!D:D,0)),"-"))))))</f>
        <v>55</v>
      </c>
      <c r="O112" s="123">
        <v>45375</v>
      </c>
      <c r="P112" s="123">
        <v>45376</v>
      </c>
      <c r="Q112" s="34">
        <v>125</v>
      </c>
      <c r="R112" s="33">
        <f t="shared" si="8"/>
        <v>70</v>
      </c>
      <c r="S112" s="34">
        <v>5</v>
      </c>
      <c r="T112" s="34">
        <f t="shared" si="12"/>
        <v>1</v>
      </c>
      <c r="U112" s="33">
        <f t="shared" si="9"/>
        <v>350</v>
      </c>
      <c r="V112" s="38" t="s">
        <v>148</v>
      </c>
      <c r="W112" s="39">
        <f t="shared" si="10"/>
        <v>1.2727272727272727</v>
      </c>
      <c r="X112" s="40" t="s">
        <v>304</v>
      </c>
      <c r="Y112" s="40" t="s">
        <v>283</v>
      </c>
      <c r="Z112" s="40" t="s">
        <v>749</v>
      </c>
      <c r="AA112" s="33" t="s">
        <v>749</v>
      </c>
      <c r="AB112" s="95"/>
      <c r="AC112" s="95"/>
    </row>
    <row r="113" spans="1:29" ht="14.45" hidden="1" customHeight="1" x14ac:dyDescent="0.25">
      <c r="A113" s="36" t="str">
        <f>INDEX('Base de données Mono'!C:C,MATCH(B113,'Base de données Mono'!D:D,0))</f>
        <v>RUEIL MALMAISON</v>
      </c>
      <c r="B113" t="s">
        <v>31</v>
      </c>
      <c r="C113" s="36" t="str">
        <f>INDEX('Base de données Mono'!B:B,MATCH(B113,'Base de données Mono'!D:D,0))</f>
        <v>SES8</v>
      </c>
      <c r="D113" s="36" t="str">
        <f>INDEX('Base de données Mono'!A:A,MATCH(B113,'Base de données Mono'!D:D,0))</f>
        <v>AD</v>
      </c>
      <c r="E113" s="37" t="s">
        <v>303</v>
      </c>
      <c r="F113" s="41">
        <f t="shared" si="6"/>
        <v>13</v>
      </c>
      <c r="G113" s="41">
        <f t="shared" si="7"/>
        <v>3</v>
      </c>
      <c r="H113">
        <v>5.5</v>
      </c>
      <c r="I113" s="131">
        <f>INDEX('Base de données Mono'!K:K,MATCH(B113,'Base de données Mono'!D:D,0))</f>
        <v>0.26041666666666669</v>
      </c>
      <c r="J113" s="131">
        <f>INDEX('Base de données Mono'!L:L,MATCH(B113,'Base de données Mono'!D:D,0))</f>
        <v>0.92708333333333337</v>
      </c>
      <c r="K113" s="131">
        <f>INDEX('Base de données Mono'!M:M,MATCH(B113,'Base de données Mono'!D:D,0))</f>
        <v>0.27777777777777779</v>
      </c>
      <c r="L113" s="131">
        <f>INDEX('Base de données Mono'!N:N,MATCH(B113,'Base de données Mono'!D:D,0))</f>
        <v>0.59375</v>
      </c>
      <c r="M113" s="33" t="s">
        <v>811</v>
      </c>
      <c r="N113" s="33">
        <f>IF(AND(E113="Electricité",M113="Hiver"),INDEX('Base de données Mono'!E:E,MATCH(B113,'Base de données Mono'!D:D,0)),IF(AND(E113="Electricité",M113="Mi-saison"),INDEX('Base de données Mono'!F:F,MATCH(B113,'Base de données Mono'!D:D,0)),IF(AND(E113="Electricité",M113="Eté"),INDEX('Base de données Mono'!G:G,MATCH(B113,'Base de données Mono'!D:D,0)),IF(AND(E113="Gaz",M113="Hiver"),INDEX('Base de données Mono'!J:J,MATCH(B113,'Base de données Mono'!D:D,0)),IF(AND(E113="Gaz",M113="Mi-saison"),INDEX('Base de données Mono'!#REF!,MATCH(B113,'Base de données Mono'!D:D,0)),IF(AND(E113="Gaz",M113="Eté"),INDEX('Base de données Mono'!#REF!,MATCH(B113,'Base de données Mono'!D:D,0)),"-"))))))</f>
        <v>55</v>
      </c>
      <c r="O113" s="123">
        <v>45376</v>
      </c>
      <c r="P113" s="123">
        <v>45381</v>
      </c>
      <c r="Q113" s="34">
        <v>90</v>
      </c>
      <c r="R113" s="33">
        <f t="shared" si="8"/>
        <v>35</v>
      </c>
      <c r="S113" s="34">
        <v>8</v>
      </c>
      <c r="T113" s="34">
        <f t="shared" si="12"/>
        <v>5</v>
      </c>
      <c r="U113" s="33">
        <f t="shared" si="9"/>
        <v>1400</v>
      </c>
      <c r="V113" s="38" t="s">
        <v>148</v>
      </c>
      <c r="W113" s="39">
        <f t="shared" si="10"/>
        <v>0.63636363636363635</v>
      </c>
      <c r="X113" s="40" t="s">
        <v>304</v>
      </c>
      <c r="Y113" s="40" t="s">
        <v>284</v>
      </c>
      <c r="Z113" s="40" t="s">
        <v>305</v>
      </c>
      <c r="AA113" s="33" t="s">
        <v>771</v>
      </c>
      <c r="AB113" s="95"/>
      <c r="AC113" s="95"/>
    </row>
    <row r="114" spans="1:29" ht="14.45" hidden="1" customHeight="1" x14ac:dyDescent="0.25">
      <c r="A114" s="36" t="str">
        <f>INDEX('Base de données Mono'!C:C,MATCH(B114,'Base de données Mono'!D:D,0))</f>
        <v>RUEIL MALMAISON</v>
      </c>
      <c r="B114" t="s">
        <v>31</v>
      </c>
      <c r="C114" s="36" t="str">
        <f>INDEX('Base de données Mono'!B:B,MATCH(B114,'Base de données Mono'!D:D,0))</f>
        <v>SES8</v>
      </c>
      <c r="D114" s="36" t="str">
        <f>INDEX('Base de données Mono'!A:A,MATCH(B114,'Base de données Mono'!D:D,0))</f>
        <v>AD</v>
      </c>
      <c r="E114" s="37" t="s">
        <v>303</v>
      </c>
      <c r="F114" s="41">
        <f t="shared" si="6"/>
        <v>13</v>
      </c>
      <c r="G114" s="41">
        <f t="shared" si="7"/>
        <v>3</v>
      </c>
      <c r="H114">
        <v>5.5</v>
      </c>
      <c r="I114" s="131">
        <f>INDEX('Base de données Mono'!K:K,MATCH(B114,'Base de données Mono'!D:D,0))</f>
        <v>0.26041666666666669</v>
      </c>
      <c r="J114" s="131">
        <f>INDEX('Base de données Mono'!L:L,MATCH(B114,'Base de données Mono'!D:D,0))</f>
        <v>0.92708333333333337</v>
      </c>
      <c r="K114" s="131">
        <f>INDEX('Base de données Mono'!M:M,MATCH(B114,'Base de données Mono'!D:D,0))</f>
        <v>0.27777777777777779</v>
      </c>
      <c r="L114" s="131">
        <f>INDEX('Base de données Mono'!N:N,MATCH(B114,'Base de données Mono'!D:D,0))</f>
        <v>0.59375</v>
      </c>
      <c r="M114" s="33" t="s">
        <v>811</v>
      </c>
      <c r="N114" s="33">
        <f>IF(AND(E114="Electricité",M114="Hiver"),INDEX('Base de données Mono'!E:E,MATCH(B114,'Base de données Mono'!D:D,0)),IF(AND(E114="Electricité",M114="Mi-saison"),INDEX('Base de données Mono'!F:F,MATCH(B114,'Base de données Mono'!D:D,0)),IF(AND(E114="Electricité",M114="Eté"),INDEX('Base de données Mono'!G:G,MATCH(B114,'Base de données Mono'!D:D,0)),IF(AND(E114="Gaz",M114="Hiver"),INDEX('Base de données Mono'!J:J,MATCH(B114,'Base de données Mono'!D:D,0)),IF(AND(E114="Gaz",M114="Mi-saison"),INDEX('Base de données Mono'!#REF!,MATCH(B114,'Base de données Mono'!D:D,0)),IF(AND(E114="Gaz",M114="Eté"),INDEX('Base de données Mono'!#REF!,MATCH(B114,'Base de données Mono'!D:D,0)),"-"))))))</f>
        <v>55</v>
      </c>
      <c r="O114" s="123">
        <v>45381</v>
      </c>
      <c r="P114" s="123">
        <v>45382</v>
      </c>
      <c r="Q114" s="34">
        <v>90</v>
      </c>
      <c r="R114" s="33">
        <f t="shared" si="8"/>
        <v>35</v>
      </c>
      <c r="S114" s="34">
        <v>7.9</v>
      </c>
      <c r="T114" s="34">
        <f t="shared" si="12"/>
        <v>1</v>
      </c>
      <c r="U114" s="33">
        <f t="shared" si="9"/>
        <v>276.5</v>
      </c>
      <c r="V114" s="38" t="s">
        <v>148</v>
      </c>
      <c r="W114" s="39">
        <f t="shared" si="10"/>
        <v>0.63636363636363635</v>
      </c>
      <c r="X114" s="40" t="s">
        <v>304</v>
      </c>
      <c r="Y114" s="40" t="s">
        <v>284</v>
      </c>
      <c r="Z114" s="40" t="s">
        <v>305</v>
      </c>
      <c r="AA114" s="33" t="s">
        <v>771</v>
      </c>
      <c r="AB114" s="95"/>
      <c r="AC114" s="95"/>
    </row>
    <row r="115" spans="1:29" ht="14.45" hidden="1" customHeight="1" x14ac:dyDescent="0.25">
      <c r="A115" s="36" t="str">
        <f>INDEX('Base de données Mono'!C:C,MATCH(B115,'Base de données Mono'!D:D,0))</f>
        <v>RUEIL MALMAISON</v>
      </c>
      <c r="B115" t="s">
        <v>31</v>
      </c>
      <c r="C115" s="36" t="str">
        <f>INDEX('Base de données Mono'!B:B,MATCH(B115,'Base de données Mono'!D:D,0))</f>
        <v>SES8</v>
      </c>
      <c r="D115" s="36" t="str">
        <f>INDEX('Base de données Mono'!A:A,MATCH(B115,'Base de données Mono'!D:D,0))</f>
        <v>AD</v>
      </c>
      <c r="E115" s="37" t="s">
        <v>303</v>
      </c>
      <c r="F115" s="41">
        <f t="shared" si="6"/>
        <v>13</v>
      </c>
      <c r="G115" s="41">
        <f t="shared" si="7"/>
        <v>3</v>
      </c>
      <c r="H115">
        <v>8.5</v>
      </c>
      <c r="I115" s="131">
        <f>INDEX('Base de données Mono'!K:K,MATCH(B115,'Base de données Mono'!D:D,0))</f>
        <v>0.26041666666666669</v>
      </c>
      <c r="J115" s="131">
        <f>INDEX('Base de données Mono'!L:L,MATCH(B115,'Base de données Mono'!D:D,0))</f>
        <v>0.92708333333333337</v>
      </c>
      <c r="K115" s="131">
        <f>INDEX('Base de données Mono'!M:M,MATCH(B115,'Base de données Mono'!D:D,0))</f>
        <v>0.27777777777777779</v>
      </c>
      <c r="L115" s="131">
        <f>INDEX('Base de données Mono'!N:N,MATCH(B115,'Base de données Mono'!D:D,0))</f>
        <v>0.59375</v>
      </c>
      <c r="M115" s="33" t="s">
        <v>811</v>
      </c>
      <c r="N115" s="33">
        <f>IF(AND(E115="Electricité",M115="Hiver"),INDEX('Base de données Mono'!E:E,MATCH(B115,'Base de données Mono'!D:D,0)),IF(AND(E115="Electricité",M115="Mi-saison"),INDEX('Base de données Mono'!F:F,MATCH(B115,'Base de données Mono'!D:D,0)),IF(AND(E115="Electricité",M115="Eté"),INDEX('Base de données Mono'!G:G,MATCH(B115,'Base de données Mono'!D:D,0)),IF(AND(E115="Gaz",M115="Hiver"),INDEX('Base de données Mono'!J:J,MATCH(B115,'Base de données Mono'!D:D,0)),IF(AND(E115="Gaz",M115="Mi-saison"),INDEX('Base de données Mono'!#REF!,MATCH(B115,'Base de données Mono'!D:D,0)),IF(AND(E115="Gaz",M115="Eté"),INDEX('Base de données Mono'!#REF!,MATCH(B115,'Base de données Mono'!D:D,0)),"-"))))))</f>
        <v>55</v>
      </c>
      <c r="O115" s="123">
        <v>45381</v>
      </c>
      <c r="P115" s="123">
        <v>45382</v>
      </c>
      <c r="Q115" s="34">
        <v>120</v>
      </c>
      <c r="R115" s="33">
        <f t="shared" si="8"/>
        <v>65</v>
      </c>
      <c r="S115" s="34">
        <v>0.6</v>
      </c>
      <c r="T115" s="34">
        <f t="shared" si="12"/>
        <v>1</v>
      </c>
      <c r="U115" s="33">
        <f t="shared" si="9"/>
        <v>39</v>
      </c>
      <c r="V115" s="38" t="s">
        <v>148</v>
      </c>
      <c r="W115" s="39">
        <f t="shared" si="10"/>
        <v>1.1818181818181819</v>
      </c>
      <c r="X115" s="40" t="s">
        <v>304</v>
      </c>
      <c r="Y115" s="40" t="s">
        <v>283</v>
      </c>
      <c r="Z115" s="40" t="s">
        <v>749</v>
      </c>
      <c r="AA115" s="33" t="s">
        <v>749</v>
      </c>
      <c r="AB115" s="95"/>
      <c r="AC115" s="95"/>
    </row>
    <row r="116" spans="1:29" ht="14.45" hidden="1" customHeight="1" x14ac:dyDescent="0.25">
      <c r="A116" s="36" t="str">
        <f>INDEX('Base de données Mono'!C:C,MATCH(B116,'Base de données Mono'!D:D,0))</f>
        <v>LYON LA PART DIEU</v>
      </c>
      <c r="B116" t="s">
        <v>21</v>
      </c>
      <c r="C116" s="36" t="str">
        <f>INDEX('Base de données Mono'!B:B,MATCH(B116,'Base de données Mono'!D:D,0))</f>
        <v>SES8</v>
      </c>
      <c r="D116" s="36" t="str">
        <f>INDEX('Base de données Mono'!A:A,MATCH(B116,'Base de données Mono'!D:D,0))</f>
        <v>JG</v>
      </c>
      <c r="E116" s="37" t="s">
        <v>303</v>
      </c>
      <c r="F116" s="41">
        <f t="shared" si="6"/>
        <v>13</v>
      </c>
      <c r="G116" s="41">
        <f t="shared" si="7"/>
        <v>3</v>
      </c>
      <c r="H116">
        <v>8.5</v>
      </c>
      <c r="I116" s="131">
        <f>INDEX('Base de données Mono'!K:K,MATCH(B116,'Base de données Mono'!D:D,0))</f>
        <v>0.1875</v>
      </c>
      <c r="J116" s="131">
        <f>INDEX('Base de données Mono'!L:L,MATCH(B116,'Base de données Mono'!D:D,0))</f>
        <v>0.83333333333333337</v>
      </c>
      <c r="K116" s="131">
        <f>INDEX('Base de données Mono'!M:M,MATCH(B116,'Base de données Mono'!D:D,0))</f>
        <v>0.25</v>
      </c>
      <c r="L116" s="131">
        <f>INDEX('Base de données Mono'!N:N,MATCH(B116,'Base de données Mono'!D:D,0))</f>
        <v>0.5</v>
      </c>
      <c r="M116" s="33" t="s">
        <v>811</v>
      </c>
      <c r="N116" s="33">
        <f>IF(AND(E116="Electricité",M116="Hiver"),INDEX('Base de données Mono'!E:E,MATCH(B116,'Base de données Mono'!D:D,0)),IF(AND(E116="Electricité",M116="Mi-saison"),INDEX('Base de données Mono'!F:F,MATCH(B116,'Base de données Mono'!D:D,0)),IF(AND(E116="Electricité",M116="Eté"),INDEX('Base de données Mono'!G:G,MATCH(B116,'Base de données Mono'!D:D,0)),IF(AND(E116="Gaz",M116="Hiver"),INDEX('Base de données Mono'!J:J,MATCH(B116,'Base de données Mono'!D:D,0)),IF(AND(E116="Gaz",M116="Mi-saison"),INDEX('Base de données Mono'!#REF!,MATCH(B116,'Base de données Mono'!D:D,0)),IF(AND(E116="Gaz",M116="Eté"),INDEX('Base de données Mono'!#REF!,MATCH(B116,'Base de données Mono'!D:D,0)),"-"))))))</f>
        <v>45</v>
      </c>
      <c r="O116" s="123">
        <v>45376</v>
      </c>
      <c r="P116" s="123">
        <v>45382</v>
      </c>
      <c r="Q116" s="34">
        <v>105</v>
      </c>
      <c r="R116" s="33">
        <f t="shared" si="8"/>
        <v>60</v>
      </c>
      <c r="S116" s="34">
        <v>0.8</v>
      </c>
      <c r="T116" s="34">
        <f t="shared" si="12"/>
        <v>6</v>
      </c>
      <c r="U116" s="33">
        <f t="shared" si="9"/>
        <v>288</v>
      </c>
      <c r="V116" s="38" t="s">
        <v>148</v>
      </c>
      <c r="W116" s="39">
        <f t="shared" si="10"/>
        <v>1.3333333333333333</v>
      </c>
      <c r="X116" s="40" t="s">
        <v>304</v>
      </c>
      <c r="Y116" s="40" t="s">
        <v>284</v>
      </c>
      <c r="Z116" s="40" t="s">
        <v>307</v>
      </c>
      <c r="AA116" s="33" t="s">
        <v>313</v>
      </c>
      <c r="AB116" s="95"/>
      <c r="AC116" s="95"/>
    </row>
    <row r="117" spans="1:29" ht="14.45" hidden="1" customHeight="1" x14ac:dyDescent="0.25">
      <c r="A117" s="36" t="str">
        <f>INDEX('Base de données Mono'!C:C,MATCH(B117,'Base de données Mono'!D:D,0))</f>
        <v>LYON LA PART DIEU</v>
      </c>
      <c r="B117" t="s">
        <v>21</v>
      </c>
      <c r="C117" s="36" t="str">
        <f>INDEX('Base de données Mono'!B:B,MATCH(B117,'Base de données Mono'!D:D,0))</f>
        <v>SES8</v>
      </c>
      <c r="D117" s="36" t="str">
        <f>INDEX('Base de données Mono'!A:A,MATCH(B117,'Base de données Mono'!D:D,0))</f>
        <v>JG</v>
      </c>
      <c r="E117" s="37" t="s">
        <v>303</v>
      </c>
      <c r="F117" s="41">
        <f t="shared" si="6"/>
        <v>13</v>
      </c>
      <c r="G117" s="41">
        <f t="shared" si="7"/>
        <v>3</v>
      </c>
      <c r="H117">
        <v>8.5</v>
      </c>
      <c r="I117" s="131">
        <f>INDEX('Base de données Mono'!K:K,MATCH(B117,'Base de données Mono'!D:D,0))</f>
        <v>0.1875</v>
      </c>
      <c r="J117" s="131">
        <f>INDEX('Base de données Mono'!L:L,MATCH(B117,'Base de données Mono'!D:D,0))</f>
        <v>0.83333333333333337</v>
      </c>
      <c r="K117" s="131">
        <f>INDEX('Base de données Mono'!M:M,MATCH(B117,'Base de données Mono'!D:D,0))</f>
        <v>0.25</v>
      </c>
      <c r="L117" s="131">
        <f>INDEX('Base de données Mono'!N:N,MATCH(B117,'Base de données Mono'!D:D,0))</f>
        <v>0.5</v>
      </c>
      <c r="M117" s="33" t="s">
        <v>811</v>
      </c>
      <c r="N117" s="33">
        <f>IF(AND(E117="Electricité",M117="Hiver"),INDEX('Base de données Mono'!E:E,MATCH(B117,'Base de données Mono'!D:D,0)),IF(AND(E117="Electricité",M117="Mi-saison"),INDEX('Base de données Mono'!F:F,MATCH(B117,'Base de données Mono'!D:D,0)),IF(AND(E117="Electricité",M117="Eté"),INDEX('Base de données Mono'!G:G,MATCH(B117,'Base de données Mono'!D:D,0)),IF(AND(E117="Gaz",M117="Hiver"),INDEX('Base de données Mono'!J:J,MATCH(B117,'Base de données Mono'!D:D,0)),IF(AND(E117="Gaz",M117="Mi-saison"),INDEX('Base de données Mono'!#REF!,MATCH(B117,'Base de données Mono'!D:D,0)),IF(AND(E117="Gaz",M117="Eté"),INDEX('Base de données Mono'!#REF!,MATCH(B117,'Base de données Mono'!D:D,0)),"-"))))))</f>
        <v>45</v>
      </c>
      <c r="O117" s="123">
        <v>45375</v>
      </c>
      <c r="P117" s="123">
        <v>45378</v>
      </c>
      <c r="Q117" s="34">
        <v>55</v>
      </c>
      <c r="R117" s="33">
        <f t="shared" si="8"/>
        <v>10</v>
      </c>
      <c r="S117" s="34">
        <v>7.7</v>
      </c>
      <c r="T117" s="34">
        <f t="shared" si="12"/>
        <v>3</v>
      </c>
      <c r="U117" s="33">
        <f t="shared" si="9"/>
        <v>231</v>
      </c>
      <c r="V117" s="38" t="s">
        <v>148</v>
      </c>
      <c r="W117" s="39">
        <f t="shared" si="10"/>
        <v>0.22222222222222221</v>
      </c>
      <c r="X117" s="40" t="s">
        <v>304</v>
      </c>
      <c r="Y117" s="40" t="s">
        <v>284</v>
      </c>
      <c r="Z117" s="40" t="s">
        <v>305</v>
      </c>
      <c r="AA117" s="33" t="s">
        <v>771</v>
      </c>
      <c r="AB117" s="95"/>
      <c r="AC117" s="95"/>
    </row>
    <row r="118" spans="1:29" ht="14.45" hidden="1" customHeight="1" x14ac:dyDescent="0.25">
      <c r="A118" s="36" t="str">
        <f>INDEX('Base de données Mono'!C:C,MATCH(B118,'Base de données Mono'!D:D,0))</f>
        <v>LYON LA PART DIEU</v>
      </c>
      <c r="B118" t="s">
        <v>21</v>
      </c>
      <c r="C118" s="36" t="str">
        <f>INDEX('Base de données Mono'!B:B,MATCH(B118,'Base de données Mono'!D:D,0))</f>
        <v>SES8</v>
      </c>
      <c r="D118" s="36" t="str">
        <f>INDEX('Base de données Mono'!A:A,MATCH(B118,'Base de données Mono'!D:D,0))</f>
        <v>JG</v>
      </c>
      <c r="E118" s="37" t="s">
        <v>303</v>
      </c>
      <c r="F118" s="41">
        <f t="shared" si="6"/>
        <v>13</v>
      </c>
      <c r="G118" s="41">
        <f t="shared" si="7"/>
        <v>3</v>
      </c>
      <c r="H118">
        <v>8.5</v>
      </c>
      <c r="I118" s="131">
        <f>INDEX('Base de données Mono'!K:K,MATCH(B118,'Base de données Mono'!D:D,0))</f>
        <v>0.1875</v>
      </c>
      <c r="J118" s="131">
        <f>INDEX('Base de données Mono'!L:L,MATCH(B118,'Base de données Mono'!D:D,0))</f>
        <v>0.83333333333333337</v>
      </c>
      <c r="K118" s="131">
        <f>INDEX('Base de données Mono'!M:M,MATCH(B118,'Base de données Mono'!D:D,0))</f>
        <v>0.25</v>
      </c>
      <c r="L118" s="131">
        <f>INDEX('Base de données Mono'!N:N,MATCH(B118,'Base de données Mono'!D:D,0))</f>
        <v>0.5</v>
      </c>
      <c r="M118" s="33" t="s">
        <v>811</v>
      </c>
      <c r="N118" s="33">
        <f>IF(AND(E118="Electricité",M118="Hiver"),INDEX('Base de données Mono'!E:E,MATCH(B118,'Base de données Mono'!D:D,0)),IF(AND(E118="Electricité",M118="Mi-saison"),INDEX('Base de données Mono'!F:F,MATCH(B118,'Base de données Mono'!D:D,0)),IF(AND(E118="Electricité",M118="Eté"),INDEX('Base de données Mono'!G:G,MATCH(B118,'Base de données Mono'!D:D,0)),IF(AND(E118="Gaz",M118="Hiver"),INDEX('Base de données Mono'!J:J,MATCH(B118,'Base de données Mono'!D:D,0)),IF(AND(E118="Gaz",M118="Mi-saison"),INDEX('Base de données Mono'!#REF!,MATCH(B118,'Base de données Mono'!D:D,0)),IF(AND(E118="Gaz",M118="Eté"),INDEX('Base de données Mono'!#REF!,MATCH(B118,'Base de données Mono'!D:D,0)),"-"))))))</f>
        <v>45</v>
      </c>
      <c r="O118" s="123">
        <v>45379</v>
      </c>
      <c r="P118" s="123">
        <v>45381</v>
      </c>
      <c r="Q118" s="34">
        <v>55</v>
      </c>
      <c r="R118" s="33">
        <f t="shared" si="8"/>
        <v>10</v>
      </c>
      <c r="S118" s="34">
        <v>7.7</v>
      </c>
      <c r="T118" s="34">
        <f t="shared" si="12"/>
        <v>2</v>
      </c>
      <c r="U118" s="33">
        <f t="shared" si="9"/>
        <v>154</v>
      </c>
      <c r="V118" s="38" t="s">
        <v>148</v>
      </c>
      <c r="W118" s="39">
        <f t="shared" si="10"/>
        <v>0.22222222222222221</v>
      </c>
      <c r="X118" s="40" t="s">
        <v>304</v>
      </c>
      <c r="Y118" s="40" t="s">
        <v>284</v>
      </c>
      <c r="Z118" s="40" t="s">
        <v>305</v>
      </c>
      <c r="AA118" s="33" t="s">
        <v>771</v>
      </c>
      <c r="AB118" s="95"/>
      <c r="AC118" s="95"/>
    </row>
    <row r="119" spans="1:29" ht="14.45" hidden="1" customHeight="1" x14ac:dyDescent="0.25">
      <c r="A119" s="36" t="str">
        <f>INDEX('Base de données Mono'!C:C,MATCH(B119,'Base de données Mono'!D:D,0))</f>
        <v>CHAMBERY LES HALLES</v>
      </c>
      <c r="B119" t="s">
        <v>11</v>
      </c>
      <c r="C119" s="36" t="str">
        <f>INDEX('Base de données Mono'!B:B,MATCH(B119,'Base de données Mono'!D:D,0))</f>
        <v>SES8</v>
      </c>
      <c r="D119" s="36" t="str">
        <f>INDEX('Base de données Mono'!A:A,MATCH(B119,'Base de données Mono'!D:D,0))</f>
        <v>JG</v>
      </c>
      <c r="E119" s="37" t="s">
        <v>303</v>
      </c>
      <c r="F119" s="41">
        <f t="shared" si="6"/>
        <v>13</v>
      </c>
      <c r="G119" s="41">
        <f t="shared" si="7"/>
        <v>3</v>
      </c>
      <c r="H119">
        <v>8.5</v>
      </c>
      <c r="I119" s="131">
        <f>INDEX('Base de données Mono'!K:K,MATCH(B119,'Base de données Mono'!D:D,0))</f>
        <v>0.20833333333333334</v>
      </c>
      <c r="J119" s="131">
        <f>INDEX('Base de données Mono'!L:L,MATCH(B119,'Base de données Mono'!D:D,0))</f>
        <v>0.86458333333333337</v>
      </c>
      <c r="K119" s="131">
        <f>INDEX('Base de données Mono'!M:M,MATCH(B119,'Base de données Mono'!D:D,0))</f>
        <v>0.29166666666666669</v>
      </c>
      <c r="L119" s="131">
        <f>INDEX('Base de données Mono'!N:N,MATCH(B119,'Base de données Mono'!D:D,0))</f>
        <v>0.53125</v>
      </c>
      <c r="M119" s="33" t="s">
        <v>811</v>
      </c>
      <c r="N119" s="33">
        <f>IF(AND(E119="Electricité",M119="Hiver"),INDEX('Base de données Mono'!E:E,MATCH(B119,'Base de données Mono'!D:D,0)),IF(AND(E119="Electricité",M119="Mi-saison"),INDEX('Base de données Mono'!F:F,MATCH(B119,'Base de données Mono'!D:D,0)),IF(AND(E119="Electricité",M119="Eté"),INDEX('Base de données Mono'!G:G,MATCH(B119,'Base de données Mono'!D:D,0)),IF(AND(E119="Gaz",M119="Hiver"),INDEX('Base de données Mono'!J:J,MATCH(B119,'Base de données Mono'!D:D,0)),IF(AND(E119="Gaz",M119="Mi-saison"),INDEX('Base de données Mono'!#REF!,MATCH(B119,'Base de données Mono'!D:D,0)),IF(AND(E119="Gaz",M119="Eté"),INDEX('Base de données Mono'!#REF!,MATCH(B119,'Base de données Mono'!D:D,0)),"-"))))))</f>
        <v>40</v>
      </c>
      <c r="O119" s="123">
        <v>45375</v>
      </c>
      <c r="P119" s="123">
        <v>45381</v>
      </c>
      <c r="Q119" s="34">
        <v>50</v>
      </c>
      <c r="R119" s="33">
        <f t="shared" si="8"/>
        <v>10</v>
      </c>
      <c r="S119" s="34">
        <v>8.1999999999999993</v>
      </c>
      <c r="T119" s="34">
        <f t="shared" si="12"/>
        <v>6</v>
      </c>
      <c r="U119" s="33">
        <f t="shared" si="9"/>
        <v>492</v>
      </c>
      <c r="V119" s="38" t="s">
        <v>148</v>
      </c>
      <c r="W119" s="39">
        <f t="shared" si="10"/>
        <v>0.25</v>
      </c>
      <c r="X119" s="40" t="s">
        <v>304</v>
      </c>
      <c r="Y119" s="40" t="s">
        <v>284</v>
      </c>
      <c r="Z119" s="40" t="s">
        <v>305</v>
      </c>
      <c r="AA119" s="33" t="s">
        <v>771</v>
      </c>
      <c r="AB119" s="95"/>
      <c r="AC119" s="95"/>
    </row>
    <row r="120" spans="1:29" ht="14.45" hidden="1" customHeight="1" x14ac:dyDescent="0.25">
      <c r="A120" s="36" t="str">
        <f>INDEX('Base de données Mono'!C:C,MATCH(B120,'Base de données Mono'!D:D,0))</f>
        <v>LYON LA PART DIEU</v>
      </c>
      <c r="B120" t="s">
        <v>21</v>
      </c>
      <c r="C120" s="36" t="str">
        <f>INDEX('Base de données Mono'!B:B,MATCH(B120,'Base de données Mono'!D:D,0))</f>
        <v>SES8</v>
      </c>
      <c r="D120" s="36" t="str">
        <f>INDEX('Base de données Mono'!A:A,MATCH(B120,'Base de données Mono'!D:D,0))</f>
        <v>JG</v>
      </c>
      <c r="E120" s="37" t="s">
        <v>303</v>
      </c>
      <c r="F120" s="41">
        <f t="shared" si="6"/>
        <v>13</v>
      </c>
      <c r="G120" s="41">
        <f t="shared" si="7"/>
        <v>3</v>
      </c>
      <c r="H120">
        <v>8.5</v>
      </c>
      <c r="I120" s="131">
        <f>INDEX('Base de données Mono'!K:K,MATCH(B120,'Base de données Mono'!D:D,0))</f>
        <v>0.1875</v>
      </c>
      <c r="J120" s="131">
        <f>INDEX('Base de données Mono'!L:L,MATCH(B120,'Base de données Mono'!D:D,0))</f>
        <v>0.83333333333333337</v>
      </c>
      <c r="K120" s="131">
        <f>INDEX('Base de données Mono'!M:M,MATCH(B120,'Base de données Mono'!D:D,0))</f>
        <v>0.25</v>
      </c>
      <c r="L120" s="131">
        <f>INDEX('Base de données Mono'!N:N,MATCH(B120,'Base de données Mono'!D:D,0))</f>
        <v>0.5</v>
      </c>
      <c r="M120" s="33" t="s">
        <v>811</v>
      </c>
      <c r="N120" s="33">
        <f>IF(AND(E120="Electricité",M120="Hiver"),INDEX('Base de données Mono'!E:E,MATCH(B120,'Base de données Mono'!D:D,0)),IF(AND(E120="Electricité",M120="Mi-saison"),INDEX('Base de données Mono'!F:F,MATCH(B120,'Base de données Mono'!D:D,0)),IF(AND(E120="Electricité",M120="Eté"),INDEX('Base de données Mono'!G:G,MATCH(B120,'Base de données Mono'!D:D,0)),IF(AND(E120="Gaz",M120="Hiver"),INDEX('Base de données Mono'!J:J,MATCH(B120,'Base de données Mono'!D:D,0)),IF(AND(E120="Gaz",M120="Mi-saison"),INDEX('Base de données Mono'!#REF!,MATCH(B120,'Base de données Mono'!D:D,0)),IF(AND(E120="Gaz",M120="Eté"),INDEX('Base de données Mono'!#REF!,MATCH(B120,'Base de données Mono'!D:D,0)),"-"))))))</f>
        <v>45</v>
      </c>
      <c r="O120" s="123">
        <v>45381</v>
      </c>
      <c r="P120" s="123">
        <v>45382</v>
      </c>
      <c r="Q120" s="34">
        <v>55</v>
      </c>
      <c r="R120" s="33">
        <f t="shared" si="8"/>
        <v>10</v>
      </c>
      <c r="S120" s="34">
        <v>9.1999999999999993</v>
      </c>
      <c r="T120" s="34">
        <f t="shared" si="12"/>
        <v>1</v>
      </c>
      <c r="U120" s="33">
        <f t="shared" si="9"/>
        <v>92</v>
      </c>
      <c r="V120" s="38" t="s">
        <v>148</v>
      </c>
      <c r="W120" s="39">
        <f t="shared" si="10"/>
        <v>0.22222222222222221</v>
      </c>
      <c r="X120" s="40" t="s">
        <v>304</v>
      </c>
      <c r="Y120" s="40" t="s">
        <v>284</v>
      </c>
      <c r="Z120" s="40" t="s">
        <v>305</v>
      </c>
      <c r="AA120" s="33" t="s">
        <v>771</v>
      </c>
      <c r="AB120" s="95"/>
      <c r="AC120" s="95"/>
    </row>
    <row r="121" spans="1:29" ht="14.45" hidden="1" customHeight="1" x14ac:dyDescent="0.25">
      <c r="A121" s="36" t="str">
        <f>INDEX('Base de données Mono'!C:C,MATCH(B121,'Base de données Mono'!D:D,0))</f>
        <v>CHAMBERY LES HALLES</v>
      </c>
      <c r="B121" t="s">
        <v>11</v>
      </c>
      <c r="C121" s="36" t="str">
        <f>INDEX('Base de données Mono'!B:B,MATCH(B121,'Base de données Mono'!D:D,0))</f>
        <v>SES8</v>
      </c>
      <c r="D121" s="36" t="str">
        <f>INDEX('Base de données Mono'!A:A,MATCH(B121,'Base de données Mono'!D:D,0))</f>
        <v>JG</v>
      </c>
      <c r="E121" s="37" t="s">
        <v>303</v>
      </c>
      <c r="F121" s="41">
        <f t="shared" si="6"/>
        <v>13</v>
      </c>
      <c r="G121" s="41">
        <f t="shared" si="7"/>
        <v>3</v>
      </c>
      <c r="H121">
        <v>8.5</v>
      </c>
      <c r="I121" s="131">
        <f>INDEX('Base de données Mono'!K:K,MATCH(B121,'Base de données Mono'!D:D,0))</f>
        <v>0.20833333333333334</v>
      </c>
      <c r="J121" s="131">
        <f>INDEX('Base de données Mono'!L:L,MATCH(B121,'Base de données Mono'!D:D,0))</f>
        <v>0.86458333333333337</v>
      </c>
      <c r="K121" s="131">
        <f>INDEX('Base de données Mono'!M:M,MATCH(B121,'Base de données Mono'!D:D,0))</f>
        <v>0.29166666666666669</v>
      </c>
      <c r="L121" s="131">
        <f>INDEX('Base de données Mono'!N:N,MATCH(B121,'Base de données Mono'!D:D,0))</f>
        <v>0.53125</v>
      </c>
      <c r="M121" s="33" t="s">
        <v>811</v>
      </c>
      <c r="N121" s="33">
        <f>IF(AND(E121="Electricité",M121="Hiver"),INDEX('Base de données Mono'!E:E,MATCH(B121,'Base de données Mono'!D:D,0)),IF(AND(E121="Electricité",M121="Mi-saison"),INDEX('Base de données Mono'!F:F,MATCH(B121,'Base de données Mono'!D:D,0)),IF(AND(E121="Electricité",M121="Eté"),INDEX('Base de données Mono'!G:G,MATCH(B121,'Base de données Mono'!D:D,0)),IF(AND(E121="Gaz",M121="Hiver"),INDEX('Base de données Mono'!J:J,MATCH(B121,'Base de données Mono'!D:D,0)),IF(AND(E121="Gaz",M121="Mi-saison"),INDEX('Base de données Mono'!#REF!,MATCH(B121,'Base de données Mono'!D:D,0)),IF(AND(E121="Gaz",M121="Eté"),INDEX('Base de données Mono'!#REF!,MATCH(B121,'Base de données Mono'!D:D,0)),"-"))))))</f>
        <v>40</v>
      </c>
      <c r="O121" s="123">
        <v>45381</v>
      </c>
      <c r="P121" s="123">
        <v>45382</v>
      </c>
      <c r="Q121" s="34">
        <v>50</v>
      </c>
      <c r="R121" s="33">
        <f t="shared" si="8"/>
        <v>10</v>
      </c>
      <c r="S121" s="34">
        <v>10.199999999999999</v>
      </c>
      <c r="T121" s="34">
        <f t="shared" si="12"/>
        <v>1</v>
      </c>
      <c r="U121" s="33">
        <f t="shared" si="9"/>
        <v>102</v>
      </c>
      <c r="V121" s="38" t="s">
        <v>148</v>
      </c>
      <c r="W121" s="39">
        <f t="shared" si="10"/>
        <v>0.25</v>
      </c>
      <c r="X121" s="40" t="s">
        <v>304</v>
      </c>
      <c r="Y121" s="40" t="s">
        <v>284</v>
      </c>
      <c r="Z121" s="40" t="s">
        <v>305</v>
      </c>
      <c r="AA121" s="33" t="s">
        <v>771</v>
      </c>
      <c r="AB121" s="95"/>
      <c r="AC121" s="95"/>
    </row>
    <row r="122" spans="1:29" ht="14.45" hidden="1" customHeight="1" x14ac:dyDescent="0.25">
      <c r="A122" s="36" t="str">
        <f>INDEX('Base de données Mono'!C:C,MATCH(B122,'Base de données Mono'!D:D,0))</f>
        <v>NICE VICTOIRE</v>
      </c>
      <c r="B122" t="s">
        <v>28</v>
      </c>
      <c r="C122" s="36" t="str">
        <f>INDEX('Base de données Mono'!B:B,MATCH(B122,'Base de données Mono'!D:D,0))</f>
        <v>SES8</v>
      </c>
      <c r="D122" s="36" t="str">
        <f>INDEX('Base de données Mono'!A:A,MATCH(B122,'Base de données Mono'!D:D,0))</f>
        <v>JG</v>
      </c>
      <c r="E122" s="37" t="s">
        <v>303</v>
      </c>
      <c r="F122" s="41">
        <f t="shared" si="6"/>
        <v>13</v>
      </c>
      <c r="G122" s="41">
        <f t="shared" si="7"/>
        <v>3</v>
      </c>
      <c r="H122">
        <v>9</v>
      </c>
      <c r="I122" s="131">
        <f>INDEX('Base de données Mono'!K:K,MATCH(B122,'Base de données Mono'!D:D,0))</f>
        <v>0.20138888888888887</v>
      </c>
      <c r="J122" s="131">
        <f>INDEX('Base de données Mono'!L:L,MATCH(B122,'Base de données Mono'!D:D,0))</f>
        <v>0.89583333333333337</v>
      </c>
      <c r="K122" s="131">
        <f>INDEX('Base de données Mono'!M:M,MATCH(B122,'Base de données Mono'!D:D,0))</f>
        <v>0.28472222222222221</v>
      </c>
      <c r="L122" s="131">
        <f>INDEX('Base de données Mono'!N:N,MATCH(B122,'Base de données Mono'!D:D,0))</f>
        <v>0.85416666666666663</v>
      </c>
      <c r="M122" s="33" t="s">
        <v>811</v>
      </c>
      <c r="N122" s="33">
        <f>IF(AND(E122="Electricité",M122="Hiver"),INDEX('Base de données Mono'!E:E,MATCH(B122,'Base de données Mono'!D:D,0)),IF(AND(E122="Electricité",M122="Mi-saison"),INDEX('Base de données Mono'!F:F,MATCH(B122,'Base de données Mono'!D:D,0)),IF(AND(E122="Electricité",M122="Eté"),INDEX('Base de données Mono'!G:G,MATCH(B122,'Base de données Mono'!D:D,0)),IF(AND(E122="Gaz",M122="Hiver"),INDEX('Base de données Mono'!J:J,MATCH(B122,'Base de données Mono'!D:D,0)),IF(AND(E122="Gaz",M122="Mi-saison"),INDEX('Base de données Mono'!#REF!,MATCH(B122,'Base de données Mono'!D:D,0)),IF(AND(E122="Gaz",M122="Eté"),INDEX('Base de données Mono'!#REF!,MATCH(B122,'Base de données Mono'!D:D,0)),"-"))))))</f>
        <v>110</v>
      </c>
      <c r="O122" s="123">
        <v>45375</v>
      </c>
      <c r="P122" s="123">
        <v>45376</v>
      </c>
      <c r="Q122" s="34">
        <v>140</v>
      </c>
      <c r="R122" s="33">
        <f t="shared" si="8"/>
        <v>30</v>
      </c>
      <c r="S122" s="34">
        <v>2.2999999999999998</v>
      </c>
      <c r="T122" s="34">
        <f t="shared" si="12"/>
        <v>1</v>
      </c>
      <c r="U122" s="33">
        <f t="shared" si="9"/>
        <v>69</v>
      </c>
      <c r="V122" s="38" t="s">
        <v>148</v>
      </c>
      <c r="W122" s="39">
        <f t="shared" si="10"/>
        <v>0.27272727272727271</v>
      </c>
      <c r="X122" s="40" t="s">
        <v>304</v>
      </c>
      <c r="Y122" s="40" t="s">
        <v>284</v>
      </c>
      <c r="Z122" s="40" t="s">
        <v>305</v>
      </c>
      <c r="AA122" s="33" t="s">
        <v>771</v>
      </c>
      <c r="AB122" s="95"/>
      <c r="AC122" s="95"/>
    </row>
    <row r="123" spans="1:29" ht="14.45" hidden="1" customHeight="1" x14ac:dyDescent="0.25">
      <c r="A123" s="36" t="str">
        <f>INDEX('Base de données Mono'!C:C,MATCH(B123,'Base de données Mono'!D:D,0))</f>
        <v>NICE VICTOIRE</v>
      </c>
      <c r="B123" t="s">
        <v>28</v>
      </c>
      <c r="C123" s="36" t="str">
        <f>INDEX('Base de données Mono'!B:B,MATCH(B123,'Base de données Mono'!D:D,0))</f>
        <v>SES8</v>
      </c>
      <c r="D123" s="36" t="str">
        <f>INDEX('Base de données Mono'!A:A,MATCH(B123,'Base de données Mono'!D:D,0))</f>
        <v>JG</v>
      </c>
      <c r="E123" s="37" t="s">
        <v>303</v>
      </c>
      <c r="F123" s="41">
        <f t="shared" si="6"/>
        <v>13</v>
      </c>
      <c r="G123" s="41">
        <f t="shared" si="7"/>
        <v>3</v>
      </c>
      <c r="H123">
        <v>9</v>
      </c>
      <c r="I123" s="131">
        <f>INDEX('Base de données Mono'!K:K,MATCH(B123,'Base de données Mono'!D:D,0))</f>
        <v>0.20138888888888887</v>
      </c>
      <c r="J123" s="131">
        <f>INDEX('Base de données Mono'!L:L,MATCH(B123,'Base de données Mono'!D:D,0))</f>
        <v>0.89583333333333337</v>
      </c>
      <c r="K123" s="131">
        <f>INDEX('Base de données Mono'!M:M,MATCH(B123,'Base de données Mono'!D:D,0))</f>
        <v>0.28472222222222221</v>
      </c>
      <c r="L123" s="131">
        <f>INDEX('Base de données Mono'!N:N,MATCH(B123,'Base de données Mono'!D:D,0))</f>
        <v>0.85416666666666663</v>
      </c>
      <c r="M123" s="33" t="s">
        <v>811</v>
      </c>
      <c r="N123" s="33">
        <f>IF(AND(E123="Electricité",M123="Hiver"),INDEX('Base de données Mono'!E:E,MATCH(B123,'Base de données Mono'!D:D,0)),IF(AND(E123="Electricité",M123="Mi-saison"),INDEX('Base de données Mono'!F:F,MATCH(B123,'Base de données Mono'!D:D,0)),IF(AND(E123="Electricité",M123="Eté"),INDEX('Base de données Mono'!G:G,MATCH(B123,'Base de données Mono'!D:D,0)),IF(AND(E123="Gaz",M123="Hiver"),INDEX('Base de données Mono'!J:J,MATCH(B123,'Base de données Mono'!D:D,0)),IF(AND(E123="Gaz",M123="Mi-saison"),INDEX('Base de données Mono'!#REF!,MATCH(B123,'Base de données Mono'!D:D,0)),IF(AND(E123="Gaz",M123="Eté"),INDEX('Base de données Mono'!#REF!,MATCH(B123,'Base de données Mono'!D:D,0)),"-"))))))</f>
        <v>110</v>
      </c>
      <c r="O123" s="123">
        <v>45376</v>
      </c>
      <c r="P123" s="123">
        <v>45381</v>
      </c>
      <c r="Q123" s="34">
        <v>145</v>
      </c>
      <c r="R123" s="33">
        <f t="shared" si="8"/>
        <v>35</v>
      </c>
      <c r="S123" s="34">
        <v>1</v>
      </c>
      <c r="T123" s="34">
        <f t="shared" si="12"/>
        <v>5</v>
      </c>
      <c r="U123" s="33">
        <f t="shared" si="9"/>
        <v>175</v>
      </c>
      <c r="V123" s="38" t="s">
        <v>148</v>
      </c>
      <c r="W123" s="39">
        <f t="shared" si="10"/>
        <v>0.31818181818181818</v>
      </c>
      <c r="X123" s="40" t="s">
        <v>304</v>
      </c>
      <c r="Y123" s="40" t="s">
        <v>284</v>
      </c>
      <c r="Z123" s="40" t="s">
        <v>305</v>
      </c>
      <c r="AA123" s="33" t="s">
        <v>771</v>
      </c>
      <c r="AB123" s="95"/>
      <c r="AC123" s="95"/>
    </row>
    <row r="124" spans="1:29" ht="14.45" hidden="1" customHeight="1" x14ac:dyDescent="0.25">
      <c r="A124" s="36" t="str">
        <f>INDEX('Base de données Mono'!C:C,MATCH(B124,'Base de données Mono'!D:D,0))</f>
        <v>COURCELLES</v>
      </c>
      <c r="B124" t="s">
        <v>112</v>
      </c>
      <c r="C124" s="36" t="str">
        <f>INDEX('Base de données Mono'!B:B,MATCH(B124,'Base de données Mono'!D:D,0))</f>
        <v>SES8</v>
      </c>
      <c r="D124" s="36" t="str">
        <f>INDEX('Base de données Mono'!A:A,MATCH(B124,'Base de données Mono'!D:D,0))</f>
        <v>AD</v>
      </c>
      <c r="E124" s="37" t="s">
        <v>303</v>
      </c>
      <c r="F124" s="41">
        <f t="shared" si="6"/>
        <v>13</v>
      </c>
      <c r="G124" s="41">
        <f t="shared" si="7"/>
        <v>3</v>
      </c>
      <c r="H124">
        <v>9</v>
      </c>
      <c r="I124" s="131">
        <f>INDEX('Base de données Mono'!K:K,MATCH(B124,'Base de données Mono'!D:D,0))</f>
        <v>0.25</v>
      </c>
      <c r="J124" s="131">
        <f>INDEX('Base de données Mono'!L:L,MATCH(B124,'Base de données Mono'!D:D,0))</f>
        <v>0.86458333333333337</v>
      </c>
      <c r="K124" s="131" t="str">
        <f>INDEX('Base de données Mono'!M:M,MATCH(B124,'Base de données Mono'!D:D,0))</f>
        <v>-</v>
      </c>
      <c r="L124" s="131" t="str">
        <f>INDEX('Base de données Mono'!N:N,MATCH(B124,'Base de données Mono'!D:D,0))</f>
        <v>-</v>
      </c>
      <c r="M124" s="33" t="s">
        <v>811</v>
      </c>
      <c r="N124" s="33">
        <f>IF(AND(E124="Electricité",M124="Hiver"),INDEX('Base de données Mono'!E:E,MATCH(B124,'Base de données Mono'!D:D,0)),IF(AND(E124="Electricité",M124="Mi-saison"),INDEX('Base de données Mono'!F:F,MATCH(B124,'Base de données Mono'!D:D,0)),IF(AND(E124="Electricité",M124="Eté"),INDEX('Base de données Mono'!G:G,MATCH(B124,'Base de données Mono'!D:D,0)),IF(AND(E124="Gaz",M124="Hiver"),INDEX('Base de données Mono'!J:J,MATCH(B124,'Base de données Mono'!D:D,0)),IF(AND(E124="Gaz",M124="Mi-saison"),INDEX('Base de données Mono'!#REF!,MATCH(B124,'Base de données Mono'!D:D,0)),IF(AND(E124="Gaz",M124="Eté"),INDEX('Base de données Mono'!#REF!,MATCH(B124,'Base de données Mono'!D:D,0)),"-"))))))</f>
        <v>45</v>
      </c>
      <c r="O124" s="123">
        <v>45375</v>
      </c>
      <c r="P124" s="123">
        <v>45381</v>
      </c>
      <c r="Q124" s="34">
        <v>65</v>
      </c>
      <c r="R124" s="33">
        <f t="shared" si="8"/>
        <v>20</v>
      </c>
      <c r="S124" s="164">
        <v>0.5</v>
      </c>
      <c r="T124" s="34">
        <f t="shared" si="12"/>
        <v>6</v>
      </c>
      <c r="U124" s="33">
        <f t="shared" si="9"/>
        <v>60</v>
      </c>
      <c r="V124" s="38" t="s">
        <v>148</v>
      </c>
      <c r="W124" s="39">
        <f t="shared" si="10"/>
        <v>0.44444444444444442</v>
      </c>
      <c r="X124" s="40" t="s">
        <v>304</v>
      </c>
      <c r="Y124" s="40" t="s">
        <v>284</v>
      </c>
      <c r="Z124" s="40" t="s">
        <v>307</v>
      </c>
      <c r="AA124" s="33" t="s">
        <v>414</v>
      </c>
      <c r="AB124" s="95"/>
      <c r="AC124" s="95"/>
    </row>
    <row r="125" spans="1:29" ht="14.45" hidden="1" customHeight="1" x14ac:dyDescent="0.25">
      <c r="A125" s="36" t="str">
        <f>INDEX('Base de données Mono'!C:C,MATCH(B125,'Base de données Mono'!D:D,0))</f>
        <v>COURCELLES</v>
      </c>
      <c r="B125" t="s">
        <v>112</v>
      </c>
      <c r="C125" s="36" t="str">
        <f>INDEX('Base de données Mono'!B:B,MATCH(B125,'Base de données Mono'!D:D,0))</f>
        <v>SES8</v>
      </c>
      <c r="D125" s="36" t="str">
        <f>INDEX('Base de données Mono'!A:A,MATCH(B125,'Base de données Mono'!D:D,0))</f>
        <v>AD</v>
      </c>
      <c r="E125" s="37" t="s">
        <v>303</v>
      </c>
      <c r="F125" s="41">
        <f t="shared" si="6"/>
        <v>13</v>
      </c>
      <c r="G125" s="41">
        <f t="shared" si="7"/>
        <v>3</v>
      </c>
      <c r="H125">
        <v>8.5</v>
      </c>
      <c r="I125" s="131">
        <f>INDEX('Base de données Mono'!K:K,MATCH(B125,'Base de données Mono'!D:D,0))</f>
        <v>0.25</v>
      </c>
      <c r="J125" s="131">
        <f>INDEX('Base de données Mono'!L:L,MATCH(B125,'Base de données Mono'!D:D,0))</f>
        <v>0.86458333333333337</v>
      </c>
      <c r="K125" s="131" t="str">
        <f>INDEX('Base de données Mono'!M:M,MATCH(B125,'Base de données Mono'!D:D,0))</f>
        <v>-</v>
      </c>
      <c r="L125" s="131" t="str">
        <f>INDEX('Base de données Mono'!N:N,MATCH(B125,'Base de données Mono'!D:D,0))</f>
        <v>-</v>
      </c>
      <c r="M125" s="33" t="s">
        <v>811</v>
      </c>
      <c r="N125" s="33">
        <f>IF(AND(E125="Electricité",M125="Hiver"),INDEX('Base de données Mono'!E:E,MATCH(B125,'Base de données Mono'!D:D,0)),IF(AND(E125="Electricité",M125="Mi-saison"),INDEX('Base de données Mono'!F:F,MATCH(B125,'Base de données Mono'!D:D,0)),IF(AND(E125="Electricité",M125="Eté"),INDEX('Base de données Mono'!G:G,MATCH(B125,'Base de données Mono'!D:D,0)),IF(AND(E125="Gaz",M125="Hiver"),INDEX('Base de données Mono'!J:J,MATCH(B125,'Base de données Mono'!D:D,0)),IF(AND(E125="Gaz",M125="Mi-saison"),INDEX('Base de données Mono'!#REF!,MATCH(B125,'Base de données Mono'!D:D,0)),IF(AND(E125="Gaz",M125="Eté"),INDEX('Base de données Mono'!#REF!,MATCH(B125,'Base de données Mono'!D:D,0)),"-"))))))</f>
        <v>45</v>
      </c>
      <c r="O125" s="123">
        <v>45376</v>
      </c>
      <c r="P125" s="123">
        <v>45382</v>
      </c>
      <c r="Q125" s="34">
        <v>60</v>
      </c>
      <c r="R125" s="33">
        <f t="shared" si="8"/>
        <v>15</v>
      </c>
      <c r="S125" s="164">
        <v>0.8</v>
      </c>
      <c r="T125" s="34">
        <f t="shared" si="12"/>
        <v>6</v>
      </c>
      <c r="U125" s="33">
        <f t="shared" si="9"/>
        <v>72</v>
      </c>
      <c r="V125" s="38" t="s">
        <v>148</v>
      </c>
      <c r="W125" s="39">
        <f t="shared" si="10"/>
        <v>0.33333333333333331</v>
      </c>
      <c r="X125" s="40" t="s">
        <v>304</v>
      </c>
      <c r="Y125" s="40" t="s">
        <v>284</v>
      </c>
      <c r="Z125" s="40" t="s">
        <v>307</v>
      </c>
      <c r="AA125" s="33" t="s">
        <v>313</v>
      </c>
      <c r="AB125" s="95"/>
      <c r="AC125" s="95"/>
    </row>
    <row r="126" spans="1:29" ht="14.45" hidden="1" customHeight="1" x14ac:dyDescent="0.25">
      <c r="A126" s="36" t="str">
        <f>INDEX('Base de données Mono'!C:C,MATCH(B126,'Base de données Mono'!D:D,0))</f>
        <v>NICE GORBELLA</v>
      </c>
      <c r="B126" t="s">
        <v>196</v>
      </c>
      <c r="C126" s="36" t="str">
        <f>INDEX('Base de données Mono'!B:B,MATCH(B126,'Base de données Mono'!D:D,0))</f>
        <v>SES8</v>
      </c>
      <c r="D126" s="36" t="str">
        <f>INDEX('Base de données Mono'!A:A,MATCH(B126,'Base de données Mono'!D:D,0))</f>
        <v>JG</v>
      </c>
      <c r="E126" s="37" t="s">
        <v>303</v>
      </c>
      <c r="F126" s="41">
        <f t="shared" si="6"/>
        <v>13</v>
      </c>
      <c r="G126" s="41">
        <f t="shared" si="7"/>
        <v>3</v>
      </c>
      <c r="H126">
        <v>8</v>
      </c>
      <c r="I126" s="131">
        <f>INDEX('Base de données Mono'!K:K,MATCH(B126,'Base de données Mono'!D:D,0))</f>
        <v>0.20138888888888887</v>
      </c>
      <c r="J126" s="131">
        <f>INDEX('Base de données Mono'!L:L,MATCH(B126,'Base de données Mono'!D:D,0))</f>
        <v>0.89583333333333337</v>
      </c>
      <c r="K126" s="131">
        <f>INDEX('Base de données Mono'!M:M,MATCH(B126,'Base de données Mono'!D:D,0))</f>
        <v>0.27777777777777779</v>
      </c>
      <c r="L126" s="131">
        <f>INDEX('Base de données Mono'!N:N,MATCH(B126,'Base de données Mono'!D:D,0))</f>
        <v>0.55208333333333337</v>
      </c>
      <c r="M126" s="33" t="s">
        <v>811</v>
      </c>
      <c r="N126" s="33">
        <f>IF(AND(E126="Electricité",M126="Hiver"),INDEX('Base de données Mono'!E:E,MATCH(B126,'Base de données Mono'!D:D,0)),IF(AND(E126="Electricité",M126="Mi-saison"),INDEX('Base de données Mono'!F:F,MATCH(B126,'Base de données Mono'!D:D,0)),IF(AND(E126="Electricité",M126="Eté"),INDEX('Base de données Mono'!G:G,MATCH(B126,'Base de données Mono'!D:D,0)),IF(AND(E126="Gaz",M126="Hiver"),INDEX('Base de données Mono'!J:J,MATCH(B126,'Base de données Mono'!D:D,0)),IF(AND(E126="Gaz",M126="Mi-saison"),INDEX('Base de données Mono'!#REF!,MATCH(B126,'Base de données Mono'!D:D,0)),IF(AND(E126="Gaz",M126="Eté"),INDEX('Base de données Mono'!#REF!,MATCH(B126,'Base de données Mono'!D:D,0)),"-"))))))</f>
        <v>15</v>
      </c>
      <c r="O126" s="123">
        <v>45375</v>
      </c>
      <c r="P126" s="123">
        <v>45382</v>
      </c>
      <c r="Q126" s="34">
        <v>20</v>
      </c>
      <c r="R126" s="33">
        <f t="shared" si="8"/>
        <v>5</v>
      </c>
      <c r="S126" s="34">
        <v>7.3</v>
      </c>
      <c r="T126" s="34">
        <f t="shared" si="12"/>
        <v>7</v>
      </c>
      <c r="U126" s="33">
        <f t="shared" si="9"/>
        <v>255.5</v>
      </c>
      <c r="V126" s="38" t="s">
        <v>148</v>
      </c>
      <c r="W126" s="39">
        <f t="shared" si="10"/>
        <v>0.33333333333333331</v>
      </c>
      <c r="X126" s="40" t="s">
        <v>304</v>
      </c>
      <c r="Y126" s="40" t="s">
        <v>284</v>
      </c>
      <c r="Z126" s="40" t="s">
        <v>305</v>
      </c>
      <c r="AA126" s="33" t="s">
        <v>771</v>
      </c>
      <c r="AB126" s="95"/>
      <c r="AC126" s="95"/>
    </row>
    <row r="127" spans="1:29" ht="14.45" hidden="1" customHeight="1" x14ac:dyDescent="0.25">
      <c r="A127" s="36" t="str">
        <f>INDEX('Base de données Mono'!C:C,MATCH(B127,'Base de données Mono'!D:D,0))</f>
        <v>NICE CIMIEZ</v>
      </c>
      <c r="B127" t="s">
        <v>194</v>
      </c>
      <c r="C127" s="36" t="str">
        <f>INDEX('Base de données Mono'!B:B,MATCH(B127,'Base de données Mono'!D:D,0))</f>
        <v>SES8</v>
      </c>
      <c r="D127" s="36" t="str">
        <f>INDEX('Base de données Mono'!A:A,MATCH(B127,'Base de données Mono'!D:D,0))</f>
        <v>JG</v>
      </c>
      <c r="E127" s="37" t="s">
        <v>303</v>
      </c>
      <c r="F127" s="41">
        <f t="shared" si="6"/>
        <v>13</v>
      </c>
      <c r="G127" s="41">
        <f t="shared" si="7"/>
        <v>3</v>
      </c>
      <c r="H127">
        <v>8</v>
      </c>
      <c r="I127" s="131">
        <f>INDEX('Base de données Mono'!K:K,MATCH(B127,'Base de données Mono'!D:D,0))</f>
        <v>0.23611111111111113</v>
      </c>
      <c r="J127" s="131">
        <f>INDEX('Base de données Mono'!L:L,MATCH(B127,'Base de données Mono'!D:D,0))</f>
        <v>0.875</v>
      </c>
      <c r="K127" s="131">
        <f>INDEX('Base de données Mono'!M:M,MATCH(B127,'Base de données Mono'!D:D,0))</f>
        <v>0.28472222222222221</v>
      </c>
      <c r="L127" s="131">
        <f>INDEX('Base de données Mono'!N:N,MATCH(B127,'Base de données Mono'!D:D,0))</f>
        <v>0.54166666666666663</v>
      </c>
      <c r="M127" s="33" t="s">
        <v>811</v>
      </c>
      <c r="N127" s="33">
        <f>IF(AND(E127="Electricité",M127="Hiver"),INDEX('Base de données Mono'!E:E,MATCH(B127,'Base de données Mono'!D:D,0)),IF(AND(E127="Electricité",M127="Mi-saison"),INDEX('Base de données Mono'!F:F,MATCH(B127,'Base de données Mono'!D:D,0)),IF(AND(E127="Electricité",M127="Eté"),INDEX('Base de données Mono'!G:G,MATCH(B127,'Base de données Mono'!D:D,0)),IF(AND(E127="Gaz",M127="Hiver"),INDEX('Base de données Mono'!J:J,MATCH(B127,'Base de données Mono'!D:D,0)),IF(AND(E127="Gaz",M127="Mi-saison"),INDEX('Base de données Mono'!#REF!,MATCH(B127,'Base de données Mono'!D:D,0)),IF(AND(E127="Gaz",M127="Eté"),INDEX('Base de données Mono'!#REF!,MATCH(B127,'Base de données Mono'!D:D,0)),"-"))))))</f>
        <v>90</v>
      </c>
      <c r="O127" s="123">
        <v>45375</v>
      </c>
      <c r="P127" s="123">
        <v>45381</v>
      </c>
      <c r="Q127" s="164">
        <v>130</v>
      </c>
      <c r="R127" s="33">
        <f t="shared" si="8"/>
        <v>40</v>
      </c>
      <c r="S127" s="164">
        <v>0.8</v>
      </c>
      <c r="T127" s="34">
        <f t="shared" si="12"/>
        <v>6</v>
      </c>
      <c r="U127" s="33">
        <f t="shared" si="9"/>
        <v>192</v>
      </c>
      <c r="V127" s="38" t="s">
        <v>148</v>
      </c>
      <c r="W127" s="39">
        <f t="shared" si="10"/>
        <v>0.44444444444444442</v>
      </c>
      <c r="X127" s="40" t="s">
        <v>304</v>
      </c>
      <c r="Y127" s="40" t="s">
        <v>284</v>
      </c>
      <c r="Z127" s="40" t="s">
        <v>307</v>
      </c>
      <c r="AA127" s="33" t="s">
        <v>414</v>
      </c>
      <c r="AB127" s="95"/>
      <c r="AC127" s="95"/>
    </row>
    <row r="128" spans="1:29" ht="14.45" hidden="1" customHeight="1" x14ac:dyDescent="0.25">
      <c r="A128" s="36" t="str">
        <f>INDEX('Base de données Mono'!C:C,MATCH(B128,'Base de données Mono'!D:D,0))</f>
        <v>NICE CIMIEZ</v>
      </c>
      <c r="B128" t="s">
        <v>194</v>
      </c>
      <c r="C128" s="36" t="str">
        <f>INDEX('Base de données Mono'!B:B,MATCH(B128,'Base de données Mono'!D:D,0))</f>
        <v>SES8</v>
      </c>
      <c r="D128" s="36" t="str">
        <f>INDEX('Base de données Mono'!A:A,MATCH(B128,'Base de données Mono'!D:D,0))</f>
        <v>JG</v>
      </c>
      <c r="E128" s="37" t="s">
        <v>303</v>
      </c>
      <c r="F128" s="41">
        <f t="shared" si="6"/>
        <v>13</v>
      </c>
      <c r="G128" s="41">
        <f t="shared" si="7"/>
        <v>3</v>
      </c>
      <c r="H128">
        <v>8</v>
      </c>
      <c r="I128" s="131">
        <f>INDEX('Base de données Mono'!K:K,MATCH(B128,'Base de données Mono'!D:D,0))</f>
        <v>0.23611111111111113</v>
      </c>
      <c r="J128" s="131">
        <f>INDEX('Base de données Mono'!L:L,MATCH(B128,'Base de données Mono'!D:D,0))</f>
        <v>0.875</v>
      </c>
      <c r="K128" s="131">
        <f>INDEX('Base de données Mono'!M:M,MATCH(B128,'Base de données Mono'!D:D,0))</f>
        <v>0.28472222222222221</v>
      </c>
      <c r="L128" s="131">
        <f>INDEX('Base de données Mono'!N:N,MATCH(B128,'Base de données Mono'!D:D,0))</f>
        <v>0.54166666666666663</v>
      </c>
      <c r="M128" s="33" t="s">
        <v>811</v>
      </c>
      <c r="N128" s="33">
        <f>IF(AND(E128="Electricité",M128="Hiver"),INDEX('Base de données Mono'!E:E,MATCH(B128,'Base de données Mono'!D:D,0)),IF(AND(E128="Electricité",M128="Mi-saison"),INDEX('Base de données Mono'!F:F,MATCH(B128,'Base de données Mono'!D:D,0)),IF(AND(E128="Electricité",M128="Eté"),INDEX('Base de données Mono'!G:G,MATCH(B128,'Base de données Mono'!D:D,0)),IF(AND(E128="Gaz",M128="Hiver"),INDEX('Base de données Mono'!J:J,MATCH(B128,'Base de données Mono'!D:D,0)),IF(AND(E128="Gaz",M128="Mi-saison"),INDEX('Base de données Mono'!#REF!,MATCH(B128,'Base de données Mono'!D:D,0)),IF(AND(E128="Gaz",M128="Eté"),INDEX('Base de données Mono'!#REF!,MATCH(B128,'Base de données Mono'!D:D,0)),"-"))))))</f>
        <v>90</v>
      </c>
      <c r="O128" s="123">
        <v>45380</v>
      </c>
      <c r="P128" s="123">
        <v>45382</v>
      </c>
      <c r="Q128" s="164">
        <v>100</v>
      </c>
      <c r="R128" s="33">
        <f t="shared" si="8"/>
        <v>10</v>
      </c>
      <c r="S128" s="164">
        <v>7.2</v>
      </c>
      <c r="T128" s="34">
        <f t="shared" si="12"/>
        <v>2</v>
      </c>
      <c r="U128" s="33">
        <f t="shared" si="9"/>
        <v>144</v>
      </c>
      <c r="V128" s="38" t="s">
        <v>148</v>
      </c>
      <c r="W128" s="39">
        <f t="shared" si="10"/>
        <v>0.1111111111111111</v>
      </c>
      <c r="X128" s="40" t="s">
        <v>304</v>
      </c>
      <c r="Y128" s="40" t="s">
        <v>284</v>
      </c>
      <c r="Z128" s="40" t="s">
        <v>305</v>
      </c>
      <c r="AA128" s="33" t="s">
        <v>771</v>
      </c>
      <c r="AB128" s="95"/>
      <c r="AC128" s="95"/>
    </row>
    <row r="129" spans="1:29" ht="14.45" hidden="1" customHeight="1" x14ac:dyDescent="0.25">
      <c r="A129" s="36" t="str">
        <f>INDEX('Base de données Mono'!C:C,MATCH(B129,'Base de données Mono'!D:D,0))</f>
        <v>NICE CIMIEZ</v>
      </c>
      <c r="B129" t="s">
        <v>194</v>
      </c>
      <c r="C129" s="36" t="str">
        <f>INDEX('Base de données Mono'!B:B,MATCH(B129,'Base de données Mono'!D:D,0))</f>
        <v>SES8</v>
      </c>
      <c r="D129" s="36" t="str">
        <f>INDEX('Base de données Mono'!A:A,MATCH(B129,'Base de données Mono'!D:D,0))</f>
        <v>JG</v>
      </c>
      <c r="E129" s="37" t="s">
        <v>303</v>
      </c>
      <c r="F129" s="41">
        <f t="shared" si="6"/>
        <v>13</v>
      </c>
      <c r="G129" s="41">
        <f t="shared" si="7"/>
        <v>3</v>
      </c>
      <c r="H129">
        <v>8</v>
      </c>
      <c r="I129" s="131">
        <f>INDEX('Base de données Mono'!K:K,MATCH(B129,'Base de données Mono'!D:D,0))</f>
        <v>0.23611111111111113</v>
      </c>
      <c r="J129" s="131">
        <f>INDEX('Base de données Mono'!L:L,MATCH(B129,'Base de données Mono'!D:D,0))</f>
        <v>0.875</v>
      </c>
      <c r="K129" s="131">
        <f>INDEX('Base de données Mono'!M:M,MATCH(B129,'Base de données Mono'!D:D,0))</f>
        <v>0.28472222222222221</v>
      </c>
      <c r="L129" s="131">
        <f>INDEX('Base de données Mono'!N:N,MATCH(B129,'Base de données Mono'!D:D,0))</f>
        <v>0.54166666666666663</v>
      </c>
      <c r="M129" s="33" t="s">
        <v>811</v>
      </c>
      <c r="N129" s="33">
        <f>IF(AND(E129="Electricité",M129="Hiver"),INDEX('Base de données Mono'!E:E,MATCH(B129,'Base de données Mono'!D:D,0)),IF(AND(E129="Electricité",M129="Mi-saison"),INDEX('Base de données Mono'!F:F,MATCH(B129,'Base de données Mono'!D:D,0)),IF(AND(E129="Electricité",M129="Eté"),INDEX('Base de données Mono'!G:G,MATCH(B129,'Base de données Mono'!D:D,0)),IF(AND(E129="Gaz",M129="Hiver"),INDEX('Base de données Mono'!J:J,MATCH(B129,'Base de données Mono'!D:D,0)),IF(AND(E129="Gaz",M129="Mi-saison"),INDEX('Base de données Mono'!#REF!,MATCH(B129,'Base de données Mono'!D:D,0)),IF(AND(E129="Gaz",M129="Eté"),INDEX('Base de données Mono'!#REF!,MATCH(B129,'Base de données Mono'!D:D,0)),"-"))))))</f>
        <v>90</v>
      </c>
      <c r="O129" s="123">
        <v>45381</v>
      </c>
      <c r="P129" s="123">
        <v>45382</v>
      </c>
      <c r="Q129" s="34">
        <v>125</v>
      </c>
      <c r="R129" s="33">
        <f t="shared" si="8"/>
        <v>35</v>
      </c>
      <c r="S129" s="34">
        <v>2</v>
      </c>
      <c r="T129" s="34">
        <f t="shared" si="12"/>
        <v>1</v>
      </c>
      <c r="U129" s="33">
        <f t="shared" si="9"/>
        <v>70</v>
      </c>
      <c r="V129" s="38" t="s">
        <v>148</v>
      </c>
      <c r="W129" s="39">
        <f t="shared" si="10"/>
        <v>0.3888888888888889</v>
      </c>
      <c r="X129" s="40" t="s">
        <v>304</v>
      </c>
      <c r="Y129" s="40" t="s">
        <v>284</v>
      </c>
      <c r="Z129" s="40" t="s">
        <v>307</v>
      </c>
      <c r="AA129" s="33" t="s">
        <v>414</v>
      </c>
      <c r="AB129" s="95"/>
      <c r="AC129" s="95"/>
    </row>
    <row r="130" spans="1:29" ht="14.45" hidden="1" customHeight="1" x14ac:dyDescent="0.25">
      <c r="A130" s="36" t="str">
        <f>INDEX('Base de données Mono'!C:C,MATCH(B130,'Base de données Mono'!D:D,0))</f>
        <v>CHALON SUR SAONE</v>
      </c>
      <c r="B130" t="s">
        <v>98</v>
      </c>
      <c r="C130" s="36" t="str">
        <f>INDEX('Base de données Mono'!B:B,MATCH(B130,'Base de données Mono'!D:D,0))</f>
        <v>SES8</v>
      </c>
      <c r="D130" s="36" t="str">
        <f>INDEX('Base de données Mono'!A:A,MATCH(B130,'Base de données Mono'!D:D,0))</f>
        <v>JG</v>
      </c>
      <c r="E130" s="37" t="s">
        <v>303</v>
      </c>
      <c r="F130" s="41">
        <f t="shared" ref="F130:F193" si="13">IF(O130="","-",IF(AND(X130="Nuit",WEEKDAY(O130,2)=7,O130&lt;&gt;P130),WEEKNUM(O130,2),WEEKNUM(O130,2)-1))+1</f>
        <v>13</v>
      </c>
      <c r="G130" s="41">
        <f t="shared" ref="G130:G193" si="14">IF(O130="","-",MONTH(O130))</f>
        <v>3</v>
      </c>
      <c r="H130">
        <v>8</v>
      </c>
      <c r="I130" s="131">
        <f>INDEX('Base de données Mono'!K:K,MATCH(B130,'Base de données Mono'!D:D,0))</f>
        <v>0.25</v>
      </c>
      <c r="J130" s="131">
        <f>INDEX('Base de données Mono'!L:L,MATCH(B130,'Base de données Mono'!D:D,0))</f>
        <v>0.83333333333333304</v>
      </c>
      <c r="K130" s="131" t="str">
        <f>INDEX('Base de données Mono'!M:M,MATCH(B130,'Base de données Mono'!D:D,0))</f>
        <v>-</v>
      </c>
      <c r="L130" s="131" t="str">
        <f>INDEX('Base de données Mono'!N:N,MATCH(B130,'Base de données Mono'!D:D,0))</f>
        <v>-</v>
      </c>
      <c r="M130" s="33" t="s">
        <v>811</v>
      </c>
      <c r="N130" s="33">
        <f>IF(AND(E130="Electricité",M130="Hiver"),INDEX('Base de données Mono'!E:E,MATCH(B130,'Base de données Mono'!D:D,0)),IF(AND(E130="Electricité",M130="Mi-saison"),INDEX('Base de données Mono'!F:F,MATCH(B130,'Base de données Mono'!D:D,0)),IF(AND(E130="Electricité",M130="Eté"),INDEX('Base de données Mono'!G:G,MATCH(B130,'Base de données Mono'!D:D,0)),IF(AND(E130="Gaz",M130="Hiver"),INDEX('Base de données Mono'!J:J,MATCH(B130,'Base de données Mono'!D:D,0)),IF(AND(E130="Gaz",M130="Mi-saison"),INDEX('Base de données Mono'!#REF!,MATCH(B130,'Base de données Mono'!D:D,0)),IF(AND(E130="Gaz",M130="Eté"),INDEX('Base de données Mono'!#REF!,MATCH(B130,'Base de données Mono'!D:D,0)),"-"))))))</f>
        <v>45</v>
      </c>
      <c r="O130" s="123">
        <v>45375</v>
      </c>
      <c r="P130" s="123">
        <v>45381</v>
      </c>
      <c r="Q130" s="34">
        <v>55</v>
      </c>
      <c r="R130" s="33">
        <f t="shared" ref="R130:R193" si="15">IF(Q130="","",Q130-N130)</f>
        <v>10</v>
      </c>
      <c r="S130" s="34">
        <v>2</v>
      </c>
      <c r="T130" s="34">
        <f t="shared" si="12"/>
        <v>6</v>
      </c>
      <c r="U130" s="33">
        <f t="shared" ref="U130:U193" si="16">R130*S130*T130</f>
        <v>120</v>
      </c>
      <c r="V130" s="38" t="s">
        <v>148</v>
      </c>
      <c r="W130" s="39">
        <f t="shared" ref="W130:W193" si="17">IFERROR(IF(E130="Gaz","-",R130/N130),"-")</f>
        <v>0.22222222222222221</v>
      </c>
      <c r="X130" s="40" t="s">
        <v>304</v>
      </c>
      <c r="Y130" s="40" t="s">
        <v>284</v>
      </c>
      <c r="Z130" s="40" t="s">
        <v>305</v>
      </c>
      <c r="AA130" s="33" t="s">
        <v>771</v>
      </c>
      <c r="AB130" s="95"/>
      <c r="AC130" s="95"/>
    </row>
    <row r="131" spans="1:29" ht="14.45" hidden="1" customHeight="1" x14ac:dyDescent="0.25">
      <c r="A131" s="36" t="str">
        <f>INDEX('Base de données Mono'!C:C,MATCH(B131,'Base de données Mono'!D:D,0))</f>
        <v>DIJON</v>
      </c>
      <c r="B131" t="s">
        <v>119</v>
      </c>
      <c r="C131" s="36" t="str">
        <f>INDEX('Base de données Mono'!B:B,MATCH(B131,'Base de données Mono'!D:D,0))</f>
        <v>SES8</v>
      </c>
      <c r="D131" s="36" t="str">
        <f>INDEX('Base de données Mono'!A:A,MATCH(B131,'Base de données Mono'!D:D,0))</f>
        <v>JG</v>
      </c>
      <c r="E131" s="37" t="s">
        <v>303</v>
      </c>
      <c r="F131" s="41">
        <f t="shared" si="13"/>
        <v>13</v>
      </c>
      <c r="G131" s="41">
        <f t="shared" si="14"/>
        <v>3</v>
      </c>
      <c r="H131">
        <v>8</v>
      </c>
      <c r="I131" s="131">
        <f>INDEX('Base de données Mono'!K:K,MATCH(B131,'Base de données Mono'!D:D,0))</f>
        <v>0.24305555555555555</v>
      </c>
      <c r="J131" s="131">
        <f>INDEX('Base de données Mono'!L:L,MATCH(B131,'Base de données Mono'!D:D,0))</f>
        <v>0.875</v>
      </c>
      <c r="K131" s="131">
        <f>INDEX('Base de données Mono'!M:M,MATCH(B131,'Base de données Mono'!D:D,0))</f>
        <v>0.3125</v>
      </c>
      <c r="L131" s="131">
        <f>INDEX('Base de données Mono'!N:N,MATCH(B131,'Base de données Mono'!D:D,0))</f>
        <v>0.54166666666666663</v>
      </c>
      <c r="M131" s="33" t="s">
        <v>811</v>
      </c>
      <c r="N131" s="33">
        <f>IF(AND(E131="Electricité",M131="Hiver"),INDEX('Base de données Mono'!E:E,MATCH(B131,'Base de données Mono'!D:D,0)),IF(AND(E131="Electricité",M131="Mi-saison"),INDEX('Base de données Mono'!F:F,MATCH(B131,'Base de données Mono'!D:D,0)),IF(AND(E131="Electricité",M131="Eté"),INDEX('Base de données Mono'!G:G,MATCH(B131,'Base de données Mono'!D:D,0)),IF(AND(E131="Gaz",M131="Hiver"),INDEX('Base de données Mono'!J:J,MATCH(B131,'Base de données Mono'!D:D,0)),IF(AND(E131="Gaz",M131="Mi-saison"),INDEX('Base de données Mono'!#REF!,MATCH(B131,'Base de données Mono'!D:D,0)),IF(AND(E131="Gaz",M131="Eté"),INDEX('Base de données Mono'!#REF!,MATCH(B131,'Base de données Mono'!D:D,0)),"-"))))))</f>
        <v>65</v>
      </c>
      <c r="O131" s="123">
        <v>45377</v>
      </c>
      <c r="P131" s="123">
        <v>45382</v>
      </c>
      <c r="Q131" s="34">
        <v>70</v>
      </c>
      <c r="R131" s="33">
        <f t="shared" si="15"/>
        <v>5</v>
      </c>
      <c r="S131" s="34">
        <v>8.8000000000000007</v>
      </c>
      <c r="T131" s="34">
        <f t="shared" si="12"/>
        <v>5</v>
      </c>
      <c r="U131" s="33">
        <f t="shared" si="16"/>
        <v>220</v>
      </c>
      <c r="V131" s="38" t="s">
        <v>148</v>
      </c>
      <c r="W131" s="39">
        <f t="shared" si="17"/>
        <v>7.6923076923076927E-2</v>
      </c>
      <c r="X131" s="40" t="s">
        <v>304</v>
      </c>
      <c r="Y131" s="40" t="s">
        <v>284</v>
      </c>
      <c r="Z131" s="40" t="s">
        <v>305</v>
      </c>
      <c r="AA131" s="33" t="s">
        <v>771</v>
      </c>
      <c r="AB131" s="95"/>
      <c r="AC131" s="95"/>
    </row>
    <row r="132" spans="1:29" ht="14.45" hidden="1" customHeight="1" x14ac:dyDescent="0.25">
      <c r="A132" s="36" t="str">
        <f>INDEX('Base de données Mono'!C:C,MATCH(B132,'Base de données Mono'!D:D,0))</f>
        <v>LYON VALMY</v>
      </c>
      <c r="B132" t="s">
        <v>22</v>
      </c>
      <c r="C132" s="36" t="str">
        <f>INDEX('Base de données Mono'!B:B,MATCH(B132,'Base de données Mono'!D:D,0))</f>
        <v>SES8</v>
      </c>
      <c r="D132" s="36" t="str">
        <f>INDEX('Base de données Mono'!A:A,MATCH(B132,'Base de données Mono'!D:D,0))</f>
        <v>JG</v>
      </c>
      <c r="E132" s="37" t="s">
        <v>303</v>
      </c>
      <c r="F132" s="41">
        <f t="shared" si="13"/>
        <v>13</v>
      </c>
      <c r="G132" s="41">
        <f t="shared" si="14"/>
        <v>3</v>
      </c>
      <c r="H132">
        <v>8</v>
      </c>
      <c r="I132" s="131">
        <f>INDEX('Base de données Mono'!K:K,MATCH(B132,'Base de données Mono'!D:D,0))</f>
        <v>0.20833333333333334</v>
      </c>
      <c r="J132" s="131">
        <f>INDEX('Base de données Mono'!L:L,MATCH(B132,'Base de données Mono'!D:D,0))</f>
        <v>0.88541666666666663</v>
      </c>
      <c r="K132" s="131">
        <f>INDEX('Base de données Mono'!M:M,MATCH(B132,'Base de données Mono'!D:D,0))</f>
        <v>0.31944444444444448</v>
      </c>
      <c r="L132" s="131">
        <f>INDEX('Base de données Mono'!N:N,MATCH(B132,'Base de données Mono'!D:D,0))</f>
        <v>0.55208333333333337</v>
      </c>
      <c r="M132" s="33" t="s">
        <v>811</v>
      </c>
      <c r="N132" s="33">
        <f>IF(AND(E132="Electricité",M132="Hiver"),INDEX('Base de données Mono'!E:E,MATCH(B132,'Base de données Mono'!D:D,0)),IF(AND(E132="Electricité",M132="Mi-saison"),INDEX('Base de données Mono'!F:F,MATCH(B132,'Base de données Mono'!D:D,0)),IF(AND(E132="Electricité",M132="Eté"),INDEX('Base de données Mono'!G:G,MATCH(B132,'Base de données Mono'!D:D,0)),IF(AND(E132="Gaz",M132="Hiver"),INDEX('Base de données Mono'!J:J,MATCH(B132,'Base de données Mono'!D:D,0)),IF(AND(E132="Gaz",M132="Mi-saison"),INDEX('Base de données Mono'!#REF!,MATCH(B132,'Base de données Mono'!D:D,0)),IF(AND(E132="Gaz",M132="Eté"),INDEX('Base de données Mono'!#REF!,MATCH(B132,'Base de données Mono'!D:D,0)),"-"))))))</f>
        <v>50</v>
      </c>
      <c r="O132" s="123">
        <v>45375</v>
      </c>
      <c r="P132" s="123">
        <v>45381</v>
      </c>
      <c r="Q132" s="34">
        <v>55</v>
      </c>
      <c r="R132" s="33">
        <f t="shared" si="15"/>
        <v>5</v>
      </c>
      <c r="S132" s="34">
        <v>6.7</v>
      </c>
      <c r="T132" s="34">
        <f t="shared" si="12"/>
        <v>6</v>
      </c>
      <c r="U132" s="33">
        <f t="shared" si="16"/>
        <v>201</v>
      </c>
      <c r="V132" s="38" t="s">
        <v>148</v>
      </c>
      <c r="W132" s="39">
        <f t="shared" si="17"/>
        <v>0.1</v>
      </c>
      <c r="X132" s="40" t="s">
        <v>304</v>
      </c>
      <c r="Y132" s="40" t="s">
        <v>284</v>
      </c>
      <c r="Z132" s="40" t="s">
        <v>305</v>
      </c>
      <c r="AA132" s="33" t="s">
        <v>771</v>
      </c>
      <c r="AB132" s="95"/>
      <c r="AC132" s="95"/>
    </row>
    <row r="133" spans="1:29" ht="14.45" hidden="1" customHeight="1" x14ac:dyDescent="0.25">
      <c r="A133" s="36" t="str">
        <f>INDEX('Base de données Mono'!C:C,MATCH(B133,'Base de données Mono'!D:D,0))</f>
        <v>LYON VALMY</v>
      </c>
      <c r="B133" t="s">
        <v>22</v>
      </c>
      <c r="C133" s="36" t="str">
        <f>INDEX('Base de données Mono'!B:B,MATCH(B133,'Base de données Mono'!D:D,0))</f>
        <v>SES8</v>
      </c>
      <c r="D133" s="36" t="str">
        <f>INDEX('Base de données Mono'!A:A,MATCH(B133,'Base de données Mono'!D:D,0))</f>
        <v>JG</v>
      </c>
      <c r="E133" s="37" t="s">
        <v>303</v>
      </c>
      <c r="F133" s="41">
        <f t="shared" si="13"/>
        <v>13</v>
      </c>
      <c r="G133" s="41">
        <f t="shared" si="14"/>
        <v>3</v>
      </c>
      <c r="H133">
        <v>8</v>
      </c>
      <c r="I133" s="131">
        <f>INDEX('Base de données Mono'!K:K,MATCH(B133,'Base de données Mono'!D:D,0))</f>
        <v>0.20833333333333334</v>
      </c>
      <c r="J133" s="131">
        <f>INDEX('Base de données Mono'!L:L,MATCH(B133,'Base de données Mono'!D:D,0))</f>
        <v>0.88541666666666663</v>
      </c>
      <c r="K133" s="131">
        <f>INDEX('Base de données Mono'!M:M,MATCH(B133,'Base de données Mono'!D:D,0))</f>
        <v>0.31944444444444448</v>
      </c>
      <c r="L133" s="131">
        <f>INDEX('Base de données Mono'!N:N,MATCH(B133,'Base de données Mono'!D:D,0))</f>
        <v>0.55208333333333337</v>
      </c>
      <c r="M133" s="33" t="s">
        <v>811</v>
      </c>
      <c r="N133" s="33">
        <f>IF(AND(E133="Electricité",M133="Hiver"),INDEX('Base de données Mono'!E:E,MATCH(B133,'Base de données Mono'!D:D,0)),IF(AND(E133="Electricité",M133="Mi-saison"),INDEX('Base de données Mono'!F:F,MATCH(B133,'Base de données Mono'!D:D,0)),IF(AND(E133="Electricité",M133="Eté"),INDEX('Base de données Mono'!G:G,MATCH(B133,'Base de données Mono'!D:D,0)),IF(AND(E133="Gaz",M133="Hiver"),INDEX('Base de données Mono'!J:J,MATCH(B133,'Base de données Mono'!D:D,0)),IF(AND(E133="Gaz",M133="Mi-saison"),INDEX('Base de données Mono'!#REF!,MATCH(B133,'Base de données Mono'!D:D,0)),IF(AND(E133="Gaz",M133="Eté"),INDEX('Base de données Mono'!#REF!,MATCH(B133,'Base de données Mono'!D:D,0)),"-"))))))</f>
        <v>50</v>
      </c>
      <c r="O133" s="123">
        <v>45375</v>
      </c>
      <c r="P133" s="123">
        <v>45382</v>
      </c>
      <c r="Q133" s="34">
        <v>70</v>
      </c>
      <c r="R133" s="33">
        <f t="shared" si="15"/>
        <v>20</v>
      </c>
      <c r="S133" s="34">
        <v>1</v>
      </c>
      <c r="T133" s="34">
        <f t="shared" si="12"/>
        <v>7</v>
      </c>
      <c r="U133" s="33">
        <f t="shared" si="16"/>
        <v>140</v>
      </c>
      <c r="V133" s="38" t="s">
        <v>148</v>
      </c>
      <c r="W133" s="39">
        <f t="shared" si="17"/>
        <v>0.4</v>
      </c>
      <c r="X133" s="40" t="s">
        <v>304</v>
      </c>
      <c r="Y133" s="40" t="s">
        <v>284</v>
      </c>
      <c r="Z133" s="40" t="s">
        <v>305</v>
      </c>
      <c r="AA133" s="33" t="s">
        <v>771</v>
      </c>
      <c r="AB133" s="95"/>
      <c r="AC133" s="95"/>
    </row>
    <row r="134" spans="1:29" ht="14.45" hidden="1" customHeight="1" x14ac:dyDescent="0.25">
      <c r="A134" s="36" t="str">
        <f>INDEX('Base de données Mono'!C:C,MATCH(B134,'Base de données Mono'!D:D,0))</f>
        <v>LYON VALMY</v>
      </c>
      <c r="B134" t="s">
        <v>22</v>
      </c>
      <c r="C134" s="36" t="str">
        <f>INDEX('Base de données Mono'!B:B,MATCH(B134,'Base de données Mono'!D:D,0))</f>
        <v>SES8</v>
      </c>
      <c r="D134" s="36" t="str">
        <f>INDEX('Base de données Mono'!A:A,MATCH(B134,'Base de données Mono'!D:D,0))</f>
        <v>JG</v>
      </c>
      <c r="E134" s="37" t="s">
        <v>303</v>
      </c>
      <c r="F134" s="41">
        <f t="shared" si="13"/>
        <v>13</v>
      </c>
      <c r="G134" s="41">
        <f t="shared" si="14"/>
        <v>3</v>
      </c>
      <c r="H134">
        <v>6.5</v>
      </c>
      <c r="I134" s="131">
        <f>INDEX('Base de données Mono'!K:K,MATCH(B134,'Base de données Mono'!D:D,0))</f>
        <v>0.20833333333333334</v>
      </c>
      <c r="J134" s="131">
        <f>INDEX('Base de données Mono'!L:L,MATCH(B134,'Base de données Mono'!D:D,0))</f>
        <v>0.88541666666666663</v>
      </c>
      <c r="K134" s="131">
        <f>INDEX('Base de données Mono'!M:M,MATCH(B134,'Base de données Mono'!D:D,0))</f>
        <v>0.31944444444444448</v>
      </c>
      <c r="L134" s="131">
        <f>INDEX('Base de données Mono'!N:N,MATCH(B134,'Base de données Mono'!D:D,0))</f>
        <v>0.55208333333333337</v>
      </c>
      <c r="M134" s="33" t="s">
        <v>811</v>
      </c>
      <c r="N134" s="33">
        <f>IF(AND(E134="Electricité",M134="Hiver"),INDEX('Base de données Mono'!E:E,MATCH(B134,'Base de données Mono'!D:D,0)),IF(AND(E134="Electricité",M134="Mi-saison"),INDEX('Base de données Mono'!F:F,MATCH(B134,'Base de données Mono'!D:D,0)),IF(AND(E134="Electricité",M134="Eté"),INDEX('Base de données Mono'!G:G,MATCH(B134,'Base de données Mono'!D:D,0)),IF(AND(E134="Gaz",M134="Hiver"),INDEX('Base de données Mono'!J:J,MATCH(B134,'Base de données Mono'!D:D,0)),IF(AND(E134="Gaz",M134="Mi-saison"),INDEX('Base de données Mono'!#REF!,MATCH(B134,'Base de données Mono'!D:D,0)),IF(AND(E134="Gaz",M134="Eté"),INDEX('Base de données Mono'!#REF!,MATCH(B134,'Base de données Mono'!D:D,0)),"-"))))))</f>
        <v>50</v>
      </c>
      <c r="O134" s="123">
        <v>45381</v>
      </c>
      <c r="P134" s="123">
        <v>45382</v>
      </c>
      <c r="Q134" s="34">
        <v>60</v>
      </c>
      <c r="R134" s="33">
        <f t="shared" si="15"/>
        <v>10</v>
      </c>
      <c r="S134" s="34">
        <v>9</v>
      </c>
      <c r="T134" s="34">
        <f t="shared" si="12"/>
        <v>1</v>
      </c>
      <c r="U134" s="33">
        <f t="shared" si="16"/>
        <v>90</v>
      </c>
      <c r="V134" s="38" t="s">
        <v>148</v>
      </c>
      <c r="W134" s="39">
        <f t="shared" si="17"/>
        <v>0.2</v>
      </c>
      <c r="X134" s="40" t="s">
        <v>304</v>
      </c>
      <c r="Y134" s="40" t="s">
        <v>284</v>
      </c>
      <c r="Z134" s="40" t="s">
        <v>305</v>
      </c>
      <c r="AA134" s="33" t="s">
        <v>771</v>
      </c>
      <c r="AB134" s="95"/>
      <c r="AC134" s="95"/>
    </row>
    <row r="135" spans="1:29" ht="14.45" hidden="1" customHeight="1" x14ac:dyDescent="0.25">
      <c r="A135" s="36" t="str">
        <f>INDEX('Base de données Mono'!C:C,MATCH(B135,'Base de données Mono'!D:D,0))</f>
        <v>LYON GBL</v>
      </c>
      <c r="B135" t="s">
        <v>167</v>
      </c>
      <c r="C135" s="36" t="str">
        <f>INDEX('Base de données Mono'!B:B,MATCH(B135,'Base de données Mono'!D:D,0))</f>
        <v>SES8</v>
      </c>
      <c r="D135" s="36" t="str">
        <f>INDEX('Base de données Mono'!A:A,MATCH(B135,'Base de données Mono'!D:D,0))</f>
        <v>JG</v>
      </c>
      <c r="E135" s="37" t="s">
        <v>303</v>
      </c>
      <c r="F135" s="41">
        <f t="shared" si="13"/>
        <v>13</v>
      </c>
      <c r="G135" s="41">
        <f t="shared" si="14"/>
        <v>3</v>
      </c>
      <c r="H135">
        <v>6.5</v>
      </c>
      <c r="I135" s="131">
        <f>INDEX('Base de données Mono'!K:K,MATCH(B135,'Base de données Mono'!D:D,0))</f>
        <v>0.19791666666666666</v>
      </c>
      <c r="J135" s="131">
        <f>INDEX('Base de données Mono'!L:L,MATCH(B135,'Base de données Mono'!D:D,0))</f>
        <v>0.89583333333333337</v>
      </c>
      <c r="K135" s="131">
        <f>INDEX('Base de données Mono'!M:M,MATCH(B135,'Base de données Mono'!D:D,0))</f>
        <v>0.27083333333333331</v>
      </c>
      <c r="L135" s="131">
        <f>INDEX('Base de données Mono'!N:N,MATCH(B135,'Base de données Mono'!D:D,0))</f>
        <v>0.54166666666666663</v>
      </c>
      <c r="M135" s="33" t="s">
        <v>811</v>
      </c>
      <c r="N135" s="33">
        <f>IF(AND(E135="Electricité",M135="Hiver"),INDEX('Base de données Mono'!E:E,MATCH(B135,'Base de données Mono'!D:D,0)),IF(AND(E135="Electricité",M135="Mi-saison"),INDEX('Base de données Mono'!F:F,MATCH(B135,'Base de données Mono'!D:D,0)),IF(AND(E135="Electricité",M135="Eté"),INDEX('Base de données Mono'!G:G,MATCH(B135,'Base de données Mono'!D:D,0)),IF(AND(E135="Gaz",M135="Hiver"),INDEX('Base de données Mono'!J:J,MATCH(B135,'Base de données Mono'!D:D,0)),IF(AND(E135="Gaz",M135="Mi-saison"),INDEX('Base de données Mono'!#REF!,MATCH(B135,'Base de données Mono'!D:D,0)),IF(AND(E135="Gaz",M135="Eté"),INDEX('Base de données Mono'!#REF!,MATCH(B135,'Base de données Mono'!D:D,0)),"-"))))))</f>
        <v>120</v>
      </c>
      <c r="O135" s="123">
        <v>45375</v>
      </c>
      <c r="P135" s="123">
        <v>45376</v>
      </c>
      <c r="Q135" s="34">
        <v>155</v>
      </c>
      <c r="R135" s="33">
        <f t="shared" si="15"/>
        <v>35</v>
      </c>
      <c r="S135" s="34">
        <v>7.2</v>
      </c>
      <c r="T135" s="34">
        <f t="shared" si="12"/>
        <v>1</v>
      </c>
      <c r="U135" s="33">
        <f t="shared" si="16"/>
        <v>252</v>
      </c>
      <c r="V135" s="38" t="s">
        <v>148</v>
      </c>
      <c r="W135" s="39">
        <f t="shared" si="17"/>
        <v>0.29166666666666669</v>
      </c>
      <c r="X135" s="40" t="s">
        <v>304</v>
      </c>
      <c r="Y135" s="40" t="s">
        <v>284</v>
      </c>
      <c r="Z135" s="40" t="s">
        <v>305</v>
      </c>
      <c r="AA135" s="33" t="s">
        <v>771</v>
      </c>
      <c r="AB135" s="95"/>
      <c r="AC135" s="95"/>
    </row>
    <row r="136" spans="1:29" ht="14.45" hidden="1" customHeight="1" x14ac:dyDescent="0.25">
      <c r="A136" s="36" t="str">
        <f>INDEX('Base de données Mono'!C:C,MATCH(B136,'Base de données Mono'!D:D,0))</f>
        <v>LYON GBL</v>
      </c>
      <c r="B136" t="s">
        <v>167</v>
      </c>
      <c r="C136" s="36" t="str">
        <f>INDEX('Base de données Mono'!B:B,MATCH(B136,'Base de données Mono'!D:D,0))</f>
        <v>SES8</v>
      </c>
      <c r="D136" s="36" t="str">
        <f>INDEX('Base de données Mono'!A:A,MATCH(B136,'Base de données Mono'!D:D,0))</f>
        <v>JG</v>
      </c>
      <c r="E136" s="37" t="s">
        <v>303</v>
      </c>
      <c r="F136" s="41">
        <f t="shared" si="13"/>
        <v>13</v>
      </c>
      <c r="G136" s="41">
        <f t="shared" si="14"/>
        <v>3</v>
      </c>
      <c r="H136">
        <v>6.5</v>
      </c>
      <c r="I136" s="131">
        <f>INDEX('Base de données Mono'!K:K,MATCH(B136,'Base de données Mono'!D:D,0))</f>
        <v>0.19791666666666666</v>
      </c>
      <c r="J136" s="131">
        <f>INDEX('Base de données Mono'!L:L,MATCH(B136,'Base de données Mono'!D:D,0))</f>
        <v>0.89583333333333337</v>
      </c>
      <c r="K136" s="131">
        <f>INDEX('Base de données Mono'!M:M,MATCH(B136,'Base de données Mono'!D:D,0))</f>
        <v>0.27083333333333331</v>
      </c>
      <c r="L136" s="131">
        <f>INDEX('Base de données Mono'!N:N,MATCH(B136,'Base de données Mono'!D:D,0))</f>
        <v>0.54166666666666663</v>
      </c>
      <c r="M136" s="33" t="s">
        <v>811</v>
      </c>
      <c r="N136" s="33">
        <f>IF(AND(E136="Electricité",M136="Hiver"),INDEX('Base de données Mono'!E:E,MATCH(B136,'Base de données Mono'!D:D,0)),IF(AND(E136="Electricité",M136="Mi-saison"),INDEX('Base de données Mono'!F:F,MATCH(B136,'Base de données Mono'!D:D,0)),IF(AND(E136="Electricité",M136="Eté"),INDEX('Base de données Mono'!G:G,MATCH(B136,'Base de données Mono'!D:D,0)),IF(AND(E136="Gaz",M136="Hiver"),INDEX('Base de données Mono'!J:J,MATCH(B136,'Base de données Mono'!D:D,0)),IF(AND(E136="Gaz",M136="Mi-saison"),INDEX('Base de données Mono'!#REF!,MATCH(B136,'Base de données Mono'!D:D,0)),IF(AND(E136="Gaz",M136="Eté"),INDEX('Base de données Mono'!#REF!,MATCH(B136,'Base de données Mono'!D:D,0)),"-"))))))</f>
        <v>120</v>
      </c>
      <c r="O136" s="123">
        <v>45376</v>
      </c>
      <c r="P136" s="123">
        <v>45379</v>
      </c>
      <c r="Q136" s="34">
        <v>195</v>
      </c>
      <c r="R136" s="33">
        <f t="shared" si="15"/>
        <v>75</v>
      </c>
      <c r="S136" s="34">
        <v>7.2</v>
      </c>
      <c r="T136" s="34">
        <f t="shared" si="12"/>
        <v>3</v>
      </c>
      <c r="U136" s="33">
        <f t="shared" si="16"/>
        <v>1620</v>
      </c>
      <c r="V136" s="38" t="s">
        <v>148</v>
      </c>
      <c r="W136" s="39">
        <f t="shared" si="17"/>
        <v>0.625</v>
      </c>
      <c r="X136" s="40" t="s">
        <v>304</v>
      </c>
      <c r="Y136" s="40" t="s">
        <v>284</v>
      </c>
      <c r="Z136" s="40" t="s">
        <v>311</v>
      </c>
      <c r="AA136" s="33" t="s">
        <v>775</v>
      </c>
      <c r="AB136" s="95"/>
      <c r="AC136" s="95"/>
    </row>
    <row r="137" spans="1:29" ht="14.45" hidden="1" customHeight="1" x14ac:dyDescent="0.25">
      <c r="A137" s="36" t="str">
        <f>INDEX('Base de données Mono'!C:C,MATCH(B137,'Base de données Mono'!D:D,0))</f>
        <v>LYON GBL</v>
      </c>
      <c r="B137" t="s">
        <v>167</v>
      </c>
      <c r="C137" s="36" t="str">
        <f>INDEX('Base de données Mono'!B:B,MATCH(B137,'Base de données Mono'!D:D,0))</f>
        <v>SES8</v>
      </c>
      <c r="D137" s="36" t="str">
        <f>INDEX('Base de données Mono'!A:A,MATCH(B137,'Base de données Mono'!D:D,0))</f>
        <v>JG</v>
      </c>
      <c r="E137" s="37" t="s">
        <v>303</v>
      </c>
      <c r="F137" s="41">
        <f t="shared" si="13"/>
        <v>13</v>
      </c>
      <c r="G137" s="41">
        <f t="shared" si="14"/>
        <v>3</v>
      </c>
      <c r="H137">
        <v>6.5</v>
      </c>
      <c r="I137" s="131">
        <f>INDEX('Base de données Mono'!K:K,MATCH(B137,'Base de données Mono'!D:D,0))</f>
        <v>0.19791666666666666</v>
      </c>
      <c r="J137" s="131">
        <f>INDEX('Base de données Mono'!L:L,MATCH(B137,'Base de données Mono'!D:D,0))</f>
        <v>0.89583333333333337</v>
      </c>
      <c r="K137" s="131">
        <f>INDEX('Base de données Mono'!M:M,MATCH(B137,'Base de données Mono'!D:D,0))</f>
        <v>0.27083333333333331</v>
      </c>
      <c r="L137" s="131">
        <f>INDEX('Base de données Mono'!N:N,MATCH(B137,'Base de données Mono'!D:D,0))</f>
        <v>0.54166666666666663</v>
      </c>
      <c r="M137" s="33" t="s">
        <v>811</v>
      </c>
      <c r="N137" s="33">
        <f>IF(AND(E137="Electricité",M137="Hiver"),INDEX('Base de données Mono'!E:E,MATCH(B137,'Base de données Mono'!D:D,0)),IF(AND(E137="Electricité",M137="Mi-saison"),INDEX('Base de données Mono'!F:F,MATCH(B137,'Base de données Mono'!D:D,0)),IF(AND(E137="Electricité",M137="Eté"),INDEX('Base de données Mono'!G:G,MATCH(B137,'Base de données Mono'!D:D,0)),IF(AND(E137="Gaz",M137="Hiver"),INDEX('Base de données Mono'!J:J,MATCH(B137,'Base de données Mono'!D:D,0)),IF(AND(E137="Gaz",M137="Mi-saison"),INDEX('Base de données Mono'!#REF!,MATCH(B137,'Base de données Mono'!D:D,0)),IF(AND(E137="Gaz",M137="Eté"),INDEX('Base de données Mono'!#REF!,MATCH(B137,'Base de données Mono'!D:D,0)),"-"))))))</f>
        <v>120</v>
      </c>
      <c r="O137" s="123">
        <v>45379</v>
      </c>
      <c r="P137" s="123">
        <v>45381</v>
      </c>
      <c r="Q137" s="34">
        <v>175</v>
      </c>
      <c r="R137" s="33">
        <f t="shared" si="15"/>
        <v>55</v>
      </c>
      <c r="S137" s="34">
        <v>7.2</v>
      </c>
      <c r="T137" s="34">
        <f t="shared" si="12"/>
        <v>2</v>
      </c>
      <c r="U137" s="33">
        <f t="shared" si="16"/>
        <v>792</v>
      </c>
      <c r="V137" s="38" t="s">
        <v>148</v>
      </c>
      <c r="W137" s="39">
        <f t="shared" si="17"/>
        <v>0.45833333333333331</v>
      </c>
      <c r="X137" s="40" t="s">
        <v>304</v>
      </c>
      <c r="Y137" s="40" t="s">
        <v>283</v>
      </c>
      <c r="Z137" s="40" t="s">
        <v>749</v>
      </c>
      <c r="AA137" s="33" t="s">
        <v>749</v>
      </c>
      <c r="AB137" s="95"/>
      <c r="AC137" s="95"/>
    </row>
    <row r="138" spans="1:29" ht="14.45" hidden="1" customHeight="1" x14ac:dyDescent="0.25">
      <c r="A138" s="36" t="str">
        <f>INDEX('Base de données Mono'!C:C,MATCH(B138,'Base de données Mono'!D:D,0))</f>
        <v>LYON GBL</v>
      </c>
      <c r="B138" t="s">
        <v>167</v>
      </c>
      <c r="C138" s="36" t="str">
        <f>INDEX('Base de données Mono'!B:B,MATCH(B138,'Base de données Mono'!D:D,0))</f>
        <v>SES8</v>
      </c>
      <c r="D138" s="36" t="str">
        <f>INDEX('Base de données Mono'!A:A,MATCH(B138,'Base de données Mono'!D:D,0))</f>
        <v>JG</v>
      </c>
      <c r="E138" s="37" t="s">
        <v>303</v>
      </c>
      <c r="F138" s="41">
        <f t="shared" si="13"/>
        <v>13</v>
      </c>
      <c r="G138" s="41">
        <f t="shared" si="14"/>
        <v>3</v>
      </c>
      <c r="H138">
        <v>6.5</v>
      </c>
      <c r="I138" s="131">
        <f>INDEX('Base de données Mono'!K:K,MATCH(B138,'Base de données Mono'!D:D,0))</f>
        <v>0.19791666666666666</v>
      </c>
      <c r="J138" s="131">
        <f>INDEX('Base de données Mono'!L:L,MATCH(B138,'Base de données Mono'!D:D,0))</f>
        <v>0.89583333333333337</v>
      </c>
      <c r="K138" s="131">
        <f>INDEX('Base de données Mono'!M:M,MATCH(B138,'Base de données Mono'!D:D,0))</f>
        <v>0.27083333333333331</v>
      </c>
      <c r="L138" s="131">
        <f>INDEX('Base de données Mono'!N:N,MATCH(B138,'Base de données Mono'!D:D,0))</f>
        <v>0.54166666666666663</v>
      </c>
      <c r="M138" s="33" t="s">
        <v>811</v>
      </c>
      <c r="N138" s="33">
        <f>IF(AND(E138="Electricité",M138="Hiver"),INDEX('Base de données Mono'!E:E,MATCH(B138,'Base de données Mono'!D:D,0)),IF(AND(E138="Electricité",M138="Mi-saison"),INDEX('Base de données Mono'!F:F,MATCH(B138,'Base de données Mono'!D:D,0)),IF(AND(E138="Electricité",M138="Eté"),INDEX('Base de données Mono'!G:G,MATCH(B138,'Base de données Mono'!D:D,0)),IF(AND(E138="Gaz",M138="Hiver"),INDEX('Base de données Mono'!J:J,MATCH(B138,'Base de données Mono'!D:D,0)),IF(AND(E138="Gaz",M138="Mi-saison"),INDEX('Base de données Mono'!#REF!,MATCH(B138,'Base de données Mono'!D:D,0)),IF(AND(E138="Gaz",M138="Eté"),INDEX('Base de données Mono'!#REF!,MATCH(B138,'Base de données Mono'!D:D,0)),"-"))))))</f>
        <v>120</v>
      </c>
      <c r="O138" s="123">
        <v>45381</v>
      </c>
      <c r="P138" s="123">
        <v>45382</v>
      </c>
      <c r="Q138" s="34">
        <v>140</v>
      </c>
      <c r="R138" s="33">
        <f t="shared" si="15"/>
        <v>20</v>
      </c>
      <c r="S138" s="34">
        <v>8.6999999999999993</v>
      </c>
      <c r="T138" s="34">
        <f t="shared" si="12"/>
        <v>1</v>
      </c>
      <c r="U138" s="33">
        <f t="shared" si="16"/>
        <v>174</v>
      </c>
      <c r="V138" s="38" t="s">
        <v>148</v>
      </c>
      <c r="W138" s="39">
        <f t="shared" si="17"/>
        <v>0.16666666666666666</v>
      </c>
      <c r="X138" s="40" t="s">
        <v>304</v>
      </c>
      <c r="Y138" s="40" t="s">
        <v>284</v>
      </c>
      <c r="Z138" s="40" t="s">
        <v>305</v>
      </c>
      <c r="AA138" s="33" t="s">
        <v>771</v>
      </c>
      <c r="AB138" s="95"/>
      <c r="AC138" s="95"/>
    </row>
    <row r="139" spans="1:29" ht="14.45" hidden="1" customHeight="1" x14ac:dyDescent="0.25">
      <c r="A139" s="36" t="str">
        <f>INDEX('Base de données Mono'!C:C,MATCH(B139,'Base de données Mono'!D:D,0))</f>
        <v>LILLE LES TANNEURS</v>
      </c>
      <c r="B139" t="s">
        <v>160</v>
      </c>
      <c r="C139" s="36" t="str">
        <f>INDEX('Base de données Mono'!B:B,MATCH(B139,'Base de données Mono'!D:D,0))</f>
        <v>SES8</v>
      </c>
      <c r="D139" s="36" t="str">
        <f>INDEX('Base de données Mono'!A:A,MATCH(B139,'Base de données Mono'!D:D,0))</f>
        <v>JG</v>
      </c>
      <c r="E139" s="37" t="s">
        <v>303</v>
      </c>
      <c r="F139" s="41">
        <f t="shared" si="13"/>
        <v>13</v>
      </c>
      <c r="G139" s="41">
        <f t="shared" si="14"/>
        <v>3</v>
      </c>
      <c r="H139">
        <v>6.5</v>
      </c>
      <c r="I139" s="131">
        <f>INDEX('Base de données Mono'!K:K,MATCH(B139,'Base de données Mono'!D:D,0))</f>
        <v>0.16666666666666666</v>
      </c>
      <c r="J139" s="131">
        <f>INDEX('Base de données Mono'!L:L,MATCH(B139,'Base de données Mono'!D:D,0))</f>
        <v>0.83333333333333337</v>
      </c>
      <c r="K139" s="131">
        <f>INDEX('Base de données Mono'!M:M,MATCH(B139,'Base de données Mono'!D:D,0))</f>
        <v>0.29166666666666669</v>
      </c>
      <c r="L139" s="131">
        <f>INDEX('Base de données Mono'!N:N,MATCH(B139,'Base de données Mono'!D:D,0))</f>
        <v>0.79166666666666663</v>
      </c>
      <c r="M139" s="33" t="s">
        <v>811</v>
      </c>
      <c r="N139" s="33">
        <f>IF(AND(E139="Electricité",M139="Hiver"),INDEX('Base de données Mono'!E:E,MATCH(B139,'Base de données Mono'!D:D,0)),IF(AND(E139="Electricité",M139="Mi-saison"),INDEX('Base de données Mono'!F:F,MATCH(B139,'Base de données Mono'!D:D,0)),IF(AND(E139="Electricité",M139="Eté"),INDEX('Base de données Mono'!G:G,MATCH(B139,'Base de données Mono'!D:D,0)),IF(AND(E139="Gaz",M139="Hiver"),INDEX('Base de données Mono'!J:J,MATCH(B139,'Base de données Mono'!D:D,0)),IF(AND(E139="Gaz",M139="Mi-saison"),INDEX('Base de données Mono'!#REF!,MATCH(B139,'Base de données Mono'!D:D,0)),IF(AND(E139="Gaz",M139="Eté"),INDEX('Base de données Mono'!#REF!,MATCH(B139,'Base de données Mono'!D:D,0)),"-"))))))</f>
        <v>50</v>
      </c>
      <c r="O139" s="123">
        <v>45375</v>
      </c>
      <c r="P139" s="123">
        <v>45380</v>
      </c>
      <c r="Q139" s="34">
        <v>55</v>
      </c>
      <c r="R139" s="33">
        <f t="shared" si="15"/>
        <v>5</v>
      </c>
      <c r="S139" s="34">
        <v>3</v>
      </c>
      <c r="T139" s="34">
        <f t="shared" si="12"/>
        <v>5</v>
      </c>
      <c r="U139" s="33">
        <f t="shared" si="16"/>
        <v>75</v>
      </c>
      <c r="V139" s="38" t="s">
        <v>148</v>
      </c>
      <c r="W139" s="39">
        <f t="shared" si="17"/>
        <v>0.1</v>
      </c>
      <c r="X139" s="40" t="s">
        <v>304</v>
      </c>
      <c r="Y139" s="40" t="s">
        <v>284</v>
      </c>
      <c r="Z139" s="40" t="s">
        <v>305</v>
      </c>
      <c r="AA139" s="33" t="s">
        <v>771</v>
      </c>
      <c r="AB139" s="95"/>
      <c r="AC139" s="95"/>
    </row>
    <row r="140" spans="1:29" ht="14.45" hidden="1" customHeight="1" x14ac:dyDescent="0.25">
      <c r="A140" s="36" t="str">
        <f>INDEX('Base de données Mono'!C:C,MATCH(B140,'Base de données Mono'!D:D,0))</f>
        <v>LILLE LES TANNEURS</v>
      </c>
      <c r="B140" t="s">
        <v>160</v>
      </c>
      <c r="C140" s="36" t="str">
        <f>INDEX('Base de données Mono'!B:B,MATCH(B140,'Base de données Mono'!D:D,0))</f>
        <v>SES8</v>
      </c>
      <c r="D140" s="36" t="str">
        <f>INDEX('Base de données Mono'!A:A,MATCH(B140,'Base de données Mono'!D:D,0))</f>
        <v>JG</v>
      </c>
      <c r="E140" s="37" t="s">
        <v>303</v>
      </c>
      <c r="F140" s="41">
        <f t="shared" si="13"/>
        <v>13</v>
      </c>
      <c r="G140" s="41">
        <f t="shared" si="14"/>
        <v>3</v>
      </c>
      <c r="H140">
        <v>8</v>
      </c>
      <c r="I140" s="131">
        <f>INDEX('Base de données Mono'!K:K,MATCH(B140,'Base de données Mono'!D:D,0))</f>
        <v>0.16666666666666666</v>
      </c>
      <c r="J140" s="131">
        <f>INDEX('Base de données Mono'!L:L,MATCH(B140,'Base de données Mono'!D:D,0))</f>
        <v>0.83333333333333337</v>
      </c>
      <c r="K140" s="131">
        <f>INDEX('Base de données Mono'!M:M,MATCH(B140,'Base de données Mono'!D:D,0))</f>
        <v>0.29166666666666669</v>
      </c>
      <c r="L140" s="131">
        <f>INDEX('Base de données Mono'!N:N,MATCH(B140,'Base de données Mono'!D:D,0))</f>
        <v>0.79166666666666663</v>
      </c>
      <c r="M140" s="33" t="s">
        <v>811</v>
      </c>
      <c r="N140" s="33">
        <f>IF(AND(E140="Electricité",M140="Hiver"),INDEX('Base de données Mono'!E:E,MATCH(B140,'Base de données Mono'!D:D,0)),IF(AND(E140="Electricité",M140="Mi-saison"),INDEX('Base de données Mono'!F:F,MATCH(B140,'Base de données Mono'!D:D,0)),IF(AND(E140="Electricité",M140="Eté"),INDEX('Base de données Mono'!G:G,MATCH(B140,'Base de données Mono'!D:D,0)),IF(AND(E140="Gaz",M140="Hiver"),INDEX('Base de données Mono'!J:J,MATCH(B140,'Base de données Mono'!D:D,0)),IF(AND(E140="Gaz",M140="Mi-saison"),INDEX('Base de données Mono'!#REF!,MATCH(B140,'Base de données Mono'!D:D,0)),IF(AND(E140="Gaz",M140="Eté"),INDEX('Base de données Mono'!#REF!,MATCH(B140,'Base de données Mono'!D:D,0)),"-"))))))</f>
        <v>50</v>
      </c>
      <c r="O140" s="123">
        <v>45376</v>
      </c>
      <c r="P140" s="123">
        <v>45380</v>
      </c>
      <c r="Q140" s="34">
        <v>60</v>
      </c>
      <c r="R140" s="33">
        <f t="shared" si="15"/>
        <v>10</v>
      </c>
      <c r="S140" s="34">
        <v>1</v>
      </c>
      <c r="T140" s="34">
        <f t="shared" si="12"/>
        <v>4</v>
      </c>
      <c r="U140" s="33">
        <f t="shared" si="16"/>
        <v>40</v>
      </c>
      <c r="V140" s="38" t="s">
        <v>148</v>
      </c>
      <c r="W140" s="39">
        <f t="shared" si="17"/>
        <v>0.2</v>
      </c>
      <c r="X140" s="40" t="s">
        <v>304</v>
      </c>
      <c r="Y140" s="40" t="s">
        <v>284</v>
      </c>
      <c r="Z140" s="40" t="s">
        <v>305</v>
      </c>
      <c r="AA140" s="33" t="s">
        <v>771</v>
      </c>
      <c r="AB140" s="95"/>
      <c r="AC140" s="95"/>
    </row>
    <row r="141" spans="1:29" ht="14.45" hidden="1" customHeight="1" x14ac:dyDescent="0.25">
      <c r="A141" s="36" t="str">
        <f>INDEX('Base de données Mono'!C:C,MATCH(B141,'Base de données Mono'!D:D,0))</f>
        <v>LILLE LES TANNEURS</v>
      </c>
      <c r="B141" t="s">
        <v>160</v>
      </c>
      <c r="C141" s="36" t="str">
        <f>INDEX('Base de données Mono'!B:B,MATCH(B141,'Base de données Mono'!D:D,0))</f>
        <v>SES8</v>
      </c>
      <c r="D141" s="36" t="str">
        <f>INDEX('Base de données Mono'!A:A,MATCH(B141,'Base de données Mono'!D:D,0))</f>
        <v>JG</v>
      </c>
      <c r="E141" s="37" t="s">
        <v>303</v>
      </c>
      <c r="F141" s="41">
        <f t="shared" si="13"/>
        <v>13</v>
      </c>
      <c r="G141" s="41">
        <f t="shared" si="14"/>
        <v>3</v>
      </c>
      <c r="H141">
        <v>8</v>
      </c>
      <c r="I141" s="131">
        <f>INDEX('Base de données Mono'!K:K,MATCH(B141,'Base de données Mono'!D:D,0))</f>
        <v>0.16666666666666666</v>
      </c>
      <c r="J141" s="131">
        <f>INDEX('Base de données Mono'!L:L,MATCH(B141,'Base de données Mono'!D:D,0))</f>
        <v>0.83333333333333337</v>
      </c>
      <c r="K141" s="131">
        <f>INDEX('Base de données Mono'!M:M,MATCH(B141,'Base de données Mono'!D:D,0))</f>
        <v>0.29166666666666669</v>
      </c>
      <c r="L141" s="131">
        <f>INDEX('Base de données Mono'!N:N,MATCH(B141,'Base de données Mono'!D:D,0))</f>
        <v>0.79166666666666663</v>
      </c>
      <c r="M141" s="33" t="s">
        <v>811</v>
      </c>
      <c r="N141" s="33">
        <f>IF(AND(E141="Electricité",M141="Hiver"),INDEX('Base de données Mono'!E:E,MATCH(B141,'Base de données Mono'!D:D,0)),IF(AND(E141="Electricité",M141="Mi-saison"),INDEX('Base de données Mono'!F:F,MATCH(B141,'Base de données Mono'!D:D,0)),IF(AND(E141="Electricité",M141="Eté"),INDEX('Base de données Mono'!G:G,MATCH(B141,'Base de données Mono'!D:D,0)),IF(AND(E141="Gaz",M141="Hiver"),INDEX('Base de données Mono'!J:J,MATCH(B141,'Base de données Mono'!D:D,0)),IF(AND(E141="Gaz",M141="Mi-saison"),INDEX('Base de données Mono'!#REF!,MATCH(B141,'Base de données Mono'!D:D,0)),IF(AND(E141="Gaz",M141="Eté"),INDEX('Base de données Mono'!#REF!,MATCH(B141,'Base de données Mono'!D:D,0)),"-"))))))</f>
        <v>50</v>
      </c>
      <c r="O141" s="123">
        <v>45380</v>
      </c>
      <c r="P141" s="123">
        <v>45382</v>
      </c>
      <c r="Q141" s="34">
        <v>90</v>
      </c>
      <c r="R141" s="33">
        <f t="shared" si="15"/>
        <v>40</v>
      </c>
      <c r="S141" s="34">
        <v>4</v>
      </c>
      <c r="T141" s="34">
        <f t="shared" si="12"/>
        <v>2</v>
      </c>
      <c r="U141" s="33">
        <f t="shared" si="16"/>
        <v>320</v>
      </c>
      <c r="V141" s="38" t="s">
        <v>148</v>
      </c>
      <c r="W141" s="39">
        <f t="shared" si="17"/>
        <v>0.8</v>
      </c>
      <c r="X141" s="40" t="s">
        <v>304</v>
      </c>
      <c r="Y141" s="40" t="s">
        <v>284</v>
      </c>
      <c r="Z141" s="40" t="s">
        <v>311</v>
      </c>
      <c r="AA141" s="33" t="s">
        <v>775</v>
      </c>
      <c r="AB141" s="95"/>
      <c r="AC141" s="95"/>
    </row>
    <row r="142" spans="1:29" ht="14.45" hidden="1" customHeight="1" x14ac:dyDescent="0.25">
      <c r="A142" s="36" t="str">
        <f>INDEX('Base de données Mono'!C:C,MATCH(B142,'Base de données Mono'!D:D,0))</f>
        <v>DAUMESNIL</v>
      </c>
      <c r="B142" t="s">
        <v>15</v>
      </c>
      <c r="C142" s="36" t="str">
        <f>INDEX('Base de données Mono'!B:B,MATCH(B142,'Base de données Mono'!D:D,0))</f>
        <v>SES8</v>
      </c>
      <c r="D142" s="36" t="str">
        <f>INDEX('Base de données Mono'!A:A,MATCH(B142,'Base de données Mono'!D:D,0))</f>
        <v>JG</v>
      </c>
      <c r="E142" s="37" t="s">
        <v>303</v>
      </c>
      <c r="F142" s="41">
        <f t="shared" si="13"/>
        <v>13</v>
      </c>
      <c r="G142" s="41">
        <f t="shared" si="14"/>
        <v>3</v>
      </c>
      <c r="H142">
        <v>8</v>
      </c>
      <c r="I142" s="131">
        <f>INDEX('Base de données Mono'!K:K,MATCH(B142,'Base de données Mono'!D:D,0))</f>
        <v>0.24305555555555555</v>
      </c>
      <c r="J142" s="131">
        <f>INDEX('Base de données Mono'!L:L,MATCH(B142,'Base de données Mono'!D:D,0))</f>
        <v>0.92013888888888884</v>
      </c>
      <c r="K142" s="131">
        <f>INDEX('Base de données Mono'!M:M,MATCH(B142,'Base de données Mono'!D:D,0))</f>
        <v>0.28472222222222221</v>
      </c>
      <c r="L142" s="131">
        <f>INDEX('Base de données Mono'!N:N,MATCH(B142,'Base de données Mono'!D:D,0))</f>
        <v>0.54166666666666663</v>
      </c>
      <c r="M142" s="33" t="s">
        <v>811</v>
      </c>
      <c r="N142" s="33">
        <f>IF(AND(E142="Electricité",M142="Hiver"),INDEX('Base de données Mono'!E:E,MATCH(B142,'Base de données Mono'!D:D,0)),IF(AND(E142="Electricité",M142="Mi-saison"),INDEX('Base de données Mono'!F:F,MATCH(B142,'Base de données Mono'!D:D,0)),IF(AND(E142="Electricité",M142="Eté"),INDEX('Base de données Mono'!G:G,MATCH(B142,'Base de données Mono'!D:D,0)),IF(AND(E142="Gaz",M142="Hiver"),INDEX('Base de données Mono'!J:J,MATCH(B142,'Base de données Mono'!D:D,0)),IF(AND(E142="Gaz",M142="Mi-saison"),INDEX('Base de données Mono'!#REF!,MATCH(B142,'Base de données Mono'!D:D,0)),IF(AND(E142="Gaz",M142="Eté"),INDEX('Base de données Mono'!#REF!,MATCH(B142,'Base de données Mono'!D:D,0)),"-"))))))</f>
        <v>15</v>
      </c>
      <c r="O142" s="123">
        <v>45375</v>
      </c>
      <c r="P142" s="123">
        <v>45376</v>
      </c>
      <c r="Q142" s="34">
        <v>50</v>
      </c>
      <c r="R142" s="33">
        <f t="shared" si="15"/>
        <v>35</v>
      </c>
      <c r="S142" s="34">
        <v>1</v>
      </c>
      <c r="T142" s="34">
        <f t="shared" si="12"/>
        <v>1</v>
      </c>
      <c r="U142" s="33">
        <f t="shared" si="16"/>
        <v>35</v>
      </c>
      <c r="V142" s="38" t="s">
        <v>148</v>
      </c>
      <c r="W142" s="39">
        <f t="shared" si="17"/>
        <v>2.3333333333333335</v>
      </c>
      <c r="X142" s="40" t="s">
        <v>304</v>
      </c>
      <c r="Y142" s="40" t="s">
        <v>284</v>
      </c>
      <c r="Z142" s="40" t="s">
        <v>305</v>
      </c>
      <c r="AA142" s="33" t="s">
        <v>771</v>
      </c>
      <c r="AB142" s="95"/>
      <c r="AC142" s="95"/>
    </row>
    <row r="143" spans="1:29" ht="14.45" hidden="1" customHeight="1" x14ac:dyDescent="0.25">
      <c r="A143" s="36" t="str">
        <f>INDEX('Base de données Mono'!C:C,MATCH(B143,'Base de données Mono'!D:D,0))</f>
        <v>DAUMESNIL</v>
      </c>
      <c r="B143" t="s">
        <v>15</v>
      </c>
      <c r="C143" s="36" t="str">
        <f>INDEX('Base de données Mono'!B:B,MATCH(B143,'Base de données Mono'!D:D,0))</f>
        <v>SES8</v>
      </c>
      <c r="D143" s="36" t="str">
        <f>INDEX('Base de données Mono'!A:A,MATCH(B143,'Base de données Mono'!D:D,0))</f>
        <v>JG</v>
      </c>
      <c r="E143" s="37" t="s">
        <v>303</v>
      </c>
      <c r="F143" s="41">
        <f t="shared" si="13"/>
        <v>13</v>
      </c>
      <c r="G143" s="41">
        <f t="shared" si="14"/>
        <v>3</v>
      </c>
      <c r="H143">
        <v>8</v>
      </c>
      <c r="I143" s="131">
        <f>INDEX('Base de données Mono'!K:K,MATCH(B143,'Base de données Mono'!D:D,0))</f>
        <v>0.24305555555555555</v>
      </c>
      <c r="J143" s="131">
        <f>INDEX('Base de données Mono'!L:L,MATCH(B143,'Base de données Mono'!D:D,0))</f>
        <v>0.92013888888888884</v>
      </c>
      <c r="K143" s="131">
        <f>INDEX('Base de données Mono'!M:M,MATCH(B143,'Base de données Mono'!D:D,0))</f>
        <v>0.28472222222222221</v>
      </c>
      <c r="L143" s="131">
        <f>INDEX('Base de données Mono'!N:N,MATCH(B143,'Base de données Mono'!D:D,0))</f>
        <v>0.54166666666666663</v>
      </c>
      <c r="M143" s="33" t="s">
        <v>811</v>
      </c>
      <c r="N143" s="33">
        <f>IF(AND(E143="Electricité",M143="Hiver"),INDEX('Base de données Mono'!E:E,MATCH(B143,'Base de données Mono'!D:D,0)),IF(AND(E143="Electricité",M143="Mi-saison"),INDEX('Base de données Mono'!F:F,MATCH(B143,'Base de données Mono'!D:D,0)),IF(AND(E143="Electricité",M143="Eté"),INDEX('Base de données Mono'!G:G,MATCH(B143,'Base de données Mono'!D:D,0)),IF(AND(E143="Gaz",M143="Hiver"),INDEX('Base de données Mono'!J:J,MATCH(B143,'Base de données Mono'!D:D,0)),IF(AND(E143="Gaz",M143="Mi-saison"),INDEX('Base de données Mono'!#REF!,MATCH(B143,'Base de données Mono'!D:D,0)),IF(AND(E143="Gaz",M143="Eté"),INDEX('Base de données Mono'!#REF!,MATCH(B143,'Base de données Mono'!D:D,0)),"-"))))))</f>
        <v>15</v>
      </c>
      <c r="O143" s="123">
        <v>45375</v>
      </c>
      <c r="P143" s="123">
        <v>45376</v>
      </c>
      <c r="Q143" s="34">
        <v>75</v>
      </c>
      <c r="R143" s="33">
        <f t="shared" si="15"/>
        <v>60</v>
      </c>
      <c r="S143" s="34">
        <v>6.7</v>
      </c>
      <c r="T143" s="34">
        <f t="shared" si="12"/>
        <v>1</v>
      </c>
      <c r="U143" s="33">
        <f t="shared" si="16"/>
        <v>402</v>
      </c>
      <c r="V143" s="38" t="s">
        <v>148</v>
      </c>
      <c r="W143" s="39">
        <f t="shared" si="17"/>
        <v>4</v>
      </c>
      <c r="X143" s="40" t="s">
        <v>304</v>
      </c>
      <c r="Y143" s="40" t="s">
        <v>284</v>
      </c>
      <c r="Z143" s="40" t="s">
        <v>311</v>
      </c>
      <c r="AA143" s="33" t="s">
        <v>775</v>
      </c>
      <c r="AB143" s="95"/>
      <c r="AC143" s="95"/>
    </row>
    <row r="144" spans="1:29" ht="14.45" hidden="1" customHeight="1" x14ac:dyDescent="0.25">
      <c r="A144" s="36" t="str">
        <f>INDEX('Base de données Mono'!C:C,MATCH(B144,'Base de données Mono'!D:D,0))</f>
        <v>DAUMESNIL</v>
      </c>
      <c r="B144" t="s">
        <v>15</v>
      </c>
      <c r="C144" s="36" t="str">
        <f>INDEX('Base de données Mono'!B:B,MATCH(B144,'Base de données Mono'!D:D,0))</f>
        <v>SES8</v>
      </c>
      <c r="D144" s="36" t="str">
        <f>INDEX('Base de données Mono'!A:A,MATCH(B144,'Base de données Mono'!D:D,0))</f>
        <v>JG</v>
      </c>
      <c r="E144" s="37" t="s">
        <v>303</v>
      </c>
      <c r="F144" s="41">
        <f t="shared" si="13"/>
        <v>13</v>
      </c>
      <c r="G144" s="41">
        <f t="shared" si="14"/>
        <v>3</v>
      </c>
      <c r="H144">
        <v>8.5</v>
      </c>
      <c r="I144" s="131">
        <f>INDEX('Base de données Mono'!K:K,MATCH(B144,'Base de données Mono'!D:D,0))</f>
        <v>0.24305555555555555</v>
      </c>
      <c r="J144" s="131">
        <f>INDEX('Base de données Mono'!L:L,MATCH(B144,'Base de données Mono'!D:D,0))</f>
        <v>0.92013888888888884</v>
      </c>
      <c r="K144" s="131">
        <f>INDEX('Base de données Mono'!M:M,MATCH(B144,'Base de données Mono'!D:D,0))</f>
        <v>0.28472222222222221</v>
      </c>
      <c r="L144" s="131">
        <f>INDEX('Base de données Mono'!N:N,MATCH(B144,'Base de données Mono'!D:D,0))</f>
        <v>0.54166666666666663</v>
      </c>
      <c r="M144" s="33" t="s">
        <v>811</v>
      </c>
      <c r="N144" s="33">
        <f>IF(AND(E144="Electricité",M144="Hiver"),INDEX('Base de données Mono'!E:E,MATCH(B144,'Base de données Mono'!D:D,0)),IF(AND(E144="Electricité",M144="Mi-saison"),INDEX('Base de données Mono'!F:F,MATCH(B144,'Base de données Mono'!D:D,0)),IF(AND(E144="Electricité",M144="Eté"),INDEX('Base de données Mono'!G:G,MATCH(B144,'Base de données Mono'!D:D,0)),IF(AND(E144="Gaz",M144="Hiver"),INDEX('Base de données Mono'!J:J,MATCH(B144,'Base de données Mono'!D:D,0)),IF(AND(E144="Gaz",M144="Mi-saison"),INDEX('Base de données Mono'!#REF!,MATCH(B144,'Base de données Mono'!D:D,0)),IF(AND(E144="Gaz",M144="Eté"),INDEX('Base de données Mono'!#REF!,MATCH(B144,'Base de données Mono'!D:D,0)),"-"))))))</f>
        <v>15</v>
      </c>
      <c r="O144" s="123">
        <v>45376</v>
      </c>
      <c r="P144" s="123">
        <v>45379</v>
      </c>
      <c r="Q144" s="34">
        <v>50</v>
      </c>
      <c r="R144" s="33">
        <f t="shared" si="15"/>
        <v>35</v>
      </c>
      <c r="S144" s="34">
        <v>7.7</v>
      </c>
      <c r="T144" s="34">
        <f t="shared" si="12"/>
        <v>3</v>
      </c>
      <c r="U144" s="33">
        <f t="shared" si="16"/>
        <v>808.5</v>
      </c>
      <c r="V144" s="38" t="s">
        <v>148</v>
      </c>
      <c r="W144" s="39">
        <f t="shared" si="17"/>
        <v>2.3333333333333335</v>
      </c>
      <c r="X144" s="40" t="s">
        <v>304</v>
      </c>
      <c r="Y144" s="40" t="s">
        <v>284</v>
      </c>
      <c r="Z144" s="40" t="s">
        <v>305</v>
      </c>
      <c r="AA144" s="33" t="s">
        <v>771</v>
      </c>
      <c r="AB144" s="95"/>
      <c r="AC144" s="95"/>
    </row>
    <row r="145" spans="1:29" ht="14.45" hidden="1" customHeight="1" x14ac:dyDescent="0.25">
      <c r="A145" s="36" t="str">
        <f>INDEX('Base de données Mono'!C:C,MATCH(B145,'Base de données Mono'!D:D,0))</f>
        <v>DAUMESNIL</v>
      </c>
      <c r="B145" t="s">
        <v>15</v>
      </c>
      <c r="C145" s="36" t="str">
        <f>INDEX('Base de données Mono'!B:B,MATCH(B145,'Base de données Mono'!D:D,0))</f>
        <v>SES8</v>
      </c>
      <c r="D145" s="36" t="str">
        <f>INDEX('Base de données Mono'!A:A,MATCH(B145,'Base de données Mono'!D:D,0))</f>
        <v>JG</v>
      </c>
      <c r="E145" s="37" t="s">
        <v>303</v>
      </c>
      <c r="F145" s="41">
        <f t="shared" si="13"/>
        <v>13</v>
      </c>
      <c r="G145" s="41">
        <f t="shared" si="14"/>
        <v>3</v>
      </c>
      <c r="H145">
        <v>8.5</v>
      </c>
      <c r="I145" s="131">
        <f>INDEX('Base de données Mono'!K:K,MATCH(B145,'Base de données Mono'!D:D,0))</f>
        <v>0.24305555555555555</v>
      </c>
      <c r="J145" s="131">
        <f>INDEX('Base de données Mono'!L:L,MATCH(B145,'Base de données Mono'!D:D,0))</f>
        <v>0.92013888888888884</v>
      </c>
      <c r="K145" s="131">
        <f>INDEX('Base de données Mono'!M:M,MATCH(B145,'Base de données Mono'!D:D,0))</f>
        <v>0.28472222222222221</v>
      </c>
      <c r="L145" s="131">
        <f>INDEX('Base de données Mono'!N:N,MATCH(B145,'Base de données Mono'!D:D,0))</f>
        <v>0.54166666666666663</v>
      </c>
      <c r="M145" s="33" t="s">
        <v>811</v>
      </c>
      <c r="N145" s="33">
        <f>IF(AND(E145="Electricité",M145="Hiver"),INDEX('Base de données Mono'!E:E,MATCH(B145,'Base de données Mono'!D:D,0)),IF(AND(E145="Electricité",M145="Mi-saison"),INDEX('Base de données Mono'!F:F,MATCH(B145,'Base de données Mono'!D:D,0)),IF(AND(E145="Electricité",M145="Eté"),INDEX('Base de données Mono'!G:G,MATCH(B145,'Base de données Mono'!D:D,0)),IF(AND(E145="Gaz",M145="Hiver"),INDEX('Base de données Mono'!J:J,MATCH(B145,'Base de données Mono'!D:D,0)),IF(AND(E145="Gaz",M145="Mi-saison"),INDEX('Base de données Mono'!#REF!,MATCH(B145,'Base de données Mono'!D:D,0)),IF(AND(E145="Gaz",M145="Eté"),INDEX('Base de données Mono'!#REF!,MATCH(B145,'Base de données Mono'!D:D,0)),"-"))))))</f>
        <v>15</v>
      </c>
      <c r="O145" s="123">
        <v>45379</v>
      </c>
      <c r="P145" s="123">
        <v>45382</v>
      </c>
      <c r="Q145" s="34">
        <v>55</v>
      </c>
      <c r="R145" s="33">
        <f t="shared" si="15"/>
        <v>40</v>
      </c>
      <c r="S145" s="34">
        <v>7.7</v>
      </c>
      <c r="T145" s="34">
        <f t="shared" si="12"/>
        <v>3</v>
      </c>
      <c r="U145" s="33">
        <f t="shared" si="16"/>
        <v>924</v>
      </c>
      <c r="V145" s="38" t="s">
        <v>148</v>
      </c>
      <c r="W145" s="39">
        <f t="shared" si="17"/>
        <v>2.6666666666666665</v>
      </c>
      <c r="X145" s="40" t="s">
        <v>304</v>
      </c>
      <c r="Y145" s="40" t="s">
        <v>284</v>
      </c>
      <c r="Z145" s="40" t="s">
        <v>305</v>
      </c>
      <c r="AA145" s="33" t="s">
        <v>771</v>
      </c>
      <c r="AB145" s="95"/>
      <c r="AC145" s="95"/>
    </row>
    <row r="146" spans="1:29" ht="14.45" hidden="1" customHeight="1" x14ac:dyDescent="0.25">
      <c r="A146" s="36" t="str">
        <f>INDEX('Base de données Mono'!C:C,MATCH(B146,'Base de données Mono'!D:D,0))</f>
        <v>DAUMESNIL</v>
      </c>
      <c r="B146" t="s">
        <v>15</v>
      </c>
      <c r="C146" s="36" t="str">
        <f>INDEX('Base de données Mono'!B:B,MATCH(B146,'Base de données Mono'!D:D,0))</f>
        <v>SES8</v>
      </c>
      <c r="D146" s="36" t="str">
        <f>INDEX('Base de données Mono'!A:A,MATCH(B146,'Base de données Mono'!D:D,0))</f>
        <v>JG</v>
      </c>
      <c r="E146" s="37" t="s">
        <v>303</v>
      </c>
      <c r="F146" s="41">
        <f t="shared" si="13"/>
        <v>13</v>
      </c>
      <c r="G146" s="41">
        <f t="shared" si="14"/>
        <v>3</v>
      </c>
      <c r="H146">
        <v>8</v>
      </c>
      <c r="I146" s="131">
        <f>INDEX('Base de données Mono'!K:K,MATCH(B146,'Base de données Mono'!D:D,0))</f>
        <v>0.24305555555555555</v>
      </c>
      <c r="J146" s="131">
        <f>INDEX('Base de données Mono'!L:L,MATCH(B146,'Base de données Mono'!D:D,0))</f>
        <v>0.92013888888888884</v>
      </c>
      <c r="K146" s="131">
        <f>INDEX('Base de données Mono'!M:M,MATCH(B146,'Base de données Mono'!D:D,0))</f>
        <v>0.28472222222222221</v>
      </c>
      <c r="L146" s="131">
        <f>INDEX('Base de données Mono'!N:N,MATCH(B146,'Base de données Mono'!D:D,0))</f>
        <v>0.54166666666666663</v>
      </c>
      <c r="M146" s="33" t="s">
        <v>811</v>
      </c>
      <c r="N146" s="33">
        <f>IF(AND(E146="Electricité",M146="Hiver"),INDEX('Base de données Mono'!E:E,MATCH(B146,'Base de données Mono'!D:D,0)),IF(AND(E146="Electricité",M146="Mi-saison"),INDEX('Base de données Mono'!F:F,MATCH(B146,'Base de données Mono'!D:D,0)),IF(AND(E146="Electricité",M146="Eté"),INDEX('Base de données Mono'!G:G,MATCH(B146,'Base de données Mono'!D:D,0)),IF(AND(E146="Gaz",M146="Hiver"),INDEX('Base de données Mono'!J:J,MATCH(B146,'Base de données Mono'!D:D,0)),IF(AND(E146="Gaz",M146="Mi-saison"),INDEX('Base de données Mono'!#REF!,MATCH(B146,'Base de données Mono'!D:D,0)),IF(AND(E146="Gaz",M146="Eté"),INDEX('Base de données Mono'!#REF!,MATCH(B146,'Base de données Mono'!D:D,0)),"-"))))))</f>
        <v>15</v>
      </c>
      <c r="O146" s="123">
        <v>45381</v>
      </c>
      <c r="P146" s="123">
        <v>45382</v>
      </c>
      <c r="Q146" s="34">
        <v>75</v>
      </c>
      <c r="R146" s="33">
        <f t="shared" si="15"/>
        <v>60</v>
      </c>
      <c r="S146" s="34">
        <v>2</v>
      </c>
      <c r="T146" s="34">
        <f t="shared" si="12"/>
        <v>1</v>
      </c>
      <c r="U146" s="33">
        <f t="shared" si="16"/>
        <v>120</v>
      </c>
      <c r="V146" s="38" t="s">
        <v>148</v>
      </c>
      <c r="W146" s="39">
        <f t="shared" si="17"/>
        <v>4</v>
      </c>
      <c r="X146" s="40" t="s">
        <v>304</v>
      </c>
      <c r="Y146" s="40" t="s">
        <v>284</v>
      </c>
      <c r="Z146" s="40" t="s">
        <v>307</v>
      </c>
      <c r="AA146" s="33" t="s">
        <v>414</v>
      </c>
      <c r="AB146" s="95"/>
      <c r="AC146" s="95"/>
    </row>
    <row r="147" spans="1:29" ht="14.45" hidden="1" customHeight="1" x14ac:dyDescent="0.25">
      <c r="A147" s="36" t="str">
        <f>INDEX('Base de données Mono'!C:C,MATCH(B147,'Base de données Mono'!D:D,0))</f>
        <v>SETE</v>
      </c>
      <c r="B147" t="s">
        <v>34</v>
      </c>
      <c r="C147" s="36" t="str">
        <f>INDEX('Base de données Mono'!B:B,MATCH(B147,'Base de données Mono'!D:D,0))</f>
        <v>SES8</v>
      </c>
      <c r="D147" s="36" t="str">
        <f>INDEX('Base de données Mono'!A:A,MATCH(B147,'Base de données Mono'!D:D,0))</f>
        <v>AD</v>
      </c>
      <c r="E147" s="37" t="s">
        <v>303</v>
      </c>
      <c r="F147" s="41">
        <f t="shared" si="13"/>
        <v>13</v>
      </c>
      <c r="G147" s="41">
        <f t="shared" si="14"/>
        <v>3</v>
      </c>
      <c r="H147">
        <v>8.67</v>
      </c>
      <c r="I147" s="131">
        <f>INDEX('Base de données Mono'!K:K,MATCH(B147,'Base de données Mono'!D:D,0))</f>
        <v>0.23611111111111113</v>
      </c>
      <c r="J147" s="131">
        <f>INDEX('Base de données Mono'!L:L,MATCH(B147,'Base de données Mono'!D:D,0))</f>
        <v>0.85416666666666663</v>
      </c>
      <c r="K147" s="131">
        <f>INDEX('Base de données Mono'!M:M,MATCH(B147,'Base de données Mono'!D:D,0))</f>
        <v>0.29166666666666669</v>
      </c>
      <c r="L147" s="131">
        <f>INDEX('Base de données Mono'!N:N,MATCH(B147,'Base de données Mono'!D:D,0))</f>
        <v>0.54166666666666663</v>
      </c>
      <c r="M147" s="33" t="s">
        <v>811</v>
      </c>
      <c r="N147" s="33">
        <f>IF(AND(E147="Electricité",M147="Hiver"),INDEX('Base de données Mono'!E:E,MATCH(B147,'Base de données Mono'!D:D,0)),IF(AND(E147="Electricité",M147="Mi-saison"),INDEX('Base de données Mono'!F:F,MATCH(B147,'Base de données Mono'!D:D,0)),IF(AND(E147="Electricité",M147="Eté"),INDEX('Base de données Mono'!G:G,MATCH(B147,'Base de données Mono'!D:D,0)),IF(AND(E147="Gaz",M147="Hiver"),INDEX('Base de données Mono'!J:J,MATCH(B147,'Base de données Mono'!D:D,0)),IF(AND(E147="Gaz",M147="Mi-saison"),INDEX('Base de données Mono'!#REF!,MATCH(B147,'Base de données Mono'!D:D,0)),IF(AND(E147="Gaz",M147="Eté"),INDEX('Base de données Mono'!#REF!,MATCH(B147,'Base de données Mono'!D:D,0)),"-"))))))</f>
        <v>50</v>
      </c>
      <c r="O147" s="123">
        <v>45375</v>
      </c>
      <c r="P147" s="123">
        <v>45381</v>
      </c>
      <c r="Q147" s="34">
        <v>105</v>
      </c>
      <c r="R147" s="33">
        <f t="shared" si="15"/>
        <v>55</v>
      </c>
      <c r="S147" s="34">
        <v>0.6</v>
      </c>
      <c r="T147" s="34">
        <f t="shared" si="12"/>
        <v>6</v>
      </c>
      <c r="U147" s="33">
        <f t="shared" si="16"/>
        <v>198</v>
      </c>
      <c r="V147" s="38" t="s">
        <v>148</v>
      </c>
      <c r="W147" s="39">
        <f t="shared" si="17"/>
        <v>1.1000000000000001</v>
      </c>
      <c r="X147" s="40" t="s">
        <v>304</v>
      </c>
      <c r="Y147" s="40" t="s">
        <v>284</v>
      </c>
      <c r="Z147" s="40" t="s">
        <v>307</v>
      </c>
      <c r="AA147" s="33" t="s">
        <v>414</v>
      </c>
      <c r="AB147" s="95"/>
      <c r="AC147" s="95"/>
    </row>
    <row r="148" spans="1:29" ht="14.45" hidden="1" customHeight="1" x14ac:dyDescent="0.25">
      <c r="A148" s="36" t="str">
        <f>INDEX('Base de données Mono'!C:C,MATCH(B148,'Base de données Mono'!D:D,0))</f>
        <v>SETE</v>
      </c>
      <c r="B148" t="s">
        <v>34</v>
      </c>
      <c r="C148" s="36" t="str">
        <f>INDEX('Base de données Mono'!B:B,MATCH(B148,'Base de données Mono'!D:D,0))</f>
        <v>SES8</v>
      </c>
      <c r="D148" s="36" t="str">
        <f>INDEX('Base de données Mono'!A:A,MATCH(B148,'Base de données Mono'!D:D,0))</f>
        <v>AD</v>
      </c>
      <c r="E148" s="37" t="s">
        <v>303</v>
      </c>
      <c r="F148" s="41">
        <f t="shared" si="13"/>
        <v>13</v>
      </c>
      <c r="G148" s="41">
        <f t="shared" si="14"/>
        <v>3</v>
      </c>
      <c r="H148">
        <v>8.67</v>
      </c>
      <c r="I148" s="131">
        <f>INDEX('Base de données Mono'!K:K,MATCH(B148,'Base de données Mono'!D:D,0))</f>
        <v>0.23611111111111113</v>
      </c>
      <c r="J148" s="131">
        <f>INDEX('Base de données Mono'!L:L,MATCH(B148,'Base de données Mono'!D:D,0))</f>
        <v>0.85416666666666663</v>
      </c>
      <c r="K148" s="131">
        <f>INDEX('Base de données Mono'!M:M,MATCH(B148,'Base de données Mono'!D:D,0))</f>
        <v>0.29166666666666669</v>
      </c>
      <c r="L148" s="131">
        <f>INDEX('Base de données Mono'!N:N,MATCH(B148,'Base de données Mono'!D:D,0))</f>
        <v>0.54166666666666663</v>
      </c>
      <c r="M148" s="33" t="s">
        <v>811</v>
      </c>
      <c r="N148" s="33">
        <f>IF(AND(E148="Electricité",M148="Hiver"),INDEX('Base de données Mono'!E:E,MATCH(B148,'Base de données Mono'!D:D,0)),IF(AND(E148="Electricité",M148="Mi-saison"),INDEX('Base de données Mono'!F:F,MATCH(B148,'Base de données Mono'!D:D,0)),IF(AND(E148="Electricité",M148="Eté"),INDEX('Base de données Mono'!G:G,MATCH(B148,'Base de données Mono'!D:D,0)),IF(AND(E148="Gaz",M148="Hiver"),INDEX('Base de données Mono'!J:J,MATCH(B148,'Base de données Mono'!D:D,0)),IF(AND(E148="Gaz",M148="Mi-saison"),INDEX('Base de données Mono'!#REF!,MATCH(B148,'Base de données Mono'!D:D,0)),IF(AND(E148="Gaz",M148="Eté"),INDEX('Base de données Mono'!#REF!,MATCH(B148,'Base de données Mono'!D:D,0)),"-"))))))</f>
        <v>50</v>
      </c>
      <c r="O148" s="123">
        <v>45380</v>
      </c>
      <c r="P148" s="123">
        <v>45381</v>
      </c>
      <c r="Q148" s="34">
        <v>70</v>
      </c>
      <c r="R148" s="33">
        <f t="shared" si="15"/>
        <v>20</v>
      </c>
      <c r="S148" s="34">
        <v>8.5</v>
      </c>
      <c r="T148" s="34">
        <f t="shared" si="12"/>
        <v>1</v>
      </c>
      <c r="U148" s="33">
        <f t="shared" si="16"/>
        <v>170</v>
      </c>
      <c r="V148" s="38" t="s">
        <v>148</v>
      </c>
      <c r="W148" s="39">
        <f t="shared" si="17"/>
        <v>0.4</v>
      </c>
      <c r="X148" s="40" t="s">
        <v>304</v>
      </c>
      <c r="Y148" s="40" t="s">
        <v>283</v>
      </c>
      <c r="Z148" s="40" t="s">
        <v>749</v>
      </c>
      <c r="AA148" s="33" t="s">
        <v>749</v>
      </c>
      <c r="AB148" s="95"/>
      <c r="AC148" s="95"/>
    </row>
    <row r="149" spans="1:29" ht="14.45" hidden="1" customHeight="1" x14ac:dyDescent="0.25">
      <c r="A149" s="36" t="str">
        <f>INDEX('Base de données Mono'!C:C,MATCH(B149,'Base de données Mono'!D:D,0))</f>
        <v>SETE</v>
      </c>
      <c r="B149" t="s">
        <v>34</v>
      </c>
      <c r="C149" s="36" t="str">
        <f>INDEX('Base de données Mono'!B:B,MATCH(B149,'Base de données Mono'!D:D,0))</f>
        <v>SES8</v>
      </c>
      <c r="D149" s="36" t="str">
        <f>INDEX('Base de données Mono'!A:A,MATCH(B149,'Base de données Mono'!D:D,0))</f>
        <v>AD</v>
      </c>
      <c r="E149" s="37" t="s">
        <v>303</v>
      </c>
      <c r="F149" s="41">
        <f t="shared" si="13"/>
        <v>13</v>
      </c>
      <c r="G149" s="41">
        <f t="shared" si="14"/>
        <v>3</v>
      </c>
      <c r="H149">
        <v>7</v>
      </c>
      <c r="I149" s="131">
        <f>INDEX('Base de données Mono'!K:K,MATCH(B149,'Base de données Mono'!D:D,0))</f>
        <v>0.23611111111111113</v>
      </c>
      <c r="J149" s="131">
        <f>INDEX('Base de données Mono'!L:L,MATCH(B149,'Base de données Mono'!D:D,0))</f>
        <v>0.85416666666666663</v>
      </c>
      <c r="K149" s="131">
        <f>INDEX('Base de données Mono'!M:M,MATCH(B149,'Base de données Mono'!D:D,0))</f>
        <v>0.29166666666666669</v>
      </c>
      <c r="L149" s="131">
        <f>INDEX('Base de données Mono'!N:N,MATCH(B149,'Base de données Mono'!D:D,0))</f>
        <v>0.54166666666666663</v>
      </c>
      <c r="M149" s="33" t="s">
        <v>811</v>
      </c>
      <c r="N149" s="33">
        <f>IF(AND(E149="Electricité",M149="Hiver"),INDEX('Base de données Mono'!E:E,MATCH(B149,'Base de données Mono'!D:D,0)),IF(AND(E149="Electricité",M149="Mi-saison"),INDEX('Base de données Mono'!F:F,MATCH(B149,'Base de données Mono'!D:D,0)),IF(AND(E149="Electricité",M149="Eté"),INDEX('Base de données Mono'!G:G,MATCH(B149,'Base de données Mono'!D:D,0)),IF(AND(E149="Gaz",M149="Hiver"),INDEX('Base de données Mono'!J:J,MATCH(B149,'Base de données Mono'!D:D,0)),IF(AND(E149="Gaz",M149="Mi-saison"),INDEX('Base de données Mono'!#REF!,MATCH(B149,'Base de données Mono'!D:D,0)),IF(AND(E149="Gaz",M149="Eté"),INDEX('Base de données Mono'!#REF!,MATCH(B149,'Base de données Mono'!D:D,0)),"-"))))))</f>
        <v>50</v>
      </c>
      <c r="O149" s="123">
        <v>45381</v>
      </c>
      <c r="P149" s="123">
        <v>45382</v>
      </c>
      <c r="Q149" s="34">
        <v>80</v>
      </c>
      <c r="R149" s="33">
        <f t="shared" si="15"/>
        <v>30</v>
      </c>
      <c r="S149" s="34">
        <v>1.3</v>
      </c>
      <c r="T149" s="34">
        <f t="shared" si="12"/>
        <v>1</v>
      </c>
      <c r="U149" s="33">
        <f t="shared" si="16"/>
        <v>39</v>
      </c>
      <c r="V149" s="38" t="s">
        <v>148</v>
      </c>
      <c r="W149" s="39">
        <f t="shared" si="17"/>
        <v>0.6</v>
      </c>
      <c r="X149" s="40" t="s">
        <v>304</v>
      </c>
      <c r="Y149" s="40" t="s">
        <v>284</v>
      </c>
      <c r="Z149" s="40" t="s">
        <v>307</v>
      </c>
      <c r="AA149" s="33" t="s">
        <v>414</v>
      </c>
      <c r="AB149" s="95"/>
      <c r="AC149" s="95"/>
    </row>
    <row r="150" spans="1:29" ht="14.45" hidden="1" customHeight="1" x14ac:dyDescent="0.25">
      <c r="A150" s="36" t="str">
        <f>INDEX('Base de données Mono'!C:C,MATCH(B150,'Base de données Mono'!D:D,0))</f>
        <v>VINCENNES</v>
      </c>
      <c r="B150" t="s">
        <v>277</v>
      </c>
      <c r="C150" s="36" t="str">
        <f>INDEX('Base de données Mono'!B:B,MATCH(B150,'Base de données Mono'!D:D,0))</f>
        <v>SES8</v>
      </c>
      <c r="D150" s="36" t="str">
        <f>INDEX('Base de données Mono'!A:A,MATCH(B150,'Base de données Mono'!D:D,0))</f>
        <v>JG</v>
      </c>
      <c r="E150" s="37" t="s">
        <v>303</v>
      </c>
      <c r="F150" s="41">
        <f t="shared" si="13"/>
        <v>13</v>
      </c>
      <c r="G150" s="41">
        <f t="shared" si="14"/>
        <v>3</v>
      </c>
      <c r="H150">
        <v>7</v>
      </c>
      <c r="I150" s="131">
        <f>INDEX('Base de données Mono'!K:K,MATCH(B150,'Base de données Mono'!D:D,0))</f>
        <v>0.24305555555555555</v>
      </c>
      <c r="J150" s="131">
        <f>INDEX('Base de données Mono'!L:L,MATCH(B150,'Base de données Mono'!D:D,0))</f>
        <v>0.91666666666666663</v>
      </c>
      <c r="K150" s="131">
        <f>INDEX('Base de données Mono'!M:M,MATCH(B150,'Base de données Mono'!D:D,0))</f>
        <v>0.28472222222222221</v>
      </c>
      <c r="L150" s="131">
        <f>INDEX('Base de données Mono'!N:N,MATCH(B150,'Base de données Mono'!D:D,0))</f>
        <v>0.56944444444444442</v>
      </c>
      <c r="M150" s="33" t="s">
        <v>811</v>
      </c>
      <c r="N150" s="33">
        <f>IF(AND(E150="Electricité",M150="Hiver"),INDEX('Base de données Mono'!E:E,MATCH(B150,'Base de données Mono'!D:D,0)),IF(AND(E150="Electricité",M150="Mi-saison"),INDEX('Base de données Mono'!F:F,MATCH(B150,'Base de données Mono'!D:D,0)),IF(AND(E150="Electricité",M150="Eté"),INDEX('Base de données Mono'!G:G,MATCH(B150,'Base de données Mono'!D:D,0)),IF(AND(E150="Gaz",M150="Hiver"),INDEX('Base de données Mono'!J:J,MATCH(B150,'Base de données Mono'!D:D,0)),IF(AND(E150="Gaz",M150="Mi-saison"),INDEX('Base de données Mono'!#REF!,MATCH(B150,'Base de données Mono'!D:D,0)),IF(AND(E150="Gaz",M150="Eté"),INDEX('Base de données Mono'!#REF!,MATCH(B150,'Base de données Mono'!D:D,0)),"-"))))))</f>
        <v>40</v>
      </c>
      <c r="O150" s="123">
        <v>45375</v>
      </c>
      <c r="P150" s="123">
        <v>45376</v>
      </c>
      <c r="Q150" s="34">
        <v>70</v>
      </c>
      <c r="R150" s="33">
        <f t="shared" si="15"/>
        <v>30</v>
      </c>
      <c r="S150" s="34">
        <v>7</v>
      </c>
      <c r="T150" s="34">
        <f t="shared" si="12"/>
        <v>1</v>
      </c>
      <c r="U150" s="33">
        <f t="shared" si="16"/>
        <v>210</v>
      </c>
      <c r="V150" s="38" t="s">
        <v>148</v>
      </c>
      <c r="W150" s="39">
        <f t="shared" si="17"/>
        <v>0.75</v>
      </c>
      <c r="X150" s="40" t="s">
        <v>304</v>
      </c>
      <c r="Y150" s="40" t="s">
        <v>284</v>
      </c>
      <c r="Z150" s="40" t="s">
        <v>305</v>
      </c>
      <c r="AA150" s="33" t="s">
        <v>771</v>
      </c>
      <c r="AB150" s="95"/>
      <c r="AC150" s="95"/>
    </row>
    <row r="151" spans="1:29" ht="14.45" hidden="1" customHeight="1" x14ac:dyDescent="0.25">
      <c r="A151" s="36" t="str">
        <f>INDEX('Base de données Mono'!C:C,MATCH(B151,'Base de données Mono'!D:D,0))</f>
        <v>VINCENNES</v>
      </c>
      <c r="B151" t="s">
        <v>277</v>
      </c>
      <c r="C151" s="36" t="str">
        <f>INDEX('Base de données Mono'!B:B,MATCH(B151,'Base de données Mono'!D:D,0))</f>
        <v>SES8</v>
      </c>
      <c r="D151" s="36" t="str">
        <f>INDEX('Base de données Mono'!A:A,MATCH(B151,'Base de données Mono'!D:D,0))</f>
        <v>JG</v>
      </c>
      <c r="E151" s="37" t="s">
        <v>303</v>
      </c>
      <c r="F151" s="41">
        <f t="shared" si="13"/>
        <v>13</v>
      </c>
      <c r="G151" s="41">
        <f t="shared" si="14"/>
        <v>3</v>
      </c>
      <c r="H151">
        <v>7</v>
      </c>
      <c r="I151" s="131">
        <f>INDEX('Base de données Mono'!K:K,MATCH(B151,'Base de données Mono'!D:D,0))</f>
        <v>0.24305555555555555</v>
      </c>
      <c r="J151" s="131">
        <f>INDEX('Base de données Mono'!L:L,MATCH(B151,'Base de données Mono'!D:D,0))</f>
        <v>0.91666666666666663</v>
      </c>
      <c r="K151" s="131">
        <f>INDEX('Base de données Mono'!M:M,MATCH(B151,'Base de données Mono'!D:D,0))</f>
        <v>0.28472222222222221</v>
      </c>
      <c r="L151" s="131">
        <f>INDEX('Base de données Mono'!N:N,MATCH(B151,'Base de données Mono'!D:D,0))</f>
        <v>0.56944444444444442</v>
      </c>
      <c r="M151" s="33" t="s">
        <v>811</v>
      </c>
      <c r="N151" s="33">
        <f>IF(AND(E151="Electricité",M151="Hiver"),INDEX('Base de données Mono'!E:E,MATCH(B151,'Base de données Mono'!D:D,0)),IF(AND(E151="Electricité",M151="Mi-saison"),INDEX('Base de données Mono'!F:F,MATCH(B151,'Base de données Mono'!D:D,0)),IF(AND(E151="Electricité",M151="Eté"),INDEX('Base de données Mono'!G:G,MATCH(B151,'Base de données Mono'!D:D,0)),IF(AND(E151="Gaz",M151="Hiver"),INDEX('Base de données Mono'!J:J,MATCH(B151,'Base de données Mono'!D:D,0)),IF(AND(E151="Gaz",M151="Mi-saison"),INDEX('Base de données Mono'!#REF!,MATCH(B151,'Base de données Mono'!D:D,0)),IF(AND(E151="Gaz",M151="Eté"),INDEX('Base de données Mono'!#REF!,MATCH(B151,'Base de données Mono'!D:D,0)),"-"))))))</f>
        <v>40</v>
      </c>
      <c r="O151" s="123">
        <v>45376</v>
      </c>
      <c r="P151" s="123">
        <v>45382</v>
      </c>
      <c r="Q151" s="34">
        <v>65</v>
      </c>
      <c r="R151" s="33">
        <f t="shared" si="15"/>
        <v>25</v>
      </c>
      <c r="S151" s="34">
        <v>2.6</v>
      </c>
      <c r="T151" s="34">
        <f t="shared" si="12"/>
        <v>6</v>
      </c>
      <c r="U151" s="33">
        <f t="shared" si="16"/>
        <v>390</v>
      </c>
      <c r="V151" s="38" t="s">
        <v>148</v>
      </c>
      <c r="W151" s="39">
        <f t="shared" si="17"/>
        <v>0.625</v>
      </c>
      <c r="X151" s="40" t="s">
        <v>304</v>
      </c>
      <c r="Y151" s="40" t="s">
        <v>284</v>
      </c>
      <c r="Z151" s="40" t="s">
        <v>305</v>
      </c>
      <c r="AA151" s="33" t="s">
        <v>771</v>
      </c>
      <c r="AB151" s="95"/>
      <c r="AC151" s="95"/>
    </row>
    <row r="152" spans="1:29" ht="14.45" hidden="1" customHeight="1" x14ac:dyDescent="0.25">
      <c r="A152" s="36" t="str">
        <f>INDEX('Base de données Mono'!C:C,MATCH(B152,'Base de données Mono'!D:D,0))</f>
        <v>VINCENNES</v>
      </c>
      <c r="B152" t="s">
        <v>277</v>
      </c>
      <c r="C152" s="36" t="str">
        <f>INDEX('Base de données Mono'!B:B,MATCH(B152,'Base de données Mono'!D:D,0))</f>
        <v>SES8</v>
      </c>
      <c r="D152" s="36" t="str">
        <f>INDEX('Base de données Mono'!A:A,MATCH(B152,'Base de données Mono'!D:D,0))</f>
        <v>JG</v>
      </c>
      <c r="E152" s="37" t="s">
        <v>303</v>
      </c>
      <c r="F152" s="41">
        <f t="shared" si="13"/>
        <v>13</v>
      </c>
      <c r="G152" s="41">
        <f t="shared" si="14"/>
        <v>3</v>
      </c>
      <c r="H152">
        <v>7</v>
      </c>
      <c r="I152" s="131">
        <f>INDEX('Base de données Mono'!K:K,MATCH(B152,'Base de données Mono'!D:D,0))</f>
        <v>0.24305555555555555</v>
      </c>
      <c r="J152" s="131">
        <f>INDEX('Base de données Mono'!L:L,MATCH(B152,'Base de données Mono'!D:D,0))</f>
        <v>0.91666666666666663</v>
      </c>
      <c r="K152" s="131">
        <f>INDEX('Base de données Mono'!M:M,MATCH(B152,'Base de données Mono'!D:D,0))</f>
        <v>0.28472222222222221</v>
      </c>
      <c r="L152" s="131">
        <f>INDEX('Base de données Mono'!N:N,MATCH(B152,'Base de données Mono'!D:D,0))</f>
        <v>0.56944444444444442</v>
      </c>
      <c r="M152" s="33" t="s">
        <v>811</v>
      </c>
      <c r="N152" s="33">
        <f>IF(AND(E152="Electricité",M152="Hiver"),INDEX('Base de données Mono'!E:E,MATCH(B152,'Base de données Mono'!D:D,0)),IF(AND(E152="Electricité",M152="Mi-saison"),INDEX('Base de données Mono'!F:F,MATCH(B152,'Base de données Mono'!D:D,0)),IF(AND(E152="Electricité",M152="Eté"),INDEX('Base de données Mono'!G:G,MATCH(B152,'Base de données Mono'!D:D,0)),IF(AND(E152="Gaz",M152="Hiver"),INDEX('Base de données Mono'!J:J,MATCH(B152,'Base de données Mono'!D:D,0)),IF(AND(E152="Gaz",M152="Mi-saison"),INDEX('Base de données Mono'!#REF!,MATCH(B152,'Base de données Mono'!D:D,0)),IF(AND(E152="Gaz",M152="Eté"),INDEX('Base de données Mono'!#REF!,MATCH(B152,'Base de données Mono'!D:D,0)),"-"))))))</f>
        <v>40</v>
      </c>
      <c r="O152" s="123">
        <v>45381</v>
      </c>
      <c r="P152" s="123">
        <v>45382</v>
      </c>
      <c r="Q152" s="34">
        <v>45</v>
      </c>
      <c r="R152" s="33">
        <f t="shared" si="15"/>
        <v>5</v>
      </c>
      <c r="S152" s="34">
        <v>1</v>
      </c>
      <c r="T152" s="34">
        <f t="shared" si="12"/>
        <v>1</v>
      </c>
      <c r="U152" s="33">
        <f t="shared" si="16"/>
        <v>5</v>
      </c>
      <c r="V152" s="38" t="s">
        <v>148</v>
      </c>
      <c r="W152" s="39">
        <f t="shared" si="17"/>
        <v>0.125</v>
      </c>
      <c r="X152" s="40" t="s">
        <v>304</v>
      </c>
      <c r="Y152" s="40" t="s">
        <v>284</v>
      </c>
      <c r="Z152" s="40" t="s">
        <v>305</v>
      </c>
      <c r="AA152" s="33" t="s">
        <v>771</v>
      </c>
      <c r="AB152" s="95"/>
      <c r="AC152" s="95"/>
    </row>
    <row r="153" spans="1:29" ht="14.45" hidden="1" customHeight="1" x14ac:dyDescent="0.25">
      <c r="A153" s="36" t="str">
        <f>INDEX('Base de données Mono'!C:C,MATCH(B153,'Base de données Mono'!D:D,0))</f>
        <v>LE VESINET</v>
      </c>
      <c r="B153" t="s">
        <v>19</v>
      </c>
      <c r="C153" s="36" t="str">
        <f>INDEX('Base de données Mono'!B:B,MATCH(B153,'Base de données Mono'!D:D,0))</f>
        <v>SES8</v>
      </c>
      <c r="D153" s="36" t="str">
        <f>INDEX('Base de données Mono'!A:A,MATCH(B153,'Base de données Mono'!D:D,0))</f>
        <v>AD</v>
      </c>
      <c r="E153" s="37" t="s">
        <v>303</v>
      </c>
      <c r="F153" s="41">
        <f t="shared" si="13"/>
        <v>13</v>
      </c>
      <c r="G153" s="41">
        <f t="shared" si="14"/>
        <v>3</v>
      </c>
      <c r="H153">
        <v>7</v>
      </c>
      <c r="I153" s="131">
        <f>INDEX('Base de données Mono'!K:K,MATCH(B153,'Base de données Mono'!D:D,0))</f>
        <v>0.24305555555555555</v>
      </c>
      <c r="J153" s="131">
        <f>INDEX('Base de données Mono'!L:L,MATCH(B153,'Base de données Mono'!D:D,0))</f>
        <v>0.89583333333333337</v>
      </c>
      <c r="K153" s="131">
        <f>INDEX('Base de données Mono'!M:M,MATCH(B153,'Base de données Mono'!D:D,0))</f>
        <v>0.29166666666666669</v>
      </c>
      <c r="L153" s="131">
        <f>INDEX('Base de données Mono'!N:N,MATCH(B153,'Base de données Mono'!D:D,0))</f>
        <v>0.5625</v>
      </c>
      <c r="M153" s="33" t="s">
        <v>811</v>
      </c>
      <c r="N153" s="33">
        <f>IF(AND(E153="Electricité",M153="Hiver"),INDEX('Base de données Mono'!E:E,MATCH(B153,'Base de données Mono'!D:D,0)),IF(AND(E153="Electricité",M153="Mi-saison"),INDEX('Base de données Mono'!F:F,MATCH(B153,'Base de données Mono'!D:D,0)),IF(AND(E153="Electricité",M153="Eté"),INDEX('Base de données Mono'!G:G,MATCH(B153,'Base de données Mono'!D:D,0)),IF(AND(E153="Gaz",M153="Hiver"),INDEX('Base de données Mono'!J:J,MATCH(B153,'Base de données Mono'!D:D,0)),IF(AND(E153="Gaz",M153="Mi-saison"),INDEX('Base de données Mono'!#REF!,MATCH(B153,'Base de données Mono'!D:D,0)),IF(AND(E153="Gaz",M153="Eté"),INDEX('Base de données Mono'!#REF!,MATCH(B153,'Base de données Mono'!D:D,0)),"-"))))))</f>
        <v>45</v>
      </c>
      <c r="O153" s="123">
        <v>45375</v>
      </c>
      <c r="P153" s="123">
        <v>45381</v>
      </c>
      <c r="Q153" s="34">
        <v>85</v>
      </c>
      <c r="R153" s="33">
        <f t="shared" si="15"/>
        <v>40</v>
      </c>
      <c r="S153" s="34">
        <v>0.3</v>
      </c>
      <c r="T153" s="34">
        <f t="shared" si="12"/>
        <v>6</v>
      </c>
      <c r="U153" s="33">
        <f t="shared" si="16"/>
        <v>72</v>
      </c>
      <c r="V153" s="38" t="s">
        <v>148</v>
      </c>
      <c r="W153" s="39">
        <f t="shared" si="17"/>
        <v>0.88888888888888884</v>
      </c>
      <c r="X153" s="40" t="s">
        <v>304</v>
      </c>
      <c r="Y153" s="40" t="s">
        <v>284</v>
      </c>
      <c r="Z153" s="40" t="s">
        <v>307</v>
      </c>
      <c r="AA153" s="33" t="s">
        <v>414</v>
      </c>
      <c r="AB153" s="95"/>
      <c r="AC153" s="95"/>
    </row>
    <row r="154" spans="1:29" ht="14.45" hidden="1" customHeight="1" x14ac:dyDescent="0.25">
      <c r="A154" s="36" t="str">
        <f>INDEX('Base de données Mono'!C:C,MATCH(B154,'Base de données Mono'!D:D,0))</f>
        <v>LE VESINET</v>
      </c>
      <c r="B154" t="s">
        <v>19</v>
      </c>
      <c r="C154" s="36" t="str">
        <f>INDEX('Base de données Mono'!B:B,MATCH(B154,'Base de données Mono'!D:D,0))</f>
        <v>SES8</v>
      </c>
      <c r="D154" s="36" t="str">
        <f>INDEX('Base de données Mono'!A:A,MATCH(B154,'Base de données Mono'!D:D,0))</f>
        <v>AD</v>
      </c>
      <c r="E154" s="37" t="s">
        <v>303</v>
      </c>
      <c r="F154" s="41">
        <f t="shared" si="13"/>
        <v>13</v>
      </c>
      <c r="G154" s="41">
        <f t="shared" si="14"/>
        <v>3</v>
      </c>
      <c r="H154">
        <v>7</v>
      </c>
      <c r="I154" s="131">
        <f>INDEX('Base de données Mono'!K:K,MATCH(B154,'Base de données Mono'!D:D,0))</f>
        <v>0.24305555555555555</v>
      </c>
      <c r="J154" s="131">
        <f>INDEX('Base de données Mono'!L:L,MATCH(B154,'Base de données Mono'!D:D,0))</f>
        <v>0.89583333333333337</v>
      </c>
      <c r="K154" s="131">
        <f>INDEX('Base de données Mono'!M:M,MATCH(B154,'Base de données Mono'!D:D,0))</f>
        <v>0.29166666666666669</v>
      </c>
      <c r="L154" s="131">
        <f>INDEX('Base de données Mono'!N:N,MATCH(B154,'Base de données Mono'!D:D,0))</f>
        <v>0.5625</v>
      </c>
      <c r="M154" s="33" t="s">
        <v>811</v>
      </c>
      <c r="N154" s="33">
        <f>IF(AND(E154="Electricité",M154="Hiver"),INDEX('Base de données Mono'!E:E,MATCH(B154,'Base de données Mono'!D:D,0)),IF(AND(E154="Electricité",M154="Mi-saison"),INDEX('Base de données Mono'!F:F,MATCH(B154,'Base de données Mono'!D:D,0)),IF(AND(E154="Electricité",M154="Eté"),INDEX('Base de données Mono'!G:G,MATCH(B154,'Base de données Mono'!D:D,0)),IF(AND(E154="Gaz",M154="Hiver"),INDEX('Base de données Mono'!J:J,MATCH(B154,'Base de données Mono'!D:D,0)),IF(AND(E154="Gaz",M154="Mi-saison"),INDEX('Base de données Mono'!#REF!,MATCH(B154,'Base de données Mono'!D:D,0)),IF(AND(E154="Gaz",M154="Eté"),INDEX('Base de données Mono'!#REF!,MATCH(B154,'Base de données Mono'!D:D,0)),"-"))))))</f>
        <v>45</v>
      </c>
      <c r="O154" s="123">
        <v>45375</v>
      </c>
      <c r="P154" s="123">
        <v>45381</v>
      </c>
      <c r="Q154" s="34">
        <v>60</v>
      </c>
      <c r="R154" s="33">
        <f t="shared" si="15"/>
        <v>15</v>
      </c>
      <c r="S154" s="34">
        <v>8</v>
      </c>
      <c r="T154" s="34">
        <f t="shared" si="12"/>
        <v>6</v>
      </c>
      <c r="U154" s="33">
        <f t="shared" si="16"/>
        <v>720</v>
      </c>
      <c r="V154" s="38" t="s">
        <v>148</v>
      </c>
      <c r="W154" s="39">
        <f t="shared" si="17"/>
        <v>0.33333333333333331</v>
      </c>
      <c r="X154" s="40" t="s">
        <v>304</v>
      </c>
      <c r="Y154" s="40" t="s">
        <v>284</v>
      </c>
      <c r="Z154" s="40" t="s">
        <v>305</v>
      </c>
      <c r="AA154" s="33" t="s">
        <v>771</v>
      </c>
      <c r="AB154" s="95"/>
      <c r="AC154" s="95"/>
    </row>
    <row r="155" spans="1:29" ht="14.45" hidden="1" customHeight="1" x14ac:dyDescent="0.25">
      <c r="A155" s="36" t="str">
        <f>INDEX('Base de données Mono'!C:C,MATCH(B155,'Base de données Mono'!D:D,0))</f>
        <v>LE VESINET</v>
      </c>
      <c r="B155" t="s">
        <v>19</v>
      </c>
      <c r="C155" s="36" t="str">
        <f>INDEX('Base de données Mono'!B:B,MATCH(B155,'Base de données Mono'!D:D,0))</f>
        <v>SES8</v>
      </c>
      <c r="D155" s="36" t="str">
        <f>INDEX('Base de données Mono'!A:A,MATCH(B155,'Base de données Mono'!D:D,0))</f>
        <v>AD</v>
      </c>
      <c r="E155" s="37" t="s">
        <v>303</v>
      </c>
      <c r="F155" s="41">
        <f t="shared" si="13"/>
        <v>13</v>
      </c>
      <c r="G155" s="41">
        <f t="shared" si="14"/>
        <v>3</v>
      </c>
      <c r="H155">
        <v>7</v>
      </c>
      <c r="I155" s="131">
        <f>INDEX('Base de données Mono'!K:K,MATCH(B155,'Base de données Mono'!D:D,0))</f>
        <v>0.24305555555555555</v>
      </c>
      <c r="J155" s="131">
        <f>INDEX('Base de données Mono'!L:L,MATCH(B155,'Base de données Mono'!D:D,0))</f>
        <v>0.89583333333333337</v>
      </c>
      <c r="K155" s="131">
        <f>INDEX('Base de données Mono'!M:M,MATCH(B155,'Base de données Mono'!D:D,0))</f>
        <v>0.29166666666666669</v>
      </c>
      <c r="L155" s="131">
        <f>INDEX('Base de données Mono'!N:N,MATCH(B155,'Base de données Mono'!D:D,0))</f>
        <v>0.5625</v>
      </c>
      <c r="M155" s="33" t="s">
        <v>811</v>
      </c>
      <c r="N155" s="33">
        <f>IF(AND(E155="Electricité",M155="Hiver"),INDEX('Base de données Mono'!E:E,MATCH(B155,'Base de données Mono'!D:D,0)),IF(AND(E155="Electricité",M155="Mi-saison"),INDEX('Base de données Mono'!F:F,MATCH(B155,'Base de données Mono'!D:D,0)),IF(AND(E155="Electricité",M155="Eté"),INDEX('Base de données Mono'!G:G,MATCH(B155,'Base de données Mono'!D:D,0)),IF(AND(E155="Gaz",M155="Hiver"),INDEX('Base de données Mono'!J:J,MATCH(B155,'Base de données Mono'!D:D,0)),IF(AND(E155="Gaz",M155="Mi-saison"),INDEX('Base de données Mono'!#REF!,MATCH(B155,'Base de données Mono'!D:D,0)),IF(AND(E155="Gaz",M155="Eté"),INDEX('Base de données Mono'!#REF!,MATCH(B155,'Base de données Mono'!D:D,0)),"-"))))))</f>
        <v>45</v>
      </c>
      <c r="O155" s="123">
        <v>45381</v>
      </c>
      <c r="P155" s="123">
        <v>45382</v>
      </c>
      <c r="Q155" s="34">
        <v>60</v>
      </c>
      <c r="R155" s="33">
        <f t="shared" si="15"/>
        <v>15</v>
      </c>
      <c r="S155" s="34">
        <v>9</v>
      </c>
      <c r="T155" s="34">
        <f t="shared" si="12"/>
        <v>1</v>
      </c>
      <c r="U155" s="33">
        <f t="shared" si="16"/>
        <v>135</v>
      </c>
      <c r="V155" s="38" t="s">
        <v>148</v>
      </c>
      <c r="W155" s="39">
        <f t="shared" si="17"/>
        <v>0.33333333333333331</v>
      </c>
      <c r="X155" s="40" t="s">
        <v>304</v>
      </c>
      <c r="Y155" s="40" t="s">
        <v>284</v>
      </c>
      <c r="Z155" s="40" t="s">
        <v>305</v>
      </c>
      <c r="AA155" s="33" t="s">
        <v>771</v>
      </c>
      <c r="AB155" s="95"/>
      <c r="AC155" s="95"/>
    </row>
    <row r="156" spans="1:29" ht="14.45" hidden="1" customHeight="1" x14ac:dyDescent="0.25">
      <c r="A156" s="36" t="str">
        <f>INDEX('Base de données Mono'!C:C,MATCH(B156,'Base de données Mono'!D:D,0))</f>
        <v>ALESIA ALI</v>
      </c>
      <c r="B156" t="s">
        <v>56</v>
      </c>
      <c r="C156" s="36" t="str">
        <f>INDEX('Base de données Mono'!B:B,MATCH(B156,'Base de données Mono'!D:D,0))</f>
        <v>SES8</v>
      </c>
      <c r="D156" s="36" t="str">
        <f>INDEX('Base de données Mono'!A:A,MATCH(B156,'Base de données Mono'!D:D,0))</f>
        <v>AD</v>
      </c>
      <c r="E156" s="37" t="s">
        <v>303</v>
      </c>
      <c r="F156" s="41">
        <f t="shared" si="13"/>
        <v>13</v>
      </c>
      <c r="G156" s="41">
        <f t="shared" si="14"/>
        <v>3</v>
      </c>
      <c r="H156">
        <v>7</v>
      </c>
      <c r="I156" s="131">
        <f>INDEX('Base de données Mono'!K:K,MATCH(B156,'Base de données Mono'!D:D,0))</f>
        <v>0.20833333333333334</v>
      </c>
      <c r="J156" s="131">
        <f>INDEX('Base de données Mono'!L:L,MATCH(B156,'Base de données Mono'!D:D,0))</f>
        <v>0.83333333333333337</v>
      </c>
      <c r="K156" s="131">
        <f>INDEX('Base de données Mono'!M:M,MATCH(B156,'Base de données Mono'!D:D,0))</f>
        <v>0.25</v>
      </c>
      <c r="L156" s="131">
        <f>INDEX('Base de données Mono'!N:N,MATCH(B156,'Base de données Mono'!D:D,0))</f>
        <v>0.54166666666666663</v>
      </c>
      <c r="M156" s="33" t="s">
        <v>811</v>
      </c>
      <c r="N156" s="33">
        <f>IF(AND(E156="Electricité",M156="Hiver"),INDEX('Base de données Mono'!E:E,MATCH(B156,'Base de données Mono'!D:D,0)),IF(AND(E156="Electricité",M156="Mi-saison"),INDEX('Base de données Mono'!F:F,MATCH(B156,'Base de données Mono'!D:D,0)),IF(AND(E156="Electricité",M156="Eté"),INDEX('Base de données Mono'!G:G,MATCH(B156,'Base de données Mono'!D:D,0)),IF(AND(E156="Gaz",M156="Hiver"),INDEX('Base de données Mono'!J:J,MATCH(B156,'Base de données Mono'!D:D,0)),IF(AND(E156="Gaz",M156="Mi-saison"),INDEX('Base de données Mono'!#REF!,MATCH(B156,'Base de données Mono'!D:D,0)),IF(AND(E156="Gaz",M156="Eté"),INDEX('Base de données Mono'!#REF!,MATCH(B156,'Base de données Mono'!D:D,0)),"-"))))))</f>
        <v>45</v>
      </c>
      <c r="O156" s="123">
        <v>45375</v>
      </c>
      <c r="P156" s="123">
        <v>45376</v>
      </c>
      <c r="Q156" s="34">
        <v>55</v>
      </c>
      <c r="R156" s="33">
        <f t="shared" si="15"/>
        <v>10</v>
      </c>
      <c r="S156" s="34">
        <v>9</v>
      </c>
      <c r="T156" s="34">
        <f t="shared" si="12"/>
        <v>1</v>
      </c>
      <c r="U156" s="33">
        <f t="shared" si="16"/>
        <v>90</v>
      </c>
      <c r="V156" s="38" t="s">
        <v>148</v>
      </c>
      <c r="W156" s="39">
        <f t="shared" si="17"/>
        <v>0.22222222222222221</v>
      </c>
      <c r="X156" s="40" t="s">
        <v>304</v>
      </c>
      <c r="Y156" s="40" t="s">
        <v>284</v>
      </c>
      <c r="Z156" s="40" t="s">
        <v>305</v>
      </c>
      <c r="AA156" s="33" t="s">
        <v>771</v>
      </c>
      <c r="AB156" s="95"/>
      <c r="AC156" s="95"/>
    </row>
    <row r="157" spans="1:29" ht="14.45" hidden="1" customHeight="1" x14ac:dyDescent="0.25">
      <c r="A157" s="36" t="str">
        <f>INDEX('Base de données Mono'!C:C,MATCH(B157,'Base de données Mono'!D:D,0))</f>
        <v>ALESIA ALI</v>
      </c>
      <c r="B157" t="s">
        <v>56</v>
      </c>
      <c r="C157" s="36" t="str">
        <f>INDEX('Base de données Mono'!B:B,MATCH(B157,'Base de données Mono'!D:D,0))</f>
        <v>SES8</v>
      </c>
      <c r="D157" s="36" t="str">
        <f>INDEX('Base de données Mono'!A:A,MATCH(B157,'Base de données Mono'!D:D,0))</f>
        <v>AD</v>
      </c>
      <c r="E157" s="37" t="s">
        <v>303</v>
      </c>
      <c r="F157" s="41">
        <f t="shared" si="13"/>
        <v>13</v>
      </c>
      <c r="G157" s="41">
        <f t="shared" si="14"/>
        <v>3</v>
      </c>
      <c r="H157">
        <v>7</v>
      </c>
      <c r="I157" s="131">
        <f>INDEX('Base de données Mono'!K:K,MATCH(B157,'Base de données Mono'!D:D,0))</f>
        <v>0.20833333333333334</v>
      </c>
      <c r="J157" s="131">
        <f>INDEX('Base de données Mono'!L:L,MATCH(B157,'Base de données Mono'!D:D,0))</f>
        <v>0.83333333333333337</v>
      </c>
      <c r="K157" s="131">
        <f>INDEX('Base de données Mono'!M:M,MATCH(B157,'Base de données Mono'!D:D,0))</f>
        <v>0.25</v>
      </c>
      <c r="L157" s="131">
        <f>INDEX('Base de données Mono'!N:N,MATCH(B157,'Base de données Mono'!D:D,0))</f>
        <v>0.54166666666666663</v>
      </c>
      <c r="M157" s="33" t="s">
        <v>811</v>
      </c>
      <c r="N157" s="33">
        <f>IF(AND(E157="Electricité",M157="Hiver"),INDEX('Base de données Mono'!E:E,MATCH(B157,'Base de données Mono'!D:D,0)),IF(AND(E157="Electricité",M157="Mi-saison"),INDEX('Base de données Mono'!F:F,MATCH(B157,'Base de données Mono'!D:D,0)),IF(AND(E157="Electricité",M157="Eté"),INDEX('Base de données Mono'!G:G,MATCH(B157,'Base de données Mono'!D:D,0)),IF(AND(E157="Gaz",M157="Hiver"),INDEX('Base de données Mono'!J:J,MATCH(B157,'Base de données Mono'!D:D,0)),IF(AND(E157="Gaz",M157="Mi-saison"),INDEX('Base de données Mono'!#REF!,MATCH(B157,'Base de données Mono'!D:D,0)),IF(AND(E157="Gaz",M157="Eté"),INDEX('Base de données Mono'!#REF!,MATCH(B157,'Base de données Mono'!D:D,0)),"-"))))))</f>
        <v>45</v>
      </c>
      <c r="O157" s="123">
        <v>45376</v>
      </c>
      <c r="P157" s="123">
        <v>45382</v>
      </c>
      <c r="Q157" s="34">
        <v>70</v>
      </c>
      <c r="R157" s="33">
        <f t="shared" si="15"/>
        <v>25</v>
      </c>
      <c r="S157" s="164">
        <v>1.6</v>
      </c>
      <c r="T157" s="34">
        <f t="shared" ref="T157:T167" si="18">P157-O157</f>
        <v>6</v>
      </c>
      <c r="U157" s="33">
        <f t="shared" si="16"/>
        <v>240</v>
      </c>
      <c r="V157" s="38" t="s">
        <v>148</v>
      </c>
      <c r="W157" s="39">
        <f t="shared" si="17"/>
        <v>0.55555555555555558</v>
      </c>
      <c r="X157" s="40" t="s">
        <v>304</v>
      </c>
      <c r="Y157" s="40" t="s">
        <v>284</v>
      </c>
      <c r="Z157" s="40" t="s">
        <v>307</v>
      </c>
      <c r="AA157" s="33" t="s">
        <v>313</v>
      </c>
      <c r="AB157" s="95"/>
      <c r="AC157" s="95"/>
    </row>
    <row r="158" spans="1:29" ht="14.45" hidden="1" customHeight="1" x14ac:dyDescent="0.25">
      <c r="A158" s="36" t="str">
        <f>INDEX('Base de données Mono'!C:C,MATCH(B158,'Base de données Mono'!D:D,0))</f>
        <v>ALESIA ALI</v>
      </c>
      <c r="B158" t="s">
        <v>56</v>
      </c>
      <c r="C158" s="36" t="str">
        <f>INDEX('Base de données Mono'!B:B,MATCH(B158,'Base de données Mono'!D:D,0))</f>
        <v>SES8</v>
      </c>
      <c r="D158" s="36" t="str">
        <f>INDEX('Base de données Mono'!A:A,MATCH(B158,'Base de données Mono'!D:D,0))</f>
        <v>AD</v>
      </c>
      <c r="E158" s="37" t="s">
        <v>303</v>
      </c>
      <c r="F158" s="41">
        <f t="shared" si="13"/>
        <v>13</v>
      </c>
      <c r="G158" s="41">
        <f t="shared" si="14"/>
        <v>3</v>
      </c>
      <c r="H158">
        <v>7</v>
      </c>
      <c r="I158" s="131">
        <f>INDEX('Base de données Mono'!K:K,MATCH(B158,'Base de données Mono'!D:D,0))</f>
        <v>0.20833333333333334</v>
      </c>
      <c r="J158" s="131">
        <f>INDEX('Base de données Mono'!L:L,MATCH(B158,'Base de données Mono'!D:D,0))</f>
        <v>0.83333333333333337</v>
      </c>
      <c r="K158" s="131">
        <f>INDEX('Base de données Mono'!M:M,MATCH(B158,'Base de données Mono'!D:D,0))</f>
        <v>0.25</v>
      </c>
      <c r="L158" s="131">
        <f>INDEX('Base de données Mono'!N:N,MATCH(B158,'Base de données Mono'!D:D,0))</f>
        <v>0.54166666666666663</v>
      </c>
      <c r="M158" s="33" t="s">
        <v>811</v>
      </c>
      <c r="N158" s="33">
        <f>IF(AND(E158="Electricité",M158="Hiver"),INDEX('Base de données Mono'!E:E,MATCH(B158,'Base de données Mono'!D:D,0)),IF(AND(E158="Electricité",M158="Mi-saison"),INDEX('Base de données Mono'!F:F,MATCH(B158,'Base de données Mono'!D:D,0)),IF(AND(E158="Electricité",M158="Eté"),INDEX('Base de données Mono'!G:G,MATCH(B158,'Base de données Mono'!D:D,0)),IF(AND(E158="Gaz",M158="Hiver"),INDEX('Base de données Mono'!J:J,MATCH(B158,'Base de données Mono'!D:D,0)),IF(AND(E158="Gaz",M158="Mi-saison"),INDEX('Base de données Mono'!#REF!,MATCH(B158,'Base de données Mono'!D:D,0)),IF(AND(E158="Gaz",M158="Eté"),INDEX('Base de données Mono'!#REF!,MATCH(B158,'Base de données Mono'!D:D,0)),"-"))))))</f>
        <v>45</v>
      </c>
      <c r="O158" s="123">
        <v>45376</v>
      </c>
      <c r="P158" s="123">
        <v>45381</v>
      </c>
      <c r="Q158" s="34">
        <v>55</v>
      </c>
      <c r="R158" s="33">
        <f t="shared" si="15"/>
        <v>10</v>
      </c>
      <c r="S158" s="34">
        <v>7.4</v>
      </c>
      <c r="T158" s="34">
        <f t="shared" si="18"/>
        <v>5</v>
      </c>
      <c r="U158" s="33">
        <f t="shared" si="16"/>
        <v>370</v>
      </c>
      <c r="V158" s="38" t="s">
        <v>148</v>
      </c>
      <c r="W158" s="39">
        <f t="shared" si="17"/>
        <v>0.22222222222222221</v>
      </c>
      <c r="X158" s="40" t="s">
        <v>304</v>
      </c>
      <c r="Y158" s="40" t="s">
        <v>284</v>
      </c>
      <c r="Z158" s="40" t="s">
        <v>305</v>
      </c>
      <c r="AA158" s="33" t="s">
        <v>771</v>
      </c>
      <c r="AB158" s="95"/>
      <c r="AC158" s="95"/>
    </row>
    <row r="159" spans="1:29" ht="14.45" hidden="1" customHeight="1" x14ac:dyDescent="0.25">
      <c r="A159" s="36" t="str">
        <f>INDEX('Base de données Mono'!C:C,MATCH(B159,'Base de données Mono'!D:D,0))</f>
        <v>ALESIA ALI</v>
      </c>
      <c r="B159" t="s">
        <v>56</v>
      </c>
      <c r="C159" s="36" t="str">
        <f>INDEX('Base de données Mono'!B:B,MATCH(B159,'Base de données Mono'!D:D,0))</f>
        <v>SES8</v>
      </c>
      <c r="D159" s="36" t="str">
        <f>INDEX('Base de données Mono'!A:A,MATCH(B159,'Base de données Mono'!D:D,0))</f>
        <v>AD</v>
      </c>
      <c r="E159" s="37" t="s">
        <v>303</v>
      </c>
      <c r="F159" s="41">
        <f t="shared" si="13"/>
        <v>13</v>
      </c>
      <c r="G159" s="41">
        <f t="shared" si="14"/>
        <v>3</v>
      </c>
      <c r="H159">
        <v>7</v>
      </c>
      <c r="I159" s="131">
        <f>INDEX('Base de données Mono'!K:K,MATCH(B159,'Base de données Mono'!D:D,0))</f>
        <v>0.20833333333333334</v>
      </c>
      <c r="J159" s="131">
        <f>INDEX('Base de données Mono'!L:L,MATCH(B159,'Base de données Mono'!D:D,0))</f>
        <v>0.83333333333333337</v>
      </c>
      <c r="K159" s="131">
        <f>INDEX('Base de données Mono'!M:M,MATCH(B159,'Base de données Mono'!D:D,0))</f>
        <v>0.25</v>
      </c>
      <c r="L159" s="131">
        <f>INDEX('Base de données Mono'!N:N,MATCH(B159,'Base de données Mono'!D:D,0))</f>
        <v>0.54166666666666663</v>
      </c>
      <c r="M159" s="33" t="s">
        <v>811</v>
      </c>
      <c r="N159" s="33">
        <f>IF(AND(E159="Electricité",M159="Hiver"),INDEX('Base de données Mono'!E:E,MATCH(B159,'Base de données Mono'!D:D,0)),IF(AND(E159="Electricité",M159="Mi-saison"),INDEX('Base de données Mono'!F:F,MATCH(B159,'Base de données Mono'!D:D,0)),IF(AND(E159="Electricité",M159="Eté"),INDEX('Base de données Mono'!G:G,MATCH(B159,'Base de données Mono'!D:D,0)),IF(AND(E159="Gaz",M159="Hiver"),INDEX('Base de données Mono'!J:J,MATCH(B159,'Base de données Mono'!D:D,0)),IF(AND(E159="Gaz",M159="Mi-saison"),INDEX('Base de données Mono'!#REF!,MATCH(B159,'Base de données Mono'!D:D,0)),IF(AND(E159="Gaz",M159="Eté"),INDEX('Base de données Mono'!#REF!,MATCH(B159,'Base de données Mono'!D:D,0)),"-"))))))</f>
        <v>45</v>
      </c>
      <c r="O159" s="123">
        <v>45381</v>
      </c>
      <c r="P159" s="123">
        <v>45382</v>
      </c>
      <c r="Q159" s="34">
        <v>55</v>
      </c>
      <c r="R159" s="33">
        <f t="shared" si="15"/>
        <v>10</v>
      </c>
      <c r="S159" s="34">
        <v>8.4</v>
      </c>
      <c r="T159" s="34">
        <f t="shared" si="18"/>
        <v>1</v>
      </c>
      <c r="U159" s="33">
        <f t="shared" si="16"/>
        <v>84</v>
      </c>
      <c r="V159" s="38" t="s">
        <v>148</v>
      </c>
      <c r="W159" s="39">
        <f t="shared" si="17"/>
        <v>0.22222222222222221</v>
      </c>
      <c r="X159" s="40" t="s">
        <v>304</v>
      </c>
      <c r="Y159" s="40" t="s">
        <v>284</v>
      </c>
      <c r="Z159" s="40" t="s">
        <v>305</v>
      </c>
      <c r="AA159" s="33" t="s">
        <v>771</v>
      </c>
      <c r="AB159" s="95"/>
      <c r="AC159" s="95"/>
    </row>
    <row r="160" spans="1:29" ht="14.45" hidden="1" customHeight="1" x14ac:dyDescent="0.25">
      <c r="A160" s="36" t="str">
        <f>INDEX('Base de données Mono'!C:C,MATCH(B160,'Base de données Mono'!D:D,0))</f>
        <v>LE COURBE</v>
      </c>
      <c r="B160" t="s">
        <v>20</v>
      </c>
      <c r="C160" s="36" t="str">
        <f>INDEX('Base de données Mono'!B:B,MATCH(B160,'Base de données Mono'!D:D,0))</f>
        <v>SES8</v>
      </c>
      <c r="D160" s="36" t="str">
        <f>INDEX('Base de données Mono'!A:A,MATCH(B160,'Base de données Mono'!D:D,0))</f>
        <v>AD</v>
      </c>
      <c r="E160" s="37" t="s">
        <v>303</v>
      </c>
      <c r="F160" s="41">
        <f t="shared" si="13"/>
        <v>13</v>
      </c>
      <c r="G160" s="41">
        <f t="shared" si="14"/>
        <v>3</v>
      </c>
      <c r="H160">
        <v>7</v>
      </c>
      <c r="I160" s="131">
        <f>INDEX('Base de données Mono'!K:K,MATCH(B160,'Base de données Mono'!D:D,0))</f>
        <v>0.24305555555555555</v>
      </c>
      <c r="J160" s="131">
        <f>INDEX('Base de données Mono'!L:L,MATCH(B160,'Base de données Mono'!D:D,0))</f>
        <v>0.875</v>
      </c>
      <c r="K160" s="131" t="str">
        <f>INDEX('Base de données Mono'!M:M,MATCH(B160,'Base de données Mono'!D:D,0))</f>
        <v>-</v>
      </c>
      <c r="L160" s="131" t="str">
        <f>INDEX('Base de données Mono'!N:N,MATCH(B160,'Base de données Mono'!D:D,0))</f>
        <v>-</v>
      </c>
      <c r="M160" s="33" t="s">
        <v>811</v>
      </c>
      <c r="N160" s="33">
        <f>IF(AND(E160="Electricité",M160="Hiver"),INDEX('Base de données Mono'!E:E,MATCH(B160,'Base de données Mono'!D:D,0)),IF(AND(E160="Electricité",M160="Mi-saison"),INDEX('Base de données Mono'!F:F,MATCH(B160,'Base de données Mono'!D:D,0)),IF(AND(E160="Electricité",M160="Eté"),INDEX('Base de données Mono'!G:G,MATCH(B160,'Base de données Mono'!D:D,0)),IF(AND(E160="Gaz",M160="Hiver"),INDEX('Base de données Mono'!J:J,MATCH(B160,'Base de données Mono'!D:D,0)),IF(AND(E160="Gaz",M160="Mi-saison"),INDEX('Base de données Mono'!#REF!,MATCH(B160,'Base de données Mono'!D:D,0)),IF(AND(E160="Gaz",M160="Eté"),INDEX('Base de données Mono'!#REF!,MATCH(B160,'Base de données Mono'!D:D,0)),"-"))))))</f>
        <v>80</v>
      </c>
      <c r="O160" s="123">
        <v>45375</v>
      </c>
      <c r="P160" s="123">
        <v>45381</v>
      </c>
      <c r="Q160" s="34">
        <v>95</v>
      </c>
      <c r="R160" s="33">
        <f t="shared" si="15"/>
        <v>15</v>
      </c>
      <c r="S160" s="34">
        <v>0.5</v>
      </c>
      <c r="T160" s="34">
        <f t="shared" si="18"/>
        <v>6</v>
      </c>
      <c r="U160" s="33">
        <f t="shared" si="16"/>
        <v>45</v>
      </c>
      <c r="V160" s="38" t="s">
        <v>148</v>
      </c>
      <c r="W160" s="39">
        <f t="shared" si="17"/>
        <v>0.1875</v>
      </c>
      <c r="X160" s="40" t="s">
        <v>304</v>
      </c>
      <c r="Y160" s="40" t="s">
        <v>284</v>
      </c>
      <c r="Z160" s="40" t="s">
        <v>307</v>
      </c>
      <c r="AA160" s="33" t="s">
        <v>414</v>
      </c>
      <c r="AB160" s="95"/>
      <c r="AC160" s="95"/>
    </row>
    <row r="161" spans="1:29" ht="14.45" hidden="1" customHeight="1" x14ac:dyDescent="0.25">
      <c r="A161" s="36" t="str">
        <f>INDEX('Base de données Mono'!C:C,MATCH(B161,'Base de données Mono'!D:D,0))</f>
        <v>LE COURBE</v>
      </c>
      <c r="B161" t="s">
        <v>20</v>
      </c>
      <c r="C161" s="36" t="str">
        <f>INDEX('Base de données Mono'!B:B,MATCH(B161,'Base de données Mono'!D:D,0))</f>
        <v>SES8</v>
      </c>
      <c r="D161" s="36" t="str">
        <f>INDEX('Base de données Mono'!A:A,MATCH(B161,'Base de données Mono'!D:D,0))</f>
        <v>AD</v>
      </c>
      <c r="E161" s="37" t="s">
        <v>303</v>
      </c>
      <c r="F161" s="41">
        <f t="shared" si="13"/>
        <v>13</v>
      </c>
      <c r="G161" s="41">
        <f t="shared" si="14"/>
        <v>3</v>
      </c>
      <c r="H161">
        <v>7</v>
      </c>
      <c r="I161" s="131">
        <f>INDEX('Base de données Mono'!K:K,MATCH(B161,'Base de données Mono'!D:D,0))</f>
        <v>0.24305555555555555</v>
      </c>
      <c r="J161" s="131">
        <f>INDEX('Base de données Mono'!L:L,MATCH(B161,'Base de données Mono'!D:D,0))</f>
        <v>0.875</v>
      </c>
      <c r="K161" s="131" t="str">
        <f>INDEX('Base de données Mono'!M:M,MATCH(B161,'Base de données Mono'!D:D,0))</f>
        <v>-</v>
      </c>
      <c r="L161" s="131" t="str">
        <f>INDEX('Base de données Mono'!N:N,MATCH(B161,'Base de données Mono'!D:D,0))</f>
        <v>-</v>
      </c>
      <c r="M161" s="33" t="s">
        <v>811</v>
      </c>
      <c r="N161" s="33">
        <f>IF(AND(E161="Electricité",M161="Hiver"),INDEX('Base de données Mono'!E:E,MATCH(B161,'Base de données Mono'!D:D,0)),IF(AND(E161="Electricité",M161="Mi-saison"),INDEX('Base de données Mono'!F:F,MATCH(B161,'Base de données Mono'!D:D,0)),IF(AND(E161="Electricité",M161="Eté"),INDEX('Base de données Mono'!G:G,MATCH(B161,'Base de données Mono'!D:D,0)),IF(AND(E161="Gaz",M161="Hiver"),INDEX('Base de données Mono'!J:J,MATCH(B161,'Base de données Mono'!D:D,0)),IF(AND(E161="Gaz",M161="Mi-saison"),INDEX('Base de données Mono'!#REF!,MATCH(B161,'Base de données Mono'!D:D,0)),IF(AND(E161="Gaz",M161="Eté"),INDEX('Base de données Mono'!#REF!,MATCH(B161,'Base de données Mono'!D:D,0)),"-"))))))</f>
        <v>80</v>
      </c>
      <c r="O161" s="123">
        <v>45375</v>
      </c>
      <c r="P161" s="123">
        <v>45382</v>
      </c>
      <c r="Q161" s="34">
        <v>105</v>
      </c>
      <c r="R161" s="33">
        <f t="shared" si="15"/>
        <v>25</v>
      </c>
      <c r="S161" s="34">
        <v>1</v>
      </c>
      <c r="T161" s="34">
        <f t="shared" si="18"/>
        <v>7</v>
      </c>
      <c r="U161" s="33">
        <f t="shared" si="16"/>
        <v>175</v>
      </c>
      <c r="V161" s="38" t="s">
        <v>148</v>
      </c>
      <c r="W161" s="39">
        <f t="shared" si="17"/>
        <v>0.3125</v>
      </c>
      <c r="X161" s="40" t="s">
        <v>304</v>
      </c>
      <c r="Y161" s="40" t="s">
        <v>284</v>
      </c>
      <c r="Z161" s="40" t="s">
        <v>307</v>
      </c>
      <c r="AA161" s="33" t="s">
        <v>313</v>
      </c>
      <c r="AB161" s="95"/>
      <c r="AC161" s="95"/>
    </row>
    <row r="162" spans="1:29" ht="14.45" hidden="1" customHeight="1" x14ac:dyDescent="0.25">
      <c r="A162" s="36" t="str">
        <f>INDEX('Base de données Mono'!C:C,MATCH(B162,'Base de données Mono'!D:D,0))</f>
        <v>AUXERRE</v>
      </c>
      <c r="B162" t="s">
        <v>399</v>
      </c>
      <c r="C162" s="36" t="str">
        <f>INDEX('Base de données Mono'!B:B,MATCH(B162,'Base de données Mono'!D:D,0))</f>
        <v>SES8</v>
      </c>
      <c r="D162" s="36" t="str">
        <f>INDEX('Base de données Mono'!A:A,MATCH(B162,'Base de données Mono'!D:D,0))</f>
        <v>JG</v>
      </c>
      <c r="E162" s="37" t="s">
        <v>303</v>
      </c>
      <c r="F162" s="41">
        <f t="shared" si="13"/>
        <v>13</v>
      </c>
      <c r="G162" s="41">
        <f t="shared" si="14"/>
        <v>3</v>
      </c>
      <c r="H162">
        <v>7</v>
      </c>
      <c r="I162" s="131">
        <f>INDEX('Base de données Mono'!K:K,MATCH(B162,'Base de données Mono'!D:D,0))</f>
        <v>0.1875</v>
      </c>
      <c r="J162" s="131">
        <f>INDEX('Base de données Mono'!L:L,MATCH(B162,'Base de données Mono'!D:D,0))</f>
        <v>0.8125</v>
      </c>
      <c r="K162" s="131">
        <f>INDEX('Base de données Mono'!M:M,MATCH(B162,'Base de données Mono'!D:D,0))</f>
        <v>0.25</v>
      </c>
      <c r="L162" s="131">
        <f>INDEX('Base de données Mono'!N:N,MATCH(B162,'Base de données Mono'!D:D,0))</f>
        <v>0.52083333333333337</v>
      </c>
      <c r="M162" s="33" t="s">
        <v>811</v>
      </c>
      <c r="N162" s="33">
        <f>IF(AND(E162="Electricité",M162="Hiver"),INDEX('Base de données Mono'!E:E,MATCH(B162,'Base de données Mono'!D:D,0)),IF(AND(E162="Electricité",M162="Mi-saison"),INDEX('Base de données Mono'!F:F,MATCH(B162,'Base de données Mono'!D:D,0)),IF(AND(E162="Electricité",M162="Eté"),INDEX('Base de données Mono'!G:G,MATCH(B162,'Base de données Mono'!D:D,0)),IF(AND(E162="Gaz",M162="Hiver"),INDEX('Base de données Mono'!J:J,MATCH(B162,'Base de données Mono'!D:D,0)),IF(AND(E162="Gaz",M162="Mi-saison"),INDEX('Base de données Mono'!#REF!,MATCH(B162,'Base de données Mono'!D:D,0)),IF(AND(E162="Gaz",M162="Eté"),INDEX('Base de données Mono'!#REF!,MATCH(B162,'Base de données Mono'!D:D,0)),"-"))))))</f>
        <v>65</v>
      </c>
      <c r="O162" s="123">
        <v>45376</v>
      </c>
      <c r="P162" s="123">
        <v>45382</v>
      </c>
      <c r="Q162" s="34">
        <v>100</v>
      </c>
      <c r="R162" s="33">
        <f t="shared" si="15"/>
        <v>35</v>
      </c>
      <c r="S162" s="34">
        <v>0.5</v>
      </c>
      <c r="T162" s="34">
        <f t="shared" si="18"/>
        <v>6</v>
      </c>
      <c r="U162" s="33">
        <f t="shared" si="16"/>
        <v>105</v>
      </c>
      <c r="V162" s="38" t="s">
        <v>148</v>
      </c>
      <c r="W162" s="39">
        <f t="shared" si="17"/>
        <v>0.53846153846153844</v>
      </c>
      <c r="X162" s="40" t="s">
        <v>304</v>
      </c>
      <c r="Y162" s="40" t="s">
        <v>284</v>
      </c>
      <c r="Z162" s="40" t="s">
        <v>307</v>
      </c>
      <c r="AA162" s="33" t="s">
        <v>313</v>
      </c>
      <c r="AB162" s="95"/>
      <c r="AC162" s="95"/>
    </row>
    <row r="163" spans="1:29" ht="14.45" hidden="1" customHeight="1" x14ac:dyDescent="0.25">
      <c r="A163" s="36" t="str">
        <f>INDEX('Base de données Mono'!C:C,MATCH(B163,'Base de données Mono'!D:D,0))</f>
        <v>COMMERCE</v>
      </c>
      <c r="B163" t="s">
        <v>110</v>
      </c>
      <c r="C163" s="36" t="str">
        <f>INDEX('Base de données Mono'!B:B,MATCH(B163,'Base de données Mono'!D:D,0))</f>
        <v>SES8</v>
      </c>
      <c r="D163" s="36" t="str">
        <f>INDEX('Base de données Mono'!A:A,MATCH(B163,'Base de données Mono'!D:D,0))</f>
        <v>AD</v>
      </c>
      <c r="E163" s="37" t="s">
        <v>303</v>
      </c>
      <c r="F163" s="41">
        <f t="shared" si="13"/>
        <v>13</v>
      </c>
      <c r="G163" s="41">
        <f t="shared" si="14"/>
        <v>3</v>
      </c>
      <c r="H163">
        <v>7</v>
      </c>
      <c r="I163" s="131">
        <f>INDEX('Base de données Mono'!K:K,MATCH(B163,'Base de données Mono'!D:D,0))</f>
        <v>0.20833333333333334</v>
      </c>
      <c r="J163" s="131">
        <f>INDEX('Base de données Mono'!L:L,MATCH(B163,'Base de données Mono'!D:D,0))</f>
        <v>0.89583333333333337</v>
      </c>
      <c r="K163" s="131">
        <f>INDEX('Base de données Mono'!M:M,MATCH(B163,'Base de données Mono'!D:D,0))</f>
        <v>0.27083333333333331</v>
      </c>
      <c r="L163" s="131">
        <f>INDEX('Base de données Mono'!N:N,MATCH(B163,'Base de données Mono'!D:D,0))</f>
        <v>0.55902777777777779</v>
      </c>
      <c r="M163" s="33" t="s">
        <v>811</v>
      </c>
      <c r="N163" s="33">
        <f>IF(AND(E163="Electricité",M163="Hiver"),INDEX('Base de données Mono'!E:E,MATCH(B163,'Base de données Mono'!D:D,0)),IF(AND(E163="Electricité",M163="Mi-saison"),INDEX('Base de données Mono'!F:F,MATCH(B163,'Base de données Mono'!D:D,0)),IF(AND(E163="Electricité",M163="Eté"),INDEX('Base de données Mono'!G:G,MATCH(B163,'Base de données Mono'!D:D,0)),IF(AND(E163="Gaz",M163="Hiver"),INDEX('Base de données Mono'!J:J,MATCH(B163,'Base de données Mono'!D:D,0)),IF(AND(E163="Gaz",M163="Mi-saison"),INDEX('Base de données Mono'!#REF!,MATCH(B163,'Base de données Mono'!D:D,0)),IF(AND(E163="Gaz",M163="Eté"),INDEX('Base de données Mono'!#REF!,MATCH(B163,'Base de données Mono'!D:D,0)),"-"))))))</f>
        <v>75</v>
      </c>
      <c r="O163" s="123">
        <v>45381</v>
      </c>
      <c r="P163" s="123">
        <v>45382</v>
      </c>
      <c r="Q163" s="34">
        <v>85</v>
      </c>
      <c r="R163" s="33">
        <f t="shared" si="15"/>
        <v>10</v>
      </c>
      <c r="S163" s="34">
        <v>1</v>
      </c>
      <c r="T163" s="34">
        <f t="shared" si="18"/>
        <v>1</v>
      </c>
      <c r="U163" s="33">
        <f t="shared" si="16"/>
        <v>10</v>
      </c>
      <c r="V163" s="38" t="s">
        <v>148</v>
      </c>
      <c r="W163" s="39">
        <f t="shared" si="17"/>
        <v>0.13333333333333333</v>
      </c>
      <c r="X163" s="40" t="s">
        <v>304</v>
      </c>
      <c r="Y163" s="40" t="s">
        <v>284</v>
      </c>
      <c r="Z163" s="40" t="s">
        <v>305</v>
      </c>
      <c r="AA163" s="33" t="s">
        <v>771</v>
      </c>
      <c r="AB163" s="95"/>
      <c r="AC163" s="95"/>
    </row>
    <row r="164" spans="1:29" ht="14.45" hidden="1" customHeight="1" x14ac:dyDescent="0.25">
      <c r="A164" s="36" t="str">
        <f>INDEX('Base de données Mono'!C:C,MATCH(B164,'Base de données Mono'!D:D,0))</f>
        <v>VERSAILLES</v>
      </c>
      <c r="B164" t="s">
        <v>38</v>
      </c>
      <c r="C164" s="36" t="str">
        <f>INDEX('Base de données Mono'!B:B,MATCH(B164,'Base de données Mono'!D:D,0))</f>
        <v>SES8</v>
      </c>
      <c r="D164" s="36" t="str">
        <f>INDEX('Base de données Mono'!A:A,MATCH(B164,'Base de données Mono'!D:D,0))</f>
        <v>AD</v>
      </c>
      <c r="E164" s="37" t="s">
        <v>303</v>
      </c>
      <c r="F164" s="41">
        <f t="shared" si="13"/>
        <v>13</v>
      </c>
      <c r="G164" s="41">
        <f t="shared" si="14"/>
        <v>3</v>
      </c>
      <c r="H164">
        <v>7</v>
      </c>
      <c r="I164" s="131">
        <f>INDEX('Base de données Mono'!K:K,MATCH(B164,'Base de données Mono'!D:D,0))</f>
        <v>0.1875</v>
      </c>
      <c r="J164" s="131">
        <f>INDEX('Base de données Mono'!L:L,MATCH(B164,'Base de données Mono'!D:D,0))</f>
        <v>0.85416666666666663</v>
      </c>
      <c r="K164" s="131" t="str">
        <f>INDEX('Base de données Mono'!M:M,MATCH(B164,'Base de données Mono'!D:D,0))</f>
        <v>-</v>
      </c>
      <c r="L164" s="131" t="str">
        <f>INDEX('Base de données Mono'!N:N,MATCH(B164,'Base de données Mono'!D:D,0))</f>
        <v>-</v>
      </c>
      <c r="M164" s="33" t="s">
        <v>811</v>
      </c>
      <c r="N164" s="33">
        <f>IF(AND(E164="Electricité",M164="Hiver"),INDEX('Base de données Mono'!E:E,MATCH(B164,'Base de données Mono'!D:D,0)),IF(AND(E164="Electricité",M164="Mi-saison"),INDEX('Base de données Mono'!F:F,MATCH(B164,'Base de données Mono'!D:D,0)),IF(AND(E164="Electricité",M164="Eté"),INDEX('Base de données Mono'!G:G,MATCH(B164,'Base de données Mono'!D:D,0)),IF(AND(E164="Gaz",M164="Hiver"),INDEX('Base de données Mono'!J:J,MATCH(B164,'Base de données Mono'!D:D,0)),IF(AND(E164="Gaz",M164="Mi-saison"),INDEX('Base de données Mono'!#REF!,MATCH(B164,'Base de données Mono'!D:D,0)),IF(AND(E164="Gaz",M164="Eté"),INDEX('Base de données Mono'!#REF!,MATCH(B164,'Base de données Mono'!D:D,0)),"-"))))))</f>
        <v>80</v>
      </c>
      <c r="O164" s="123">
        <v>45376</v>
      </c>
      <c r="P164" s="123">
        <v>45378</v>
      </c>
      <c r="Q164" s="34">
        <v>135</v>
      </c>
      <c r="R164" s="33">
        <f t="shared" si="15"/>
        <v>55</v>
      </c>
      <c r="S164" s="34">
        <v>0.3</v>
      </c>
      <c r="T164" s="34">
        <f t="shared" si="18"/>
        <v>2</v>
      </c>
      <c r="U164" s="33">
        <f t="shared" si="16"/>
        <v>33</v>
      </c>
      <c r="V164" s="38" t="s">
        <v>148</v>
      </c>
      <c r="W164" s="39">
        <f t="shared" si="17"/>
        <v>0.6875</v>
      </c>
      <c r="X164" s="40" t="s">
        <v>304</v>
      </c>
      <c r="Y164" s="40" t="s">
        <v>284</v>
      </c>
      <c r="Z164" s="40" t="s">
        <v>307</v>
      </c>
      <c r="AA164" s="33" t="s">
        <v>313</v>
      </c>
      <c r="AB164" s="95"/>
      <c r="AC164" s="95"/>
    </row>
    <row r="165" spans="1:29" ht="14.45" hidden="1" customHeight="1" x14ac:dyDescent="0.25">
      <c r="A165" s="36" t="str">
        <f>INDEX('Base de données Mono'!C:C,MATCH(B165,'Base de données Mono'!D:D,0))</f>
        <v>VERSAILLES</v>
      </c>
      <c r="B165" t="s">
        <v>38</v>
      </c>
      <c r="C165" s="36" t="str">
        <f>INDEX('Base de données Mono'!B:B,MATCH(B165,'Base de données Mono'!D:D,0))</f>
        <v>SES8</v>
      </c>
      <c r="D165" s="36" t="str">
        <f>INDEX('Base de données Mono'!A:A,MATCH(B165,'Base de données Mono'!D:D,0))</f>
        <v>AD</v>
      </c>
      <c r="E165" s="37" t="s">
        <v>303</v>
      </c>
      <c r="F165" s="41">
        <f t="shared" si="13"/>
        <v>13</v>
      </c>
      <c r="G165" s="41">
        <f t="shared" si="14"/>
        <v>3</v>
      </c>
      <c r="H165">
        <v>7</v>
      </c>
      <c r="I165" s="131">
        <f>INDEX('Base de données Mono'!K:K,MATCH(B165,'Base de données Mono'!D:D,0))</f>
        <v>0.1875</v>
      </c>
      <c r="J165" s="131">
        <f>INDEX('Base de données Mono'!L:L,MATCH(B165,'Base de données Mono'!D:D,0))</f>
        <v>0.85416666666666663</v>
      </c>
      <c r="K165" s="131" t="str">
        <f>INDEX('Base de données Mono'!M:M,MATCH(B165,'Base de données Mono'!D:D,0))</f>
        <v>-</v>
      </c>
      <c r="L165" s="131" t="str">
        <f>INDEX('Base de données Mono'!N:N,MATCH(B165,'Base de données Mono'!D:D,0))</f>
        <v>-</v>
      </c>
      <c r="M165" s="33" t="s">
        <v>811</v>
      </c>
      <c r="N165" s="33">
        <f>IF(AND(E165="Electricité",M165="Hiver"),INDEX('Base de données Mono'!E:E,MATCH(B165,'Base de données Mono'!D:D,0)),IF(AND(E165="Electricité",M165="Mi-saison"),INDEX('Base de données Mono'!F:F,MATCH(B165,'Base de données Mono'!D:D,0)),IF(AND(E165="Electricité",M165="Eté"),INDEX('Base de données Mono'!G:G,MATCH(B165,'Base de données Mono'!D:D,0)),IF(AND(E165="Gaz",M165="Hiver"),INDEX('Base de données Mono'!J:J,MATCH(B165,'Base de données Mono'!D:D,0)),IF(AND(E165="Gaz",M165="Mi-saison"),INDEX('Base de données Mono'!#REF!,MATCH(B165,'Base de données Mono'!D:D,0)),IF(AND(E165="Gaz",M165="Eté"),INDEX('Base de données Mono'!#REF!,MATCH(B165,'Base de données Mono'!D:D,0)),"-"))))))</f>
        <v>80</v>
      </c>
      <c r="O165" s="123">
        <v>45377</v>
      </c>
      <c r="P165" s="123">
        <v>45378</v>
      </c>
      <c r="Q165" s="34">
        <v>90</v>
      </c>
      <c r="R165" s="33">
        <f t="shared" si="15"/>
        <v>10</v>
      </c>
      <c r="S165" s="34">
        <v>6</v>
      </c>
      <c r="T165" s="34">
        <f t="shared" si="18"/>
        <v>1</v>
      </c>
      <c r="U165" s="33">
        <f t="shared" si="16"/>
        <v>60</v>
      </c>
      <c r="V165" s="38" t="s">
        <v>148</v>
      </c>
      <c r="W165" s="39">
        <f t="shared" si="17"/>
        <v>0.125</v>
      </c>
      <c r="X165" s="40" t="s">
        <v>304</v>
      </c>
      <c r="Y165" s="40" t="s">
        <v>284</v>
      </c>
      <c r="Z165" s="40" t="s">
        <v>305</v>
      </c>
      <c r="AA165" s="33" t="s">
        <v>771</v>
      </c>
      <c r="AB165" s="95"/>
      <c r="AC165" s="95"/>
    </row>
    <row r="166" spans="1:29" ht="14.45" hidden="1" customHeight="1" x14ac:dyDescent="0.25">
      <c r="A166" s="36" t="str">
        <f>INDEX('Base de données Mono'!C:C,MATCH(B166,'Base de données Mono'!D:D,0))</f>
        <v>VERSAILLES</v>
      </c>
      <c r="B166" t="s">
        <v>38</v>
      </c>
      <c r="C166" s="36" t="str">
        <f>INDEX('Base de données Mono'!B:B,MATCH(B166,'Base de données Mono'!D:D,0))</f>
        <v>SES8</v>
      </c>
      <c r="D166" s="36" t="str">
        <f>INDEX('Base de données Mono'!A:A,MATCH(B166,'Base de données Mono'!D:D,0))</f>
        <v>AD</v>
      </c>
      <c r="E166" s="37" t="s">
        <v>303</v>
      </c>
      <c r="F166" s="41">
        <f t="shared" si="13"/>
        <v>13</v>
      </c>
      <c r="G166" s="41">
        <f t="shared" si="14"/>
        <v>3</v>
      </c>
      <c r="H166">
        <v>7</v>
      </c>
      <c r="I166" s="131">
        <f>INDEX('Base de données Mono'!K:K,MATCH(B166,'Base de données Mono'!D:D,0))</f>
        <v>0.1875</v>
      </c>
      <c r="J166" s="131">
        <f>INDEX('Base de données Mono'!L:L,MATCH(B166,'Base de données Mono'!D:D,0))</f>
        <v>0.85416666666666663</v>
      </c>
      <c r="K166" s="131" t="str">
        <f>INDEX('Base de données Mono'!M:M,MATCH(B166,'Base de données Mono'!D:D,0))</f>
        <v>-</v>
      </c>
      <c r="L166" s="131" t="str">
        <f>INDEX('Base de données Mono'!N:N,MATCH(B166,'Base de données Mono'!D:D,0))</f>
        <v>-</v>
      </c>
      <c r="M166" s="33" t="s">
        <v>811</v>
      </c>
      <c r="N166" s="33">
        <f>IF(AND(E166="Electricité",M166="Hiver"),INDEX('Base de données Mono'!E:E,MATCH(B166,'Base de données Mono'!D:D,0)),IF(AND(E166="Electricité",M166="Mi-saison"),INDEX('Base de données Mono'!F:F,MATCH(B166,'Base de données Mono'!D:D,0)),IF(AND(E166="Electricité",M166="Eté"),INDEX('Base de données Mono'!G:G,MATCH(B166,'Base de données Mono'!D:D,0)),IF(AND(E166="Gaz",M166="Hiver"),INDEX('Base de données Mono'!J:J,MATCH(B166,'Base de données Mono'!D:D,0)),IF(AND(E166="Gaz",M166="Mi-saison"),INDEX('Base de données Mono'!#REF!,MATCH(B166,'Base de données Mono'!D:D,0)),IF(AND(E166="Gaz",M166="Eté"),INDEX('Base de données Mono'!#REF!,MATCH(B166,'Base de données Mono'!D:D,0)),"-"))))))</f>
        <v>80</v>
      </c>
      <c r="O166" s="123">
        <v>45378</v>
      </c>
      <c r="P166" s="123">
        <v>45379</v>
      </c>
      <c r="Q166" s="34">
        <v>125</v>
      </c>
      <c r="R166" s="33">
        <f t="shared" si="15"/>
        <v>45</v>
      </c>
      <c r="S166" s="34">
        <v>8</v>
      </c>
      <c r="T166" s="34">
        <f t="shared" si="18"/>
        <v>1</v>
      </c>
      <c r="U166" s="33">
        <f t="shared" si="16"/>
        <v>360</v>
      </c>
      <c r="V166" s="38" t="s">
        <v>148</v>
      </c>
      <c r="W166" s="39">
        <f t="shared" si="17"/>
        <v>0.5625</v>
      </c>
      <c r="X166" s="40" t="s">
        <v>304</v>
      </c>
      <c r="Y166" s="40" t="s">
        <v>284</v>
      </c>
      <c r="Z166" s="40" t="s">
        <v>311</v>
      </c>
      <c r="AA166" s="33" t="s">
        <v>775</v>
      </c>
      <c r="AB166" s="95"/>
      <c r="AC166" s="95"/>
    </row>
    <row r="167" spans="1:29" ht="14.45" hidden="1" customHeight="1" x14ac:dyDescent="0.25">
      <c r="A167" s="36" t="str">
        <f>INDEX('Base de données Mono'!C:C,MATCH(B167,'Base de données Mono'!D:D,0))</f>
        <v>VERSAILLES</v>
      </c>
      <c r="B167" t="s">
        <v>38</v>
      </c>
      <c r="C167" s="36" t="str">
        <f>INDEX('Base de données Mono'!B:B,MATCH(B167,'Base de données Mono'!D:D,0))</f>
        <v>SES8</v>
      </c>
      <c r="D167" s="36" t="str">
        <f>INDEX('Base de données Mono'!A:A,MATCH(B167,'Base de données Mono'!D:D,0))</f>
        <v>AD</v>
      </c>
      <c r="E167" s="37" t="s">
        <v>303</v>
      </c>
      <c r="F167" s="41">
        <f t="shared" si="13"/>
        <v>13</v>
      </c>
      <c r="G167" s="41">
        <f t="shared" si="14"/>
        <v>3</v>
      </c>
      <c r="H167">
        <v>7</v>
      </c>
      <c r="I167" s="131">
        <f>INDEX('Base de données Mono'!K:K,MATCH(B167,'Base de données Mono'!D:D,0))</f>
        <v>0.1875</v>
      </c>
      <c r="J167" s="131">
        <f>INDEX('Base de données Mono'!L:L,MATCH(B167,'Base de données Mono'!D:D,0))</f>
        <v>0.85416666666666663</v>
      </c>
      <c r="K167" s="131" t="str">
        <f>INDEX('Base de données Mono'!M:M,MATCH(B167,'Base de données Mono'!D:D,0))</f>
        <v>-</v>
      </c>
      <c r="L167" s="131" t="str">
        <f>INDEX('Base de données Mono'!N:N,MATCH(B167,'Base de données Mono'!D:D,0))</f>
        <v>-</v>
      </c>
      <c r="M167" s="33" t="s">
        <v>811</v>
      </c>
      <c r="N167" s="33">
        <f>IF(AND(E167="Electricité",M167="Hiver"),INDEX('Base de données Mono'!E:E,MATCH(B167,'Base de données Mono'!D:D,0)),IF(AND(E167="Electricité",M167="Mi-saison"),INDEX('Base de données Mono'!F:F,MATCH(B167,'Base de données Mono'!D:D,0)),IF(AND(E167="Electricité",M167="Eté"),INDEX('Base de données Mono'!G:G,MATCH(B167,'Base de données Mono'!D:D,0)),IF(AND(E167="Gaz",M167="Hiver"),INDEX('Base de données Mono'!J:J,MATCH(B167,'Base de données Mono'!D:D,0)),IF(AND(E167="Gaz",M167="Mi-saison"),INDEX('Base de données Mono'!#REF!,MATCH(B167,'Base de données Mono'!D:D,0)),IF(AND(E167="Gaz",M167="Eté"),INDEX('Base de données Mono'!#REF!,MATCH(B167,'Base de données Mono'!D:D,0)),"-"))))))</f>
        <v>80</v>
      </c>
      <c r="O167" s="123">
        <v>45379</v>
      </c>
      <c r="P167" s="123">
        <v>45382</v>
      </c>
      <c r="Q167" s="34">
        <v>135</v>
      </c>
      <c r="R167" s="33">
        <f t="shared" si="15"/>
        <v>55</v>
      </c>
      <c r="S167" s="34">
        <v>0.3</v>
      </c>
      <c r="T167" s="34">
        <f t="shared" si="18"/>
        <v>3</v>
      </c>
      <c r="U167" s="33">
        <f t="shared" si="16"/>
        <v>49.5</v>
      </c>
      <c r="V167" s="38" t="s">
        <v>148</v>
      </c>
      <c r="W167" s="39">
        <f t="shared" si="17"/>
        <v>0.6875</v>
      </c>
      <c r="X167" s="40" t="s">
        <v>304</v>
      </c>
      <c r="Y167" s="40" t="s">
        <v>284</v>
      </c>
      <c r="Z167" s="40" t="s">
        <v>307</v>
      </c>
      <c r="AA167" s="33" t="s">
        <v>313</v>
      </c>
      <c r="AB167" s="95"/>
      <c r="AC167" s="95"/>
    </row>
    <row r="168" spans="1:29" ht="14.45" hidden="1" customHeight="1" x14ac:dyDescent="0.25">
      <c r="A168" s="36" t="str">
        <f>INDEX('Base de données Mono'!C:C,MATCH(B168,'Base de données Mono'!D:D,0))</f>
        <v>MOZART</v>
      </c>
      <c r="B168" t="s">
        <v>27</v>
      </c>
      <c r="C168" s="36" t="str">
        <f>INDEX('Base de données Mono'!B:B,MATCH(B168,'Base de données Mono'!D:D,0))</f>
        <v>SES8</v>
      </c>
      <c r="D168" s="36" t="str">
        <f>INDEX('Base de données Mono'!A:A,MATCH(B168,'Base de données Mono'!D:D,0))</f>
        <v>AD</v>
      </c>
      <c r="E168" s="37" t="s">
        <v>303</v>
      </c>
      <c r="F168" s="41">
        <f t="shared" si="13"/>
        <v>13</v>
      </c>
      <c r="G168" s="41">
        <f t="shared" si="14"/>
        <v>3</v>
      </c>
      <c r="H168">
        <v>9</v>
      </c>
      <c r="I168" s="131">
        <f>INDEX('Base de données Mono'!K:K,MATCH(B168,'Base de données Mono'!D:D,0))</f>
        <v>0.23611111111111113</v>
      </c>
      <c r="J168" s="131">
        <f>INDEX('Base de données Mono'!L:L,MATCH(B168,'Base de données Mono'!D:D,0))</f>
        <v>0.92708333333333337</v>
      </c>
      <c r="K168" s="131">
        <f>INDEX('Base de données Mono'!M:M,MATCH(B168,'Base de données Mono'!D:D,0))</f>
        <v>0.23611111111111113</v>
      </c>
      <c r="L168" s="131">
        <f>INDEX('Base de données Mono'!N:N,MATCH(B168,'Base de données Mono'!D:D,0))</f>
        <v>0.54166666666666663</v>
      </c>
      <c r="M168" s="33" t="s">
        <v>811</v>
      </c>
      <c r="N168" s="33">
        <f>IF(AND(E168="Electricité",M168="Hiver"),INDEX('Base de données Mono'!E:E,MATCH(B168,'Base de données Mono'!D:D,0)),IF(AND(E168="Electricité",M168="Mi-saison"),INDEX('Base de données Mono'!F:F,MATCH(B168,'Base de données Mono'!D:D,0)),IF(AND(E168="Electricité",M168="Eté"),INDEX('Base de données Mono'!G:G,MATCH(B168,'Base de données Mono'!D:D,0)),IF(AND(E168="Gaz",M168="Hiver"),INDEX('Base de données Mono'!J:J,MATCH(B168,'Base de données Mono'!D:D,0)),IF(AND(E168="Gaz",M168="Mi-saison"),INDEX('Base de données Mono'!#REF!,MATCH(B168,'Base de données Mono'!D:D,0)),IF(AND(E168="Gaz",M168="Eté"),INDEX('Base de données Mono'!#REF!,MATCH(B168,'Base de données Mono'!D:D,0)),"-"))))))</f>
        <v>35</v>
      </c>
      <c r="O168" s="123">
        <v>45382</v>
      </c>
      <c r="P168" s="123">
        <v>45382</v>
      </c>
      <c r="Q168" s="34">
        <v>95</v>
      </c>
      <c r="R168" s="33">
        <f t="shared" si="15"/>
        <v>60</v>
      </c>
      <c r="S168" s="34">
        <v>7</v>
      </c>
      <c r="T168" s="34">
        <v>1</v>
      </c>
      <c r="U168" s="33">
        <f t="shared" si="16"/>
        <v>420</v>
      </c>
      <c r="V168" s="38" t="s">
        <v>148</v>
      </c>
      <c r="W168" s="39">
        <f t="shared" si="17"/>
        <v>1.7142857142857142</v>
      </c>
      <c r="X168" s="40" t="s">
        <v>730</v>
      </c>
      <c r="Y168" s="40" t="s">
        <v>284</v>
      </c>
      <c r="Z168" s="40" t="s">
        <v>307</v>
      </c>
      <c r="AA168" s="33" t="s">
        <v>308</v>
      </c>
      <c r="AB168" s="95"/>
      <c r="AC168" s="95"/>
    </row>
    <row r="169" spans="1:29" ht="14.45" hidden="1" customHeight="1" x14ac:dyDescent="0.25">
      <c r="A169" s="36" t="str">
        <f>INDEX('Base de données Mono'!C:C,MATCH(B169,'Base de données Mono'!D:D,0))</f>
        <v>VIENNE PYRAMIDE</v>
      </c>
      <c r="B169" t="s">
        <v>271</v>
      </c>
      <c r="C169" s="36" t="str">
        <f>INDEX('Base de données Mono'!B:B,MATCH(B169,'Base de données Mono'!D:D,0))</f>
        <v>Franchisés</v>
      </c>
      <c r="D169" s="36" t="str">
        <f>INDEX('Base de données Mono'!A:A,MATCH(B169,'Base de données Mono'!D:D,0))</f>
        <v>AD</v>
      </c>
      <c r="E169" s="37" t="s">
        <v>303</v>
      </c>
      <c r="F169" s="41">
        <f t="shared" si="13"/>
        <v>13</v>
      </c>
      <c r="G169" s="41">
        <f t="shared" si="14"/>
        <v>3</v>
      </c>
      <c r="H169">
        <v>9</v>
      </c>
      <c r="I169" s="131">
        <f>INDEX('Base de données Mono'!K:K,MATCH(B169,'Base de données Mono'!D:D,0))</f>
        <v>0.24305555555555555</v>
      </c>
      <c r="J169" s="131">
        <f>INDEX('Base de données Mono'!L:L,MATCH(B169,'Base de données Mono'!D:D,0))</f>
        <v>0.83333333333333337</v>
      </c>
      <c r="K169" s="131">
        <f>INDEX('Base de données Mono'!M:M,MATCH(B169,'Base de données Mono'!D:D,0))</f>
        <v>0.29166666666666669</v>
      </c>
      <c r="L169" s="131">
        <f>INDEX('Base de données Mono'!N:N,MATCH(B169,'Base de données Mono'!D:D,0))</f>
        <v>0.54166666666666663</v>
      </c>
      <c r="M169" s="33" t="s">
        <v>811</v>
      </c>
      <c r="N169" s="33">
        <f>IF(AND(E169="Electricité",M169="Hiver"),INDEX('Base de données Mono'!E:E,MATCH(B169,'Base de données Mono'!D:D,0)),IF(AND(E169="Electricité",M169="Mi-saison"),INDEX('Base de données Mono'!F:F,MATCH(B169,'Base de données Mono'!D:D,0)),IF(AND(E169="Electricité",M169="Eté"),INDEX('Base de données Mono'!G:G,MATCH(B169,'Base de données Mono'!D:D,0)),IF(AND(E169="Gaz",M169="Hiver"),INDEX('Base de données Mono'!J:J,MATCH(B169,'Base de données Mono'!D:D,0)),IF(AND(E169="Gaz",M169="Mi-saison"),INDEX('Base de données Mono'!#REF!,MATCH(B169,'Base de données Mono'!D:D,0)),IF(AND(E169="Gaz",M169="Eté"),INDEX('Base de données Mono'!#REF!,MATCH(B169,'Base de données Mono'!D:D,0)),"-"))))))</f>
        <v>45</v>
      </c>
      <c r="O169" s="123">
        <v>45382</v>
      </c>
      <c r="P169" s="123">
        <v>45382</v>
      </c>
      <c r="Q169" s="34">
        <v>50</v>
      </c>
      <c r="R169" s="33">
        <f t="shared" si="15"/>
        <v>5</v>
      </c>
      <c r="S169" s="34">
        <v>7</v>
      </c>
      <c r="T169" s="34">
        <v>1</v>
      </c>
      <c r="U169" s="33">
        <f t="shared" si="16"/>
        <v>35</v>
      </c>
      <c r="V169" s="38" t="s">
        <v>148</v>
      </c>
      <c r="W169" s="39">
        <f t="shared" si="17"/>
        <v>0.1111111111111111</v>
      </c>
      <c r="X169" s="40" t="s">
        <v>730</v>
      </c>
      <c r="Y169" s="40" t="s">
        <v>284</v>
      </c>
      <c r="Z169" s="40" t="s">
        <v>305</v>
      </c>
      <c r="AA169" s="33" t="s">
        <v>771</v>
      </c>
      <c r="AB169" s="95"/>
      <c r="AC169" s="95"/>
    </row>
    <row r="170" spans="1:29" ht="14.45" hidden="1" customHeight="1" x14ac:dyDescent="0.25">
      <c r="A170" s="36" t="str">
        <f>INDEX('Base de données Mono'!C:C,MATCH(B170,'Base de données Mono'!D:D,0))</f>
        <v>FONTENAY SOUS BOIS</v>
      </c>
      <c r="B170" t="s">
        <v>131</v>
      </c>
      <c r="C170" s="36" t="str">
        <f>INDEX('Base de données Mono'!B:B,MATCH(B170,'Base de données Mono'!D:D,0))</f>
        <v>SES8</v>
      </c>
      <c r="D170" s="36" t="str">
        <f>INDEX('Base de données Mono'!A:A,MATCH(B170,'Base de données Mono'!D:D,0))</f>
        <v>JG</v>
      </c>
      <c r="E170" s="37" t="s">
        <v>303</v>
      </c>
      <c r="F170" s="41">
        <f t="shared" si="13"/>
        <v>13</v>
      </c>
      <c r="G170" s="41">
        <f t="shared" si="14"/>
        <v>3</v>
      </c>
      <c r="H170">
        <v>9</v>
      </c>
      <c r="I170" s="131">
        <f>INDEX('Base de données Mono'!K:K,MATCH(B170,'Base de données Mono'!D:D,0))</f>
        <v>0.24305555555555555</v>
      </c>
      <c r="J170" s="131">
        <f>INDEX('Base de données Mono'!L:L,MATCH(B170,'Base de données Mono'!D:D,0))</f>
        <v>0.89583333333333337</v>
      </c>
      <c r="K170" s="131">
        <f>INDEX('Base de données Mono'!M:M,MATCH(B170,'Base de données Mono'!D:D,0))</f>
        <v>0.27083333333333331</v>
      </c>
      <c r="L170" s="131">
        <f>INDEX('Base de données Mono'!N:N,MATCH(B170,'Base de données Mono'!D:D,0))</f>
        <v>0.5625</v>
      </c>
      <c r="M170" s="33" t="s">
        <v>811</v>
      </c>
      <c r="N170" s="33">
        <f>IF(AND(E170="Electricité",M170="Hiver"),INDEX('Base de données Mono'!E:E,MATCH(B170,'Base de données Mono'!D:D,0)),IF(AND(E170="Electricité",M170="Mi-saison"),INDEX('Base de données Mono'!F:F,MATCH(B170,'Base de données Mono'!D:D,0)),IF(AND(E170="Electricité",M170="Eté"),INDEX('Base de données Mono'!G:G,MATCH(B170,'Base de données Mono'!D:D,0)),IF(AND(E170="Gaz",M170="Hiver"),INDEX('Base de données Mono'!J:J,MATCH(B170,'Base de données Mono'!D:D,0)),IF(AND(E170="Gaz",M170="Mi-saison"),INDEX('Base de données Mono'!#REF!,MATCH(B170,'Base de données Mono'!D:D,0)),IF(AND(E170="Gaz",M170="Eté"),INDEX('Base de données Mono'!#REF!,MATCH(B170,'Base de données Mono'!D:D,0)),"-"))))))</f>
        <v>55</v>
      </c>
      <c r="O170" s="123">
        <v>45382</v>
      </c>
      <c r="P170" s="123">
        <v>45382</v>
      </c>
      <c r="Q170" s="34">
        <v>105</v>
      </c>
      <c r="R170" s="33">
        <f t="shared" si="15"/>
        <v>50</v>
      </c>
      <c r="S170" s="34">
        <v>6</v>
      </c>
      <c r="T170" s="34">
        <v>1</v>
      </c>
      <c r="U170" s="33">
        <f t="shared" si="16"/>
        <v>300</v>
      </c>
      <c r="V170" s="38" t="s">
        <v>148</v>
      </c>
      <c r="W170" s="39">
        <f t="shared" si="17"/>
        <v>0.90909090909090906</v>
      </c>
      <c r="X170" s="40" t="s">
        <v>730</v>
      </c>
      <c r="Y170" s="40" t="s">
        <v>284</v>
      </c>
      <c r="Z170" s="40" t="s">
        <v>307</v>
      </c>
      <c r="AA170" s="33" t="s">
        <v>308</v>
      </c>
      <c r="AB170" s="95"/>
      <c r="AC170" s="95"/>
    </row>
    <row r="171" spans="1:29" ht="14.45" hidden="1" customHeight="1" x14ac:dyDescent="0.25">
      <c r="A171" s="36" t="str">
        <f>INDEX('Base de données Mono'!C:C,MATCH(B171,'Base de données Mono'!D:D,0))</f>
        <v>FONTENAY SOUS BOIS</v>
      </c>
      <c r="B171" t="s">
        <v>131</v>
      </c>
      <c r="C171" s="36" t="str">
        <f>INDEX('Base de données Mono'!B:B,MATCH(B171,'Base de données Mono'!D:D,0))</f>
        <v>SES8</v>
      </c>
      <c r="D171" s="36" t="str">
        <f>INDEX('Base de données Mono'!A:A,MATCH(B171,'Base de données Mono'!D:D,0))</f>
        <v>JG</v>
      </c>
      <c r="E171" s="37" t="s">
        <v>303</v>
      </c>
      <c r="F171" s="41">
        <f t="shared" si="13"/>
        <v>13</v>
      </c>
      <c r="G171" s="41">
        <f t="shared" si="14"/>
        <v>3</v>
      </c>
      <c r="H171">
        <v>9</v>
      </c>
      <c r="I171" s="131">
        <f>INDEX('Base de données Mono'!K:K,MATCH(B171,'Base de données Mono'!D:D,0))</f>
        <v>0.24305555555555555</v>
      </c>
      <c r="J171" s="131">
        <f>INDEX('Base de données Mono'!L:L,MATCH(B171,'Base de données Mono'!D:D,0))</f>
        <v>0.89583333333333337</v>
      </c>
      <c r="K171" s="131">
        <f>INDEX('Base de données Mono'!M:M,MATCH(B171,'Base de données Mono'!D:D,0))</f>
        <v>0.27083333333333331</v>
      </c>
      <c r="L171" s="131">
        <f>INDEX('Base de données Mono'!N:N,MATCH(B171,'Base de données Mono'!D:D,0))</f>
        <v>0.5625</v>
      </c>
      <c r="M171" s="33" t="s">
        <v>811</v>
      </c>
      <c r="N171" s="33">
        <f>IF(AND(E171="Electricité",M171="Hiver"),INDEX('Base de données Mono'!E:E,MATCH(B171,'Base de données Mono'!D:D,0)),IF(AND(E171="Electricité",M171="Mi-saison"),INDEX('Base de données Mono'!F:F,MATCH(B171,'Base de données Mono'!D:D,0)),IF(AND(E171="Electricité",M171="Eté"),INDEX('Base de données Mono'!G:G,MATCH(B171,'Base de données Mono'!D:D,0)),IF(AND(E171="Gaz",M171="Hiver"),INDEX('Base de données Mono'!J:J,MATCH(B171,'Base de données Mono'!D:D,0)),IF(AND(E171="Gaz",M171="Mi-saison"),INDEX('Base de données Mono'!#REF!,MATCH(B171,'Base de données Mono'!D:D,0)),IF(AND(E171="Gaz",M171="Eté"),INDEX('Base de données Mono'!#REF!,MATCH(B171,'Base de données Mono'!D:D,0)),"-"))))))</f>
        <v>55</v>
      </c>
      <c r="O171" s="123">
        <v>45382</v>
      </c>
      <c r="P171" s="123">
        <v>45382</v>
      </c>
      <c r="Q171" s="34">
        <v>65</v>
      </c>
      <c r="R171" s="33">
        <f t="shared" si="15"/>
        <v>10</v>
      </c>
      <c r="S171" s="34">
        <v>2</v>
      </c>
      <c r="T171" s="34">
        <v>1</v>
      </c>
      <c r="U171" s="33">
        <f t="shared" si="16"/>
        <v>20</v>
      </c>
      <c r="V171" s="38" t="s">
        <v>148</v>
      </c>
      <c r="W171" s="39">
        <f t="shared" si="17"/>
        <v>0.18181818181818182</v>
      </c>
      <c r="X171" s="40" t="s">
        <v>730</v>
      </c>
      <c r="Y171" s="40" t="s">
        <v>284</v>
      </c>
      <c r="Z171" s="40" t="s">
        <v>305</v>
      </c>
      <c r="AA171" s="33" t="s">
        <v>771</v>
      </c>
      <c r="AB171" s="95"/>
      <c r="AC171" s="95"/>
    </row>
    <row r="172" spans="1:29" ht="14.45" hidden="1" customHeight="1" x14ac:dyDescent="0.25">
      <c r="A172" s="36" t="str">
        <f>INDEX('Base de données Mono'!C:C,MATCH(B172,'Base de données Mono'!D:D,0))</f>
        <v>GRASSE</v>
      </c>
      <c r="B172" t="s">
        <v>16</v>
      </c>
      <c r="C172" s="36" t="str">
        <f>INDEX('Base de données Mono'!B:B,MATCH(B172,'Base de données Mono'!D:D,0))</f>
        <v>SES8</v>
      </c>
      <c r="D172" s="36" t="str">
        <f>INDEX('Base de données Mono'!A:A,MATCH(B172,'Base de données Mono'!D:D,0))</f>
        <v>JG</v>
      </c>
      <c r="E172" s="37" t="s">
        <v>303</v>
      </c>
      <c r="F172" s="41">
        <f t="shared" si="13"/>
        <v>13</v>
      </c>
      <c r="G172" s="41">
        <f t="shared" si="14"/>
        <v>3</v>
      </c>
      <c r="H172">
        <v>9</v>
      </c>
      <c r="I172" s="131">
        <f>INDEX('Base de données Mono'!K:K,MATCH(B172,'Base de données Mono'!D:D,0))</f>
        <v>0.20833333333333334</v>
      </c>
      <c r="J172" s="131">
        <f>INDEX('Base de données Mono'!L:L,MATCH(B172,'Base de données Mono'!D:D,0))</f>
        <v>0.83333333333333337</v>
      </c>
      <c r="K172" s="131" t="str">
        <f>INDEX('Base de données Mono'!M:M,MATCH(B172,'Base de données Mono'!D:D,0))</f>
        <v>-</v>
      </c>
      <c r="L172" s="131" t="str">
        <f>INDEX('Base de données Mono'!N:N,MATCH(B172,'Base de données Mono'!D:D,0))</f>
        <v>-</v>
      </c>
      <c r="M172" s="33" t="s">
        <v>811</v>
      </c>
      <c r="N172" s="33">
        <f>IF(AND(E172="Electricité",M172="Hiver"),INDEX('Base de données Mono'!E:E,MATCH(B172,'Base de données Mono'!D:D,0)),IF(AND(E172="Electricité",M172="Mi-saison"),INDEX('Base de données Mono'!F:F,MATCH(B172,'Base de données Mono'!D:D,0)),IF(AND(E172="Electricité",M172="Eté"),INDEX('Base de données Mono'!G:G,MATCH(B172,'Base de données Mono'!D:D,0)),IF(AND(E172="Gaz",M172="Hiver"),INDEX('Base de données Mono'!J:J,MATCH(B172,'Base de données Mono'!D:D,0)),IF(AND(E172="Gaz",M172="Mi-saison"),INDEX('Base de données Mono'!#REF!,MATCH(B172,'Base de données Mono'!D:D,0)),IF(AND(E172="Gaz",M172="Eté"),INDEX('Base de données Mono'!#REF!,MATCH(B172,'Base de données Mono'!D:D,0)),"-"))))))</f>
        <v>50</v>
      </c>
      <c r="O172" s="123">
        <v>45382</v>
      </c>
      <c r="P172" s="123">
        <v>45382</v>
      </c>
      <c r="Q172" s="34">
        <v>90</v>
      </c>
      <c r="R172" s="33">
        <f t="shared" si="15"/>
        <v>40</v>
      </c>
      <c r="S172" s="34">
        <v>7</v>
      </c>
      <c r="T172" s="34">
        <v>1</v>
      </c>
      <c r="U172" s="33">
        <f t="shared" si="16"/>
        <v>280</v>
      </c>
      <c r="V172" s="38" t="s">
        <v>148</v>
      </c>
      <c r="W172" s="39">
        <f t="shared" si="17"/>
        <v>0.8</v>
      </c>
      <c r="X172" s="40" t="s">
        <v>730</v>
      </c>
      <c r="Y172" s="40" t="s">
        <v>284</v>
      </c>
      <c r="Z172" s="40" t="s">
        <v>307</v>
      </c>
      <c r="AA172" s="33" t="s">
        <v>308</v>
      </c>
      <c r="AB172" s="95"/>
      <c r="AC172" s="95"/>
    </row>
    <row r="173" spans="1:29" ht="14.45" hidden="1" customHeight="1" x14ac:dyDescent="0.25">
      <c r="A173" s="36" t="str">
        <f>INDEX('Base de données Mono'!C:C,MATCH(B173,'Base de données Mono'!D:D,0))</f>
        <v>GRASSE</v>
      </c>
      <c r="B173" t="s">
        <v>16</v>
      </c>
      <c r="C173" s="36" t="str">
        <f>INDEX('Base de données Mono'!B:B,MATCH(B173,'Base de données Mono'!D:D,0))</f>
        <v>SES8</v>
      </c>
      <c r="D173" s="36" t="str">
        <f>INDEX('Base de données Mono'!A:A,MATCH(B173,'Base de données Mono'!D:D,0))</f>
        <v>JG</v>
      </c>
      <c r="E173" s="37" t="s">
        <v>303</v>
      </c>
      <c r="F173" s="41">
        <f t="shared" si="13"/>
        <v>13</v>
      </c>
      <c r="G173" s="41">
        <f t="shared" si="14"/>
        <v>3</v>
      </c>
      <c r="H173">
        <v>8.5</v>
      </c>
      <c r="I173" s="131">
        <f>INDEX('Base de données Mono'!K:K,MATCH(B173,'Base de données Mono'!D:D,0))</f>
        <v>0.20833333333333334</v>
      </c>
      <c r="J173" s="131">
        <f>INDEX('Base de données Mono'!L:L,MATCH(B173,'Base de données Mono'!D:D,0))</f>
        <v>0.83333333333333337</v>
      </c>
      <c r="K173" s="131" t="str">
        <f>INDEX('Base de données Mono'!M:M,MATCH(B173,'Base de données Mono'!D:D,0))</f>
        <v>-</v>
      </c>
      <c r="L173" s="131" t="str">
        <f>INDEX('Base de données Mono'!N:N,MATCH(B173,'Base de données Mono'!D:D,0))</f>
        <v>-</v>
      </c>
      <c r="M173" s="33" t="s">
        <v>811</v>
      </c>
      <c r="N173" s="33">
        <f>IF(AND(E173="Electricité",M173="Hiver"),INDEX('Base de données Mono'!E:E,MATCH(B173,'Base de données Mono'!D:D,0)),IF(AND(E173="Electricité",M173="Mi-saison"),INDEX('Base de données Mono'!F:F,MATCH(B173,'Base de données Mono'!D:D,0)),IF(AND(E173="Electricité",M173="Eté"),INDEX('Base de données Mono'!G:G,MATCH(B173,'Base de données Mono'!D:D,0)),IF(AND(E173="Gaz",M173="Hiver"),INDEX('Base de données Mono'!J:J,MATCH(B173,'Base de données Mono'!D:D,0)),IF(AND(E173="Gaz",M173="Mi-saison"),INDEX('Base de données Mono'!#REF!,MATCH(B173,'Base de données Mono'!D:D,0)),IF(AND(E173="Gaz",M173="Eté"),INDEX('Base de données Mono'!#REF!,MATCH(B173,'Base de données Mono'!D:D,0)),"-"))))))</f>
        <v>50</v>
      </c>
      <c r="O173" s="123">
        <v>45382</v>
      </c>
      <c r="P173" s="123">
        <v>45382</v>
      </c>
      <c r="Q173" s="34">
        <v>60</v>
      </c>
      <c r="R173" s="33">
        <f t="shared" si="15"/>
        <v>10</v>
      </c>
      <c r="S173" s="34">
        <v>8</v>
      </c>
      <c r="T173" s="34">
        <v>1</v>
      </c>
      <c r="U173" s="33">
        <f t="shared" si="16"/>
        <v>80</v>
      </c>
      <c r="V173" s="38" t="s">
        <v>148</v>
      </c>
      <c r="W173" s="39">
        <f t="shared" si="17"/>
        <v>0.2</v>
      </c>
      <c r="X173" s="40" t="s">
        <v>730</v>
      </c>
      <c r="Y173" s="40" t="s">
        <v>284</v>
      </c>
      <c r="Z173" s="40" t="s">
        <v>305</v>
      </c>
      <c r="AA173" s="33" t="s">
        <v>771</v>
      </c>
      <c r="AB173" s="95"/>
      <c r="AC173" s="95"/>
    </row>
    <row r="174" spans="1:29" ht="14.45" hidden="1" customHeight="1" x14ac:dyDescent="0.25">
      <c r="A174" s="36" t="str">
        <f>INDEX('Base de données Mono'!C:C,MATCH(B174,'Base de données Mono'!D:D,0))</f>
        <v>TOURS NATIONALE</v>
      </c>
      <c r="B174" t="s">
        <v>37</v>
      </c>
      <c r="C174" s="36" t="str">
        <f>INDEX('Base de données Mono'!B:B,MATCH(B174,'Base de données Mono'!D:D,0))</f>
        <v>SES8</v>
      </c>
      <c r="D174" s="36" t="str">
        <f>INDEX('Base de données Mono'!A:A,MATCH(B174,'Base de données Mono'!D:D,0))</f>
        <v>AD</v>
      </c>
      <c r="E174" s="37" t="s">
        <v>303</v>
      </c>
      <c r="F174" s="41">
        <f t="shared" si="13"/>
        <v>13</v>
      </c>
      <c r="G174" s="41">
        <f t="shared" si="14"/>
        <v>3</v>
      </c>
      <c r="H174">
        <v>8.5</v>
      </c>
      <c r="I174" s="131">
        <f>INDEX('Base de données Mono'!K:K,MATCH(B174,'Base de données Mono'!D:D,0))</f>
        <v>0.22916666666666666</v>
      </c>
      <c r="J174" s="131">
        <f>INDEX('Base de données Mono'!L:L,MATCH(B174,'Base de données Mono'!D:D,0))</f>
        <v>0.88541666666666663</v>
      </c>
      <c r="K174" s="131">
        <f>INDEX('Base de données Mono'!M:M,MATCH(B174,'Base de données Mono'!D:D,0))</f>
        <v>0.31944444444444448</v>
      </c>
      <c r="L174" s="131">
        <f>INDEX('Base de données Mono'!N:N,MATCH(B174,'Base de données Mono'!D:D,0))</f>
        <v>0.55208333333333337</v>
      </c>
      <c r="M174" s="33" t="s">
        <v>811</v>
      </c>
      <c r="N174" s="33">
        <f>IF(AND(E174="Electricité",M174="Hiver"),INDEX('Base de données Mono'!E:E,MATCH(B174,'Base de données Mono'!D:D,0)),IF(AND(E174="Electricité",M174="Mi-saison"),INDEX('Base de données Mono'!F:F,MATCH(B174,'Base de données Mono'!D:D,0)),IF(AND(E174="Electricité",M174="Eté"),INDEX('Base de données Mono'!G:G,MATCH(B174,'Base de données Mono'!D:D,0)),IF(AND(E174="Gaz",M174="Hiver"),INDEX('Base de données Mono'!J:J,MATCH(B174,'Base de données Mono'!D:D,0)),IF(AND(E174="Gaz",M174="Mi-saison"),INDEX('Base de données Mono'!#REF!,MATCH(B174,'Base de données Mono'!D:D,0)),IF(AND(E174="Gaz",M174="Eté"),INDEX('Base de données Mono'!#REF!,MATCH(B174,'Base de données Mono'!D:D,0)),"-"))))))</f>
        <v>55</v>
      </c>
      <c r="O174" s="123">
        <v>45382</v>
      </c>
      <c r="P174" s="123">
        <v>45382</v>
      </c>
      <c r="Q174" s="34">
        <v>90</v>
      </c>
      <c r="R174" s="33">
        <f t="shared" si="15"/>
        <v>35</v>
      </c>
      <c r="S174" s="34">
        <v>5.5</v>
      </c>
      <c r="T174" s="34">
        <v>1</v>
      </c>
      <c r="U174" s="33">
        <f t="shared" si="16"/>
        <v>192.5</v>
      </c>
      <c r="V174" s="38" t="s">
        <v>148</v>
      </c>
      <c r="W174" s="39">
        <f t="shared" si="17"/>
        <v>0.63636363636363635</v>
      </c>
      <c r="X174" s="40" t="s">
        <v>730</v>
      </c>
      <c r="Y174" s="40" t="s">
        <v>284</v>
      </c>
      <c r="Z174" s="40" t="s">
        <v>307</v>
      </c>
      <c r="AA174" s="33" t="s">
        <v>308</v>
      </c>
      <c r="AB174" s="95"/>
      <c r="AC174" s="95"/>
    </row>
    <row r="175" spans="1:29" ht="14.45" hidden="1" customHeight="1" x14ac:dyDescent="0.25">
      <c r="A175" s="36" t="str">
        <f>INDEX('Base de données Mono'!C:C,MATCH(B175,'Base de données Mono'!D:D,0))</f>
        <v>ISSY GAMBETTA</v>
      </c>
      <c r="B175" t="s">
        <v>17</v>
      </c>
      <c r="C175" s="36" t="str">
        <f>INDEX('Base de données Mono'!B:B,MATCH(B175,'Base de données Mono'!D:D,0))</f>
        <v>SES8</v>
      </c>
      <c r="D175" s="36" t="str">
        <f>INDEX('Base de données Mono'!A:A,MATCH(B175,'Base de données Mono'!D:D,0))</f>
        <v>AD</v>
      </c>
      <c r="E175" s="37" t="s">
        <v>303</v>
      </c>
      <c r="F175" s="41">
        <f t="shared" si="13"/>
        <v>13</v>
      </c>
      <c r="G175" s="41">
        <f t="shared" si="14"/>
        <v>3</v>
      </c>
      <c r="H175">
        <v>5.83</v>
      </c>
      <c r="I175" s="131">
        <f>INDEX('Base de données Mono'!K:K,MATCH(B175,'Base de données Mono'!D:D,0))</f>
        <v>0.25</v>
      </c>
      <c r="J175" s="131">
        <f>INDEX('Base de données Mono'!L:L,MATCH(B175,'Base de données Mono'!D:D,0))</f>
        <v>0.90625</v>
      </c>
      <c r="K175" s="131">
        <f>INDEX('Base de données Mono'!M:M,MATCH(B175,'Base de données Mono'!D:D,0))</f>
        <v>0.3263888888888889</v>
      </c>
      <c r="L175" s="131">
        <f>INDEX('Base de données Mono'!N:N,MATCH(B175,'Base de données Mono'!D:D,0))</f>
        <v>0.54166666666666663</v>
      </c>
      <c r="M175" s="33" t="s">
        <v>811</v>
      </c>
      <c r="N175" s="33">
        <f>IF(AND(E175="Electricité",M175="Hiver"),INDEX('Base de données Mono'!E:E,MATCH(B175,'Base de données Mono'!D:D,0)),IF(AND(E175="Electricité",M175="Mi-saison"),INDEX('Base de données Mono'!F:F,MATCH(B175,'Base de données Mono'!D:D,0)),IF(AND(E175="Electricité",M175="Eté"),INDEX('Base de données Mono'!G:G,MATCH(B175,'Base de données Mono'!D:D,0)),IF(AND(E175="Gaz",M175="Hiver"),INDEX('Base de données Mono'!J:J,MATCH(B175,'Base de données Mono'!D:D,0)),IF(AND(E175="Gaz",M175="Mi-saison"),INDEX('Base de données Mono'!#REF!,MATCH(B175,'Base de données Mono'!D:D,0)),IF(AND(E175="Gaz",M175="Eté"),INDEX('Base de données Mono'!#REF!,MATCH(B175,'Base de données Mono'!D:D,0)),"-"))))))</f>
        <v>35</v>
      </c>
      <c r="O175" s="123">
        <v>45382</v>
      </c>
      <c r="P175" s="123">
        <v>45382</v>
      </c>
      <c r="Q175" s="34">
        <v>55</v>
      </c>
      <c r="R175" s="33">
        <f t="shared" si="15"/>
        <v>20</v>
      </c>
      <c r="S175" s="34">
        <v>6</v>
      </c>
      <c r="T175" s="34">
        <v>1</v>
      </c>
      <c r="U175" s="33">
        <f t="shared" si="16"/>
        <v>120</v>
      </c>
      <c r="V175" s="38" t="s">
        <v>148</v>
      </c>
      <c r="W175" s="39">
        <f t="shared" si="17"/>
        <v>0.5714285714285714</v>
      </c>
      <c r="X175" s="40" t="s">
        <v>730</v>
      </c>
      <c r="Y175" s="40" t="s">
        <v>284</v>
      </c>
      <c r="Z175" s="40" t="s">
        <v>307</v>
      </c>
      <c r="AA175" s="33" t="s">
        <v>308</v>
      </c>
      <c r="AB175" s="95"/>
      <c r="AC175" s="95"/>
    </row>
    <row r="176" spans="1:29" ht="14.45" hidden="1" customHeight="1" x14ac:dyDescent="0.25">
      <c r="A176" s="36" t="str">
        <f>INDEX('Base de données Mono'!C:C,MATCH(B176,'Base de données Mono'!D:D,0))</f>
        <v>ISSY GAMBETTA</v>
      </c>
      <c r="B176" t="s">
        <v>17</v>
      </c>
      <c r="C176" s="36" t="str">
        <f>INDEX('Base de données Mono'!B:B,MATCH(B176,'Base de données Mono'!D:D,0))</f>
        <v>SES8</v>
      </c>
      <c r="D176" s="36" t="str">
        <f>INDEX('Base de données Mono'!A:A,MATCH(B176,'Base de données Mono'!D:D,0))</f>
        <v>AD</v>
      </c>
      <c r="E176" s="37" t="s">
        <v>303</v>
      </c>
      <c r="F176" s="41">
        <f t="shared" si="13"/>
        <v>13</v>
      </c>
      <c r="G176" s="41">
        <f t="shared" si="14"/>
        <v>3</v>
      </c>
      <c r="H176">
        <v>8.25</v>
      </c>
      <c r="I176" s="131">
        <f>INDEX('Base de données Mono'!K:K,MATCH(B176,'Base de données Mono'!D:D,0))</f>
        <v>0.25</v>
      </c>
      <c r="J176" s="131">
        <f>INDEX('Base de données Mono'!L:L,MATCH(B176,'Base de données Mono'!D:D,0))</f>
        <v>0.90625</v>
      </c>
      <c r="K176" s="131">
        <f>INDEX('Base de données Mono'!M:M,MATCH(B176,'Base de données Mono'!D:D,0))</f>
        <v>0.3263888888888889</v>
      </c>
      <c r="L176" s="131">
        <f>INDEX('Base de données Mono'!N:N,MATCH(B176,'Base de données Mono'!D:D,0))</f>
        <v>0.54166666666666663</v>
      </c>
      <c r="M176" s="33" t="s">
        <v>811</v>
      </c>
      <c r="N176" s="33">
        <f>IF(AND(E176="Electricité",M176="Hiver"),INDEX('Base de données Mono'!E:E,MATCH(B176,'Base de données Mono'!D:D,0)),IF(AND(E176="Electricité",M176="Mi-saison"),INDEX('Base de données Mono'!F:F,MATCH(B176,'Base de données Mono'!D:D,0)),IF(AND(E176="Electricité",M176="Eté"),INDEX('Base de données Mono'!G:G,MATCH(B176,'Base de données Mono'!D:D,0)),IF(AND(E176="Gaz",M176="Hiver"),INDEX('Base de données Mono'!J:J,MATCH(B176,'Base de données Mono'!D:D,0)),IF(AND(E176="Gaz",M176="Mi-saison"),INDEX('Base de données Mono'!#REF!,MATCH(B176,'Base de données Mono'!D:D,0)),IF(AND(E176="Gaz",M176="Eté"),INDEX('Base de données Mono'!#REF!,MATCH(B176,'Base de données Mono'!D:D,0)),"-"))))))</f>
        <v>35</v>
      </c>
      <c r="O176" s="123">
        <v>45382</v>
      </c>
      <c r="P176" s="123">
        <v>45382</v>
      </c>
      <c r="Q176" s="34">
        <v>40</v>
      </c>
      <c r="R176" s="33">
        <f t="shared" si="15"/>
        <v>5</v>
      </c>
      <c r="S176" s="34">
        <v>2</v>
      </c>
      <c r="T176" s="34">
        <v>1</v>
      </c>
      <c r="U176" s="33">
        <f t="shared" si="16"/>
        <v>10</v>
      </c>
      <c r="V176" s="38" t="s">
        <v>148</v>
      </c>
      <c r="W176" s="39">
        <f t="shared" si="17"/>
        <v>0.14285714285714285</v>
      </c>
      <c r="X176" s="40" t="s">
        <v>730</v>
      </c>
      <c r="Y176" s="40" t="s">
        <v>284</v>
      </c>
      <c r="Z176" s="40" t="s">
        <v>305</v>
      </c>
      <c r="AA176" s="33" t="s">
        <v>771</v>
      </c>
      <c r="AB176" s="95"/>
      <c r="AC176" s="95"/>
    </row>
    <row r="177" spans="1:29" ht="14.45" hidden="1" customHeight="1" x14ac:dyDescent="0.25">
      <c r="A177" s="36" t="str">
        <f>INDEX('Base de données Mono'!C:C,MATCH(B177,'Base de données Mono'!D:D,0))</f>
        <v>ANGERS LES HALLES</v>
      </c>
      <c r="B177" t="s">
        <v>4</v>
      </c>
      <c r="C177" s="36" t="str">
        <f>INDEX('Base de données Mono'!B:B,MATCH(B177,'Base de données Mono'!D:D,0))</f>
        <v>SES8</v>
      </c>
      <c r="D177" s="36" t="str">
        <f>INDEX('Base de données Mono'!A:A,MATCH(B177,'Base de données Mono'!D:D,0))</f>
        <v>AD</v>
      </c>
      <c r="E177" s="37" t="s">
        <v>303</v>
      </c>
      <c r="F177" s="41">
        <f t="shared" si="13"/>
        <v>13</v>
      </c>
      <c r="G177" s="41">
        <f t="shared" si="14"/>
        <v>3</v>
      </c>
      <c r="I177" s="131">
        <f>INDEX('Base de données Mono'!K:K,MATCH(B177,'Base de données Mono'!D:D,0))</f>
        <v>0.20833333333333334</v>
      </c>
      <c r="J177" s="131">
        <f>INDEX('Base de données Mono'!L:L,MATCH(B177,'Base de données Mono'!D:D,0))</f>
        <v>0.875</v>
      </c>
      <c r="K177" s="131" t="str">
        <f>INDEX('Base de données Mono'!M:M,MATCH(B177,'Base de données Mono'!D:D,0))</f>
        <v>-</v>
      </c>
      <c r="L177" s="131" t="str">
        <f>INDEX('Base de données Mono'!N:N,MATCH(B177,'Base de données Mono'!D:D,0))</f>
        <v>-</v>
      </c>
      <c r="M177" s="33" t="s">
        <v>811</v>
      </c>
      <c r="N177" s="33">
        <f>IF(AND(E177="Electricité",M177="Hiver"),INDEX('Base de données Mono'!E:E,MATCH(B177,'Base de données Mono'!D:D,0)),IF(AND(E177="Electricité",M177="Mi-saison"),INDEX('Base de données Mono'!F:F,MATCH(B177,'Base de données Mono'!D:D,0)),IF(AND(E177="Electricité",M177="Eté"),INDEX('Base de données Mono'!G:G,MATCH(B177,'Base de données Mono'!D:D,0)),IF(AND(E177="Gaz",M177="Hiver"),INDEX('Base de données Mono'!J:J,MATCH(B177,'Base de données Mono'!D:D,0)),IF(AND(E177="Gaz",M177="Mi-saison"),INDEX('Base de données Mono'!#REF!,MATCH(B177,'Base de données Mono'!D:D,0)),IF(AND(E177="Gaz",M177="Eté"),INDEX('Base de données Mono'!#REF!,MATCH(B177,'Base de données Mono'!D:D,0)),"-"))))))</f>
        <v>60</v>
      </c>
      <c r="O177" s="123">
        <v>45382</v>
      </c>
      <c r="P177" s="123">
        <v>45382</v>
      </c>
      <c r="Q177" s="34">
        <v>110</v>
      </c>
      <c r="R177" s="33">
        <f t="shared" si="15"/>
        <v>50</v>
      </c>
      <c r="S177" s="34">
        <v>5.5</v>
      </c>
      <c r="T177" s="164">
        <v>1</v>
      </c>
      <c r="U177" s="33">
        <f t="shared" si="16"/>
        <v>275</v>
      </c>
      <c r="V177" s="38" t="s">
        <v>148</v>
      </c>
      <c r="W177" s="39">
        <f t="shared" si="17"/>
        <v>0.83333333333333337</v>
      </c>
      <c r="X177" s="40" t="s">
        <v>730</v>
      </c>
      <c r="Y177" s="40" t="s">
        <v>284</v>
      </c>
      <c r="Z177" s="40" t="s">
        <v>307</v>
      </c>
      <c r="AA177" s="33" t="s">
        <v>308</v>
      </c>
      <c r="AB177" s="95"/>
      <c r="AC177" s="95"/>
    </row>
    <row r="178" spans="1:29" ht="14.45" hidden="1" customHeight="1" x14ac:dyDescent="0.25">
      <c r="A178" s="36" t="str">
        <f>INDEX('Base de données Mono'!C:C,MATCH(B178,'Base de données Mono'!D:D,0))</f>
        <v>ANGERS LES HALLES</v>
      </c>
      <c r="B178" t="s">
        <v>4</v>
      </c>
      <c r="C178" s="36" t="str">
        <f>INDEX('Base de données Mono'!B:B,MATCH(B178,'Base de données Mono'!D:D,0))</f>
        <v>SES8</v>
      </c>
      <c r="D178" s="36" t="str">
        <f>INDEX('Base de données Mono'!A:A,MATCH(B178,'Base de données Mono'!D:D,0))</f>
        <v>AD</v>
      </c>
      <c r="E178" s="37" t="s">
        <v>303</v>
      </c>
      <c r="F178" s="41">
        <f t="shared" si="13"/>
        <v>13</v>
      </c>
      <c r="G178" s="41">
        <f t="shared" si="14"/>
        <v>3</v>
      </c>
      <c r="I178" s="131">
        <f>INDEX('Base de données Mono'!K:K,MATCH(B178,'Base de données Mono'!D:D,0))</f>
        <v>0.20833333333333334</v>
      </c>
      <c r="J178" s="131">
        <f>INDEX('Base de données Mono'!L:L,MATCH(B178,'Base de données Mono'!D:D,0))</f>
        <v>0.875</v>
      </c>
      <c r="K178" s="131" t="str">
        <f>INDEX('Base de données Mono'!M:M,MATCH(B178,'Base de données Mono'!D:D,0))</f>
        <v>-</v>
      </c>
      <c r="L178" s="131" t="str">
        <f>INDEX('Base de données Mono'!N:N,MATCH(B178,'Base de données Mono'!D:D,0))</f>
        <v>-</v>
      </c>
      <c r="M178" s="33" t="s">
        <v>811</v>
      </c>
      <c r="N178" s="33">
        <f>IF(AND(E178="Electricité",M178="Hiver"),INDEX('Base de données Mono'!E:E,MATCH(B178,'Base de données Mono'!D:D,0)),IF(AND(E178="Electricité",M178="Mi-saison"),INDEX('Base de données Mono'!F:F,MATCH(B178,'Base de données Mono'!D:D,0)),IF(AND(E178="Electricité",M178="Eté"),INDEX('Base de données Mono'!G:G,MATCH(B178,'Base de données Mono'!D:D,0)),IF(AND(E178="Gaz",M178="Hiver"),INDEX('Base de données Mono'!J:J,MATCH(B178,'Base de données Mono'!D:D,0)),IF(AND(E178="Gaz",M178="Mi-saison"),INDEX('Base de données Mono'!#REF!,MATCH(B178,'Base de données Mono'!D:D,0)),IF(AND(E178="Gaz",M178="Eté"),INDEX('Base de données Mono'!#REF!,MATCH(B178,'Base de données Mono'!D:D,0)),"-"))))))</f>
        <v>60</v>
      </c>
      <c r="O178" s="123">
        <v>45382</v>
      </c>
      <c r="P178" s="123">
        <v>45382</v>
      </c>
      <c r="Q178" s="34">
        <v>75</v>
      </c>
      <c r="R178" s="33">
        <f t="shared" si="15"/>
        <v>15</v>
      </c>
      <c r="S178" s="34">
        <v>10.5</v>
      </c>
      <c r="T178" s="164">
        <v>1</v>
      </c>
      <c r="U178" s="33">
        <f t="shared" si="16"/>
        <v>157.5</v>
      </c>
      <c r="V178" s="38" t="s">
        <v>148</v>
      </c>
      <c r="W178" s="39">
        <f t="shared" si="17"/>
        <v>0.25</v>
      </c>
      <c r="X178" s="40" t="s">
        <v>730</v>
      </c>
      <c r="Y178" s="40" t="s">
        <v>284</v>
      </c>
      <c r="Z178" s="40" t="s">
        <v>305</v>
      </c>
      <c r="AA178" s="33" t="s">
        <v>771</v>
      </c>
      <c r="AB178" s="95"/>
      <c r="AC178" s="95"/>
    </row>
    <row r="179" spans="1:29" ht="14.45" hidden="1" customHeight="1" x14ac:dyDescent="0.25">
      <c r="A179" s="36" t="str">
        <f>INDEX('Base de données Mono'!C:C,MATCH(B179,'Base de données Mono'!D:D,0))</f>
        <v>NANCY ST SEBASTIEN</v>
      </c>
      <c r="B179" t="s">
        <v>186</v>
      </c>
      <c r="C179" s="36" t="str">
        <f>INDEX('Base de données Mono'!B:B,MATCH(B179,'Base de données Mono'!D:D,0))</f>
        <v>SES8</v>
      </c>
      <c r="D179" s="36" t="str">
        <f>INDEX('Base de données Mono'!A:A,MATCH(B179,'Base de données Mono'!D:D,0))</f>
        <v>JG</v>
      </c>
      <c r="E179" s="37" t="s">
        <v>303</v>
      </c>
      <c r="F179" s="41">
        <f t="shared" si="13"/>
        <v>13</v>
      </c>
      <c r="G179" s="41">
        <f t="shared" si="14"/>
        <v>3</v>
      </c>
      <c r="H179">
        <v>8.25</v>
      </c>
      <c r="I179" s="131">
        <f>INDEX('Base de données Mono'!K:K,MATCH(B179,'Base de données Mono'!D:D,0))</f>
        <v>0.23611111111111113</v>
      </c>
      <c r="J179" s="131">
        <f>INDEX('Base de données Mono'!L:L,MATCH(B179,'Base de données Mono'!D:D,0))</f>
        <v>0.86458333333333337</v>
      </c>
      <c r="K179" s="131" t="str">
        <f>INDEX('Base de données Mono'!M:M,MATCH(B179,'Base de données Mono'!D:D,0))</f>
        <v>-</v>
      </c>
      <c r="L179" s="131" t="str">
        <f>INDEX('Base de données Mono'!N:N,MATCH(B179,'Base de données Mono'!D:D,0))</f>
        <v>-</v>
      </c>
      <c r="M179" s="33" t="s">
        <v>811</v>
      </c>
      <c r="N179" s="33">
        <f>IF(AND(E179="Electricité",M179="Hiver"),INDEX('Base de données Mono'!E:E,MATCH(B179,'Base de données Mono'!D:D,0)),IF(AND(E179="Electricité",M179="Mi-saison"),INDEX('Base de données Mono'!F:F,MATCH(B179,'Base de données Mono'!D:D,0)),IF(AND(E179="Electricité",M179="Eté"),INDEX('Base de données Mono'!G:G,MATCH(B179,'Base de données Mono'!D:D,0)),IF(AND(E179="Gaz",M179="Hiver"),INDEX('Base de données Mono'!J:J,MATCH(B179,'Base de données Mono'!D:D,0)),IF(AND(E179="Gaz",M179="Mi-saison"),INDEX('Base de données Mono'!#REF!,MATCH(B179,'Base de données Mono'!D:D,0)),IF(AND(E179="Gaz",M179="Eté"),INDEX('Base de données Mono'!#REF!,MATCH(B179,'Base de données Mono'!D:D,0)),"-"))))))</f>
        <v>85</v>
      </c>
      <c r="O179" s="123">
        <v>45382</v>
      </c>
      <c r="P179" s="123">
        <v>45382</v>
      </c>
      <c r="Q179" s="34">
        <v>105</v>
      </c>
      <c r="R179" s="33">
        <f t="shared" si="15"/>
        <v>20</v>
      </c>
      <c r="S179" s="34">
        <v>15</v>
      </c>
      <c r="T179" s="34">
        <v>1</v>
      </c>
      <c r="U179" s="33">
        <f t="shared" si="16"/>
        <v>300</v>
      </c>
      <c r="V179" s="38" t="s">
        <v>148</v>
      </c>
      <c r="W179" s="39">
        <f t="shared" si="17"/>
        <v>0.23529411764705882</v>
      </c>
      <c r="X179" s="40" t="s">
        <v>730</v>
      </c>
      <c r="Y179" s="40" t="s">
        <v>284</v>
      </c>
      <c r="Z179" s="40" t="s">
        <v>305</v>
      </c>
      <c r="AA179" s="33" t="s">
        <v>771</v>
      </c>
      <c r="AB179" s="95"/>
      <c r="AC179" s="95"/>
    </row>
    <row r="180" spans="1:29" ht="14.45" hidden="1" customHeight="1" x14ac:dyDescent="0.25">
      <c r="A180" s="36" t="str">
        <f>INDEX('Base de données Mono'!C:C,MATCH(B180,'Base de données Mono'!D:D,0))</f>
        <v>TOLBIAC</v>
      </c>
      <c r="B180" t="s">
        <v>253</v>
      </c>
      <c r="C180" s="36" t="str">
        <f>INDEX('Base de données Mono'!B:B,MATCH(B180,'Base de données Mono'!D:D,0))</f>
        <v>SES8</v>
      </c>
      <c r="D180" s="36" t="str">
        <f>INDEX('Base de données Mono'!A:A,MATCH(B180,'Base de données Mono'!D:D,0))</f>
        <v>JG</v>
      </c>
      <c r="E180" s="37" t="s">
        <v>303</v>
      </c>
      <c r="F180" s="41">
        <f t="shared" si="13"/>
        <v>13</v>
      </c>
      <c r="G180" s="41">
        <f t="shared" si="14"/>
        <v>3</v>
      </c>
      <c r="H180">
        <v>8.25</v>
      </c>
      <c r="I180" s="131">
        <f>INDEX('Base de données Mono'!K:K,MATCH(B180,'Base de données Mono'!D:D,0))</f>
        <v>0.24305555555555555</v>
      </c>
      <c r="J180" s="131">
        <f>INDEX('Base de données Mono'!L:L,MATCH(B180,'Base de données Mono'!D:D,0))</f>
        <v>0.92708333333333337</v>
      </c>
      <c r="K180" s="131" t="str">
        <f>INDEX('Base de données Mono'!M:M,MATCH(B180,'Base de données Mono'!D:D,0))</f>
        <v>-</v>
      </c>
      <c r="L180" s="131" t="str">
        <f>INDEX('Base de données Mono'!N:N,MATCH(B180,'Base de données Mono'!D:D,0))</f>
        <v>-</v>
      </c>
      <c r="M180" s="33" t="s">
        <v>811</v>
      </c>
      <c r="N180" s="33">
        <f>IF(AND(E180="Electricité",M180="Hiver"),INDEX('Base de données Mono'!E:E,MATCH(B180,'Base de données Mono'!D:D,0)),IF(AND(E180="Electricité",M180="Mi-saison"),INDEX('Base de données Mono'!F:F,MATCH(B180,'Base de données Mono'!D:D,0)),IF(AND(E180="Electricité",M180="Eté"),INDEX('Base de données Mono'!G:G,MATCH(B180,'Base de données Mono'!D:D,0)),IF(AND(E180="Gaz",M180="Hiver"),INDEX('Base de données Mono'!J:J,MATCH(B180,'Base de données Mono'!D:D,0)),IF(AND(E180="Gaz",M180="Mi-saison"),INDEX('Base de données Mono'!#REF!,MATCH(B180,'Base de données Mono'!D:D,0)),IF(AND(E180="Gaz",M180="Eté"),INDEX('Base de données Mono'!#REF!,MATCH(B180,'Base de données Mono'!D:D,0)),"-"))))))</f>
        <v>50</v>
      </c>
      <c r="O180" s="123">
        <v>45382</v>
      </c>
      <c r="P180" s="123">
        <v>45382</v>
      </c>
      <c r="Q180" s="34">
        <v>65</v>
      </c>
      <c r="R180" s="33">
        <f t="shared" si="15"/>
        <v>15</v>
      </c>
      <c r="S180" s="34">
        <v>2</v>
      </c>
      <c r="T180" s="34">
        <v>1</v>
      </c>
      <c r="U180" s="33">
        <f t="shared" si="16"/>
        <v>30</v>
      </c>
      <c r="V180" s="38" t="s">
        <v>148</v>
      </c>
      <c r="W180" s="39">
        <f t="shared" si="17"/>
        <v>0.3</v>
      </c>
      <c r="X180" s="40" t="s">
        <v>730</v>
      </c>
      <c r="Y180" s="40" t="s">
        <v>284</v>
      </c>
      <c r="Z180" s="40" t="s">
        <v>305</v>
      </c>
      <c r="AA180" s="33" t="s">
        <v>771</v>
      </c>
      <c r="AB180" s="95"/>
      <c r="AC180" s="95"/>
    </row>
    <row r="181" spans="1:29" ht="14.45" hidden="1" customHeight="1" x14ac:dyDescent="0.25">
      <c r="A181" s="36" t="str">
        <f>INDEX('Base de données Mono'!C:C,MATCH(B181,'Base de données Mono'!D:D,0))</f>
        <v>TOLBIAC</v>
      </c>
      <c r="B181" t="s">
        <v>253</v>
      </c>
      <c r="C181" s="36" t="str">
        <f>INDEX('Base de données Mono'!B:B,MATCH(B181,'Base de données Mono'!D:D,0))</f>
        <v>SES8</v>
      </c>
      <c r="D181" s="36" t="str">
        <f>INDEX('Base de données Mono'!A:A,MATCH(B181,'Base de données Mono'!D:D,0))</f>
        <v>JG</v>
      </c>
      <c r="E181" s="37" t="s">
        <v>303</v>
      </c>
      <c r="F181" s="41">
        <f t="shared" si="13"/>
        <v>13</v>
      </c>
      <c r="G181" s="41">
        <f t="shared" si="14"/>
        <v>3</v>
      </c>
      <c r="H181">
        <v>8.25</v>
      </c>
      <c r="I181" s="131">
        <f>INDEX('Base de données Mono'!K:K,MATCH(B181,'Base de données Mono'!D:D,0))</f>
        <v>0.24305555555555555</v>
      </c>
      <c r="J181" s="131">
        <f>INDEX('Base de données Mono'!L:L,MATCH(B181,'Base de données Mono'!D:D,0))</f>
        <v>0.92708333333333337</v>
      </c>
      <c r="K181" s="131" t="str">
        <f>INDEX('Base de données Mono'!M:M,MATCH(B181,'Base de données Mono'!D:D,0))</f>
        <v>-</v>
      </c>
      <c r="L181" s="131" t="str">
        <f>INDEX('Base de données Mono'!N:N,MATCH(B181,'Base de données Mono'!D:D,0))</f>
        <v>-</v>
      </c>
      <c r="M181" s="33" t="s">
        <v>811</v>
      </c>
      <c r="N181" s="33">
        <f>IF(AND(E181="Electricité",M181="Hiver"),INDEX('Base de données Mono'!E:E,MATCH(B181,'Base de données Mono'!D:D,0)),IF(AND(E181="Electricité",M181="Mi-saison"),INDEX('Base de données Mono'!F:F,MATCH(B181,'Base de données Mono'!D:D,0)),IF(AND(E181="Electricité",M181="Eté"),INDEX('Base de données Mono'!G:G,MATCH(B181,'Base de données Mono'!D:D,0)),IF(AND(E181="Gaz",M181="Hiver"),INDEX('Base de données Mono'!J:J,MATCH(B181,'Base de données Mono'!D:D,0)),IF(AND(E181="Gaz",M181="Mi-saison"),INDEX('Base de données Mono'!#REF!,MATCH(B181,'Base de données Mono'!D:D,0)),IF(AND(E181="Gaz",M181="Eté"),INDEX('Base de données Mono'!#REF!,MATCH(B181,'Base de données Mono'!D:D,0)),"-"))))))</f>
        <v>50</v>
      </c>
      <c r="O181" s="123">
        <v>45382</v>
      </c>
      <c r="P181" s="123">
        <v>45382</v>
      </c>
      <c r="Q181" s="34">
        <v>95</v>
      </c>
      <c r="R181" s="33">
        <f t="shared" si="15"/>
        <v>45</v>
      </c>
      <c r="S181" s="34">
        <v>15</v>
      </c>
      <c r="T181" s="34">
        <v>1</v>
      </c>
      <c r="U181" s="33">
        <f t="shared" si="16"/>
        <v>675</v>
      </c>
      <c r="V181" s="38" t="s">
        <v>148</v>
      </c>
      <c r="W181" s="39">
        <f t="shared" si="17"/>
        <v>0.9</v>
      </c>
      <c r="X181" s="40" t="s">
        <v>730</v>
      </c>
      <c r="Y181" s="40" t="s">
        <v>284</v>
      </c>
      <c r="Z181" s="40" t="s">
        <v>307</v>
      </c>
      <c r="AA181" s="33" t="s">
        <v>308</v>
      </c>
      <c r="AB181" s="95"/>
      <c r="AC181" s="95"/>
    </row>
    <row r="182" spans="1:29" ht="14.45" hidden="1" customHeight="1" x14ac:dyDescent="0.25">
      <c r="A182" s="36" t="str">
        <f>INDEX('Base de données Mono'!C:C,MATCH(B182,'Base de données Mono'!D:D,0))</f>
        <v>BORDEAUX ST CHRISTOLY</v>
      </c>
      <c r="B182" t="s">
        <v>6</v>
      </c>
      <c r="C182" s="36" t="str">
        <f>INDEX('Base de données Mono'!B:B,MATCH(B182,'Base de données Mono'!D:D,0))</f>
        <v>SES8</v>
      </c>
      <c r="D182" s="36" t="str">
        <f>INDEX('Base de données Mono'!A:A,MATCH(B182,'Base de données Mono'!D:D,0))</f>
        <v>AD</v>
      </c>
      <c r="E182" s="37" t="s">
        <v>303</v>
      </c>
      <c r="F182" s="41">
        <f t="shared" si="13"/>
        <v>13</v>
      </c>
      <c r="G182" s="41">
        <f t="shared" si="14"/>
        <v>3</v>
      </c>
      <c r="H182">
        <v>8.25</v>
      </c>
      <c r="I182" s="131">
        <f>INDEX('Base de données Mono'!K:K,MATCH(B182,'Base de données Mono'!D:D,0))</f>
        <v>0.16666666666666666</v>
      </c>
      <c r="J182" s="131">
        <f>INDEX('Base de données Mono'!L:L,MATCH(B182,'Base de données Mono'!D:D,0))</f>
        <v>0.875</v>
      </c>
      <c r="K182" s="131">
        <f>INDEX('Base de données Mono'!M:M,MATCH(B182,'Base de données Mono'!D:D,0))</f>
        <v>0.20833333333333334</v>
      </c>
      <c r="L182" s="131">
        <f>INDEX('Base de données Mono'!N:N,MATCH(B182,'Base de données Mono'!D:D,0))</f>
        <v>0.54166666666666696</v>
      </c>
      <c r="M182" s="33" t="s">
        <v>811</v>
      </c>
      <c r="N182" s="33">
        <f>IF(AND(E182="Electricité",M182="Hiver"),INDEX('Base de données Mono'!E:E,MATCH(B182,'Base de données Mono'!D:D,0)),IF(AND(E182="Electricité",M182="Mi-saison"),INDEX('Base de données Mono'!F:F,MATCH(B182,'Base de données Mono'!D:D,0)),IF(AND(E182="Electricité",M182="Eté"),INDEX('Base de données Mono'!G:G,MATCH(B182,'Base de données Mono'!D:D,0)),IF(AND(E182="Gaz",M182="Hiver"),INDEX('Base de données Mono'!J:J,MATCH(B182,'Base de données Mono'!D:D,0)),IF(AND(E182="Gaz",M182="Mi-saison"),INDEX('Base de données Mono'!#REF!,MATCH(B182,'Base de données Mono'!D:D,0)),IF(AND(E182="Gaz",M182="Eté"),INDEX('Base de données Mono'!#REF!,MATCH(B182,'Base de données Mono'!D:D,0)),"-"))))))</f>
        <v>70</v>
      </c>
      <c r="O182" s="123">
        <v>45382</v>
      </c>
      <c r="P182" s="123">
        <v>45382</v>
      </c>
      <c r="Q182" s="34">
        <v>125</v>
      </c>
      <c r="R182" s="33">
        <f t="shared" si="15"/>
        <v>55</v>
      </c>
      <c r="S182" s="34">
        <v>7</v>
      </c>
      <c r="T182" s="34">
        <v>1</v>
      </c>
      <c r="U182" s="33">
        <f t="shared" si="16"/>
        <v>385</v>
      </c>
      <c r="V182" s="38" t="s">
        <v>148</v>
      </c>
      <c r="W182" s="39">
        <f t="shared" si="17"/>
        <v>0.7857142857142857</v>
      </c>
      <c r="X182" s="40" t="s">
        <v>730</v>
      </c>
      <c r="Y182" s="40" t="s">
        <v>284</v>
      </c>
      <c r="Z182" s="40" t="s">
        <v>307</v>
      </c>
      <c r="AA182" s="33" t="s">
        <v>308</v>
      </c>
      <c r="AB182" s="95"/>
      <c r="AC182" s="95"/>
    </row>
    <row r="183" spans="1:29" ht="14.45" hidden="1" customHeight="1" x14ac:dyDescent="0.25">
      <c r="A183" s="36" t="str">
        <f>INDEX('Base de données Mono'!C:C,MATCH(B183,'Base de données Mono'!D:D,0))</f>
        <v>BORDEAUX ST CHRISTOLY</v>
      </c>
      <c r="B183" t="s">
        <v>6</v>
      </c>
      <c r="C183" s="36" t="str">
        <f>INDEX('Base de données Mono'!B:B,MATCH(B183,'Base de données Mono'!D:D,0))</f>
        <v>SES8</v>
      </c>
      <c r="D183" s="36" t="str">
        <f>INDEX('Base de données Mono'!A:A,MATCH(B183,'Base de données Mono'!D:D,0))</f>
        <v>AD</v>
      </c>
      <c r="E183" s="37" t="s">
        <v>303</v>
      </c>
      <c r="F183" s="41">
        <f t="shared" si="13"/>
        <v>13</v>
      </c>
      <c r="G183" s="41">
        <f t="shared" si="14"/>
        <v>3</v>
      </c>
      <c r="H183">
        <v>8.25</v>
      </c>
      <c r="I183" s="131">
        <f>INDEX('Base de données Mono'!K:K,MATCH(B183,'Base de données Mono'!D:D,0))</f>
        <v>0.16666666666666666</v>
      </c>
      <c r="J183" s="131">
        <f>INDEX('Base de données Mono'!L:L,MATCH(B183,'Base de données Mono'!D:D,0))</f>
        <v>0.875</v>
      </c>
      <c r="K183" s="131">
        <f>INDEX('Base de données Mono'!M:M,MATCH(B183,'Base de données Mono'!D:D,0))</f>
        <v>0.20833333333333334</v>
      </c>
      <c r="L183" s="131">
        <f>INDEX('Base de données Mono'!N:N,MATCH(B183,'Base de données Mono'!D:D,0))</f>
        <v>0.54166666666666696</v>
      </c>
      <c r="M183" s="33" t="s">
        <v>811</v>
      </c>
      <c r="N183" s="33">
        <f>IF(AND(E183="Electricité",M183="Hiver"),INDEX('Base de données Mono'!E:E,MATCH(B183,'Base de données Mono'!D:D,0)),IF(AND(E183="Electricité",M183="Mi-saison"),INDEX('Base de données Mono'!F:F,MATCH(B183,'Base de données Mono'!D:D,0)),IF(AND(E183="Electricité",M183="Eté"),INDEX('Base de données Mono'!G:G,MATCH(B183,'Base de données Mono'!D:D,0)),IF(AND(E183="Gaz",M183="Hiver"),INDEX('Base de données Mono'!J:J,MATCH(B183,'Base de données Mono'!D:D,0)),IF(AND(E183="Gaz",M183="Mi-saison"),INDEX('Base de données Mono'!#REF!,MATCH(B183,'Base de données Mono'!D:D,0)),IF(AND(E183="Gaz",M183="Eté"),INDEX('Base de données Mono'!#REF!,MATCH(B183,'Base de données Mono'!D:D,0)),"-"))))))</f>
        <v>70</v>
      </c>
      <c r="O183" s="123">
        <v>45382</v>
      </c>
      <c r="P183" s="123">
        <v>45382</v>
      </c>
      <c r="Q183" s="34">
        <v>90</v>
      </c>
      <c r="R183" s="33">
        <f t="shared" si="15"/>
        <v>20</v>
      </c>
      <c r="S183" s="34">
        <v>2</v>
      </c>
      <c r="T183" s="34">
        <v>1</v>
      </c>
      <c r="U183" s="33">
        <f t="shared" si="16"/>
        <v>40</v>
      </c>
      <c r="V183" s="38" t="s">
        <v>148</v>
      </c>
      <c r="W183" s="39">
        <f t="shared" si="17"/>
        <v>0.2857142857142857</v>
      </c>
      <c r="X183" s="40" t="s">
        <v>730</v>
      </c>
      <c r="Y183" s="40" t="s">
        <v>284</v>
      </c>
      <c r="Z183" s="40" t="s">
        <v>305</v>
      </c>
      <c r="AA183" s="33" t="s">
        <v>771</v>
      </c>
      <c r="AB183" s="95"/>
      <c r="AC183" s="95"/>
    </row>
    <row r="184" spans="1:29" ht="14.45" hidden="1" customHeight="1" x14ac:dyDescent="0.25">
      <c r="A184" s="36" t="str">
        <f>INDEX('Base de données Mono'!C:C,MATCH(B184,'Base de données Mono'!D:D,0))</f>
        <v>REIMS</v>
      </c>
      <c r="B184" t="s">
        <v>218</v>
      </c>
      <c r="C184" s="36" t="str">
        <f>INDEX('Base de données Mono'!B:B,MATCH(B184,'Base de données Mono'!D:D,0))</f>
        <v>SES8</v>
      </c>
      <c r="D184" s="36" t="str">
        <f>INDEX('Base de données Mono'!A:A,MATCH(B184,'Base de données Mono'!D:D,0))</f>
        <v>JG</v>
      </c>
      <c r="E184" s="37" t="s">
        <v>303</v>
      </c>
      <c r="F184" s="41">
        <f t="shared" si="13"/>
        <v>13</v>
      </c>
      <c r="G184" s="41">
        <f t="shared" si="14"/>
        <v>3</v>
      </c>
      <c r="H184">
        <v>8.25</v>
      </c>
      <c r="I184" s="131">
        <f>INDEX('Base de données Mono'!K:K,MATCH(B184,'Base de données Mono'!D:D,0))</f>
        <v>0.22916666666666666</v>
      </c>
      <c r="J184" s="131">
        <f>INDEX('Base de données Mono'!L:L,MATCH(B184,'Base de données Mono'!D:D,0))</f>
        <v>0.85416666666666663</v>
      </c>
      <c r="K184" s="131">
        <f>INDEX('Base de données Mono'!M:M,MATCH(B184,'Base de données Mono'!D:D,0))</f>
        <v>0.3125</v>
      </c>
      <c r="L184" s="131">
        <f>INDEX('Base de données Mono'!N:N,MATCH(B184,'Base de données Mono'!D:D,0))</f>
        <v>0.5625</v>
      </c>
      <c r="M184" s="33" t="s">
        <v>811</v>
      </c>
      <c r="N184" s="33">
        <f>IF(AND(E184="Electricité",M184="Hiver"),INDEX('Base de données Mono'!E:E,MATCH(B184,'Base de données Mono'!D:D,0)),IF(AND(E184="Electricité",M184="Mi-saison"),INDEX('Base de données Mono'!F:F,MATCH(B184,'Base de données Mono'!D:D,0)),IF(AND(E184="Electricité",M184="Eté"),INDEX('Base de données Mono'!G:G,MATCH(B184,'Base de données Mono'!D:D,0)),IF(AND(E184="Gaz",M184="Hiver"),INDEX('Base de données Mono'!J:J,MATCH(B184,'Base de données Mono'!D:D,0)),IF(AND(E184="Gaz",M184="Mi-saison"),INDEX('Base de données Mono'!#REF!,MATCH(B184,'Base de données Mono'!D:D,0)),IF(AND(E184="Gaz",M184="Eté"),INDEX('Base de données Mono'!#REF!,MATCH(B184,'Base de données Mono'!D:D,0)),"-"))))))</f>
        <v>50</v>
      </c>
      <c r="O184" s="123">
        <v>45382</v>
      </c>
      <c r="P184" s="123">
        <v>45382</v>
      </c>
      <c r="Q184" s="34">
        <v>100</v>
      </c>
      <c r="R184" s="33">
        <f t="shared" si="15"/>
        <v>50</v>
      </c>
      <c r="S184" s="34">
        <v>6.5</v>
      </c>
      <c r="T184" s="34">
        <v>1</v>
      </c>
      <c r="U184" s="33">
        <f t="shared" si="16"/>
        <v>325</v>
      </c>
      <c r="V184" s="38" t="s">
        <v>148</v>
      </c>
      <c r="W184" s="39">
        <f t="shared" si="17"/>
        <v>1</v>
      </c>
      <c r="X184" s="40" t="s">
        <v>730</v>
      </c>
      <c r="Y184" s="40" t="s">
        <v>284</v>
      </c>
      <c r="Z184" s="40" t="s">
        <v>307</v>
      </c>
      <c r="AA184" s="33" t="s">
        <v>308</v>
      </c>
      <c r="AB184" s="95"/>
      <c r="AC184" s="95"/>
    </row>
    <row r="185" spans="1:29" ht="14.45" hidden="1" customHeight="1" x14ac:dyDescent="0.25">
      <c r="A185" s="36" t="str">
        <f>INDEX('Base de données Mono'!C:C,MATCH(B185,'Base de données Mono'!D:D,0))</f>
        <v>REPUBLIQUE</v>
      </c>
      <c r="B185" t="s">
        <v>221</v>
      </c>
      <c r="C185" s="36" t="str">
        <f>INDEX('Base de données Mono'!B:B,MATCH(B185,'Base de données Mono'!D:D,0))</f>
        <v>SES8</v>
      </c>
      <c r="D185" s="36" t="str">
        <f>INDEX('Base de données Mono'!A:A,MATCH(B185,'Base de données Mono'!D:D,0))</f>
        <v>JG</v>
      </c>
      <c r="E185" s="37" t="s">
        <v>303</v>
      </c>
      <c r="F185" s="41">
        <f t="shared" si="13"/>
        <v>13</v>
      </c>
      <c r="G185" s="41">
        <f t="shared" si="14"/>
        <v>3</v>
      </c>
      <c r="H185">
        <v>8.25</v>
      </c>
      <c r="I185" s="131">
        <f>INDEX('Base de données Mono'!K:K,MATCH(B185,'Base de données Mono'!D:D,0))</f>
        <v>0.24305555555555555</v>
      </c>
      <c r="J185" s="131">
        <f>INDEX('Base de données Mono'!L:L,MATCH(B185,'Base de données Mono'!D:D,0))</f>
        <v>0.94791666666666663</v>
      </c>
      <c r="K185" s="131">
        <f>INDEX('Base de données Mono'!M:M,MATCH(B185,'Base de données Mono'!D:D,0))</f>
        <v>0.25</v>
      </c>
      <c r="L185" s="131">
        <f>INDEX('Base de données Mono'!N:N,MATCH(B185,'Base de données Mono'!D:D,0))</f>
        <v>0.54166666666666663</v>
      </c>
      <c r="M185" s="33" t="s">
        <v>811</v>
      </c>
      <c r="N185" s="33">
        <f>IF(AND(E185="Electricité",M185="Hiver"),INDEX('Base de données Mono'!E:E,MATCH(B185,'Base de données Mono'!D:D,0)),IF(AND(E185="Electricité",M185="Mi-saison"),INDEX('Base de données Mono'!F:F,MATCH(B185,'Base de données Mono'!D:D,0)),IF(AND(E185="Electricité",M185="Eté"),INDEX('Base de données Mono'!G:G,MATCH(B185,'Base de données Mono'!D:D,0)),IF(AND(E185="Gaz",M185="Hiver"),INDEX('Base de données Mono'!J:J,MATCH(B185,'Base de données Mono'!D:D,0)),IF(AND(E185="Gaz",M185="Mi-saison"),INDEX('Base de données Mono'!#REF!,MATCH(B185,'Base de données Mono'!D:D,0)),IF(AND(E185="Gaz",M185="Eté"),INDEX('Base de données Mono'!#REF!,MATCH(B185,'Base de données Mono'!D:D,0)),"-"))))))</f>
        <v>80</v>
      </c>
      <c r="O185" s="123">
        <v>45382</v>
      </c>
      <c r="P185" s="123">
        <v>45382</v>
      </c>
      <c r="Q185" s="34">
        <v>120</v>
      </c>
      <c r="R185" s="33">
        <f t="shared" si="15"/>
        <v>40</v>
      </c>
      <c r="S185" s="34">
        <v>6.5</v>
      </c>
      <c r="T185" s="34">
        <v>1</v>
      </c>
      <c r="U185" s="33">
        <f t="shared" si="16"/>
        <v>260</v>
      </c>
      <c r="V185" s="38" t="s">
        <v>148</v>
      </c>
      <c r="W185" s="39">
        <f t="shared" si="17"/>
        <v>0.5</v>
      </c>
      <c r="X185" s="40" t="s">
        <v>730</v>
      </c>
      <c r="Y185" s="40" t="s">
        <v>284</v>
      </c>
      <c r="Z185" s="40" t="s">
        <v>307</v>
      </c>
      <c r="AA185" s="33" t="s">
        <v>308</v>
      </c>
      <c r="AB185" s="95"/>
      <c r="AC185" s="95"/>
    </row>
    <row r="186" spans="1:29" ht="14.45" hidden="1" customHeight="1" x14ac:dyDescent="0.25">
      <c r="A186" s="36" t="str">
        <f>INDEX('Base de données Mono'!C:C,MATCH(B186,'Base de données Mono'!D:D,0))</f>
        <v>ST GERMAIN</v>
      </c>
      <c r="B186" t="s">
        <v>35</v>
      </c>
      <c r="C186" s="36" t="str">
        <f>INDEX('Base de données Mono'!B:B,MATCH(B186,'Base de données Mono'!D:D,0))</f>
        <v>SES8</v>
      </c>
      <c r="D186" s="36" t="str">
        <f>INDEX('Base de données Mono'!A:A,MATCH(B186,'Base de données Mono'!D:D,0))</f>
        <v>AD</v>
      </c>
      <c r="E186" s="37" t="s">
        <v>303</v>
      </c>
      <c r="F186" s="41">
        <f t="shared" si="13"/>
        <v>13</v>
      </c>
      <c r="G186" s="41">
        <f t="shared" si="14"/>
        <v>3</v>
      </c>
      <c r="H186">
        <v>8.25</v>
      </c>
      <c r="I186" s="131">
        <f>INDEX('Base de données Mono'!K:K,MATCH(B186,'Base de données Mono'!D:D,0))</f>
        <v>0.24305555555555555</v>
      </c>
      <c r="J186" s="131">
        <f>INDEX('Base de données Mono'!L:L,MATCH(B186,'Base de données Mono'!D:D,0))</f>
        <v>0.90625</v>
      </c>
      <c r="K186" s="131">
        <f>INDEX('Base de données Mono'!M:M,MATCH(B186,'Base de données Mono'!D:D,0))</f>
        <v>0.28125</v>
      </c>
      <c r="L186" s="131">
        <f>INDEX('Base de données Mono'!N:N,MATCH(B186,'Base de données Mono'!D:D,0))</f>
        <v>0.5625</v>
      </c>
      <c r="M186" s="33" t="s">
        <v>811</v>
      </c>
      <c r="N186" s="33">
        <f>IF(AND(E186="Electricité",M186="Hiver"),INDEX('Base de données Mono'!E:E,MATCH(B186,'Base de données Mono'!D:D,0)),IF(AND(E186="Electricité",M186="Mi-saison"),INDEX('Base de données Mono'!F:F,MATCH(B186,'Base de données Mono'!D:D,0)),IF(AND(E186="Electricité",M186="Eté"),INDEX('Base de données Mono'!G:G,MATCH(B186,'Base de données Mono'!D:D,0)),IF(AND(E186="Gaz",M186="Hiver"),INDEX('Base de données Mono'!J:J,MATCH(B186,'Base de données Mono'!D:D,0)),IF(AND(E186="Gaz",M186="Mi-saison"),INDEX('Base de données Mono'!#REF!,MATCH(B186,'Base de données Mono'!D:D,0)),IF(AND(E186="Gaz",M186="Eté"),INDEX('Base de données Mono'!#REF!,MATCH(B186,'Base de données Mono'!D:D,0)),"-"))))))</f>
        <v>120</v>
      </c>
      <c r="O186" s="123">
        <v>45382</v>
      </c>
      <c r="P186" s="123">
        <v>45382</v>
      </c>
      <c r="Q186" s="34">
        <v>165</v>
      </c>
      <c r="R186" s="33">
        <f t="shared" si="15"/>
        <v>45</v>
      </c>
      <c r="S186" s="34">
        <v>6.5</v>
      </c>
      <c r="T186" s="34">
        <v>1</v>
      </c>
      <c r="U186" s="33">
        <f t="shared" si="16"/>
        <v>292.5</v>
      </c>
      <c r="V186" s="38" t="s">
        <v>148</v>
      </c>
      <c r="W186" s="39">
        <f t="shared" si="17"/>
        <v>0.375</v>
      </c>
      <c r="X186" s="40" t="s">
        <v>730</v>
      </c>
      <c r="Y186" s="40" t="s">
        <v>284</v>
      </c>
      <c r="Z186" s="40" t="s">
        <v>307</v>
      </c>
      <c r="AA186" s="33" t="s">
        <v>308</v>
      </c>
      <c r="AB186" s="95"/>
      <c r="AC186" s="95"/>
    </row>
    <row r="187" spans="1:29" ht="14.45" hidden="1" customHeight="1" x14ac:dyDescent="0.25">
      <c r="A187" s="36" t="str">
        <f>INDEX('Base de données Mono'!C:C,MATCH(B187,'Base de données Mono'!D:D,0))</f>
        <v>MULHOUSE</v>
      </c>
      <c r="B187" t="s">
        <v>184</v>
      </c>
      <c r="C187" s="36" t="str">
        <f>INDEX('Base de données Mono'!B:B,MATCH(B187,'Base de données Mono'!D:D,0))</f>
        <v>SES8</v>
      </c>
      <c r="D187" s="36" t="str">
        <f>INDEX('Base de données Mono'!A:A,MATCH(B187,'Base de données Mono'!D:D,0))</f>
        <v>JG</v>
      </c>
      <c r="E187" s="37" t="s">
        <v>303</v>
      </c>
      <c r="F187" s="41">
        <f t="shared" si="13"/>
        <v>13</v>
      </c>
      <c r="G187" s="41">
        <f t="shared" si="14"/>
        <v>3</v>
      </c>
      <c r="H187">
        <v>8.25</v>
      </c>
      <c r="I187" s="131">
        <f>INDEX('Base de données Mono'!K:K,MATCH(B187,'Base de données Mono'!D:D,0))</f>
        <v>0.24305555555555555</v>
      </c>
      <c r="J187" s="131">
        <f>INDEX('Base de données Mono'!L:L,MATCH(B187,'Base de données Mono'!D:D,0))</f>
        <v>0.84375</v>
      </c>
      <c r="K187" s="131" t="str">
        <f>INDEX('Base de données Mono'!M:M,MATCH(B187,'Base de données Mono'!D:D,0))</f>
        <v>-</v>
      </c>
      <c r="L187" s="131" t="str">
        <f>INDEX('Base de données Mono'!N:N,MATCH(B187,'Base de données Mono'!D:D,0))</f>
        <v>-</v>
      </c>
      <c r="M187" s="33" t="s">
        <v>811</v>
      </c>
      <c r="N187" s="33">
        <f>IF(AND(E187="Electricité",M187="Hiver"),INDEX('Base de données Mono'!E:E,MATCH(B187,'Base de données Mono'!D:D,0)),IF(AND(E187="Electricité",M187="Mi-saison"),INDEX('Base de données Mono'!F:F,MATCH(B187,'Base de données Mono'!D:D,0)),IF(AND(E187="Electricité",M187="Eté"),INDEX('Base de données Mono'!G:G,MATCH(B187,'Base de données Mono'!D:D,0)),IF(AND(E187="Gaz",M187="Hiver"),INDEX('Base de données Mono'!J:J,MATCH(B187,'Base de données Mono'!D:D,0)),IF(AND(E187="Gaz",M187="Mi-saison"),INDEX('Base de données Mono'!#REF!,MATCH(B187,'Base de données Mono'!D:D,0)),IF(AND(E187="Gaz",M187="Eté"),INDEX('Base de données Mono'!#REF!,MATCH(B187,'Base de données Mono'!D:D,0)),"-"))))))</f>
        <v>45</v>
      </c>
      <c r="O187" s="123">
        <v>45382</v>
      </c>
      <c r="P187" s="123">
        <v>45382</v>
      </c>
      <c r="Q187" s="34">
        <v>75</v>
      </c>
      <c r="R187" s="33">
        <f t="shared" si="15"/>
        <v>30</v>
      </c>
      <c r="S187" s="34">
        <v>10.5</v>
      </c>
      <c r="T187" s="34">
        <v>1</v>
      </c>
      <c r="U187" s="33">
        <f t="shared" si="16"/>
        <v>315</v>
      </c>
      <c r="V187" s="38" t="s">
        <v>148</v>
      </c>
      <c r="W187" s="39">
        <f t="shared" si="17"/>
        <v>0.66666666666666663</v>
      </c>
      <c r="X187" s="40" t="s">
        <v>730</v>
      </c>
      <c r="Y187" s="40" t="s">
        <v>284</v>
      </c>
      <c r="Z187" s="40" t="s">
        <v>307</v>
      </c>
      <c r="AA187" s="33" t="s">
        <v>308</v>
      </c>
      <c r="AB187" s="95"/>
      <c r="AC187" s="95"/>
    </row>
    <row r="188" spans="1:29" ht="14.45" hidden="1" customHeight="1" x14ac:dyDescent="0.25">
      <c r="A188" s="36" t="str">
        <f>INDEX('Base de données Mono'!C:C,MATCH(B188,'Base de données Mono'!D:D,0))</f>
        <v>MULHOUSE</v>
      </c>
      <c r="B188" t="s">
        <v>184</v>
      </c>
      <c r="C188" s="36" t="str">
        <f>INDEX('Base de données Mono'!B:B,MATCH(B188,'Base de données Mono'!D:D,0))</f>
        <v>SES8</v>
      </c>
      <c r="D188" s="36" t="str">
        <f>INDEX('Base de données Mono'!A:A,MATCH(B188,'Base de données Mono'!D:D,0))</f>
        <v>JG</v>
      </c>
      <c r="E188" s="37" t="s">
        <v>303</v>
      </c>
      <c r="F188" s="41">
        <f t="shared" si="13"/>
        <v>13</v>
      </c>
      <c r="G188" s="41">
        <f t="shared" si="14"/>
        <v>3</v>
      </c>
      <c r="H188">
        <v>8.25</v>
      </c>
      <c r="I188" s="131">
        <f>INDEX('Base de données Mono'!K:K,MATCH(B188,'Base de données Mono'!D:D,0))</f>
        <v>0.24305555555555555</v>
      </c>
      <c r="J188" s="131">
        <f>INDEX('Base de données Mono'!L:L,MATCH(B188,'Base de données Mono'!D:D,0))</f>
        <v>0.84375</v>
      </c>
      <c r="K188" s="131" t="str">
        <f>INDEX('Base de données Mono'!M:M,MATCH(B188,'Base de données Mono'!D:D,0))</f>
        <v>-</v>
      </c>
      <c r="L188" s="131" t="str">
        <f>INDEX('Base de données Mono'!N:N,MATCH(B188,'Base de données Mono'!D:D,0))</f>
        <v>-</v>
      </c>
      <c r="M188" s="33" t="s">
        <v>811</v>
      </c>
      <c r="N188" s="33">
        <f>IF(AND(E188="Electricité",M188="Hiver"),INDEX('Base de données Mono'!E:E,MATCH(B188,'Base de données Mono'!D:D,0)),IF(AND(E188="Electricité",M188="Mi-saison"),INDEX('Base de données Mono'!F:F,MATCH(B188,'Base de données Mono'!D:D,0)),IF(AND(E188="Electricité",M188="Eté"),INDEX('Base de données Mono'!G:G,MATCH(B188,'Base de données Mono'!D:D,0)),IF(AND(E188="Gaz",M188="Hiver"),INDEX('Base de données Mono'!J:J,MATCH(B188,'Base de données Mono'!D:D,0)),IF(AND(E188="Gaz",M188="Mi-saison"),INDEX('Base de données Mono'!#REF!,MATCH(B188,'Base de données Mono'!D:D,0)),IF(AND(E188="Gaz",M188="Eté"),INDEX('Base de données Mono'!#REF!,MATCH(B188,'Base de données Mono'!D:D,0)),"-"))))))</f>
        <v>45</v>
      </c>
      <c r="O188" s="123">
        <v>45382</v>
      </c>
      <c r="P188" s="123">
        <v>45382</v>
      </c>
      <c r="Q188" s="34">
        <v>50</v>
      </c>
      <c r="R188" s="33">
        <f t="shared" si="15"/>
        <v>5</v>
      </c>
      <c r="S188" s="34">
        <v>3</v>
      </c>
      <c r="T188" s="34">
        <v>1</v>
      </c>
      <c r="U188" s="33">
        <f t="shared" si="16"/>
        <v>15</v>
      </c>
      <c r="V188" s="38" t="s">
        <v>148</v>
      </c>
      <c r="W188" s="39">
        <f t="shared" si="17"/>
        <v>0.1111111111111111</v>
      </c>
      <c r="X188" s="40" t="s">
        <v>730</v>
      </c>
      <c r="Y188" s="40" t="s">
        <v>284</v>
      </c>
      <c r="Z188" s="40" t="s">
        <v>305</v>
      </c>
      <c r="AA188" s="33" t="s">
        <v>771</v>
      </c>
      <c r="AB188" s="95"/>
      <c r="AC188" s="95"/>
    </row>
    <row r="189" spans="1:29" ht="14.45" hidden="1" customHeight="1" x14ac:dyDescent="0.25">
      <c r="A189" s="36" t="str">
        <f>INDEX('Base de données Mono'!C:C,MATCH(B189,'Base de données Mono'!D:D,0))</f>
        <v>CROIX ROUSSE</v>
      </c>
      <c r="B189" t="s">
        <v>116</v>
      </c>
      <c r="C189" s="36" t="str">
        <f>INDEX('Base de données Mono'!B:B,MATCH(B189,'Base de données Mono'!D:D,0))</f>
        <v>SES8</v>
      </c>
      <c r="D189" s="36" t="str">
        <f>INDEX('Base de données Mono'!A:A,MATCH(B189,'Base de données Mono'!D:D,0))</f>
        <v>JG</v>
      </c>
      <c r="E189" s="37" t="s">
        <v>303</v>
      </c>
      <c r="F189" s="41">
        <f t="shared" si="13"/>
        <v>13</v>
      </c>
      <c r="G189" s="41">
        <f t="shared" si="14"/>
        <v>3</v>
      </c>
      <c r="H189">
        <v>8.25</v>
      </c>
      <c r="I189" s="131">
        <f>INDEX('Base de données Mono'!K:K,MATCH(B189,'Base de données Mono'!D:D,0))</f>
        <v>0.20486111111111113</v>
      </c>
      <c r="J189" s="131">
        <f>INDEX('Base de données Mono'!L:L,MATCH(B189,'Base de données Mono'!D:D,0))</f>
        <v>0.89583333333333337</v>
      </c>
      <c r="K189" s="131">
        <f>INDEX('Base de données Mono'!M:M,MATCH(B189,'Base de données Mono'!D:D,0))</f>
        <v>0.29166666666666669</v>
      </c>
      <c r="L189" s="131">
        <f>INDEX('Base de données Mono'!N:N,MATCH(B189,'Base de données Mono'!D:D,0))</f>
        <v>0.5625</v>
      </c>
      <c r="M189" s="33" t="s">
        <v>811</v>
      </c>
      <c r="N189" s="33">
        <f>IF(AND(E189="Electricité",M189="Hiver"),INDEX('Base de données Mono'!E:E,MATCH(B189,'Base de données Mono'!D:D,0)),IF(AND(E189="Electricité",M189="Mi-saison"),INDEX('Base de données Mono'!F:F,MATCH(B189,'Base de données Mono'!D:D,0)),IF(AND(E189="Electricité",M189="Eté"),INDEX('Base de données Mono'!G:G,MATCH(B189,'Base de données Mono'!D:D,0)),IF(AND(E189="Gaz",M189="Hiver"),INDEX('Base de données Mono'!J:J,MATCH(B189,'Base de données Mono'!D:D,0)),IF(AND(E189="Gaz",M189="Mi-saison"),INDEX('Base de données Mono'!#REF!,MATCH(B189,'Base de données Mono'!D:D,0)),IF(AND(E189="Gaz",M189="Eté"),INDEX('Base de données Mono'!#REF!,MATCH(B189,'Base de données Mono'!D:D,0)),"-"))))))</f>
        <v>80</v>
      </c>
      <c r="O189" s="123">
        <v>45382</v>
      </c>
      <c r="P189" s="123">
        <v>45382</v>
      </c>
      <c r="Q189" s="34">
        <v>145</v>
      </c>
      <c r="R189" s="33">
        <f t="shared" si="15"/>
        <v>65</v>
      </c>
      <c r="S189" s="34">
        <v>6.5</v>
      </c>
      <c r="T189" s="34">
        <v>1</v>
      </c>
      <c r="U189" s="33">
        <f t="shared" si="16"/>
        <v>422.5</v>
      </c>
      <c r="V189" s="38" t="s">
        <v>148</v>
      </c>
      <c r="W189" s="39">
        <f t="shared" si="17"/>
        <v>0.8125</v>
      </c>
      <c r="X189" s="40" t="s">
        <v>730</v>
      </c>
      <c r="Y189" s="40" t="s">
        <v>284</v>
      </c>
      <c r="Z189" s="40" t="s">
        <v>307</v>
      </c>
      <c r="AA189" s="33" t="s">
        <v>308</v>
      </c>
      <c r="AB189" s="95"/>
      <c r="AC189" s="95"/>
    </row>
    <row r="190" spans="1:29" ht="14.45" hidden="1" customHeight="1" x14ac:dyDescent="0.25">
      <c r="A190" s="36" t="str">
        <f>INDEX('Base de données Mono'!C:C,MATCH(B190,'Base de données Mono'!D:D,0))</f>
        <v>MONTPELLIER COMEDIE</v>
      </c>
      <c r="B190" t="s">
        <v>179</v>
      </c>
      <c r="C190" s="36" t="str">
        <f>INDEX('Base de données Mono'!B:B,MATCH(B190,'Base de données Mono'!D:D,0))</f>
        <v>SES8</v>
      </c>
      <c r="D190" s="36" t="str">
        <f>INDEX('Base de données Mono'!A:A,MATCH(B190,'Base de données Mono'!D:D,0))</f>
        <v>AD</v>
      </c>
      <c r="E190" s="37" t="s">
        <v>303</v>
      </c>
      <c r="F190" s="41">
        <f t="shared" si="13"/>
        <v>13</v>
      </c>
      <c r="G190" s="41">
        <f t="shared" si="14"/>
        <v>3</v>
      </c>
      <c r="H190">
        <v>8</v>
      </c>
      <c r="I190" s="131">
        <f>INDEX('Base de données Mono'!K:K,MATCH(B190,'Base de données Mono'!D:D,0))</f>
        <v>0.1875</v>
      </c>
      <c r="J190" s="131">
        <f>INDEX('Base de données Mono'!L:L,MATCH(B190,'Base de données Mono'!D:D,0))</f>
        <v>0.91666666666666663</v>
      </c>
      <c r="K190" s="131">
        <f>INDEX('Base de données Mono'!M:M,MATCH(B190,'Base de données Mono'!D:D,0))</f>
        <v>0.29166666666666669</v>
      </c>
      <c r="L190" s="131">
        <f>INDEX('Base de données Mono'!N:N,MATCH(B190,'Base de données Mono'!D:D,0))</f>
        <v>0.54166666666666663</v>
      </c>
      <c r="M190" s="33" t="s">
        <v>811</v>
      </c>
      <c r="N190" s="33">
        <f>IF(AND(E190="Electricité",M190="Hiver"),INDEX('Base de données Mono'!E:E,MATCH(B190,'Base de données Mono'!D:D,0)),IF(AND(E190="Electricité",M190="Mi-saison"),INDEX('Base de données Mono'!F:F,MATCH(B190,'Base de données Mono'!D:D,0)),IF(AND(E190="Electricité",M190="Eté"),INDEX('Base de données Mono'!G:G,MATCH(B190,'Base de données Mono'!D:D,0)),IF(AND(E190="Gaz",M190="Hiver"),INDEX('Base de données Mono'!J:J,MATCH(B190,'Base de données Mono'!D:D,0)),IF(AND(E190="Gaz",M190="Mi-saison"),INDEX('Base de données Mono'!#REF!,MATCH(B190,'Base de données Mono'!D:D,0)),IF(AND(E190="Gaz",M190="Eté"),INDEX('Base de données Mono'!#REF!,MATCH(B190,'Base de données Mono'!D:D,0)),"-"))))))</f>
        <v>60</v>
      </c>
      <c r="O190" s="123">
        <v>45382</v>
      </c>
      <c r="P190" s="123">
        <v>45382</v>
      </c>
      <c r="Q190" s="34">
        <v>125</v>
      </c>
      <c r="R190" s="33">
        <f t="shared" si="15"/>
        <v>65</v>
      </c>
      <c r="S190" s="34">
        <v>7</v>
      </c>
      <c r="T190" s="34">
        <v>1</v>
      </c>
      <c r="U190" s="33">
        <f t="shared" si="16"/>
        <v>455</v>
      </c>
      <c r="V190" s="38" t="s">
        <v>148</v>
      </c>
      <c r="W190" s="39">
        <f t="shared" si="17"/>
        <v>1.0833333333333333</v>
      </c>
      <c r="X190" s="40" t="s">
        <v>730</v>
      </c>
      <c r="Y190" s="40" t="s">
        <v>284</v>
      </c>
      <c r="Z190" s="40" t="s">
        <v>307</v>
      </c>
      <c r="AA190" s="33" t="s">
        <v>308</v>
      </c>
      <c r="AB190" s="95"/>
      <c r="AC190" s="95"/>
    </row>
    <row r="191" spans="1:29" ht="14.45" hidden="1" customHeight="1" x14ac:dyDescent="0.25">
      <c r="A191" s="36" t="str">
        <f>INDEX('Base de données Mono'!C:C,MATCH(B191,'Base de données Mono'!D:D,0))</f>
        <v>MONTPELLIER COMEDIE</v>
      </c>
      <c r="B191" t="s">
        <v>179</v>
      </c>
      <c r="C191" s="36" t="str">
        <f>INDEX('Base de données Mono'!B:B,MATCH(B191,'Base de données Mono'!D:D,0))</f>
        <v>SES8</v>
      </c>
      <c r="D191" s="36" t="str">
        <f>INDEX('Base de données Mono'!A:A,MATCH(B191,'Base de données Mono'!D:D,0))</f>
        <v>AD</v>
      </c>
      <c r="E191" s="37" t="s">
        <v>303</v>
      </c>
      <c r="F191" s="41">
        <f t="shared" si="13"/>
        <v>13</v>
      </c>
      <c r="G191" s="41">
        <f t="shared" si="14"/>
        <v>3</v>
      </c>
      <c r="H191">
        <v>8</v>
      </c>
      <c r="I191" s="131">
        <f>INDEX('Base de données Mono'!K:K,MATCH(B191,'Base de données Mono'!D:D,0))</f>
        <v>0.1875</v>
      </c>
      <c r="J191" s="131">
        <f>INDEX('Base de données Mono'!L:L,MATCH(B191,'Base de données Mono'!D:D,0))</f>
        <v>0.91666666666666663</v>
      </c>
      <c r="K191" s="131">
        <f>INDEX('Base de données Mono'!M:M,MATCH(B191,'Base de données Mono'!D:D,0))</f>
        <v>0.29166666666666669</v>
      </c>
      <c r="L191" s="131">
        <f>INDEX('Base de données Mono'!N:N,MATCH(B191,'Base de données Mono'!D:D,0))</f>
        <v>0.54166666666666663</v>
      </c>
      <c r="M191" s="33" t="s">
        <v>811</v>
      </c>
      <c r="N191" s="33">
        <f>IF(AND(E191="Electricité",M191="Hiver"),INDEX('Base de données Mono'!E:E,MATCH(B191,'Base de données Mono'!D:D,0)),IF(AND(E191="Electricité",M191="Mi-saison"),INDEX('Base de données Mono'!F:F,MATCH(B191,'Base de données Mono'!D:D,0)),IF(AND(E191="Electricité",M191="Eté"),INDEX('Base de données Mono'!G:G,MATCH(B191,'Base de données Mono'!D:D,0)),IF(AND(E191="Gaz",M191="Hiver"),INDEX('Base de données Mono'!J:J,MATCH(B191,'Base de données Mono'!D:D,0)),IF(AND(E191="Gaz",M191="Mi-saison"),INDEX('Base de données Mono'!#REF!,MATCH(B191,'Base de données Mono'!D:D,0)),IF(AND(E191="Gaz",M191="Eté"),INDEX('Base de données Mono'!#REF!,MATCH(B191,'Base de données Mono'!D:D,0)),"-"))))))</f>
        <v>60</v>
      </c>
      <c r="O191" s="123">
        <v>45382</v>
      </c>
      <c r="P191" s="123">
        <v>45382</v>
      </c>
      <c r="Q191" s="34">
        <v>70</v>
      </c>
      <c r="R191" s="33">
        <f t="shared" si="15"/>
        <v>10</v>
      </c>
      <c r="S191" s="34">
        <v>2</v>
      </c>
      <c r="T191" s="34">
        <v>1</v>
      </c>
      <c r="U191" s="33">
        <f t="shared" si="16"/>
        <v>20</v>
      </c>
      <c r="V191" s="38" t="s">
        <v>148</v>
      </c>
      <c r="W191" s="39">
        <f t="shared" si="17"/>
        <v>0.16666666666666666</v>
      </c>
      <c r="X191" s="40" t="s">
        <v>730</v>
      </c>
      <c r="Y191" s="40" t="s">
        <v>284</v>
      </c>
      <c r="Z191" s="40" t="s">
        <v>305</v>
      </c>
      <c r="AA191" s="33" t="s">
        <v>771</v>
      </c>
      <c r="AB191" s="95"/>
      <c r="AC191" s="95"/>
    </row>
    <row r="192" spans="1:29" ht="14.45" hidden="1" customHeight="1" x14ac:dyDescent="0.25">
      <c r="A192" s="36" t="str">
        <f>INDEX('Base de données Mono'!C:C,MATCH(B192,'Base de données Mono'!D:D,0))</f>
        <v>VILLEJUIF</v>
      </c>
      <c r="B192" t="s">
        <v>273</v>
      </c>
      <c r="C192" s="36" t="str">
        <f>INDEX('Base de données Mono'!B:B,MATCH(B192,'Base de données Mono'!D:D,0))</f>
        <v>SES8</v>
      </c>
      <c r="D192" s="36" t="str">
        <f>INDEX('Base de données Mono'!A:A,MATCH(B192,'Base de données Mono'!D:D,0))</f>
        <v>JG</v>
      </c>
      <c r="E192" s="37" t="s">
        <v>303</v>
      </c>
      <c r="F192" s="41">
        <f t="shared" si="13"/>
        <v>13</v>
      </c>
      <c r="G192" s="41">
        <f t="shared" si="14"/>
        <v>3</v>
      </c>
      <c r="H192">
        <v>8</v>
      </c>
      <c r="I192" s="131">
        <f>INDEX('Base de données Mono'!K:K,MATCH(B192,'Base de données Mono'!D:D,0))</f>
        <v>0.23611111111111113</v>
      </c>
      <c r="J192" s="131">
        <f>INDEX('Base de données Mono'!L:L,MATCH(B192,'Base de données Mono'!D:D,0))</f>
        <v>0.85416666666666663</v>
      </c>
      <c r="K192" s="131">
        <f>INDEX('Base de données Mono'!M:M,MATCH(B192,'Base de données Mono'!D:D,0))</f>
        <v>0.31944444444444448</v>
      </c>
      <c r="L192" s="131">
        <f>INDEX('Base de données Mono'!N:N,MATCH(B192,'Base de données Mono'!D:D,0))</f>
        <v>0.55208333333333337</v>
      </c>
      <c r="M192" s="33" t="s">
        <v>811</v>
      </c>
      <c r="N192" s="33">
        <f>IF(AND(E192="Electricité",M192="Hiver"),INDEX('Base de données Mono'!E:E,MATCH(B192,'Base de données Mono'!D:D,0)),IF(AND(E192="Electricité",M192="Mi-saison"),INDEX('Base de données Mono'!F:F,MATCH(B192,'Base de données Mono'!D:D,0)),IF(AND(E192="Electricité",M192="Eté"),INDEX('Base de données Mono'!G:G,MATCH(B192,'Base de données Mono'!D:D,0)),IF(AND(E192="Gaz",M192="Hiver"),INDEX('Base de données Mono'!J:J,MATCH(B192,'Base de données Mono'!D:D,0)),IF(AND(E192="Gaz",M192="Mi-saison"),INDEX('Base de données Mono'!#REF!,MATCH(B192,'Base de données Mono'!D:D,0)),IF(AND(E192="Gaz",M192="Eté"),INDEX('Base de données Mono'!#REF!,MATCH(B192,'Base de données Mono'!D:D,0)),"-"))))))</f>
        <v>45</v>
      </c>
      <c r="O192" s="123">
        <v>45382</v>
      </c>
      <c r="P192" s="123">
        <v>45382</v>
      </c>
      <c r="Q192" s="34">
        <v>75</v>
      </c>
      <c r="R192" s="33">
        <f t="shared" si="15"/>
        <v>30</v>
      </c>
      <c r="S192" s="34">
        <v>6.5</v>
      </c>
      <c r="T192" s="34">
        <v>1</v>
      </c>
      <c r="U192" s="33">
        <f t="shared" si="16"/>
        <v>195</v>
      </c>
      <c r="V192" s="38" t="s">
        <v>148</v>
      </c>
      <c r="W192" s="39">
        <f t="shared" si="17"/>
        <v>0.66666666666666663</v>
      </c>
      <c r="X192" s="40" t="s">
        <v>730</v>
      </c>
      <c r="Y192" s="40" t="s">
        <v>284</v>
      </c>
      <c r="Z192" s="40" t="s">
        <v>307</v>
      </c>
      <c r="AA192" s="33" t="s">
        <v>308</v>
      </c>
      <c r="AB192" s="95"/>
      <c r="AC192" s="95"/>
    </row>
    <row r="193" spans="1:29" ht="14.45" hidden="1" customHeight="1" x14ac:dyDescent="0.25">
      <c r="A193" s="36" t="str">
        <f>INDEX('Base de données Mono'!C:C,MATCH(B193,'Base de données Mono'!D:D,0))</f>
        <v>LE HAVRE</v>
      </c>
      <c r="B193" t="s">
        <v>152</v>
      </c>
      <c r="C193" s="36" t="str">
        <f>INDEX('Base de données Mono'!B:B,MATCH(B193,'Base de données Mono'!D:D,0))</f>
        <v>SES8</v>
      </c>
      <c r="D193" s="36" t="str">
        <f>INDEX('Base de données Mono'!A:A,MATCH(B193,'Base de données Mono'!D:D,0))</f>
        <v>AD</v>
      </c>
      <c r="E193" s="37" t="s">
        <v>303</v>
      </c>
      <c r="F193" s="41">
        <f t="shared" si="13"/>
        <v>13</v>
      </c>
      <c r="G193" s="41">
        <f t="shared" si="14"/>
        <v>3</v>
      </c>
      <c r="H193">
        <v>8</v>
      </c>
      <c r="I193" s="131">
        <f>INDEX('Base de données Mono'!K:K,MATCH(B193,'Base de données Mono'!D:D,0))</f>
        <v>0.1875</v>
      </c>
      <c r="J193" s="131">
        <f>INDEX('Base de données Mono'!L:L,MATCH(B193,'Base de données Mono'!D:D,0))</f>
        <v>0.88541666666666663</v>
      </c>
      <c r="K193" s="131" t="str">
        <f>INDEX('Base de données Mono'!M:M,MATCH(B193,'Base de données Mono'!D:D,0))</f>
        <v>-</v>
      </c>
      <c r="L193" s="131" t="str">
        <f>INDEX('Base de données Mono'!N:N,MATCH(B193,'Base de données Mono'!D:D,0))</f>
        <v>-</v>
      </c>
      <c r="M193" s="33" t="s">
        <v>811</v>
      </c>
      <c r="N193" s="33">
        <f>IF(AND(E193="Electricité",M193="Hiver"),INDEX('Base de données Mono'!E:E,MATCH(B193,'Base de données Mono'!D:D,0)),IF(AND(E193="Electricité",M193="Mi-saison"),INDEX('Base de données Mono'!F:F,MATCH(B193,'Base de données Mono'!D:D,0)),IF(AND(E193="Electricité",M193="Eté"),INDEX('Base de données Mono'!G:G,MATCH(B193,'Base de données Mono'!D:D,0)),IF(AND(E193="Gaz",M193="Hiver"),INDEX('Base de données Mono'!J:J,MATCH(B193,'Base de données Mono'!D:D,0)),IF(AND(E193="Gaz",M193="Mi-saison"),INDEX('Base de données Mono'!#REF!,MATCH(B193,'Base de données Mono'!D:D,0)),IF(AND(E193="Gaz",M193="Eté"),INDEX('Base de données Mono'!#REF!,MATCH(B193,'Base de données Mono'!D:D,0)),"-"))))))</f>
        <v>60</v>
      </c>
      <c r="O193" s="123">
        <v>45382</v>
      </c>
      <c r="P193" s="123">
        <v>45382</v>
      </c>
      <c r="Q193" s="34">
        <v>65</v>
      </c>
      <c r="R193" s="33">
        <f t="shared" si="15"/>
        <v>5</v>
      </c>
      <c r="S193" s="164">
        <v>16.3</v>
      </c>
      <c r="T193" s="34">
        <v>1</v>
      </c>
      <c r="U193" s="33">
        <f t="shared" si="16"/>
        <v>81.5</v>
      </c>
      <c r="V193" s="38" t="s">
        <v>148</v>
      </c>
      <c r="W193" s="39">
        <f t="shared" si="17"/>
        <v>8.3333333333333329E-2</v>
      </c>
      <c r="X193" s="40" t="s">
        <v>730</v>
      </c>
      <c r="Y193" s="40" t="s">
        <v>284</v>
      </c>
      <c r="Z193" s="40" t="s">
        <v>305</v>
      </c>
      <c r="AA193" s="33" t="s">
        <v>771</v>
      </c>
      <c r="AB193" s="95"/>
      <c r="AC193" s="95"/>
    </row>
    <row r="194" spans="1:29" ht="14.45" hidden="1" customHeight="1" x14ac:dyDescent="0.25">
      <c r="A194" s="36" t="str">
        <f>INDEX('Base de données Mono'!C:C,MATCH(B194,'Base de données Mono'!D:D,0))</f>
        <v>SABLONS</v>
      </c>
      <c r="B194" t="s">
        <v>32</v>
      </c>
      <c r="C194" s="36" t="str">
        <f>INDEX('Base de données Mono'!B:B,MATCH(B194,'Base de données Mono'!D:D,0))</f>
        <v>SES8</v>
      </c>
      <c r="D194" s="36" t="str">
        <f>INDEX('Base de données Mono'!A:A,MATCH(B194,'Base de données Mono'!D:D,0))</f>
        <v>AD</v>
      </c>
      <c r="E194" s="37" t="s">
        <v>303</v>
      </c>
      <c r="F194" s="41">
        <f t="shared" ref="F194:F235" si="19">IF(O194="","-",IF(AND(X194="Nuit",WEEKDAY(O194,2)=7,O194&lt;&gt;P194),WEEKNUM(O194,2),WEEKNUM(O194,2)-1))+1</f>
        <v>13</v>
      </c>
      <c r="G194" s="41">
        <f t="shared" ref="G194:G235" si="20">IF(O194="","-",MONTH(O194))</f>
        <v>3</v>
      </c>
      <c r="H194">
        <v>8</v>
      </c>
      <c r="I194" s="131">
        <f>INDEX('Base de données Mono'!K:K,MATCH(B194,'Base de données Mono'!D:D,0))</f>
        <v>0.23611111111111113</v>
      </c>
      <c r="J194" s="131">
        <f>INDEX('Base de données Mono'!L:L,MATCH(B194,'Base de données Mono'!D:D,0))</f>
        <v>0.91666666666666663</v>
      </c>
      <c r="K194" s="131">
        <f>INDEX('Base de données Mono'!M:M,MATCH(B194,'Base de données Mono'!D:D,0))</f>
        <v>0.25694444444444448</v>
      </c>
      <c r="L194" s="131">
        <f>INDEX('Base de données Mono'!N:N,MATCH(B194,'Base de données Mono'!D:D,0))</f>
        <v>0.60069444444444442</v>
      </c>
      <c r="M194" s="33" t="s">
        <v>811</v>
      </c>
      <c r="N194" s="33">
        <f>IF(AND(E194="Electricité",M194="Hiver"),INDEX('Base de données Mono'!E:E,MATCH(B194,'Base de données Mono'!D:D,0)),IF(AND(E194="Electricité",M194="Mi-saison"),INDEX('Base de données Mono'!F:F,MATCH(B194,'Base de données Mono'!D:D,0)),IF(AND(E194="Electricité",M194="Eté"),INDEX('Base de données Mono'!G:G,MATCH(B194,'Base de données Mono'!D:D,0)),IF(AND(E194="Gaz",M194="Hiver"),INDEX('Base de données Mono'!J:J,MATCH(B194,'Base de données Mono'!D:D,0)),IF(AND(E194="Gaz",M194="Mi-saison"),INDEX('Base de données Mono'!#REF!,MATCH(B194,'Base de données Mono'!D:D,0)),IF(AND(E194="Gaz",M194="Eté"),INDEX('Base de données Mono'!#REF!,MATCH(B194,'Base de données Mono'!D:D,0)),"-"))))))</f>
        <v>75</v>
      </c>
      <c r="O194" s="123">
        <v>45382</v>
      </c>
      <c r="P194" s="123">
        <v>45382</v>
      </c>
      <c r="Q194" s="34">
        <v>150</v>
      </c>
      <c r="R194" s="33">
        <f t="shared" ref="R194:R235" si="21">IF(Q194="","",Q194-N194)</f>
        <v>75</v>
      </c>
      <c r="S194" s="34">
        <v>5.5</v>
      </c>
      <c r="T194" s="34">
        <v>1</v>
      </c>
      <c r="U194" s="33">
        <f t="shared" ref="U194:U235" si="22">R194*S194*T194</f>
        <v>412.5</v>
      </c>
      <c r="V194" s="38" t="s">
        <v>148</v>
      </c>
      <c r="W194" s="39">
        <f t="shared" ref="W194:W235" si="23">IFERROR(IF(E194="Gaz","-",R194/N194),"-")</f>
        <v>1</v>
      </c>
      <c r="X194" s="40" t="s">
        <v>730</v>
      </c>
      <c r="Y194" s="40" t="s">
        <v>284</v>
      </c>
      <c r="Z194" s="40" t="s">
        <v>307</v>
      </c>
      <c r="AA194" s="33" t="s">
        <v>308</v>
      </c>
      <c r="AB194" s="95"/>
      <c r="AC194" s="95"/>
    </row>
    <row r="195" spans="1:29" ht="14.45" hidden="1" customHeight="1" x14ac:dyDescent="0.25">
      <c r="A195" s="36" t="str">
        <f>INDEX('Base de données Mono'!C:C,MATCH(B195,'Base de données Mono'!D:D,0))</f>
        <v>SABLONS</v>
      </c>
      <c r="B195" t="s">
        <v>32</v>
      </c>
      <c r="C195" s="36" t="str">
        <f>INDEX('Base de données Mono'!B:B,MATCH(B195,'Base de données Mono'!D:D,0))</f>
        <v>SES8</v>
      </c>
      <c r="D195" s="36" t="str">
        <f>INDEX('Base de données Mono'!A:A,MATCH(B195,'Base de données Mono'!D:D,0))</f>
        <v>AD</v>
      </c>
      <c r="E195" s="37" t="s">
        <v>303</v>
      </c>
      <c r="F195" s="41">
        <f t="shared" si="19"/>
        <v>13</v>
      </c>
      <c r="G195" s="41">
        <f t="shared" si="20"/>
        <v>3</v>
      </c>
      <c r="H195">
        <v>8</v>
      </c>
      <c r="I195" s="131">
        <f>INDEX('Base de données Mono'!K:K,MATCH(B195,'Base de données Mono'!D:D,0))</f>
        <v>0.23611111111111113</v>
      </c>
      <c r="J195" s="131">
        <f>INDEX('Base de données Mono'!L:L,MATCH(B195,'Base de données Mono'!D:D,0))</f>
        <v>0.91666666666666663</v>
      </c>
      <c r="K195" s="131">
        <f>INDEX('Base de données Mono'!M:M,MATCH(B195,'Base de données Mono'!D:D,0))</f>
        <v>0.25694444444444448</v>
      </c>
      <c r="L195" s="131">
        <f>INDEX('Base de données Mono'!N:N,MATCH(B195,'Base de données Mono'!D:D,0))</f>
        <v>0.60069444444444442</v>
      </c>
      <c r="M195" s="33" t="s">
        <v>811</v>
      </c>
      <c r="N195" s="33">
        <f>IF(AND(E195="Electricité",M195="Hiver"),INDEX('Base de données Mono'!E:E,MATCH(B195,'Base de données Mono'!D:D,0)),IF(AND(E195="Electricité",M195="Mi-saison"),INDEX('Base de données Mono'!F:F,MATCH(B195,'Base de données Mono'!D:D,0)),IF(AND(E195="Electricité",M195="Eté"),INDEX('Base de données Mono'!G:G,MATCH(B195,'Base de données Mono'!D:D,0)),IF(AND(E195="Gaz",M195="Hiver"),INDEX('Base de données Mono'!J:J,MATCH(B195,'Base de données Mono'!D:D,0)),IF(AND(E195="Gaz",M195="Mi-saison"),INDEX('Base de données Mono'!#REF!,MATCH(B195,'Base de données Mono'!D:D,0)),IF(AND(E195="Gaz",M195="Eté"),INDEX('Base de données Mono'!#REF!,MATCH(B195,'Base de données Mono'!D:D,0)),"-"))))))</f>
        <v>75</v>
      </c>
      <c r="O195" s="123">
        <v>45382</v>
      </c>
      <c r="P195" s="123">
        <v>45382</v>
      </c>
      <c r="Q195" s="34">
        <v>105</v>
      </c>
      <c r="R195" s="33">
        <f t="shared" si="21"/>
        <v>30</v>
      </c>
      <c r="S195" s="34">
        <v>2.5</v>
      </c>
      <c r="T195" s="34">
        <v>1</v>
      </c>
      <c r="U195" s="33">
        <f t="shared" si="22"/>
        <v>75</v>
      </c>
      <c r="V195" s="38" t="s">
        <v>148</v>
      </c>
      <c r="W195" s="39">
        <f t="shared" si="23"/>
        <v>0.4</v>
      </c>
      <c r="X195" s="40" t="s">
        <v>730</v>
      </c>
      <c r="Y195" s="40" t="s">
        <v>284</v>
      </c>
      <c r="Z195" s="40" t="s">
        <v>305</v>
      </c>
      <c r="AA195" s="33" t="s">
        <v>771</v>
      </c>
      <c r="AB195" s="95"/>
      <c r="AC195" s="95"/>
    </row>
    <row r="196" spans="1:29" ht="14.45" hidden="1" customHeight="1" x14ac:dyDescent="0.25">
      <c r="A196" s="36" t="str">
        <f>INDEX('Base de données Mono'!C:C,MATCH(B196,'Base de données Mono'!D:D,0))</f>
        <v>SAINT RAPHAEL</v>
      </c>
      <c r="B196" t="s">
        <v>36</v>
      </c>
      <c r="C196" s="36" t="str">
        <f>INDEX('Base de données Mono'!B:B,MATCH(B196,'Base de données Mono'!D:D,0))</f>
        <v>SES8</v>
      </c>
      <c r="D196" s="36" t="str">
        <f>INDEX('Base de données Mono'!A:A,MATCH(B196,'Base de données Mono'!D:D,0))</f>
        <v>JG</v>
      </c>
      <c r="E196" s="37" t="s">
        <v>303</v>
      </c>
      <c r="F196" s="41">
        <f t="shared" si="19"/>
        <v>13</v>
      </c>
      <c r="G196" s="41">
        <f t="shared" si="20"/>
        <v>3</v>
      </c>
      <c r="H196">
        <v>8.92</v>
      </c>
      <c r="I196" s="131">
        <f>INDEX('Base de données Mono'!K:K,MATCH(B196,'Base de données Mono'!D:D,0))</f>
        <v>0.20833333333333334</v>
      </c>
      <c r="J196" s="131">
        <f>INDEX('Base de données Mono'!L:L,MATCH(B196,'Base de données Mono'!D:D,0))</f>
        <v>0.85416666666666663</v>
      </c>
      <c r="K196" s="131">
        <f>INDEX('Base de données Mono'!M:M,MATCH(B196,'Base de données Mono'!D:D,0))</f>
        <v>0.3125</v>
      </c>
      <c r="L196" s="131">
        <f>INDEX('Base de données Mono'!N:N,MATCH(B196,'Base de données Mono'!D:D,0))</f>
        <v>0.55902777777777779</v>
      </c>
      <c r="M196" s="33" t="s">
        <v>811</v>
      </c>
      <c r="N196" s="33">
        <f>IF(AND(E196="Electricité",M196="Hiver"),INDEX('Base de données Mono'!E:E,MATCH(B196,'Base de données Mono'!D:D,0)),IF(AND(E196="Electricité",M196="Mi-saison"),INDEX('Base de données Mono'!F:F,MATCH(B196,'Base de données Mono'!D:D,0)),IF(AND(E196="Electricité",M196="Eté"),INDEX('Base de données Mono'!G:G,MATCH(B196,'Base de données Mono'!D:D,0)),IF(AND(E196="Gaz",M196="Hiver"),INDEX('Base de données Mono'!J:J,MATCH(B196,'Base de données Mono'!D:D,0)),IF(AND(E196="Gaz",M196="Mi-saison"),INDEX('Base de données Mono'!#REF!,MATCH(B196,'Base de données Mono'!D:D,0)),IF(AND(E196="Gaz",M196="Eté"),INDEX('Base de données Mono'!#REF!,MATCH(B196,'Base de données Mono'!D:D,0)),"-"))))))</f>
        <v>35</v>
      </c>
      <c r="O196" s="123">
        <v>45382</v>
      </c>
      <c r="P196" s="123">
        <v>45382</v>
      </c>
      <c r="Q196" s="34">
        <v>60</v>
      </c>
      <c r="R196" s="33">
        <f t="shared" si="21"/>
        <v>25</v>
      </c>
      <c r="S196" s="34">
        <v>7</v>
      </c>
      <c r="T196" s="34">
        <v>1</v>
      </c>
      <c r="U196" s="33">
        <f t="shared" si="22"/>
        <v>175</v>
      </c>
      <c r="V196" s="38" t="s">
        <v>148</v>
      </c>
      <c r="W196" s="39">
        <f t="shared" si="23"/>
        <v>0.7142857142857143</v>
      </c>
      <c r="X196" s="40" t="s">
        <v>730</v>
      </c>
      <c r="Y196" s="40" t="s">
        <v>284</v>
      </c>
      <c r="Z196" s="40" t="s">
        <v>307</v>
      </c>
      <c r="AA196" s="33" t="s">
        <v>308</v>
      </c>
      <c r="AB196" s="95"/>
      <c r="AC196" s="95"/>
    </row>
    <row r="197" spans="1:29" ht="14.45" hidden="1" customHeight="1" x14ac:dyDescent="0.25">
      <c r="A197" s="36" t="str">
        <f>INDEX('Base de données Mono'!C:C,MATCH(B197,'Base de données Mono'!D:D,0))</f>
        <v>VINCI COURBEVOIE</v>
      </c>
      <c r="B197" t="s">
        <v>279</v>
      </c>
      <c r="C197" s="36" t="str">
        <f>INDEX('Base de données Mono'!B:B,MATCH(B197,'Base de données Mono'!D:D,0))</f>
        <v>SES8</v>
      </c>
      <c r="D197" s="36" t="str">
        <f>INDEX('Base de données Mono'!A:A,MATCH(B197,'Base de données Mono'!D:D,0))</f>
        <v>AD</v>
      </c>
      <c r="E197" s="37" t="s">
        <v>303</v>
      </c>
      <c r="F197" s="41">
        <f t="shared" si="19"/>
        <v>13</v>
      </c>
      <c r="G197" s="41">
        <f t="shared" si="20"/>
        <v>3</v>
      </c>
      <c r="H197">
        <v>8.92</v>
      </c>
      <c r="I197" s="131">
        <f>INDEX('Base de données Mono'!K:K,MATCH(B197,'Base de données Mono'!D:D,0))</f>
        <v>0.25</v>
      </c>
      <c r="J197" s="131">
        <f>INDEX('Base de données Mono'!L:L,MATCH(B197,'Base de données Mono'!D:D,0))</f>
        <v>0.91666666666666663</v>
      </c>
      <c r="K197" s="131">
        <f>INDEX('Base de données Mono'!M:M,MATCH(B197,'Base de données Mono'!D:D,0))</f>
        <v>0.27777777777777779</v>
      </c>
      <c r="L197" s="131">
        <f>INDEX('Base de données Mono'!N:N,MATCH(B197,'Base de données Mono'!D:D,0))</f>
        <v>0.5625</v>
      </c>
      <c r="M197" s="33" t="s">
        <v>811</v>
      </c>
      <c r="N197" s="33">
        <f>IF(AND(E197="Electricité",M197="Hiver"),INDEX('Base de données Mono'!E:E,MATCH(B197,'Base de données Mono'!D:D,0)),IF(AND(E197="Electricité",M197="Mi-saison"),INDEX('Base de données Mono'!F:F,MATCH(B197,'Base de données Mono'!D:D,0)),IF(AND(E197="Electricité",M197="Eté"),INDEX('Base de données Mono'!G:G,MATCH(B197,'Base de données Mono'!D:D,0)),IF(AND(E197="Gaz",M197="Hiver"),INDEX('Base de données Mono'!J:J,MATCH(B197,'Base de données Mono'!D:D,0)),IF(AND(E197="Gaz",M197="Mi-saison"),INDEX('Base de données Mono'!#REF!,MATCH(B197,'Base de données Mono'!D:D,0)),IF(AND(E197="Gaz",M197="Eté"),INDEX('Base de données Mono'!#REF!,MATCH(B197,'Base de données Mono'!D:D,0)),"-"))))))</f>
        <v>65</v>
      </c>
      <c r="O197" s="123">
        <v>45382</v>
      </c>
      <c r="P197" s="123">
        <v>45382</v>
      </c>
      <c r="Q197" s="34">
        <v>120</v>
      </c>
      <c r="R197" s="33">
        <f t="shared" si="21"/>
        <v>55</v>
      </c>
      <c r="S197" s="34">
        <v>6.5</v>
      </c>
      <c r="T197" s="34">
        <v>1</v>
      </c>
      <c r="U197" s="33">
        <f t="shared" si="22"/>
        <v>357.5</v>
      </c>
      <c r="V197" s="38" t="s">
        <v>148</v>
      </c>
      <c r="W197" s="39">
        <f t="shared" si="23"/>
        <v>0.84615384615384615</v>
      </c>
      <c r="X197" s="40" t="s">
        <v>730</v>
      </c>
      <c r="Y197" s="40" t="s">
        <v>284</v>
      </c>
      <c r="Z197" s="40" t="s">
        <v>307</v>
      </c>
      <c r="AA197" s="33" t="s">
        <v>308</v>
      </c>
      <c r="AB197" s="95"/>
      <c r="AC197" s="95"/>
    </row>
    <row r="198" spans="1:29" ht="14.45" hidden="1" customHeight="1" x14ac:dyDescent="0.25">
      <c r="A198" s="36" t="str">
        <f>INDEX('Base de données Mono'!C:C,MATCH(B198,'Base de données Mono'!D:D,0))</f>
        <v>VINCI COURBEVOIE</v>
      </c>
      <c r="B198" t="s">
        <v>279</v>
      </c>
      <c r="C198" s="36" t="str">
        <f>INDEX('Base de données Mono'!B:B,MATCH(B198,'Base de données Mono'!D:D,0))</f>
        <v>SES8</v>
      </c>
      <c r="D198" s="36" t="str">
        <f>INDEX('Base de données Mono'!A:A,MATCH(B198,'Base de données Mono'!D:D,0))</f>
        <v>AD</v>
      </c>
      <c r="E198" s="37" t="s">
        <v>303</v>
      </c>
      <c r="F198" s="41">
        <f t="shared" si="19"/>
        <v>13</v>
      </c>
      <c r="G198" s="41">
        <f t="shared" si="20"/>
        <v>3</v>
      </c>
      <c r="H198">
        <v>8.92</v>
      </c>
      <c r="I198" s="131">
        <f>INDEX('Base de données Mono'!K:K,MATCH(B198,'Base de données Mono'!D:D,0))</f>
        <v>0.25</v>
      </c>
      <c r="J198" s="131">
        <f>INDEX('Base de données Mono'!L:L,MATCH(B198,'Base de données Mono'!D:D,0))</f>
        <v>0.91666666666666663</v>
      </c>
      <c r="K198" s="131">
        <f>INDEX('Base de données Mono'!M:M,MATCH(B198,'Base de données Mono'!D:D,0))</f>
        <v>0.27777777777777779</v>
      </c>
      <c r="L198" s="131">
        <f>INDEX('Base de données Mono'!N:N,MATCH(B198,'Base de données Mono'!D:D,0))</f>
        <v>0.5625</v>
      </c>
      <c r="M198" s="33" t="s">
        <v>811</v>
      </c>
      <c r="N198" s="33">
        <f>IF(AND(E198="Electricité",M198="Hiver"),INDEX('Base de données Mono'!E:E,MATCH(B198,'Base de données Mono'!D:D,0)),IF(AND(E198="Electricité",M198="Mi-saison"),INDEX('Base de données Mono'!F:F,MATCH(B198,'Base de données Mono'!D:D,0)),IF(AND(E198="Electricité",M198="Eté"),INDEX('Base de données Mono'!G:G,MATCH(B198,'Base de données Mono'!D:D,0)),IF(AND(E198="Gaz",M198="Hiver"),INDEX('Base de données Mono'!J:J,MATCH(B198,'Base de données Mono'!D:D,0)),IF(AND(E198="Gaz",M198="Mi-saison"),INDEX('Base de données Mono'!#REF!,MATCH(B198,'Base de données Mono'!D:D,0)),IF(AND(E198="Gaz",M198="Eté"),INDEX('Base de données Mono'!#REF!,MATCH(B198,'Base de données Mono'!D:D,0)),"-"))))))</f>
        <v>65</v>
      </c>
      <c r="O198" s="123">
        <v>45382</v>
      </c>
      <c r="P198" s="123">
        <v>45382</v>
      </c>
      <c r="Q198" s="34">
        <v>75</v>
      </c>
      <c r="R198" s="33">
        <f t="shared" si="21"/>
        <v>10</v>
      </c>
      <c r="S198" s="34">
        <v>2</v>
      </c>
      <c r="T198" s="34">
        <v>1</v>
      </c>
      <c r="U198" s="33">
        <f t="shared" si="22"/>
        <v>20</v>
      </c>
      <c r="V198" s="38" t="s">
        <v>148</v>
      </c>
      <c r="W198" s="39">
        <f t="shared" si="23"/>
        <v>0.15384615384615385</v>
      </c>
      <c r="X198" s="40" t="s">
        <v>730</v>
      </c>
      <c r="Y198" s="40" t="s">
        <v>284</v>
      </c>
      <c r="Z198" s="40" t="s">
        <v>305</v>
      </c>
      <c r="AA198" s="33" t="s">
        <v>771</v>
      </c>
      <c r="AB198" s="95"/>
      <c r="AC198" s="95"/>
    </row>
    <row r="199" spans="1:29" ht="14.45" hidden="1" customHeight="1" x14ac:dyDescent="0.25">
      <c r="A199" s="36" t="str">
        <f>INDEX('Base de données Mono'!C:C,MATCH(B199,'Base de données Mono'!D:D,0))</f>
        <v>COLOMBES</v>
      </c>
      <c r="B199" t="s">
        <v>14</v>
      </c>
      <c r="C199" s="36" t="str">
        <f>INDEX('Base de données Mono'!B:B,MATCH(B199,'Base de données Mono'!D:D,0))</f>
        <v>SES8</v>
      </c>
      <c r="D199" s="36" t="str">
        <f>INDEX('Base de données Mono'!A:A,MATCH(B199,'Base de données Mono'!D:D,0))</f>
        <v>AD</v>
      </c>
      <c r="E199" s="37" t="s">
        <v>303</v>
      </c>
      <c r="F199" s="41">
        <f t="shared" si="19"/>
        <v>13</v>
      </c>
      <c r="G199" s="41">
        <f t="shared" si="20"/>
        <v>3</v>
      </c>
      <c r="H199">
        <v>8.92</v>
      </c>
      <c r="I199" s="131">
        <f>INDEX('Base de données Mono'!K:K,MATCH(B199,'Base de données Mono'!D:D,0))</f>
        <v>0.24305555555555555</v>
      </c>
      <c r="J199" s="131">
        <f>INDEX('Base de données Mono'!L:L,MATCH(B199,'Base de données Mono'!D:D,0))</f>
        <v>0.89583333333333337</v>
      </c>
      <c r="K199" s="131">
        <f>INDEX('Base de données Mono'!M:M,MATCH(B199,'Base de données Mono'!D:D,0))</f>
        <v>0.27083333333333331</v>
      </c>
      <c r="L199" s="131">
        <f>INDEX('Base de données Mono'!N:N,MATCH(B199,'Base de données Mono'!D:D,0))</f>
        <v>0.55902777777777779</v>
      </c>
      <c r="M199" s="33" t="s">
        <v>811</v>
      </c>
      <c r="N199" s="33">
        <f>IF(AND(E199="Electricité",M199="Hiver"),INDEX('Base de données Mono'!E:E,MATCH(B199,'Base de données Mono'!D:D,0)),IF(AND(E199="Electricité",M199="Mi-saison"),INDEX('Base de données Mono'!F:F,MATCH(B199,'Base de données Mono'!D:D,0)),IF(AND(E199="Electricité",M199="Eté"),INDEX('Base de données Mono'!G:G,MATCH(B199,'Base de données Mono'!D:D,0)),IF(AND(E199="Gaz",M199="Hiver"),INDEX('Base de données Mono'!J:J,MATCH(B199,'Base de données Mono'!D:D,0)),IF(AND(E199="Gaz",M199="Mi-saison"),INDEX('Base de données Mono'!#REF!,MATCH(B199,'Base de données Mono'!D:D,0)),IF(AND(E199="Gaz",M199="Eté"),INDEX('Base de données Mono'!#REF!,MATCH(B199,'Base de données Mono'!D:D,0)),"-"))))))</f>
        <v>75</v>
      </c>
      <c r="O199" s="123">
        <v>45382</v>
      </c>
      <c r="P199" s="123">
        <v>45382</v>
      </c>
      <c r="Q199" s="34">
        <v>120</v>
      </c>
      <c r="R199" s="33">
        <f t="shared" si="21"/>
        <v>45</v>
      </c>
      <c r="S199" s="34">
        <v>6.5</v>
      </c>
      <c r="T199" s="34">
        <v>1</v>
      </c>
      <c r="U199" s="33">
        <f t="shared" si="22"/>
        <v>292.5</v>
      </c>
      <c r="V199" s="38" t="s">
        <v>148</v>
      </c>
      <c r="W199" s="39">
        <f t="shared" si="23"/>
        <v>0.6</v>
      </c>
      <c r="X199" s="40" t="s">
        <v>730</v>
      </c>
      <c r="Y199" s="40" t="s">
        <v>284</v>
      </c>
      <c r="Z199" s="40" t="s">
        <v>307</v>
      </c>
      <c r="AA199" s="33" t="s">
        <v>308</v>
      </c>
      <c r="AB199" s="95"/>
      <c r="AC199" s="95"/>
    </row>
    <row r="200" spans="1:29" ht="14.45" hidden="1" customHeight="1" x14ac:dyDescent="0.25">
      <c r="A200" s="36" t="str">
        <f>INDEX('Base de données Mono'!C:C,MATCH(B200,'Base de données Mono'!D:D,0))</f>
        <v>BOULOGNE LES PASSAGES</v>
      </c>
      <c r="B200" t="s">
        <v>7</v>
      </c>
      <c r="C200" s="36" t="str">
        <f>INDEX('Base de données Mono'!B:B,MATCH(B200,'Base de données Mono'!D:D,0))</f>
        <v>SES8</v>
      </c>
      <c r="D200" s="36" t="str">
        <f>INDEX('Base de données Mono'!A:A,MATCH(B200,'Base de données Mono'!D:D,0))</f>
        <v>AD</v>
      </c>
      <c r="E200" s="37" t="s">
        <v>303</v>
      </c>
      <c r="F200" s="41">
        <f t="shared" si="19"/>
        <v>13</v>
      </c>
      <c r="G200" s="41">
        <f t="shared" si="20"/>
        <v>3</v>
      </c>
      <c r="H200">
        <v>8.67</v>
      </c>
      <c r="I200" s="131">
        <f>INDEX('Base de données Mono'!K:K,MATCH(B200,'Base de données Mono'!D:D,0))</f>
        <v>0.20833333333333334</v>
      </c>
      <c r="J200" s="131">
        <f>INDEX('Base de données Mono'!L:L,MATCH(B200,'Base de données Mono'!D:D,0))</f>
        <v>0.85416666666666663</v>
      </c>
      <c r="K200" s="131" t="str">
        <f>INDEX('Base de données Mono'!M:M,MATCH(B200,'Base de données Mono'!D:D,0))</f>
        <v>-</v>
      </c>
      <c r="L200" s="131" t="str">
        <f>INDEX('Base de données Mono'!N:N,MATCH(B200,'Base de données Mono'!D:D,0))</f>
        <v>-</v>
      </c>
      <c r="M200" s="33" t="s">
        <v>811</v>
      </c>
      <c r="N200" s="33">
        <f>IF(AND(E200="Electricité",M200="Hiver"),INDEX('Base de données Mono'!E:E,MATCH(B200,'Base de données Mono'!D:D,0)),IF(AND(E200="Electricité",M200="Mi-saison"),INDEX('Base de données Mono'!F:F,MATCH(B200,'Base de données Mono'!D:D,0)),IF(AND(E200="Electricité",M200="Eté"),INDEX('Base de données Mono'!G:G,MATCH(B200,'Base de données Mono'!D:D,0)),IF(AND(E200="Gaz",M200="Hiver"),INDEX('Base de données Mono'!J:J,MATCH(B200,'Base de données Mono'!D:D,0)),IF(AND(E200="Gaz",M200="Mi-saison"),INDEX('Base de données Mono'!#REF!,MATCH(B200,'Base de données Mono'!D:D,0)),IF(AND(E200="Gaz",M200="Eté"),INDEX('Base de données Mono'!#REF!,MATCH(B200,'Base de données Mono'!D:D,0)),"-"))))))</f>
        <v>95</v>
      </c>
      <c r="O200" s="123">
        <v>45382</v>
      </c>
      <c r="P200" s="123">
        <v>45382</v>
      </c>
      <c r="Q200" s="34">
        <v>150</v>
      </c>
      <c r="R200" s="33">
        <f t="shared" si="21"/>
        <v>55</v>
      </c>
      <c r="S200" s="34">
        <v>6</v>
      </c>
      <c r="T200" s="34">
        <v>1</v>
      </c>
      <c r="U200" s="33">
        <f t="shared" si="22"/>
        <v>330</v>
      </c>
      <c r="V200" s="38" t="s">
        <v>148</v>
      </c>
      <c r="W200" s="39">
        <f t="shared" si="23"/>
        <v>0.57894736842105265</v>
      </c>
      <c r="X200" s="40" t="s">
        <v>730</v>
      </c>
      <c r="Y200" s="40" t="s">
        <v>284</v>
      </c>
      <c r="Z200" s="40" t="s">
        <v>307</v>
      </c>
      <c r="AA200" s="33" t="s">
        <v>308</v>
      </c>
      <c r="AB200" s="95"/>
      <c r="AC200" s="95"/>
    </row>
    <row r="201" spans="1:29" ht="14.45" hidden="1" customHeight="1" x14ac:dyDescent="0.25">
      <c r="A201" s="36" t="str">
        <f>INDEX('Base de données Mono'!C:C,MATCH(B201,'Base de données Mono'!D:D,0))</f>
        <v>BOULOGNE LES PASSAGES</v>
      </c>
      <c r="B201" t="s">
        <v>7</v>
      </c>
      <c r="C201" s="36" t="str">
        <f>INDEX('Base de données Mono'!B:B,MATCH(B201,'Base de données Mono'!D:D,0))</f>
        <v>SES8</v>
      </c>
      <c r="D201" s="36" t="str">
        <f>INDEX('Base de données Mono'!A:A,MATCH(B201,'Base de données Mono'!D:D,0))</f>
        <v>AD</v>
      </c>
      <c r="E201" s="37" t="s">
        <v>303</v>
      </c>
      <c r="F201" s="41">
        <f t="shared" si="19"/>
        <v>13</v>
      </c>
      <c r="G201" s="41">
        <f t="shared" si="20"/>
        <v>3</v>
      </c>
      <c r="H201">
        <v>8.67</v>
      </c>
      <c r="I201" s="131">
        <f>INDEX('Base de données Mono'!K:K,MATCH(B201,'Base de données Mono'!D:D,0))</f>
        <v>0.20833333333333334</v>
      </c>
      <c r="J201" s="131">
        <f>INDEX('Base de données Mono'!L:L,MATCH(B201,'Base de données Mono'!D:D,0))</f>
        <v>0.85416666666666663</v>
      </c>
      <c r="K201" s="131" t="str">
        <f>INDEX('Base de données Mono'!M:M,MATCH(B201,'Base de données Mono'!D:D,0))</f>
        <v>-</v>
      </c>
      <c r="L201" s="131" t="str">
        <f>INDEX('Base de données Mono'!N:N,MATCH(B201,'Base de données Mono'!D:D,0))</f>
        <v>-</v>
      </c>
      <c r="M201" s="33" t="s">
        <v>811</v>
      </c>
      <c r="N201" s="33">
        <f>IF(AND(E201="Electricité",M201="Hiver"),INDEX('Base de données Mono'!E:E,MATCH(B201,'Base de données Mono'!D:D,0)),IF(AND(E201="Electricité",M201="Mi-saison"),INDEX('Base de données Mono'!F:F,MATCH(B201,'Base de données Mono'!D:D,0)),IF(AND(E201="Electricité",M201="Eté"),INDEX('Base de données Mono'!G:G,MATCH(B201,'Base de données Mono'!D:D,0)),IF(AND(E201="Gaz",M201="Hiver"),INDEX('Base de données Mono'!J:J,MATCH(B201,'Base de données Mono'!D:D,0)),IF(AND(E201="Gaz",M201="Mi-saison"),INDEX('Base de données Mono'!#REF!,MATCH(B201,'Base de données Mono'!D:D,0)),IF(AND(E201="Gaz",M201="Eté"),INDEX('Base de données Mono'!#REF!,MATCH(B201,'Base de données Mono'!D:D,0)),"-"))))))</f>
        <v>95</v>
      </c>
      <c r="O201" s="123">
        <v>45382</v>
      </c>
      <c r="P201" s="123">
        <v>45382</v>
      </c>
      <c r="Q201" s="34">
        <v>105</v>
      </c>
      <c r="R201" s="33">
        <f t="shared" si="21"/>
        <v>10</v>
      </c>
      <c r="S201" s="34">
        <v>9.5</v>
      </c>
      <c r="T201" s="34">
        <v>1</v>
      </c>
      <c r="U201" s="33">
        <f t="shared" si="22"/>
        <v>95</v>
      </c>
      <c r="V201" s="38" t="s">
        <v>148</v>
      </c>
      <c r="W201" s="39">
        <f t="shared" si="23"/>
        <v>0.10526315789473684</v>
      </c>
      <c r="X201" s="40" t="s">
        <v>730</v>
      </c>
      <c r="Y201" s="40" t="s">
        <v>284</v>
      </c>
      <c r="Z201" s="40" t="s">
        <v>305</v>
      </c>
      <c r="AA201" s="33" t="s">
        <v>771</v>
      </c>
      <c r="AB201" s="95"/>
      <c r="AC201" s="95"/>
    </row>
    <row r="202" spans="1:29" ht="14.45" hidden="1" customHeight="1" x14ac:dyDescent="0.25">
      <c r="A202" s="36" t="str">
        <f>INDEX('Base de données Mono'!C:C,MATCH(B202,'Base de données Mono'!D:D,0))</f>
        <v>ANNECY COURRIER</v>
      </c>
      <c r="B202" t="s">
        <v>59</v>
      </c>
      <c r="C202" s="36" t="str">
        <f>INDEX('Base de données Mono'!B:B,MATCH(B202,'Base de données Mono'!D:D,0))</f>
        <v>SES8</v>
      </c>
      <c r="D202" s="36" t="str">
        <f>INDEX('Base de données Mono'!A:A,MATCH(B202,'Base de données Mono'!D:D,0))</f>
        <v>JG</v>
      </c>
      <c r="E202" s="37" t="s">
        <v>303</v>
      </c>
      <c r="F202" s="41">
        <f t="shared" si="19"/>
        <v>13</v>
      </c>
      <c r="G202" s="41">
        <f t="shared" si="20"/>
        <v>3</v>
      </c>
      <c r="I202" s="131">
        <f>INDEX('Base de données Mono'!K:K,MATCH(B202,'Base de données Mono'!D:D,0))</f>
        <v>0.20833333333333334</v>
      </c>
      <c r="J202" s="131">
        <f>INDEX('Base de données Mono'!L:L,MATCH(B202,'Base de données Mono'!D:D,0))</f>
        <v>0.83333333333333304</v>
      </c>
      <c r="K202" s="131" t="str">
        <f>INDEX('Base de données Mono'!M:M,MATCH(B202,'Base de données Mono'!D:D,0))</f>
        <v>-</v>
      </c>
      <c r="L202" s="131" t="str">
        <f>INDEX('Base de données Mono'!N:N,MATCH(B202,'Base de données Mono'!D:D,0))</f>
        <v>-</v>
      </c>
      <c r="M202" s="33" t="s">
        <v>811</v>
      </c>
      <c r="N202" s="33">
        <f>IF(AND(E202="Electricité",M202="Hiver"),INDEX('Base de données Mono'!E:E,MATCH(B202,'Base de données Mono'!D:D,0)),IF(AND(E202="Electricité",M202="Mi-saison"),INDEX('Base de données Mono'!F:F,MATCH(B202,'Base de données Mono'!D:D,0)),IF(AND(E202="Electricité",M202="Eté"),INDEX('Base de données Mono'!G:G,MATCH(B202,'Base de données Mono'!D:D,0)),IF(AND(E202="Gaz",M202="Hiver"),INDEX('Base de données Mono'!J:J,MATCH(B202,'Base de données Mono'!D:D,0)),IF(AND(E202="Gaz",M202="Mi-saison"),INDEX('Base de données Mono'!#REF!,MATCH(B202,'Base de données Mono'!D:D,0)),IF(AND(E202="Gaz",M202="Eté"),INDEX('Base de données Mono'!#REF!,MATCH(B202,'Base de données Mono'!D:D,0)),"-"))))))</f>
        <v>110</v>
      </c>
      <c r="O202" s="123">
        <v>45382</v>
      </c>
      <c r="P202" s="123">
        <v>45382</v>
      </c>
      <c r="Q202" s="34">
        <v>155</v>
      </c>
      <c r="R202" s="33">
        <f t="shared" si="21"/>
        <v>45</v>
      </c>
      <c r="S202" s="34">
        <v>15</v>
      </c>
      <c r="T202" s="34">
        <v>1</v>
      </c>
      <c r="U202" s="33">
        <f t="shared" si="22"/>
        <v>675</v>
      </c>
      <c r="V202" s="38" t="s">
        <v>148</v>
      </c>
      <c r="W202" s="39">
        <f t="shared" si="23"/>
        <v>0.40909090909090912</v>
      </c>
      <c r="X202" s="40" t="s">
        <v>730</v>
      </c>
      <c r="Y202" s="40" t="s">
        <v>284</v>
      </c>
      <c r="Z202" s="40" t="s">
        <v>305</v>
      </c>
      <c r="AA202" s="33" t="s">
        <v>771</v>
      </c>
      <c r="AB202" s="95"/>
      <c r="AC202" s="95"/>
    </row>
    <row r="203" spans="1:29" ht="14.45" hidden="1" customHeight="1" x14ac:dyDescent="0.25">
      <c r="A203" s="36" t="str">
        <f>INDEX('Base de données Mono'!C:C,MATCH(B203,'Base de données Mono'!D:D,0))</f>
        <v>POITIERS</v>
      </c>
      <c r="B203" t="s">
        <v>212</v>
      </c>
      <c r="C203" s="36" t="str">
        <f>INDEX('Base de données Mono'!B:B,MATCH(B203,'Base de données Mono'!D:D,0))</f>
        <v>SES8</v>
      </c>
      <c r="D203" s="36" t="str">
        <f>INDEX('Base de données Mono'!A:A,MATCH(B203,'Base de données Mono'!D:D,0))</f>
        <v>AD</v>
      </c>
      <c r="E203" s="37" t="s">
        <v>303</v>
      </c>
      <c r="F203" s="41">
        <f t="shared" si="19"/>
        <v>13</v>
      </c>
      <c r="G203" s="41">
        <f t="shared" si="20"/>
        <v>3</v>
      </c>
      <c r="H203">
        <v>8.67</v>
      </c>
      <c r="I203" s="131">
        <f>INDEX('Base de données Mono'!K:K,MATCH(B203,'Base de données Mono'!D:D,0))</f>
        <v>0.22916666666666666</v>
      </c>
      <c r="J203" s="131">
        <f>INDEX('Base de données Mono'!L:L,MATCH(B203,'Base de données Mono'!D:D,0))</f>
        <v>0.875</v>
      </c>
      <c r="K203" s="131">
        <f>INDEX('Base de données Mono'!M:M,MATCH(B203,'Base de données Mono'!D:D,0))</f>
        <v>0.22916666666666666</v>
      </c>
      <c r="L203" s="131">
        <f>INDEX('Base de données Mono'!N:N,MATCH(B203,'Base de données Mono'!D:D,0))</f>
        <v>0.54166666666666663</v>
      </c>
      <c r="M203" s="33" t="s">
        <v>811</v>
      </c>
      <c r="N203" s="33">
        <f>IF(AND(E203="Electricité",M203="Hiver"),INDEX('Base de données Mono'!E:E,MATCH(B203,'Base de données Mono'!D:D,0)),IF(AND(E203="Electricité",M203="Mi-saison"),INDEX('Base de données Mono'!F:F,MATCH(B203,'Base de données Mono'!D:D,0)),IF(AND(E203="Electricité",M203="Eté"),INDEX('Base de données Mono'!G:G,MATCH(B203,'Base de données Mono'!D:D,0)),IF(AND(E203="Gaz",M203="Hiver"),INDEX('Base de données Mono'!J:J,MATCH(B203,'Base de données Mono'!D:D,0)),IF(AND(E203="Gaz",M203="Mi-saison"),INDEX('Base de données Mono'!#REF!,MATCH(B203,'Base de données Mono'!D:D,0)),IF(AND(E203="Gaz",M203="Eté"),INDEX('Base de données Mono'!#REF!,MATCH(B203,'Base de données Mono'!D:D,0)),"-"))))))</f>
        <v>80</v>
      </c>
      <c r="O203" s="123">
        <v>45382</v>
      </c>
      <c r="P203" s="123">
        <v>45382</v>
      </c>
      <c r="Q203" s="34">
        <v>90</v>
      </c>
      <c r="R203" s="33">
        <f t="shared" si="21"/>
        <v>10</v>
      </c>
      <c r="S203" s="34">
        <v>6</v>
      </c>
      <c r="T203" s="34">
        <v>1</v>
      </c>
      <c r="U203" s="33">
        <f t="shared" si="22"/>
        <v>60</v>
      </c>
      <c r="V203" s="38" t="s">
        <v>148</v>
      </c>
      <c r="W203" s="39">
        <f t="shared" si="23"/>
        <v>0.125</v>
      </c>
      <c r="X203" s="40" t="s">
        <v>730</v>
      </c>
      <c r="Y203" s="40" t="s">
        <v>284</v>
      </c>
      <c r="Z203" s="40" t="s">
        <v>305</v>
      </c>
      <c r="AA203" s="33" t="s">
        <v>771</v>
      </c>
      <c r="AB203" s="95"/>
      <c r="AC203" s="95"/>
    </row>
    <row r="204" spans="1:29" ht="14.45" hidden="1" customHeight="1" x14ac:dyDescent="0.25">
      <c r="A204" s="36" t="str">
        <f>INDEX('Base de données Mono'!C:C,MATCH(B204,'Base de données Mono'!D:D,0))</f>
        <v>MONTREUIL</v>
      </c>
      <c r="B204" t="s">
        <v>25</v>
      </c>
      <c r="C204" s="36" t="str">
        <f>INDEX('Base de données Mono'!B:B,MATCH(B204,'Base de données Mono'!D:D,0))</f>
        <v>SES8</v>
      </c>
      <c r="D204" s="36" t="str">
        <f>INDEX('Base de données Mono'!A:A,MATCH(B204,'Base de données Mono'!D:D,0))</f>
        <v>JG</v>
      </c>
      <c r="E204" s="37" t="s">
        <v>303</v>
      </c>
      <c r="F204" s="41">
        <f t="shared" si="19"/>
        <v>13</v>
      </c>
      <c r="G204" s="41">
        <f t="shared" si="20"/>
        <v>3</v>
      </c>
      <c r="H204">
        <v>8.67</v>
      </c>
      <c r="I204" s="131">
        <f>INDEX('Base de données Mono'!K:K,MATCH(B204,'Base de données Mono'!D:D,0))</f>
        <v>0.24305555555555555</v>
      </c>
      <c r="J204" s="131">
        <f>INDEX('Base de données Mono'!L:L,MATCH(B204,'Base de données Mono'!D:D,0))</f>
        <v>0.875</v>
      </c>
      <c r="K204" s="131">
        <f>INDEX('Base de données Mono'!M:M,MATCH(B204,'Base de données Mono'!D:D,0))</f>
        <v>0.27083333333333331</v>
      </c>
      <c r="L204" s="131">
        <f>INDEX('Base de données Mono'!N:N,MATCH(B204,'Base de données Mono'!D:D,0))</f>
        <v>0.55902777777777779</v>
      </c>
      <c r="M204" s="33" t="s">
        <v>811</v>
      </c>
      <c r="N204" s="33">
        <f>IF(AND(E204="Electricité",M204="Hiver"),INDEX('Base de données Mono'!E:E,MATCH(B204,'Base de données Mono'!D:D,0)),IF(AND(E204="Electricité",M204="Mi-saison"),INDEX('Base de données Mono'!F:F,MATCH(B204,'Base de données Mono'!D:D,0)),IF(AND(E204="Electricité",M204="Eté"),INDEX('Base de données Mono'!G:G,MATCH(B204,'Base de données Mono'!D:D,0)),IF(AND(E204="Gaz",M204="Hiver"),INDEX('Base de données Mono'!J:J,MATCH(B204,'Base de données Mono'!D:D,0)),IF(AND(E204="Gaz",M204="Mi-saison"),INDEX('Base de données Mono'!#REF!,MATCH(B204,'Base de données Mono'!D:D,0)),IF(AND(E204="Gaz",M204="Eté"),INDEX('Base de données Mono'!#REF!,MATCH(B204,'Base de données Mono'!D:D,0)),"-"))))))</f>
        <v>95</v>
      </c>
      <c r="O204" s="123">
        <v>45382</v>
      </c>
      <c r="P204" s="123">
        <v>45382</v>
      </c>
      <c r="Q204" s="34">
        <v>135</v>
      </c>
      <c r="R204" s="33">
        <f t="shared" si="21"/>
        <v>40</v>
      </c>
      <c r="S204" s="34">
        <v>6</v>
      </c>
      <c r="T204" s="34">
        <v>1</v>
      </c>
      <c r="U204" s="33">
        <f t="shared" si="22"/>
        <v>240</v>
      </c>
      <c r="V204" s="38" t="s">
        <v>148</v>
      </c>
      <c r="W204" s="39">
        <f t="shared" si="23"/>
        <v>0.42105263157894735</v>
      </c>
      <c r="X204" s="40" t="s">
        <v>730</v>
      </c>
      <c r="Y204" s="40" t="s">
        <v>284</v>
      </c>
      <c r="Z204" s="40" t="s">
        <v>307</v>
      </c>
      <c r="AA204" s="33" t="s">
        <v>308</v>
      </c>
      <c r="AB204" s="95"/>
      <c r="AC204" s="95"/>
    </row>
    <row r="205" spans="1:29" ht="14.45" hidden="1" customHeight="1" x14ac:dyDescent="0.25">
      <c r="A205" s="36" t="str">
        <f>INDEX('Base de données Mono'!C:C,MATCH(B205,'Base de données Mono'!D:D,0))</f>
        <v>MONTREUIL</v>
      </c>
      <c r="B205" t="s">
        <v>25</v>
      </c>
      <c r="C205" s="36" t="str">
        <f>INDEX('Base de données Mono'!B:B,MATCH(B205,'Base de données Mono'!D:D,0))</f>
        <v>SES8</v>
      </c>
      <c r="D205" s="36" t="str">
        <f>INDEX('Base de données Mono'!A:A,MATCH(B205,'Base de données Mono'!D:D,0))</f>
        <v>JG</v>
      </c>
      <c r="E205" s="37" t="s">
        <v>303</v>
      </c>
      <c r="F205" s="41">
        <f t="shared" si="19"/>
        <v>13</v>
      </c>
      <c r="G205" s="41">
        <f t="shared" si="20"/>
        <v>3</v>
      </c>
      <c r="H205">
        <v>8.67</v>
      </c>
      <c r="I205" s="131">
        <f>INDEX('Base de données Mono'!K:K,MATCH(B205,'Base de données Mono'!D:D,0))</f>
        <v>0.24305555555555555</v>
      </c>
      <c r="J205" s="131">
        <f>INDEX('Base de données Mono'!L:L,MATCH(B205,'Base de données Mono'!D:D,0))</f>
        <v>0.875</v>
      </c>
      <c r="K205" s="131">
        <f>INDEX('Base de données Mono'!M:M,MATCH(B205,'Base de données Mono'!D:D,0))</f>
        <v>0.27083333333333331</v>
      </c>
      <c r="L205" s="131">
        <f>INDEX('Base de données Mono'!N:N,MATCH(B205,'Base de données Mono'!D:D,0))</f>
        <v>0.55902777777777779</v>
      </c>
      <c r="M205" s="33" t="s">
        <v>811</v>
      </c>
      <c r="N205" s="33">
        <f>IF(AND(E205="Electricité",M205="Hiver"),INDEX('Base de données Mono'!E:E,MATCH(B205,'Base de données Mono'!D:D,0)),IF(AND(E205="Electricité",M205="Mi-saison"),INDEX('Base de données Mono'!F:F,MATCH(B205,'Base de données Mono'!D:D,0)),IF(AND(E205="Electricité",M205="Eté"),INDEX('Base de données Mono'!G:G,MATCH(B205,'Base de données Mono'!D:D,0)),IF(AND(E205="Gaz",M205="Hiver"),INDEX('Base de données Mono'!J:J,MATCH(B205,'Base de données Mono'!D:D,0)),IF(AND(E205="Gaz",M205="Mi-saison"),INDEX('Base de données Mono'!#REF!,MATCH(B205,'Base de données Mono'!D:D,0)),IF(AND(E205="Gaz",M205="Eté"),INDEX('Base de données Mono'!#REF!,MATCH(B205,'Base de données Mono'!D:D,0)),"-"))))))</f>
        <v>95</v>
      </c>
      <c r="O205" s="123">
        <v>45382</v>
      </c>
      <c r="P205" s="123">
        <v>45382</v>
      </c>
      <c r="Q205" s="34">
        <v>115</v>
      </c>
      <c r="R205" s="33">
        <f t="shared" si="21"/>
        <v>20</v>
      </c>
      <c r="S205" s="34">
        <v>2</v>
      </c>
      <c r="T205" s="34">
        <v>1</v>
      </c>
      <c r="U205" s="33">
        <f t="shared" si="22"/>
        <v>40</v>
      </c>
      <c r="V205" s="38" t="s">
        <v>148</v>
      </c>
      <c r="W205" s="39">
        <f t="shared" si="23"/>
        <v>0.21052631578947367</v>
      </c>
      <c r="X205" s="40" t="s">
        <v>730</v>
      </c>
      <c r="Y205" s="40" t="s">
        <v>284</v>
      </c>
      <c r="Z205" s="40" t="s">
        <v>305</v>
      </c>
      <c r="AA205" s="33" t="s">
        <v>771</v>
      </c>
      <c r="AB205" s="95"/>
      <c r="AC205" s="95"/>
    </row>
    <row r="206" spans="1:29" ht="14.45" hidden="1" customHeight="1" x14ac:dyDescent="0.25">
      <c r="A206" s="36" t="str">
        <f>INDEX('Base de données Mono'!C:C,MATCH(B206,'Base de données Mono'!D:D,0))</f>
        <v>LES HUISSIERS</v>
      </c>
      <c r="B206" t="s">
        <v>156</v>
      </c>
      <c r="C206" s="36" t="str">
        <f>INDEX('Base de données Mono'!B:B,MATCH(B206,'Base de données Mono'!D:D,0))</f>
        <v>SES8</v>
      </c>
      <c r="D206" s="36" t="str">
        <f>INDEX('Base de données Mono'!A:A,MATCH(B206,'Base de données Mono'!D:D,0))</f>
        <v>AD</v>
      </c>
      <c r="E206" s="37" t="s">
        <v>303</v>
      </c>
      <c r="F206" s="41">
        <f t="shared" si="19"/>
        <v>13</v>
      </c>
      <c r="G206" s="41">
        <f t="shared" si="20"/>
        <v>3</v>
      </c>
      <c r="H206">
        <v>7.58</v>
      </c>
      <c r="I206" s="131">
        <f>INDEX('Base de données Mono'!K:K,MATCH(B206,'Base de données Mono'!D:D,0))</f>
        <v>0.22916666666666666</v>
      </c>
      <c r="J206" s="131">
        <f>INDEX('Base de données Mono'!L:L,MATCH(B206,'Base de données Mono'!D:D,0))</f>
        <v>0.89583333333333337</v>
      </c>
      <c r="K206" s="131">
        <f>INDEX('Base de données Mono'!M:M,MATCH(B206,'Base de données Mono'!D:D,0))</f>
        <v>0.27777777777777779</v>
      </c>
      <c r="L206" s="131">
        <f>INDEX('Base de données Mono'!N:N,MATCH(B206,'Base de données Mono'!D:D,0))</f>
        <v>0.5625</v>
      </c>
      <c r="M206" s="33" t="s">
        <v>811</v>
      </c>
      <c r="N206" s="33">
        <f>IF(AND(E206="Electricité",M206="Hiver"),INDEX('Base de données Mono'!E:E,MATCH(B206,'Base de données Mono'!D:D,0)),IF(AND(E206="Electricité",M206="Mi-saison"),INDEX('Base de données Mono'!F:F,MATCH(B206,'Base de données Mono'!D:D,0)),IF(AND(E206="Electricité",M206="Eté"),INDEX('Base de données Mono'!G:G,MATCH(B206,'Base de données Mono'!D:D,0)),IF(AND(E206="Gaz",M206="Hiver"),INDEX('Base de données Mono'!J:J,MATCH(B206,'Base de données Mono'!D:D,0)),IF(AND(E206="Gaz",M206="Mi-saison"),INDEX('Base de données Mono'!#REF!,MATCH(B206,'Base de données Mono'!D:D,0)),IF(AND(E206="Gaz",M206="Eté"),INDEX('Base de données Mono'!#REF!,MATCH(B206,'Base de données Mono'!D:D,0)),"-"))))))</f>
        <v>60</v>
      </c>
      <c r="O206" s="123">
        <v>45382</v>
      </c>
      <c r="P206" s="123">
        <v>45382</v>
      </c>
      <c r="Q206" s="34">
        <v>110</v>
      </c>
      <c r="R206" s="33">
        <f t="shared" si="21"/>
        <v>50</v>
      </c>
      <c r="S206" s="34">
        <v>7.5</v>
      </c>
      <c r="T206" s="34">
        <v>1</v>
      </c>
      <c r="U206" s="33">
        <f t="shared" si="22"/>
        <v>375</v>
      </c>
      <c r="V206" s="38" t="s">
        <v>148</v>
      </c>
      <c r="W206" s="39">
        <f t="shared" si="23"/>
        <v>0.83333333333333337</v>
      </c>
      <c r="X206" s="40" t="s">
        <v>730</v>
      </c>
      <c r="Y206" s="40" t="s">
        <v>284</v>
      </c>
      <c r="Z206" s="40" t="s">
        <v>307</v>
      </c>
      <c r="AA206" s="33" t="s">
        <v>308</v>
      </c>
      <c r="AB206" s="95"/>
      <c r="AC206" s="95"/>
    </row>
    <row r="207" spans="1:29" ht="14.45" hidden="1" customHeight="1" x14ac:dyDescent="0.25">
      <c r="A207" s="36" t="str">
        <f>INDEX('Base de données Mono'!C:C,MATCH(B207,'Base de données Mono'!D:D,0))</f>
        <v>ROQUETTE</v>
      </c>
      <c r="B207" t="s">
        <v>225</v>
      </c>
      <c r="C207" s="36" t="str">
        <f>INDEX('Base de données Mono'!B:B,MATCH(B207,'Base de données Mono'!D:D,0))</f>
        <v>SES8</v>
      </c>
      <c r="D207" s="36" t="str">
        <f>INDEX('Base de données Mono'!A:A,MATCH(B207,'Base de données Mono'!D:D,0))</f>
        <v>JG</v>
      </c>
      <c r="E207" s="37" t="s">
        <v>303</v>
      </c>
      <c r="F207" s="41">
        <f t="shared" si="19"/>
        <v>13</v>
      </c>
      <c r="G207" s="41">
        <f t="shared" si="20"/>
        <v>3</v>
      </c>
      <c r="H207">
        <v>7.58</v>
      </c>
      <c r="I207" s="131">
        <f>INDEX('Base de données Mono'!K:K,MATCH(B207,'Base de données Mono'!D:D,0))</f>
        <v>0.25</v>
      </c>
      <c r="J207" s="131">
        <f>INDEX('Base de données Mono'!L:L,MATCH(B207,'Base de données Mono'!D:D,0))</f>
        <v>0.91666666666666663</v>
      </c>
      <c r="K207" s="131">
        <f>INDEX('Base de données Mono'!M:M,MATCH(B207,'Base de données Mono'!D:D,0))</f>
        <v>0.29166666666666669</v>
      </c>
      <c r="L207" s="131">
        <f>INDEX('Base de données Mono'!N:N,MATCH(B207,'Base de données Mono'!D:D,0))</f>
        <v>0.55208333333333337</v>
      </c>
      <c r="M207" s="33" t="s">
        <v>811</v>
      </c>
      <c r="N207" s="33">
        <f>IF(AND(E207="Electricité",M207="Hiver"),INDEX('Base de données Mono'!E:E,MATCH(B207,'Base de données Mono'!D:D,0)),IF(AND(E207="Electricité",M207="Mi-saison"),INDEX('Base de données Mono'!F:F,MATCH(B207,'Base de données Mono'!D:D,0)),IF(AND(E207="Electricité",M207="Eté"),INDEX('Base de données Mono'!G:G,MATCH(B207,'Base de données Mono'!D:D,0)),IF(AND(E207="Gaz",M207="Hiver"),INDEX('Base de données Mono'!J:J,MATCH(B207,'Base de données Mono'!D:D,0)),IF(AND(E207="Gaz",M207="Mi-saison"),INDEX('Base de données Mono'!#REF!,MATCH(B207,'Base de données Mono'!D:D,0)),IF(AND(E207="Gaz",M207="Eté"),INDEX('Base de données Mono'!#REF!,MATCH(B207,'Base de données Mono'!D:D,0)),"-"))))))</f>
        <v>60</v>
      </c>
      <c r="O207" s="123">
        <v>45382</v>
      </c>
      <c r="P207" s="123">
        <v>45382</v>
      </c>
      <c r="Q207" s="34">
        <v>100</v>
      </c>
      <c r="R207" s="33">
        <f t="shared" si="21"/>
        <v>40</v>
      </c>
      <c r="S207" s="34">
        <v>9</v>
      </c>
      <c r="T207" s="34">
        <v>1</v>
      </c>
      <c r="U207" s="33">
        <f t="shared" si="22"/>
        <v>360</v>
      </c>
      <c r="V207" s="38" t="s">
        <v>148</v>
      </c>
      <c r="W207" s="39">
        <f t="shared" si="23"/>
        <v>0.66666666666666663</v>
      </c>
      <c r="X207" s="40" t="s">
        <v>730</v>
      </c>
      <c r="Y207" s="40" t="s">
        <v>283</v>
      </c>
      <c r="Z207" s="40"/>
      <c r="AA207" s="33"/>
      <c r="AB207" s="95"/>
      <c r="AC207" s="95"/>
    </row>
    <row r="208" spans="1:29" ht="14.45" hidden="1" customHeight="1" x14ac:dyDescent="0.25">
      <c r="A208" s="36" t="str">
        <f>INDEX('Base de données Mono'!C:C,MATCH(B208,'Base de données Mono'!D:D,0))</f>
        <v>GRENOBLE CASERNE</v>
      </c>
      <c r="B208" t="s">
        <v>135</v>
      </c>
      <c r="C208" s="36" t="str">
        <f>INDEX('Base de données Mono'!B:B,MATCH(B208,'Base de données Mono'!D:D,0))</f>
        <v>SES8</v>
      </c>
      <c r="D208" s="36" t="str">
        <f>INDEX('Base de données Mono'!A:A,MATCH(B208,'Base de données Mono'!D:D,0))</f>
        <v>JG</v>
      </c>
      <c r="E208" s="37" t="s">
        <v>303</v>
      </c>
      <c r="F208" s="41">
        <f t="shared" si="19"/>
        <v>13</v>
      </c>
      <c r="G208" s="41">
        <f t="shared" si="20"/>
        <v>3</v>
      </c>
      <c r="H208">
        <v>7.58</v>
      </c>
      <c r="I208" s="131">
        <f>INDEX('Base de données Mono'!K:K,MATCH(B208,'Base de données Mono'!D:D,0))</f>
        <v>0.22222222222222221</v>
      </c>
      <c r="J208" s="131">
        <f>INDEX('Base de données Mono'!L:L,MATCH(B208,'Base de données Mono'!D:D,0))</f>
        <v>0.89583333333333337</v>
      </c>
      <c r="K208" s="131">
        <f>INDEX('Base de données Mono'!M:M,MATCH(B208,'Base de données Mono'!D:D,0))</f>
        <v>0.3125</v>
      </c>
      <c r="L208" s="131">
        <f>INDEX('Base de données Mono'!N:N,MATCH(B208,'Base de données Mono'!D:D,0))</f>
        <v>0.55208333333333337</v>
      </c>
      <c r="M208" s="33" t="s">
        <v>811</v>
      </c>
      <c r="N208" s="33">
        <f>IF(AND(E208="Electricité",M208="Hiver"),INDEX('Base de données Mono'!E:E,MATCH(B208,'Base de données Mono'!D:D,0)),IF(AND(E208="Electricité",M208="Mi-saison"),INDEX('Base de données Mono'!F:F,MATCH(B208,'Base de données Mono'!D:D,0)),IF(AND(E208="Electricité",M208="Eté"),INDEX('Base de données Mono'!G:G,MATCH(B208,'Base de données Mono'!D:D,0)),IF(AND(E208="Gaz",M208="Hiver"),INDEX('Base de données Mono'!J:J,MATCH(B208,'Base de données Mono'!D:D,0)),IF(AND(E208="Gaz",M208="Mi-saison"),INDEX('Base de données Mono'!#REF!,MATCH(B208,'Base de données Mono'!D:D,0)),IF(AND(E208="Gaz",M208="Eté"),INDEX('Base de données Mono'!#REF!,MATCH(B208,'Base de données Mono'!D:D,0)),"-"))))))</f>
        <v>40</v>
      </c>
      <c r="O208" s="123">
        <v>45382</v>
      </c>
      <c r="P208" s="123">
        <v>45382</v>
      </c>
      <c r="Q208" s="34">
        <v>80</v>
      </c>
      <c r="R208" s="33">
        <f t="shared" si="21"/>
        <v>40</v>
      </c>
      <c r="S208" s="34">
        <v>12</v>
      </c>
      <c r="T208" s="34">
        <v>1</v>
      </c>
      <c r="U208" s="33">
        <f t="shared" si="22"/>
        <v>480</v>
      </c>
      <c r="V208" s="38" t="s">
        <v>148</v>
      </c>
      <c r="W208" s="39">
        <f t="shared" si="23"/>
        <v>1</v>
      </c>
      <c r="X208" s="40" t="s">
        <v>730</v>
      </c>
      <c r="Y208" s="40" t="s">
        <v>284</v>
      </c>
      <c r="Z208" s="40" t="s">
        <v>307</v>
      </c>
      <c r="AA208" s="33" t="s">
        <v>308</v>
      </c>
      <c r="AB208" s="95"/>
      <c r="AC208" s="95"/>
    </row>
    <row r="209" spans="1:29" ht="14.45" hidden="1" customHeight="1" x14ac:dyDescent="0.25">
      <c r="A209" s="36" t="str">
        <f>INDEX('Base de données Mono'!C:C,MATCH(B209,'Base de données Mono'!D:D,0))</f>
        <v>ITALIE</v>
      </c>
      <c r="B209" t="s">
        <v>147</v>
      </c>
      <c r="C209" s="36" t="str">
        <f>INDEX('Base de données Mono'!B:B,MATCH(B209,'Base de données Mono'!D:D,0))</f>
        <v>SES8</v>
      </c>
      <c r="D209" s="36" t="str">
        <f>INDEX('Base de données Mono'!A:A,MATCH(B209,'Base de données Mono'!D:D,0))</f>
        <v>JG</v>
      </c>
      <c r="E209" s="37" t="s">
        <v>303</v>
      </c>
      <c r="F209" s="41">
        <f t="shared" si="19"/>
        <v>13</v>
      </c>
      <c r="G209" s="41">
        <f t="shared" si="20"/>
        <v>3</v>
      </c>
      <c r="H209">
        <v>7.58</v>
      </c>
      <c r="I209" s="131">
        <f>INDEX('Base de données Mono'!K:K,MATCH(B209,'Base de données Mono'!D:D,0))</f>
        <v>0.24305555555555555</v>
      </c>
      <c r="J209" s="131">
        <f>INDEX('Base de données Mono'!L:L,MATCH(B209,'Base de données Mono'!D:D,0))</f>
        <v>0.9375</v>
      </c>
      <c r="K209" s="131" t="str">
        <f>INDEX('Base de données Mono'!M:M,MATCH(B209,'Base de données Mono'!D:D,0))</f>
        <v>-</v>
      </c>
      <c r="L209" s="131" t="str">
        <f>INDEX('Base de données Mono'!N:N,MATCH(B209,'Base de données Mono'!D:D,0))</f>
        <v>-</v>
      </c>
      <c r="M209" s="33" t="s">
        <v>811</v>
      </c>
      <c r="N209" s="33">
        <f>IF(AND(E209="Electricité",M209="Hiver"),INDEX('Base de données Mono'!E:E,MATCH(B209,'Base de données Mono'!D:D,0)),IF(AND(E209="Electricité",M209="Mi-saison"),INDEX('Base de données Mono'!F:F,MATCH(B209,'Base de données Mono'!D:D,0)),IF(AND(E209="Electricité",M209="Eté"),INDEX('Base de données Mono'!G:G,MATCH(B209,'Base de données Mono'!D:D,0)),IF(AND(E209="Gaz",M209="Hiver"),INDEX('Base de données Mono'!J:J,MATCH(B209,'Base de données Mono'!D:D,0)),IF(AND(E209="Gaz",M209="Mi-saison"),INDEX('Base de données Mono'!#REF!,MATCH(B209,'Base de données Mono'!D:D,0)),IF(AND(E209="Gaz",M209="Eté"),INDEX('Base de données Mono'!#REF!,MATCH(B209,'Base de données Mono'!D:D,0)),"-"))))))</f>
        <v>115</v>
      </c>
      <c r="O209" s="123">
        <v>45382</v>
      </c>
      <c r="P209" s="123">
        <v>45382</v>
      </c>
      <c r="Q209" s="34">
        <v>130</v>
      </c>
      <c r="R209" s="33">
        <f t="shared" si="21"/>
        <v>15</v>
      </c>
      <c r="S209" s="34">
        <v>12</v>
      </c>
      <c r="T209" s="34">
        <v>1</v>
      </c>
      <c r="U209" s="33">
        <f t="shared" si="22"/>
        <v>180</v>
      </c>
      <c r="V209" s="38" t="s">
        <v>148</v>
      </c>
      <c r="W209" s="39">
        <f t="shared" si="23"/>
        <v>0.13043478260869565</v>
      </c>
      <c r="X209" s="40" t="s">
        <v>730</v>
      </c>
      <c r="Y209" s="40" t="s">
        <v>284</v>
      </c>
      <c r="Z209" s="40" t="s">
        <v>307</v>
      </c>
      <c r="AA209" s="33" t="s">
        <v>308</v>
      </c>
      <c r="AB209" s="95"/>
      <c r="AC209" s="95"/>
    </row>
    <row r="210" spans="1:29" ht="14.45" hidden="1" customHeight="1" x14ac:dyDescent="0.25">
      <c r="A210" s="36" t="str">
        <f>INDEX('Base de données Mono'!C:C,MATCH(B210,'Base de données Mono'!D:D,0))</f>
        <v>VAUGIRARD</v>
      </c>
      <c r="B210" t="s">
        <v>262</v>
      </c>
      <c r="C210" s="36" t="str">
        <f>INDEX('Base de données Mono'!B:B,MATCH(B210,'Base de données Mono'!D:D,0))</f>
        <v>SES8</v>
      </c>
      <c r="D210" s="36" t="str">
        <f>INDEX('Base de données Mono'!A:A,MATCH(B210,'Base de données Mono'!D:D,0))</f>
        <v>AD</v>
      </c>
      <c r="E210" s="37" t="s">
        <v>303</v>
      </c>
      <c r="F210" s="41">
        <f t="shared" si="19"/>
        <v>13</v>
      </c>
      <c r="G210" s="41">
        <f t="shared" si="20"/>
        <v>3</v>
      </c>
      <c r="H210">
        <v>7.58</v>
      </c>
      <c r="I210" s="131">
        <f>INDEX('Base de données Mono'!K:K,MATCH(B210,'Base de données Mono'!D:D,0))</f>
        <v>0.20138888888888887</v>
      </c>
      <c r="J210" s="131">
        <f>INDEX('Base de données Mono'!L:L,MATCH(B210,'Base de données Mono'!D:D,0))</f>
        <v>0.92708333333333337</v>
      </c>
      <c r="K210" s="131">
        <f>INDEX('Base de données Mono'!M:M,MATCH(B210,'Base de données Mono'!D:D,0))</f>
        <v>0.2638888888888889</v>
      </c>
      <c r="L210" s="131">
        <f>INDEX('Base de données Mono'!N:N,MATCH(B210,'Base de données Mono'!D:D,0))</f>
        <v>0.5625</v>
      </c>
      <c r="M210" s="33" t="s">
        <v>811</v>
      </c>
      <c r="N210" s="33">
        <f>IF(AND(E210="Electricité",M210="Hiver"),INDEX('Base de données Mono'!E:E,MATCH(B210,'Base de données Mono'!D:D,0)),IF(AND(E210="Electricité",M210="Mi-saison"),INDEX('Base de données Mono'!F:F,MATCH(B210,'Base de données Mono'!D:D,0)),IF(AND(E210="Electricité",M210="Eté"),INDEX('Base de données Mono'!G:G,MATCH(B210,'Base de données Mono'!D:D,0)),IF(AND(E210="Gaz",M210="Hiver"),INDEX('Base de données Mono'!J:J,MATCH(B210,'Base de données Mono'!D:D,0)),IF(AND(E210="Gaz",M210="Mi-saison"),INDEX('Base de données Mono'!#REF!,MATCH(B210,'Base de données Mono'!D:D,0)),IF(AND(E210="Gaz",M210="Eté"),INDEX('Base de données Mono'!#REF!,MATCH(B210,'Base de données Mono'!D:D,0)),"-"))))))</f>
        <v>85</v>
      </c>
      <c r="O210" s="123">
        <v>45382</v>
      </c>
      <c r="P210" s="123">
        <v>45382</v>
      </c>
      <c r="Q210" s="34">
        <v>190</v>
      </c>
      <c r="R210" s="33">
        <f t="shared" si="21"/>
        <v>105</v>
      </c>
      <c r="S210" s="34">
        <v>7</v>
      </c>
      <c r="T210" s="34">
        <v>1</v>
      </c>
      <c r="U210" s="33">
        <f t="shared" si="22"/>
        <v>735</v>
      </c>
      <c r="V210" s="38" t="s">
        <v>148</v>
      </c>
      <c r="W210" s="39">
        <f t="shared" si="23"/>
        <v>1.2352941176470589</v>
      </c>
      <c r="X210" s="40" t="s">
        <v>730</v>
      </c>
      <c r="Y210" s="40" t="s">
        <v>284</v>
      </c>
      <c r="Z210" s="40" t="s">
        <v>307</v>
      </c>
      <c r="AA210" s="33" t="s">
        <v>308</v>
      </c>
      <c r="AB210" s="95"/>
      <c r="AC210" s="95"/>
    </row>
    <row r="211" spans="1:29" ht="14.45" hidden="1" customHeight="1" x14ac:dyDescent="0.25">
      <c r="A211" s="36" t="str">
        <f>INDEX('Base de données Mono'!C:C,MATCH(B211,'Base de données Mono'!D:D,0))</f>
        <v>SAINT MAUR</v>
      </c>
      <c r="B211" t="s">
        <v>235</v>
      </c>
      <c r="C211" s="36" t="str">
        <f>INDEX('Base de données Mono'!B:B,MATCH(B211,'Base de données Mono'!D:D,0))</f>
        <v>SES8</v>
      </c>
      <c r="D211" s="36" t="str">
        <f>INDEX('Base de données Mono'!A:A,MATCH(B211,'Base de données Mono'!D:D,0))</f>
        <v>JG</v>
      </c>
      <c r="E211" s="37" t="s">
        <v>303</v>
      </c>
      <c r="F211" s="41">
        <f t="shared" si="19"/>
        <v>13</v>
      </c>
      <c r="G211" s="41">
        <f t="shared" si="20"/>
        <v>3</v>
      </c>
      <c r="H211">
        <v>7.58</v>
      </c>
      <c r="I211" s="131">
        <f>INDEX('Base de données Mono'!K:K,MATCH(B211,'Base de données Mono'!D:D,0))</f>
        <v>0.24305555555555555</v>
      </c>
      <c r="J211" s="131">
        <f>INDEX('Base de données Mono'!L:L,MATCH(B211,'Base de données Mono'!D:D,0))</f>
        <v>0.875</v>
      </c>
      <c r="K211" s="131">
        <f>INDEX('Base de données Mono'!M:M,MATCH(B211,'Base de données Mono'!D:D,0))</f>
        <v>0.28472222222222221</v>
      </c>
      <c r="L211" s="131">
        <f>INDEX('Base de données Mono'!N:N,MATCH(B211,'Base de données Mono'!D:D,0))</f>
        <v>0.55208333333333337</v>
      </c>
      <c r="M211" s="33" t="s">
        <v>811</v>
      </c>
      <c r="N211" s="33">
        <f>IF(AND(E211="Electricité",M211="Hiver"),INDEX('Base de données Mono'!E:E,MATCH(B211,'Base de données Mono'!D:D,0)),IF(AND(E211="Electricité",M211="Mi-saison"),INDEX('Base de données Mono'!F:F,MATCH(B211,'Base de données Mono'!D:D,0)),IF(AND(E211="Electricité",M211="Eté"),INDEX('Base de données Mono'!G:G,MATCH(B211,'Base de données Mono'!D:D,0)),IF(AND(E211="Gaz",M211="Hiver"),INDEX('Base de données Mono'!J:J,MATCH(B211,'Base de données Mono'!D:D,0)),IF(AND(E211="Gaz",M211="Mi-saison"),INDEX('Base de données Mono'!#REF!,MATCH(B211,'Base de données Mono'!D:D,0)),IF(AND(E211="Gaz",M211="Eté"),INDEX('Base de données Mono'!#REF!,MATCH(B211,'Base de données Mono'!D:D,0)),"-"))))))</f>
        <v>50</v>
      </c>
      <c r="O211" s="123">
        <v>45382</v>
      </c>
      <c r="P211" s="123">
        <v>45382</v>
      </c>
      <c r="Q211" s="34">
        <v>110</v>
      </c>
      <c r="R211" s="33">
        <f t="shared" si="21"/>
        <v>60</v>
      </c>
      <c r="S211" s="34">
        <v>5.7</v>
      </c>
      <c r="T211" s="34">
        <v>1</v>
      </c>
      <c r="U211" s="33">
        <f t="shared" si="22"/>
        <v>342</v>
      </c>
      <c r="V211" s="38" t="s">
        <v>148</v>
      </c>
      <c r="W211" s="39">
        <f t="shared" si="23"/>
        <v>1.2</v>
      </c>
      <c r="X211" s="40" t="s">
        <v>730</v>
      </c>
      <c r="Y211" s="40" t="s">
        <v>284</v>
      </c>
      <c r="Z211" s="40" t="s">
        <v>307</v>
      </c>
      <c r="AA211" s="33" t="s">
        <v>308</v>
      </c>
      <c r="AB211" s="95"/>
      <c r="AC211" s="95"/>
    </row>
    <row r="212" spans="1:29" ht="14.45" hidden="1" customHeight="1" x14ac:dyDescent="0.25">
      <c r="A212" s="36" t="str">
        <f>INDEX('Base de données Mono'!C:C,MATCH(B212,'Base de données Mono'!D:D,0))</f>
        <v>SAINT MAUR</v>
      </c>
      <c r="B212" t="s">
        <v>235</v>
      </c>
      <c r="C212" s="36" t="str">
        <f>INDEX('Base de données Mono'!B:B,MATCH(B212,'Base de données Mono'!D:D,0))</f>
        <v>SES8</v>
      </c>
      <c r="D212" s="36" t="str">
        <f>INDEX('Base de données Mono'!A:A,MATCH(B212,'Base de données Mono'!D:D,0))</f>
        <v>JG</v>
      </c>
      <c r="E212" s="37" t="s">
        <v>303</v>
      </c>
      <c r="F212" s="41">
        <f t="shared" si="19"/>
        <v>13</v>
      </c>
      <c r="G212" s="41">
        <f t="shared" si="20"/>
        <v>3</v>
      </c>
      <c r="H212">
        <v>7.58</v>
      </c>
      <c r="I212" s="131">
        <f>INDEX('Base de données Mono'!K:K,MATCH(B212,'Base de données Mono'!D:D,0))</f>
        <v>0.24305555555555555</v>
      </c>
      <c r="J212" s="131">
        <f>INDEX('Base de données Mono'!L:L,MATCH(B212,'Base de données Mono'!D:D,0))</f>
        <v>0.875</v>
      </c>
      <c r="K212" s="131">
        <f>INDEX('Base de données Mono'!M:M,MATCH(B212,'Base de données Mono'!D:D,0))</f>
        <v>0.28472222222222221</v>
      </c>
      <c r="L212" s="131">
        <f>INDEX('Base de données Mono'!N:N,MATCH(B212,'Base de données Mono'!D:D,0))</f>
        <v>0.55208333333333337</v>
      </c>
      <c r="M212" s="33" t="s">
        <v>811</v>
      </c>
      <c r="N212" s="33">
        <f>IF(AND(E212="Electricité",M212="Hiver"),INDEX('Base de données Mono'!E:E,MATCH(B212,'Base de données Mono'!D:D,0)),IF(AND(E212="Electricité",M212="Mi-saison"),INDEX('Base de données Mono'!F:F,MATCH(B212,'Base de données Mono'!D:D,0)),IF(AND(E212="Electricité",M212="Eté"),INDEX('Base de données Mono'!G:G,MATCH(B212,'Base de données Mono'!D:D,0)),IF(AND(E212="Gaz",M212="Hiver"),INDEX('Base de données Mono'!J:J,MATCH(B212,'Base de données Mono'!D:D,0)),IF(AND(E212="Gaz",M212="Mi-saison"),INDEX('Base de données Mono'!#REF!,MATCH(B212,'Base de données Mono'!D:D,0)),IF(AND(E212="Gaz",M212="Eté"),INDEX('Base de données Mono'!#REF!,MATCH(B212,'Base de données Mono'!D:D,0)),"-"))))))</f>
        <v>50</v>
      </c>
      <c r="O212" s="123">
        <v>45382</v>
      </c>
      <c r="P212" s="123">
        <v>45382</v>
      </c>
      <c r="Q212" s="34">
        <v>70</v>
      </c>
      <c r="R212" s="33">
        <f t="shared" si="21"/>
        <v>20</v>
      </c>
      <c r="S212" s="34">
        <v>2</v>
      </c>
      <c r="T212" s="34">
        <v>1</v>
      </c>
      <c r="U212" s="33">
        <f t="shared" si="22"/>
        <v>40</v>
      </c>
      <c r="V212" s="38" t="s">
        <v>148</v>
      </c>
      <c r="W212" s="39">
        <f t="shared" si="23"/>
        <v>0.4</v>
      </c>
      <c r="X212" s="40" t="s">
        <v>730</v>
      </c>
      <c r="Y212" s="40" t="s">
        <v>283</v>
      </c>
      <c r="Z212" s="40"/>
      <c r="AA212" s="33"/>
      <c r="AB212" s="95"/>
      <c r="AC212" s="95"/>
    </row>
    <row r="213" spans="1:29" ht="14.45" hidden="1" customHeight="1" x14ac:dyDescent="0.25">
      <c r="A213" s="36" t="str">
        <f>INDEX('Base de données Mono'!C:C,MATCH(B213,'Base de données Mono'!D:D,0))</f>
        <v>RUEIL MALMAISON</v>
      </c>
      <c r="B213" t="s">
        <v>31</v>
      </c>
      <c r="C213" s="36" t="str">
        <f>INDEX('Base de données Mono'!B:B,MATCH(B213,'Base de données Mono'!D:D,0))</f>
        <v>SES8</v>
      </c>
      <c r="D213" s="36" t="str">
        <f>INDEX('Base de données Mono'!A:A,MATCH(B213,'Base de données Mono'!D:D,0))</f>
        <v>AD</v>
      </c>
      <c r="E213" s="37" t="s">
        <v>303</v>
      </c>
      <c r="F213" s="41">
        <f t="shared" si="19"/>
        <v>13</v>
      </c>
      <c r="G213" s="41">
        <f t="shared" si="20"/>
        <v>3</v>
      </c>
      <c r="H213">
        <v>7.58</v>
      </c>
      <c r="I213" s="131">
        <f>INDEX('Base de données Mono'!K:K,MATCH(B213,'Base de données Mono'!D:D,0))</f>
        <v>0.26041666666666669</v>
      </c>
      <c r="J213" s="131">
        <f>INDEX('Base de données Mono'!L:L,MATCH(B213,'Base de données Mono'!D:D,0))</f>
        <v>0.92708333333333337</v>
      </c>
      <c r="K213" s="131">
        <f>INDEX('Base de données Mono'!M:M,MATCH(B213,'Base de données Mono'!D:D,0))</f>
        <v>0.27777777777777779</v>
      </c>
      <c r="L213" s="131">
        <f>INDEX('Base de données Mono'!N:N,MATCH(B213,'Base de données Mono'!D:D,0))</f>
        <v>0.59375</v>
      </c>
      <c r="M213" s="33" t="s">
        <v>811</v>
      </c>
      <c r="N213" s="33">
        <f>IF(AND(E213="Electricité",M213="Hiver"),INDEX('Base de données Mono'!E:E,MATCH(B213,'Base de données Mono'!D:D,0)),IF(AND(E213="Electricité",M213="Mi-saison"),INDEX('Base de données Mono'!F:F,MATCH(B213,'Base de données Mono'!D:D,0)),IF(AND(E213="Electricité",M213="Eté"),INDEX('Base de données Mono'!G:G,MATCH(B213,'Base de données Mono'!D:D,0)),IF(AND(E213="Gaz",M213="Hiver"),INDEX('Base de données Mono'!J:J,MATCH(B213,'Base de données Mono'!D:D,0)),IF(AND(E213="Gaz",M213="Mi-saison"),INDEX('Base de données Mono'!#REF!,MATCH(B213,'Base de données Mono'!D:D,0)),IF(AND(E213="Gaz",M213="Eté"),INDEX('Base de données Mono'!#REF!,MATCH(B213,'Base de données Mono'!D:D,0)),"-"))))))</f>
        <v>55</v>
      </c>
      <c r="O213" s="123">
        <v>45382</v>
      </c>
      <c r="P213" s="123">
        <v>45382</v>
      </c>
      <c r="Q213" s="34">
        <v>120</v>
      </c>
      <c r="R213" s="33">
        <f t="shared" si="21"/>
        <v>65</v>
      </c>
      <c r="S213" s="34">
        <v>6</v>
      </c>
      <c r="T213" s="34">
        <v>1</v>
      </c>
      <c r="U213" s="33">
        <f t="shared" si="22"/>
        <v>390</v>
      </c>
      <c r="V213" s="38" t="s">
        <v>148</v>
      </c>
      <c r="W213" s="39">
        <f t="shared" si="23"/>
        <v>1.1818181818181819</v>
      </c>
      <c r="X213" s="40" t="s">
        <v>730</v>
      </c>
      <c r="Y213" s="40" t="s">
        <v>284</v>
      </c>
      <c r="Z213" s="40" t="s">
        <v>307</v>
      </c>
      <c r="AA213" s="33" t="s">
        <v>308</v>
      </c>
      <c r="AB213" s="95"/>
      <c r="AC213" s="95"/>
    </row>
    <row r="214" spans="1:29" ht="14.45" hidden="1" customHeight="1" x14ac:dyDescent="0.25">
      <c r="A214" s="36" t="str">
        <f>INDEX('Base de données Mono'!C:C,MATCH(B214,'Base de données Mono'!D:D,0))</f>
        <v>RUEIL MALMAISON</v>
      </c>
      <c r="B214" t="s">
        <v>31</v>
      </c>
      <c r="C214" s="36" t="str">
        <f>INDEX('Base de données Mono'!B:B,MATCH(B214,'Base de données Mono'!D:D,0))</f>
        <v>SES8</v>
      </c>
      <c r="D214" s="36" t="str">
        <f>INDEX('Base de données Mono'!A:A,MATCH(B214,'Base de données Mono'!D:D,0))</f>
        <v>AD</v>
      </c>
      <c r="E214" s="37" t="s">
        <v>303</v>
      </c>
      <c r="F214" s="41">
        <f t="shared" si="19"/>
        <v>13</v>
      </c>
      <c r="G214" s="41">
        <f t="shared" si="20"/>
        <v>3</v>
      </c>
      <c r="H214">
        <v>9.17</v>
      </c>
      <c r="I214" s="131">
        <f>INDEX('Base de données Mono'!K:K,MATCH(B214,'Base de données Mono'!D:D,0))</f>
        <v>0.26041666666666669</v>
      </c>
      <c r="J214" s="131">
        <f>INDEX('Base de données Mono'!L:L,MATCH(B214,'Base de données Mono'!D:D,0))</f>
        <v>0.92708333333333337</v>
      </c>
      <c r="K214" s="131">
        <f>INDEX('Base de données Mono'!M:M,MATCH(B214,'Base de données Mono'!D:D,0))</f>
        <v>0.27777777777777779</v>
      </c>
      <c r="L214" s="131">
        <f>INDEX('Base de données Mono'!N:N,MATCH(B214,'Base de données Mono'!D:D,0))</f>
        <v>0.59375</v>
      </c>
      <c r="M214" s="33" t="s">
        <v>811</v>
      </c>
      <c r="N214" s="33">
        <f>IF(AND(E214="Electricité",M214="Hiver"),INDEX('Base de données Mono'!E:E,MATCH(B214,'Base de données Mono'!D:D,0)),IF(AND(E214="Electricité",M214="Mi-saison"),INDEX('Base de données Mono'!F:F,MATCH(B214,'Base de données Mono'!D:D,0)),IF(AND(E214="Electricité",M214="Eté"),INDEX('Base de données Mono'!G:G,MATCH(B214,'Base de données Mono'!D:D,0)),IF(AND(E214="Gaz",M214="Hiver"),INDEX('Base de données Mono'!J:J,MATCH(B214,'Base de données Mono'!D:D,0)),IF(AND(E214="Gaz",M214="Mi-saison"),INDEX('Base de données Mono'!#REF!,MATCH(B214,'Base de données Mono'!D:D,0)),IF(AND(E214="Gaz",M214="Eté"),INDEX('Base de données Mono'!#REF!,MATCH(B214,'Base de données Mono'!D:D,0)),"-"))))))</f>
        <v>55</v>
      </c>
      <c r="O214" s="123">
        <v>45382</v>
      </c>
      <c r="P214" s="123">
        <v>45382</v>
      </c>
      <c r="Q214" s="34">
        <v>90</v>
      </c>
      <c r="R214" s="33">
        <f t="shared" si="21"/>
        <v>35</v>
      </c>
      <c r="S214" s="34">
        <v>2</v>
      </c>
      <c r="T214" s="34">
        <v>1</v>
      </c>
      <c r="U214" s="33">
        <f t="shared" si="22"/>
        <v>70</v>
      </c>
      <c r="V214" s="38" t="s">
        <v>148</v>
      </c>
      <c r="W214" s="39">
        <f t="shared" si="23"/>
        <v>0.63636363636363635</v>
      </c>
      <c r="X214" s="40" t="s">
        <v>730</v>
      </c>
      <c r="Y214" s="40" t="s">
        <v>284</v>
      </c>
      <c r="Z214" s="40" t="s">
        <v>305</v>
      </c>
      <c r="AA214" s="33" t="s">
        <v>771</v>
      </c>
      <c r="AB214" s="95"/>
      <c r="AC214" s="95" t="s">
        <v>842</v>
      </c>
    </row>
    <row r="215" spans="1:29" ht="14.45" hidden="1" customHeight="1" x14ac:dyDescent="0.25">
      <c r="A215" s="36" t="str">
        <f>INDEX('Base de données Mono'!C:C,MATCH(B215,'Base de données Mono'!D:D,0))</f>
        <v>LYON LA PART DIEU</v>
      </c>
      <c r="B215" t="s">
        <v>21</v>
      </c>
      <c r="C215" s="36" t="str">
        <f>INDEX('Base de données Mono'!B:B,MATCH(B215,'Base de données Mono'!D:D,0))</f>
        <v>SES8</v>
      </c>
      <c r="D215" s="36" t="str">
        <f>INDEX('Base de données Mono'!A:A,MATCH(B215,'Base de données Mono'!D:D,0))</f>
        <v>JG</v>
      </c>
      <c r="E215" s="37" t="s">
        <v>303</v>
      </c>
      <c r="F215" s="41">
        <f t="shared" si="19"/>
        <v>13</v>
      </c>
      <c r="G215" s="41">
        <f t="shared" si="20"/>
        <v>3</v>
      </c>
      <c r="H215">
        <v>9.17</v>
      </c>
      <c r="I215" s="131">
        <f>INDEX('Base de données Mono'!K:K,MATCH(B215,'Base de données Mono'!D:D,0))</f>
        <v>0.1875</v>
      </c>
      <c r="J215" s="131">
        <f>INDEX('Base de données Mono'!L:L,MATCH(B215,'Base de données Mono'!D:D,0))</f>
        <v>0.83333333333333337</v>
      </c>
      <c r="K215" s="131">
        <f>INDEX('Base de données Mono'!M:M,MATCH(B215,'Base de données Mono'!D:D,0))</f>
        <v>0.25</v>
      </c>
      <c r="L215" s="131">
        <f>INDEX('Base de données Mono'!N:N,MATCH(B215,'Base de données Mono'!D:D,0))</f>
        <v>0.5</v>
      </c>
      <c r="M215" s="33" t="s">
        <v>811</v>
      </c>
      <c r="N215" s="33">
        <f>IF(AND(E215="Electricité",M215="Hiver"),INDEX('Base de données Mono'!E:E,MATCH(B215,'Base de données Mono'!D:D,0)),IF(AND(E215="Electricité",M215="Mi-saison"),INDEX('Base de données Mono'!F:F,MATCH(B215,'Base de données Mono'!D:D,0)),IF(AND(E215="Electricité",M215="Eté"),INDEX('Base de données Mono'!G:G,MATCH(B215,'Base de données Mono'!D:D,0)),IF(AND(E215="Gaz",M215="Hiver"),INDEX('Base de données Mono'!J:J,MATCH(B215,'Base de données Mono'!D:D,0)),IF(AND(E215="Gaz",M215="Mi-saison"),INDEX('Base de données Mono'!#REF!,MATCH(B215,'Base de données Mono'!D:D,0)),IF(AND(E215="Gaz",M215="Eté"),INDEX('Base de données Mono'!#REF!,MATCH(B215,'Base de données Mono'!D:D,0)),"-"))))))</f>
        <v>45</v>
      </c>
      <c r="O215" s="123">
        <v>45382</v>
      </c>
      <c r="P215" s="123">
        <v>45382</v>
      </c>
      <c r="Q215" s="34">
        <v>60</v>
      </c>
      <c r="R215" s="33">
        <f t="shared" si="21"/>
        <v>15</v>
      </c>
      <c r="S215" s="34">
        <v>7</v>
      </c>
      <c r="T215" s="34">
        <v>1</v>
      </c>
      <c r="U215" s="33">
        <f t="shared" si="22"/>
        <v>105</v>
      </c>
      <c r="V215" s="38" t="s">
        <v>148</v>
      </c>
      <c r="W215" s="39">
        <f t="shared" si="23"/>
        <v>0.33333333333333331</v>
      </c>
      <c r="X215" s="40" t="s">
        <v>730</v>
      </c>
      <c r="Y215" s="40" t="s">
        <v>284</v>
      </c>
      <c r="Z215" s="40" t="s">
        <v>305</v>
      </c>
      <c r="AA215" s="33" t="s">
        <v>771</v>
      </c>
      <c r="AB215" s="95"/>
      <c r="AC215" s="95"/>
    </row>
    <row r="216" spans="1:29" ht="14.45" hidden="1" customHeight="1" x14ac:dyDescent="0.25">
      <c r="A216" s="36" t="str">
        <f>INDEX('Base de données Mono'!C:C,MATCH(B216,'Base de données Mono'!D:D,0))</f>
        <v>CHAMBERY LES HALLES</v>
      </c>
      <c r="B216" t="s">
        <v>11</v>
      </c>
      <c r="C216" s="36" t="str">
        <f>INDEX('Base de données Mono'!B:B,MATCH(B216,'Base de données Mono'!D:D,0))</f>
        <v>SES8</v>
      </c>
      <c r="D216" s="36" t="str">
        <f>INDEX('Base de données Mono'!A:A,MATCH(B216,'Base de données Mono'!D:D,0))</f>
        <v>JG</v>
      </c>
      <c r="E216" s="37" t="s">
        <v>303</v>
      </c>
      <c r="F216" s="41">
        <f t="shared" si="19"/>
        <v>13</v>
      </c>
      <c r="G216" s="41">
        <f t="shared" si="20"/>
        <v>3</v>
      </c>
      <c r="H216">
        <v>7</v>
      </c>
      <c r="I216" s="131">
        <f>INDEX('Base de données Mono'!K:K,MATCH(B216,'Base de données Mono'!D:D,0))</f>
        <v>0.20833333333333334</v>
      </c>
      <c r="J216" s="131">
        <f>INDEX('Base de données Mono'!L:L,MATCH(B216,'Base de données Mono'!D:D,0))</f>
        <v>0.86458333333333337</v>
      </c>
      <c r="K216" s="131">
        <f>INDEX('Base de données Mono'!M:M,MATCH(B216,'Base de données Mono'!D:D,0))</f>
        <v>0.29166666666666669</v>
      </c>
      <c r="L216" s="131">
        <f>INDEX('Base de données Mono'!N:N,MATCH(B216,'Base de données Mono'!D:D,0))</f>
        <v>0.53125</v>
      </c>
      <c r="M216" s="33" t="s">
        <v>811</v>
      </c>
      <c r="N216" s="33">
        <f>IF(AND(E216="Electricité",M216="Hiver"),INDEX('Base de données Mono'!E:E,MATCH(B216,'Base de données Mono'!D:D,0)),IF(AND(E216="Electricité",M216="Mi-saison"),INDEX('Base de données Mono'!F:F,MATCH(B216,'Base de données Mono'!D:D,0)),IF(AND(E216="Electricité",M216="Eté"),INDEX('Base de données Mono'!G:G,MATCH(B216,'Base de données Mono'!D:D,0)),IF(AND(E216="Gaz",M216="Hiver"),INDEX('Base de données Mono'!J:J,MATCH(B216,'Base de données Mono'!D:D,0)),IF(AND(E216="Gaz",M216="Mi-saison"),INDEX('Base de données Mono'!#REF!,MATCH(B216,'Base de données Mono'!D:D,0)),IF(AND(E216="Gaz",M216="Eté"),INDEX('Base de données Mono'!#REF!,MATCH(B216,'Base de données Mono'!D:D,0)),"-"))))))</f>
        <v>40</v>
      </c>
      <c r="O216" s="123">
        <v>45382</v>
      </c>
      <c r="P216" s="123">
        <v>45382</v>
      </c>
      <c r="Q216" s="34">
        <v>95</v>
      </c>
      <c r="R216" s="33">
        <f t="shared" si="21"/>
        <v>55</v>
      </c>
      <c r="S216" s="34">
        <v>5</v>
      </c>
      <c r="T216" s="34">
        <v>1</v>
      </c>
      <c r="U216" s="33">
        <f t="shared" si="22"/>
        <v>275</v>
      </c>
      <c r="V216" s="38" t="s">
        <v>148</v>
      </c>
      <c r="W216" s="39">
        <f t="shared" si="23"/>
        <v>1.375</v>
      </c>
      <c r="X216" s="40" t="s">
        <v>730</v>
      </c>
      <c r="Y216" s="40" t="s">
        <v>284</v>
      </c>
      <c r="Z216" s="40" t="s">
        <v>307</v>
      </c>
      <c r="AA216" s="33" t="s">
        <v>308</v>
      </c>
      <c r="AB216" s="95"/>
      <c r="AC216" s="95"/>
    </row>
    <row r="217" spans="1:29" ht="14.45" hidden="1" customHeight="1" x14ac:dyDescent="0.25">
      <c r="A217" s="36" t="str">
        <f>INDEX('Base de données Mono'!C:C,MATCH(B217,'Base de données Mono'!D:D,0))</f>
        <v>CHAMBERY LES HALLES</v>
      </c>
      <c r="B217" t="s">
        <v>11</v>
      </c>
      <c r="C217" s="36" t="str">
        <f>INDEX('Base de données Mono'!B:B,MATCH(B217,'Base de données Mono'!D:D,0))</f>
        <v>SES8</v>
      </c>
      <c r="D217" s="36" t="str">
        <f>INDEX('Base de données Mono'!A:A,MATCH(B217,'Base de données Mono'!D:D,0))</f>
        <v>JG</v>
      </c>
      <c r="E217" s="37" t="s">
        <v>303</v>
      </c>
      <c r="F217" s="41">
        <f t="shared" si="19"/>
        <v>13</v>
      </c>
      <c r="G217" s="41">
        <f t="shared" si="20"/>
        <v>3</v>
      </c>
      <c r="H217">
        <v>9</v>
      </c>
      <c r="I217" s="131">
        <f>INDEX('Base de données Mono'!K:K,MATCH(B217,'Base de données Mono'!D:D,0))</f>
        <v>0.20833333333333334</v>
      </c>
      <c r="J217" s="131">
        <f>INDEX('Base de données Mono'!L:L,MATCH(B217,'Base de données Mono'!D:D,0))</f>
        <v>0.86458333333333337</v>
      </c>
      <c r="K217" s="131">
        <f>INDEX('Base de données Mono'!M:M,MATCH(B217,'Base de données Mono'!D:D,0))</f>
        <v>0.29166666666666669</v>
      </c>
      <c r="L217" s="131">
        <f>INDEX('Base de données Mono'!N:N,MATCH(B217,'Base de données Mono'!D:D,0))</f>
        <v>0.53125</v>
      </c>
      <c r="M217" s="33" t="s">
        <v>811</v>
      </c>
      <c r="N217" s="33">
        <f>IF(AND(E217="Electricité",M217="Hiver"),INDEX('Base de données Mono'!E:E,MATCH(B217,'Base de données Mono'!D:D,0)),IF(AND(E217="Electricité",M217="Mi-saison"),INDEX('Base de données Mono'!F:F,MATCH(B217,'Base de données Mono'!D:D,0)),IF(AND(E217="Electricité",M217="Eté"),INDEX('Base de données Mono'!G:G,MATCH(B217,'Base de données Mono'!D:D,0)),IF(AND(E217="Gaz",M217="Hiver"),INDEX('Base de données Mono'!J:J,MATCH(B217,'Base de données Mono'!D:D,0)),IF(AND(E217="Gaz",M217="Mi-saison"),INDEX('Base de données Mono'!#REF!,MATCH(B217,'Base de données Mono'!D:D,0)),IF(AND(E217="Gaz",M217="Eté"),INDEX('Base de données Mono'!#REF!,MATCH(B217,'Base de données Mono'!D:D,0)),"-"))))))</f>
        <v>40</v>
      </c>
      <c r="O217" s="123">
        <v>45382</v>
      </c>
      <c r="P217" s="123">
        <v>45382</v>
      </c>
      <c r="Q217" s="34">
        <v>50</v>
      </c>
      <c r="R217" s="33">
        <f t="shared" si="21"/>
        <v>10</v>
      </c>
      <c r="S217" s="34">
        <v>2</v>
      </c>
      <c r="T217" s="34">
        <v>1</v>
      </c>
      <c r="U217" s="33">
        <f t="shared" si="22"/>
        <v>20</v>
      </c>
      <c r="V217" s="38" t="s">
        <v>148</v>
      </c>
      <c r="W217" s="39">
        <f t="shared" si="23"/>
        <v>0.25</v>
      </c>
      <c r="X217" s="40" t="s">
        <v>730</v>
      </c>
      <c r="Y217" s="40" t="s">
        <v>284</v>
      </c>
      <c r="Z217" s="40" t="s">
        <v>305</v>
      </c>
      <c r="AA217" s="33" t="s">
        <v>771</v>
      </c>
      <c r="AB217" s="95"/>
      <c r="AC217" s="95"/>
    </row>
    <row r="218" spans="1:29" ht="14.45" hidden="1" customHeight="1" x14ac:dyDescent="0.25">
      <c r="A218" s="36" t="str">
        <f>INDEX('Base de données Mono'!C:C,MATCH(B218,'Base de données Mono'!D:D,0))</f>
        <v>COURCELLES</v>
      </c>
      <c r="B218" t="s">
        <v>112</v>
      </c>
      <c r="C218" s="36" t="str">
        <f>INDEX('Base de données Mono'!B:B,MATCH(B218,'Base de données Mono'!D:D,0))</f>
        <v>SES8</v>
      </c>
      <c r="D218" s="36" t="str">
        <f>INDEX('Base de données Mono'!A:A,MATCH(B218,'Base de données Mono'!D:D,0))</f>
        <v>AD</v>
      </c>
      <c r="E218" s="37" t="s">
        <v>303</v>
      </c>
      <c r="F218" s="41">
        <f t="shared" si="19"/>
        <v>13</v>
      </c>
      <c r="G218" s="41">
        <f t="shared" si="20"/>
        <v>3</v>
      </c>
      <c r="H218">
        <v>8.67</v>
      </c>
      <c r="I218" s="131">
        <f>INDEX('Base de données Mono'!K:K,MATCH(B218,'Base de données Mono'!D:D,0))</f>
        <v>0.25</v>
      </c>
      <c r="J218" s="131">
        <f>INDEX('Base de données Mono'!L:L,MATCH(B218,'Base de données Mono'!D:D,0))</f>
        <v>0.86458333333333337</v>
      </c>
      <c r="K218" s="131" t="str">
        <f>INDEX('Base de données Mono'!M:M,MATCH(B218,'Base de données Mono'!D:D,0))</f>
        <v>-</v>
      </c>
      <c r="L218" s="131" t="str">
        <f>INDEX('Base de données Mono'!N:N,MATCH(B218,'Base de données Mono'!D:D,0))</f>
        <v>-</v>
      </c>
      <c r="M218" s="33" t="s">
        <v>811</v>
      </c>
      <c r="N218" s="33">
        <f>IF(AND(E218="Electricité",M218="Hiver"),INDEX('Base de données Mono'!E:E,MATCH(B218,'Base de données Mono'!D:D,0)),IF(AND(E218="Electricité",M218="Mi-saison"),INDEX('Base de données Mono'!F:F,MATCH(B218,'Base de données Mono'!D:D,0)),IF(AND(E218="Electricité",M218="Eté"),INDEX('Base de données Mono'!G:G,MATCH(B218,'Base de données Mono'!D:D,0)),IF(AND(E218="Gaz",M218="Hiver"),INDEX('Base de données Mono'!J:J,MATCH(B218,'Base de données Mono'!D:D,0)),IF(AND(E218="Gaz",M218="Mi-saison"),INDEX('Base de données Mono'!#REF!,MATCH(B218,'Base de données Mono'!D:D,0)),IF(AND(E218="Gaz",M218="Eté"),INDEX('Base de données Mono'!#REF!,MATCH(B218,'Base de données Mono'!D:D,0)),"-"))))))</f>
        <v>45</v>
      </c>
      <c r="O218" s="123">
        <v>45382</v>
      </c>
      <c r="P218" s="123">
        <v>45382</v>
      </c>
      <c r="Q218" s="34">
        <v>75</v>
      </c>
      <c r="R218" s="33">
        <f t="shared" si="21"/>
        <v>30</v>
      </c>
      <c r="S218" s="34">
        <v>13</v>
      </c>
      <c r="T218" s="34">
        <v>1</v>
      </c>
      <c r="U218" s="33">
        <f t="shared" si="22"/>
        <v>390</v>
      </c>
      <c r="V218" s="38" t="s">
        <v>148</v>
      </c>
      <c r="W218" s="39">
        <f t="shared" si="23"/>
        <v>0.66666666666666663</v>
      </c>
      <c r="X218" s="40" t="s">
        <v>730</v>
      </c>
      <c r="Y218" s="40" t="s">
        <v>284</v>
      </c>
      <c r="Z218" s="40" t="s">
        <v>307</v>
      </c>
      <c r="AA218" s="33" t="s">
        <v>308</v>
      </c>
      <c r="AB218" s="95"/>
      <c r="AC218" s="95"/>
    </row>
    <row r="219" spans="1:29" ht="14.45" hidden="1" customHeight="1" x14ac:dyDescent="0.25">
      <c r="A219" s="36" t="str">
        <f>INDEX('Base de données Mono'!C:C,MATCH(B219,'Base de données Mono'!D:D,0))</f>
        <v>NICE GORBELLA</v>
      </c>
      <c r="B219" t="s">
        <v>196</v>
      </c>
      <c r="C219" s="36" t="str">
        <f>INDEX('Base de données Mono'!B:B,MATCH(B219,'Base de données Mono'!D:D,0))</f>
        <v>SES8</v>
      </c>
      <c r="D219" s="36" t="str">
        <f>INDEX('Base de données Mono'!A:A,MATCH(B219,'Base de données Mono'!D:D,0))</f>
        <v>JG</v>
      </c>
      <c r="E219" s="37" t="s">
        <v>303</v>
      </c>
      <c r="F219" s="41">
        <f t="shared" si="19"/>
        <v>13</v>
      </c>
      <c r="G219" s="41">
        <f t="shared" si="20"/>
        <v>3</v>
      </c>
      <c r="H219">
        <v>8.67</v>
      </c>
      <c r="I219" s="131">
        <f>INDEX('Base de données Mono'!K:K,MATCH(B219,'Base de données Mono'!D:D,0))</f>
        <v>0.20138888888888887</v>
      </c>
      <c r="J219" s="131">
        <f>INDEX('Base de données Mono'!L:L,MATCH(B219,'Base de données Mono'!D:D,0))</f>
        <v>0.89583333333333337</v>
      </c>
      <c r="K219" s="131">
        <f>INDEX('Base de données Mono'!M:M,MATCH(B219,'Base de données Mono'!D:D,0))</f>
        <v>0.27777777777777779</v>
      </c>
      <c r="L219" s="131">
        <f>INDEX('Base de données Mono'!N:N,MATCH(B219,'Base de données Mono'!D:D,0))</f>
        <v>0.55208333333333337</v>
      </c>
      <c r="M219" s="33" t="s">
        <v>811</v>
      </c>
      <c r="N219" s="33">
        <f>IF(AND(E219="Electricité",M219="Hiver"),INDEX('Base de données Mono'!E:E,MATCH(B219,'Base de données Mono'!D:D,0)),IF(AND(E219="Electricité",M219="Mi-saison"),INDEX('Base de données Mono'!F:F,MATCH(B219,'Base de données Mono'!D:D,0)),IF(AND(E219="Electricité",M219="Eté"),INDEX('Base de données Mono'!G:G,MATCH(B219,'Base de données Mono'!D:D,0)),IF(AND(E219="Gaz",M219="Hiver"),INDEX('Base de données Mono'!J:J,MATCH(B219,'Base de données Mono'!D:D,0)),IF(AND(E219="Gaz",M219="Mi-saison"),INDEX('Base de données Mono'!#REF!,MATCH(B219,'Base de données Mono'!D:D,0)),IF(AND(E219="Gaz",M219="Eté"),INDEX('Base de données Mono'!#REF!,MATCH(B219,'Base de données Mono'!D:D,0)),"-"))))))</f>
        <v>15</v>
      </c>
      <c r="O219" s="123">
        <v>45382</v>
      </c>
      <c r="P219" s="123">
        <v>45382</v>
      </c>
      <c r="Q219" s="34">
        <v>60</v>
      </c>
      <c r="R219" s="33">
        <f t="shared" si="21"/>
        <v>45</v>
      </c>
      <c r="S219" s="34">
        <v>7.5</v>
      </c>
      <c r="T219" s="34">
        <v>1</v>
      </c>
      <c r="U219" s="33">
        <f t="shared" si="22"/>
        <v>337.5</v>
      </c>
      <c r="V219" s="38" t="s">
        <v>148</v>
      </c>
      <c r="W219" s="39">
        <f t="shared" si="23"/>
        <v>3</v>
      </c>
      <c r="X219" s="40" t="s">
        <v>730</v>
      </c>
      <c r="Y219" s="40" t="s">
        <v>284</v>
      </c>
      <c r="Z219" s="40" t="s">
        <v>307</v>
      </c>
      <c r="AA219" s="33" t="s">
        <v>308</v>
      </c>
      <c r="AB219" s="95"/>
      <c r="AC219" s="95"/>
    </row>
    <row r="220" spans="1:29" ht="14.45" hidden="1" customHeight="1" x14ac:dyDescent="0.25">
      <c r="A220" s="36" t="str">
        <f>INDEX('Base de données Mono'!C:C,MATCH(B220,'Base de données Mono'!D:D,0))</f>
        <v>NICE CIMIEZ</v>
      </c>
      <c r="B220" t="s">
        <v>194</v>
      </c>
      <c r="C220" s="36" t="str">
        <f>INDEX('Base de données Mono'!B:B,MATCH(B220,'Base de données Mono'!D:D,0))</f>
        <v>SES8</v>
      </c>
      <c r="D220" s="36" t="str">
        <f>INDEX('Base de données Mono'!A:A,MATCH(B220,'Base de données Mono'!D:D,0))</f>
        <v>JG</v>
      </c>
      <c r="E220" s="37" t="s">
        <v>303</v>
      </c>
      <c r="F220" s="41">
        <f t="shared" si="19"/>
        <v>13</v>
      </c>
      <c r="G220" s="41">
        <f t="shared" si="20"/>
        <v>3</v>
      </c>
      <c r="H220">
        <v>8.67</v>
      </c>
      <c r="I220" s="131">
        <f>INDEX('Base de données Mono'!K:K,MATCH(B220,'Base de données Mono'!D:D,0))</f>
        <v>0.23611111111111113</v>
      </c>
      <c r="J220" s="131">
        <f>INDEX('Base de données Mono'!L:L,MATCH(B220,'Base de données Mono'!D:D,0))</f>
        <v>0.875</v>
      </c>
      <c r="K220" s="131">
        <f>INDEX('Base de données Mono'!M:M,MATCH(B220,'Base de données Mono'!D:D,0))</f>
        <v>0.28472222222222221</v>
      </c>
      <c r="L220" s="131">
        <f>INDEX('Base de données Mono'!N:N,MATCH(B220,'Base de données Mono'!D:D,0))</f>
        <v>0.54166666666666663</v>
      </c>
      <c r="M220" s="33" t="s">
        <v>811</v>
      </c>
      <c r="N220" s="33">
        <f>IF(AND(E220="Electricité",M220="Hiver"),INDEX('Base de données Mono'!E:E,MATCH(B220,'Base de données Mono'!D:D,0)),IF(AND(E220="Electricité",M220="Mi-saison"),INDEX('Base de données Mono'!F:F,MATCH(B220,'Base de données Mono'!D:D,0)),IF(AND(E220="Electricité",M220="Eté"),INDEX('Base de données Mono'!G:G,MATCH(B220,'Base de données Mono'!D:D,0)),IF(AND(E220="Gaz",M220="Hiver"),INDEX('Base de données Mono'!J:J,MATCH(B220,'Base de données Mono'!D:D,0)),IF(AND(E220="Gaz",M220="Mi-saison"),INDEX('Base de données Mono'!#REF!,MATCH(B220,'Base de données Mono'!D:D,0)),IF(AND(E220="Gaz",M220="Eté"),INDEX('Base de données Mono'!#REF!,MATCH(B220,'Base de données Mono'!D:D,0)),"-"))))))</f>
        <v>90</v>
      </c>
      <c r="O220" s="123">
        <v>45382</v>
      </c>
      <c r="P220" s="123">
        <v>45382</v>
      </c>
      <c r="Q220" s="34">
        <v>130</v>
      </c>
      <c r="R220" s="33">
        <f t="shared" si="21"/>
        <v>40</v>
      </c>
      <c r="S220" s="34">
        <v>8</v>
      </c>
      <c r="T220" s="34">
        <v>1</v>
      </c>
      <c r="U220" s="33">
        <f t="shared" si="22"/>
        <v>320</v>
      </c>
      <c r="V220" s="38" t="s">
        <v>148</v>
      </c>
      <c r="W220" s="39">
        <f t="shared" si="23"/>
        <v>0.44444444444444442</v>
      </c>
      <c r="X220" s="40" t="s">
        <v>730</v>
      </c>
      <c r="Y220" s="40" t="s">
        <v>284</v>
      </c>
      <c r="Z220" s="40" t="s">
        <v>307</v>
      </c>
      <c r="AA220" s="33" t="s">
        <v>308</v>
      </c>
      <c r="AB220" s="95"/>
      <c r="AC220" s="95"/>
    </row>
    <row r="221" spans="1:29" ht="14.45" hidden="1" customHeight="1" x14ac:dyDescent="0.25">
      <c r="A221" s="36" t="str">
        <f>INDEX('Base de données Mono'!C:C,MATCH(B221,'Base de données Mono'!D:D,0))</f>
        <v>DIJON</v>
      </c>
      <c r="B221" t="s">
        <v>119</v>
      </c>
      <c r="C221" s="36" t="str">
        <f>INDEX('Base de données Mono'!B:B,MATCH(B221,'Base de données Mono'!D:D,0))</f>
        <v>SES8</v>
      </c>
      <c r="D221" s="36" t="str">
        <f>INDEX('Base de données Mono'!A:A,MATCH(B221,'Base de données Mono'!D:D,0))</f>
        <v>JG</v>
      </c>
      <c r="E221" s="37" t="s">
        <v>303</v>
      </c>
      <c r="F221" s="41">
        <f t="shared" si="19"/>
        <v>13</v>
      </c>
      <c r="G221" s="41">
        <f t="shared" si="20"/>
        <v>3</v>
      </c>
      <c r="H221">
        <v>8.67</v>
      </c>
      <c r="I221" s="131">
        <f>INDEX('Base de données Mono'!K:K,MATCH(B221,'Base de données Mono'!D:D,0))</f>
        <v>0.24305555555555555</v>
      </c>
      <c r="J221" s="131">
        <f>INDEX('Base de données Mono'!L:L,MATCH(B221,'Base de données Mono'!D:D,0))</f>
        <v>0.875</v>
      </c>
      <c r="K221" s="131">
        <f>INDEX('Base de données Mono'!M:M,MATCH(B221,'Base de données Mono'!D:D,0))</f>
        <v>0.3125</v>
      </c>
      <c r="L221" s="131">
        <f>INDEX('Base de données Mono'!N:N,MATCH(B221,'Base de données Mono'!D:D,0))</f>
        <v>0.54166666666666663</v>
      </c>
      <c r="M221" s="33" t="s">
        <v>811</v>
      </c>
      <c r="N221" s="33">
        <f>IF(AND(E221="Electricité",M221="Hiver"),INDEX('Base de données Mono'!E:E,MATCH(B221,'Base de données Mono'!D:D,0)),IF(AND(E221="Electricité",M221="Mi-saison"),INDEX('Base de données Mono'!F:F,MATCH(B221,'Base de données Mono'!D:D,0)),IF(AND(E221="Electricité",M221="Eté"),INDEX('Base de données Mono'!G:G,MATCH(B221,'Base de données Mono'!D:D,0)),IF(AND(E221="Gaz",M221="Hiver"),INDEX('Base de données Mono'!J:J,MATCH(B221,'Base de données Mono'!D:D,0)),IF(AND(E221="Gaz",M221="Mi-saison"),INDEX('Base de données Mono'!#REF!,MATCH(B221,'Base de données Mono'!D:D,0)),IF(AND(E221="Gaz",M221="Eté"),INDEX('Base de données Mono'!#REF!,MATCH(B221,'Base de données Mono'!D:D,0)),"-"))))))</f>
        <v>65</v>
      </c>
      <c r="O221" s="123">
        <v>45382</v>
      </c>
      <c r="P221" s="123">
        <v>45382</v>
      </c>
      <c r="Q221" s="34">
        <v>105</v>
      </c>
      <c r="R221" s="33">
        <f t="shared" si="21"/>
        <v>40</v>
      </c>
      <c r="S221" s="34">
        <v>6</v>
      </c>
      <c r="T221" s="34">
        <v>1</v>
      </c>
      <c r="U221" s="33">
        <f t="shared" si="22"/>
        <v>240</v>
      </c>
      <c r="V221" s="38" t="s">
        <v>148</v>
      </c>
      <c r="W221" s="39">
        <f t="shared" si="23"/>
        <v>0.61538461538461542</v>
      </c>
      <c r="X221" s="40" t="s">
        <v>730</v>
      </c>
      <c r="Y221" s="40" t="s">
        <v>284</v>
      </c>
      <c r="Z221" s="40" t="s">
        <v>307</v>
      </c>
      <c r="AA221" s="33" t="s">
        <v>308</v>
      </c>
      <c r="AB221" s="95"/>
      <c r="AC221" s="95"/>
    </row>
    <row r="222" spans="1:29" ht="14.45" hidden="1" customHeight="1" x14ac:dyDescent="0.25">
      <c r="A222" s="36" t="str">
        <f>INDEX('Base de données Mono'!C:C,MATCH(B222,'Base de données Mono'!D:D,0))</f>
        <v>DIJON</v>
      </c>
      <c r="B222" t="s">
        <v>119</v>
      </c>
      <c r="C222" s="36" t="str">
        <f>INDEX('Base de données Mono'!B:B,MATCH(B222,'Base de données Mono'!D:D,0))</f>
        <v>SES8</v>
      </c>
      <c r="D222" s="36" t="str">
        <f>INDEX('Base de données Mono'!A:A,MATCH(B222,'Base de données Mono'!D:D,0))</f>
        <v>JG</v>
      </c>
      <c r="E222" s="37" t="s">
        <v>303</v>
      </c>
      <c r="F222" s="41">
        <f t="shared" si="19"/>
        <v>13</v>
      </c>
      <c r="G222" s="41">
        <f t="shared" si="20"/>
        <v>3</v>
      </c>
      <c r="H222">
        <v>8.67</v>
      </c>
      <c r="I222" s="131">
        <f>INDEX('Base de données Mono'!K:K,MATCH(B222,'Base de données Mono'!D:D,0))</f>
        <v>0.24305555555555555</v>
      </c>
      <c r="J222" s="131">
        <f>INDEX('Base de données Mono'!L:L,MATCH(B222,'Base de données Mono'!D:D,0))</f>
        <v>0.875</v>
      </c>
      <c r="K222" s="131">
        <f>INDEX('Base de données Mono'!M:M,MATCH(B222,'Base de données Mono'!D:D,0))</f>
        <v>0.3125</v>
      </c>
      <c r="L222" s="131">
        <f>INDEX('Base de données Mono'!N:N,MATCH(B222,'Base de données Mono'!D:D,0))</f>
        <v>0.54166666666666663</v>
      </c>
      <c r="M222" s="33" t="s">
        <v>811</v>
      </c>
      <c r="N222" s="33">
        <f>IF(AND(E222="Electricité",M222="Hiver"),INDEX('Base de données Mono'!E:E,MATCH(B222,'Base de données Mono'!D:D,0)),IF(AND(E222="Electricité",M222="Mi-saison"),INDEX('Base de données Mono'!F:F,MATCH(B222,'Base de données Mono'!D:D,0)),IF(AND(E222="Electricité",M222="Eté"),INDEX('Base de données Mono'!G:G,MATCH(B222,'Base de données Mono'!D:D,0)),IF(AND(E222="Gaz",M222="Hiver"),INDEX('Base de données Mono'!J:J,MATCH(B222,'Base de données Mono'!D:D,0)),IF(AND(E222="Gaz",M222="Mi-saison"),INDEX('Base de données Mono'!#REF!,MATCH(B222,'Base de données Mono'!D:D,0)),IF(AND(E222="Gaz",M222="Eté"),INDEX('Base de données Mono'!#REF!,MATCH(B222,'Base de données Mono'!D:D,0)),"-"))))))</f>
        <v>65</v>
      </c>
      <c r="O222" s="123">
        <v>45382</v>
      </c>
      <c r="P222" s="123">
        <v>45382</v>
      </c>
      <c r="Q222" s="34">
        <v>70</v>
      </c>
      <c r="R222" s="33">
        <f t="shared" si="21"/>
        <v>5</v>
      </c>
      <c r="S222" s="34">
        <v>2</v>
      </c>
      <c r="T222" s="34">
        <v>1</v>
      </c>
      <c r="U222" s="33">
        <f t="shared" si="22"/>
        <v>10</v>
      </c>
      <c r="V222" s="38" t="s">
        <v>148</v>
      </c>
      <c r="W222" s="39">
        <f t="shared" si="23"/>
        <v>7.6923076923076927E-2</v>
      </c>
      <c r="X222" s="40" t="s">
        <v>730</v>
      </c>
      <c r="Y222" s="40" t="s">
        <v>284</v>
      </c>
      <c r="Z222" s="40" t="s">
        <v>305</v>
      </c>
      <c r="AA222" s="33" t="s">
        <v>771</v>
      </c>
      <c r="AB222" s="95"/>
      <c r="AC222" s="95"/>
    </row>
    <row r="223" spans="1:29" ht="14.45" hidden="1" customHeight="1" x14ac:dyDescent="0.25">
      <c r="A223" s="36" t="str">
        <f>INDEX('Base de données Mono'!C:C,MATCH(B223,'Base de données Mono'!D:D,0))</f>
        <v>LYON VALMY</v>
      </c>
      <c r="B223" t="s">
        <v>22</v>
      </c>
      <c r="C223" s="36" t="str">
        <f>INDEX('Base de données Mono'!B:B,MATCH(B223,'Base de données Mono'!D:D,0))</f>
        <v>SES8</v>
      </c>
      <c r="D223" s="36" t="str">
        <f>INDEX('Base de données Mono'!A:A,MATCH(B223,'Base de données Mono'!D:D,0))</f>
        <v>JG</v>
      </c>
      <c r="E223" s="37" t="s">
        <v>303</v>
      </c>
      <c r="F223" s="41">
        <f t="shared" si="19"/>
        <v>13</v>
      </c>
      <c r="G223" s="41">
        <f t="shared" si="20"/>
        <v>3</v>
      </c>
      <c r="H223">
        <v>8.67</v>
      </c>
      <c r="I223" s="131">
        <f>INDEX('Base de données Mono'!K:K,MATCH(B223,'Base de données Mono'!D:D,0))</f>
        <v>0.20833333333333334</v>
      </c>
      <c r="J223" s="131">
        <f>INDEX('Base de données Mono'!L:L,MATCH(B223,'Base de données Mono'!D:D,0))</f>
        <v>0.88541666666666663</v>
      </c>
      <c r="K223" s="131">
        <f>INDEX('Base de données Mono'!M:M,MATCH(B223,'Base de données Mono'!D:D,0))</f>
        <v>0.31944444444444448</v>
      </c>
      <c r="L223" s="131">
        <f>INDEX('Base de données Mono'!N:N,MATCH(B223,'Base de données Mono'!D:D,0))</f>
        <v>0.55208333333333337</v>
      </c>
      <c r="M223" s="33" t="s">
        <v>811</v>
      </c>
      <c r="N223" s="33">
        <f>IF(AND(E223="Electricité",M223="Hiver"),INDEX('Base de données Mono'!E:E,MATCH(B223,'Base de données Mono'!D:D,0)),IF(AND(E223="Electricité",M223="Mi-saison"),INDEX('Base de données Mono'!F:F,MATCH(B223,'Base de données Mono'!D:D,0)),IF(AND(E223="Electricité",M223="Eté"),INDEX('Base de données Mono'!G:G,MATCH(B223,'Base de données Mono'!D:D,0)),IF(AND(E223="Gaz",M223="Hiver"),INDEX('Base de données Mono'!J:J,MATCH(B223,'Base de données Mono'!D:D,0)),IF(AND(E223="Gaz",M223="Mi-saison"),INDEX('Base de données Mono'!#REF!,MATCH(B223,'Base de données Mono'!D:D,0)),IF(AND(E223="Gaz",M223="Eté"),INDEX('Base de données Mono'!#REF!,MATCH(B223,'Base de données Mono'!D:D,0)),"-"))))))</f>
        <v>50</v>
      </c>
      <c r="O223" s="123">
        <v>45382</v>
      </c>
      <c r="P223" s="123">
        <v>45382</v>
      </c>
      <c r="Q223" s="34">
        <v>90</v>
      </c>
      <c r="R223" s="33">
        <f t="shared" si="21"/>
        <v>40</v>
      </c>
      <c r="S223" s="34">
        <v>6</v>
      </c>
      <c r="T223" s="34">
        <v>1</v>
      </c>
      <c r="U223" s="33">
        <f t="shared" si="22"/>
        <v>240</v>
      </c>
      <c r="V223" s="38" t="s">
        <v>148</v>
      </c>
      <c r="W223" s="39">
        <f t="shared" si="23"/>
        <v>0.8</v>
      </c>
      <c r="X223" s="40" t="s">
        <v>730</v>
      </c>
      <c r="Y223" s="40" t="s">
        <v>284</v>
      </c>
      <c r="Z223" s="40" t="s">
        <v>307</v>
      </c>
      <c r="AA223" s="33" t="s">
        <v>308</v>
      </c>
      <c r="AB223" s="95"/>
      <c r="AC223" s="95"/>
    </row>
    <row r="224" spans="1:29" ht="14.45" hidden="1" customHeight="1" x14ac:dyDescent="0.25">
      <c r="A224" s="36" t="str">
        <f>INDEX('Base de données Mono'!C:C,MATCH(B224,'Base de données Mono'!D:D,0))</f>
        <v>LYON VALMY</v>
      </c>
      <c r="B224" t="s">
        <v>22</v>
      </c>
      <c r="C224" s="36" t="str">
        <f>INDEX('Base de données Mono'!B:B,MATCH(B224,'Base de données Mono'!D:D,0))</f>
        <v>SES8</v>
      </c>
      <c r="D224" s="36" t="str">
        <f>INDEX('Base de données Mono'!A:A,MATCH(B224,'Base de données Mono'!D:D,0))</f>
        <v>JG</v>
      </c>
      <c r="E224" s="37" t="s">
        <v>303</v>
      </c>
      <c r="F224" s="41">
        <f t="shared" si="19"/>
        <v>13</v>
      </c>
      <c r="G224" s="41">
        <f t="shared" si="20"/>
        <v>3</v>
      </c>
      <c r="H224">
        <v>8.67</v>
      </c>
      <c r="I224" s="131">
        <f>INDEX('Base de données Mono'!K:K,MATCH(B224,'Base de données Mono'!D:D,0))</f>
        <v>0.20833333333333334</v>
      </c>
      <c r="J224" s="131">
        <f>INDEX('Base de données Mono'!L:L,MATCH(B224,'Base de données Mono'!D:D,0))</f>
        <v>0.88541666666666663</v>
      </c>
      <c r="K224" s="131">
        <f>INDEX('Base de données Mono'!M:M,MATCH(B224,'Base de données Mono'!D:D,0))</f>
        <v>0.31944444444444448</v>
      </c>
      <c r="L224" s="131">
        <f>INDEX('Base de données Mono'!N:N,MATCH(B224,'Base de données Mono'!D:D,0))</f>
        <v>0.55208333333333337</v>
      </c>
      <c r="M224" s="33" t="s">
        <v>811</v>
      </c>
      <c r="N224" s="33">
        <f>IF(AND(E224="Electricité",M224="Hiver"),INDEX('Base de données Mono'!E:E,MATCH(B224,'Base de données Mono'!D:D,0)),IF(AND(E224="Electricité",M224="Mi-saison"),INDEX('Base de données Mono'!F:F,MATCH(B224,'Base de données Mono'!D:D,0)),IF(AND(E224="Electricité",M224="Eté"),INDEX('Base de données Mono'!G:G,MATCH(B224,'Base de données Mono'!D:D,0)),IF(AND(E224="Gaz",M224="Hiver"),INDEX('Base de données Mono'!J:J,MATCH(B224,'Base de données Mono'!D:D,0)),IF(AND(E224="Gaz",M224="Mi-saison"),INDEX('Base de données Mono'!#REF!,MATCH(B224,'Base de données Mono'!D:D,0)),IF(AND(E224="Gaz",M224="Eté"),INDEX('Base de données Mono'!#REF!,MATCH(B224,'Base de données Mono'!D:D,0)),"-"))))))</f>
        <v>50</v>
      </c>
      <c r="O224" s="123">
        <v>45382</v>
      </c>
      <c r="P224" s="123">
        <v>45382</v>
      </c>
      <c r="Q224" s="34">
        <v>65</v>
      </c>
      <c r="R224" s="33">
        <f t="shared" si="21"/>
        <v>15</v>
      </c>
      <c r="S224" s="34">
        <v>2</v>
      </c>
      <c r="T224" s="34">
        <v>1</v>
      </c>
      <c r="U224" s="33">
        <f t="shared" si="22"/>
        <v>30</v>
      </c>
      <c r="V224" s="38" t="s">
        <v>148</v>
      </c>
      <c r="W224" s="39">
        <f t="shared" si="23"/>
        <v>0.3</v>
      </c>
      <c r="X224" s="40" t="s">
        <v>730</v>
      </c>
      <c r="Y224" s="40" t="s">
        <v>284</v>
      </c>
      <c r="Z224" s="40" t="s">
        <v>305</v>
      </c>
      <c r="AA224" s="33" t="s">
        <v>771</v>
      </c>
      <c r="AB224" s="95"/>
      <c r="AC224" s="95"/>
    </row>
    <row r="225" spans="1:29" ht="14.45" hidden="1" customHeight="1" x14ac:dyDescent="0.25">
      <c r="A225" s="36" t="str">
        <f>INDEX('Base de données Mono'!C:C,MATCH(B225,'Base de données Mono'!D:D,0))</f>
        <v>LYON GBL</v>
      </c>
      <c r="B225" t="s">
        <v>167</v>
      </c>
      <c r="C225" s="36" t="str">
        <f>INDEX('Base de données Mono'!B:B,MATCH(B225,'Base de données Mono'!D:D,0))</f>
        <v>SES8</v>
      </c>
      <c r="D225" s="36" t="str">
        <f>INDEX('Base de données Mono'!A:A,MATCH(B225,'Base de données Mono'!D:D,0))</f>
        <v>JG</v>
      </c>
      <c r="E225" s="37" t="s">
        <v>303</v>
      </c>
      <c r="F225" s="41">
        <f t="shared" si="19"/>
        <v>13</v>
      </c>
      <c r="G225" s="41">
        <f t="shared" si="20"/>
        <v>3</v>
      </c>
      <c r="H225">
        <v>8.67</v>
      </c>
      <c r="I225" s="131">
        <f>INDEX('Base de données Mono'!K:K,MATCH(B225,'Base de données Mono'!D:D,0))</f>
        <v>0.19791666666666666</v>
      </c>
      <c r="J225" s="131">
        <f>INDEX('Base de données Mono'!L:L,MATCH(B225,'Base de données Mono'!D:D,0))</f>
        <v>0.89583333333333337</v>
      </c>
      <c r="K225" s="131">
        <f>INDEX('Base de données Mono'!M:M,MATCH(B225,'Base de données Mono'!D:D,0))</f>
        <v>0.27083333333333331</v>
      </c>
      <c r="L225" s="131">
        <f>INDEX('Base de données Mono'!N:N,MATCH(B225,'Base de données Mono'!D:D,0))</f>
        <v>0.54166666666666663</v>
      </c>
      <c r="M225" s="33" t="s">
        <v>811</v>
      </c>
      <c r="N225" s="33">
        <f>IF(AND(E225="Electricité",M225="Hiver"),INDEX('Base de données Mono'!E:E,MATCH(B225,'Base de données Mono'!D:D,0)),IF(AND(E225="Electricité",M225="Mi-saison"),INDEX('Base de données Mono'!F:F,MATCH(B225,'Base de données Mono'!D:D,0)),IF(AND(E225="Electricité",M225="Eté"),INDEX('Base de données Mono'!G:G,MATCH(B225,'Base de données Mono'!D:D,0)),IF(AND(E225="Gaz",M225="Hiver"),INDEX('Base de données Mono'!J:J,MATCH(B225,'Base de données Mono'!D:D,0)),IF(AND(E225="Gaz",M225="Mi-saison"),INDEX('Base de données Mono'!#REF!,MATCH(B225,'Base de données Mono'!D:D,0)),IF(AND(E225="Gaz",M225="Eté"),INDEX('Base de données Mono'!#REF!,MATCH(B225,'Base de données Mono'!D:D,0)),"-"))))))</f>
        <v>120</v>
      </c>
      <c r="O225" s="123">
        <v>45382</v>
      </c>
      <c r="P225" s="123">
        <v>45382</v>
      </c>
      <c r="Q225" s="34">
        <v>130</v>
      </c>
      <c r="R225" s="33">
        <f t="shared" si="21"/>
        <v>10</v>
      </c>
      <c r="S225" s="34">
        <v>8.5</v>
      </c>
      <c r="T225" s="34">
        <v>1</v>
      </c>
      <c r="U225" s="33">
        <f t="shared" si="22"/>
        <v>85</v>
      </c>
      <c r="V225" s="38" t="s">
        <v>148</v>
      </c>
      <c r="W225" s="39">
        <f t="shared" si="23"/>
        <v>8.3333333333333329E-2</v>
      </c>
      <c r="X225" s="40" t="s">
        <v>730</v>
      </c>
      <c r="Y225" s="40" t="s">
        <v>284</v>
      </c>
      <c r="Z225" s="40" t="s">
        <v>305</v>
      </c>
      <c r="AA225" s="33" t="s">
        <v>771</v>
      </c>
      <c r="AB225" s="95"/>
      <c r="AC225" s="95"/>
    </row>
    <row r="226" spans="1:29" ht="14.45" hidden="1" customHeight="1" x14ac:dyDescent="0.25">
      <c r="A226" s="36" t="str">
        <f>INDEX('Base de données Mono'!C:C,MATCH(B226,'Base de données Mono'!D:D,0))</f>
        <v>DAUMESNIL</v>
      </c>
      <c r="B226" t="s">
        <v>15</v>
      </c>
      <c r="C226" s="36" t="str">
        <f>INDEX('Base de données Mono'!B:B,MATCH(B226,'Base de données Mono'!D:D,0))</f>
        <v>SES8</v>
      </c>
      <c r="D226" s="36" t="str">
        <f>INDEX('Base de données Mono'!A:A,MATCH(B226,'Base de données Mono'!D:D,0))</f>
        <v>JG</v>
      </c>
      <c r="E226" s="37" t="s">
        <v>303</v>
      </c>
      <c r="F226" s="41">
        <f t="shared" si="19"/>
        <v>13</v>
      </c>
      <c r="G226" s="41">
        <f t="shared" si="20"/>
        <v>3</v>
      </c>
      <c r="H226">
        <v>7.08</v>
      </c>
      <c r="I226" s="131">
        <f>INDEX('Base de données Mono'!K:K,MATCH(B226,'Base de données Mono'!D:D,0))</f>
        <v>0.24305555555555555</v>
      </c>
      <c r="J226" s="131">
        <f>INDEX('Base de données Mono'!L:L,MATCH(B226,'Base de données Mono'!D:D,0))</f>
        <v>0.92013888888888884</v>
      </c>
      <c r="K226" s="131">
        <f>INDEX('Base de données Mono'!M:M,MATCH(B226,'Base de données Mono'!D:D,0))</f>
        <v>0.28472222222222221</v>
      </c>
      <c r="L226" s="131">
        <f>INDEX('Base de données Mono'!N:N,MATCH(B226,'Base de données Mono'!D:D,0))</f>
        <v>0.54166666666666663</v>
      </c>
      <c r="M226" s="33" t="s">
        <v>811</v>
      </c>
      <c r="N226" s="33">
        <f>IF(AND(E226="Electricité",M226="Hiver"),INDEX('Base de données Mono'!E:E,MATCH(B226,'Base de données Mono'!D:D,0)),IF(AND(E226="Electricité",M226="Mi-saison"),INDEX('Base de données Mono'!F:F,MATCH(B226,'Base de données Mono'!D:D,0)),IF(AND(E226="Electricité",M226="Eté"),INDEX('Base de données Mono'!G:G,MATCH(B226,'Base de données Mono'!D:D,0)),IF(AND(E226="Gaz",M226="Hiver"),INDEX('Base de données Mono'!J:J,MATCH(B226,'Base de données Mono'!D:D,0)),IF(AND(E226="Gaz",M226="Mi-saison"),INDEX('Base de données Mono'!#REF!,MATCH(B226,'Base de données Mono'!D:D,0)),IF(AND(E226="Gaz",M226="Eté"),INDEX('Base de données Mono'!#REF!,MATCH(B226,'Base de données Mono'!D:D,0)),"-"))))))</f>
        <v>15</v>
      </c>
      <c r="O226" s="123">
        <v>45382</v>
      </c>
      <c r="P226" s="123">
        <v>45382</v>
      </c>
      <c r="Q226" s="34">
        <v>120</v>
      </c>
      <c r="R226" s="33">
        <f t="shared" si="21"/>
        <v>105</v>
      </c>
      <c r="S226" s="34">
        <v>6</v>
      </c>
      <c r="T226" s="34">
        <v>1</v>
      </c>
      <c r="U226" s="33">
        <f t="shared" si="22"/>
        <v>630</v>
      </c>
      <c r="V226" s="38" t="s">
        <v>148</v>
      </c>
      <c r="W226" s="39">
        <f t="shared" si="23"/>
        <v>7</v>
      </c>
      <c r="X226" s="40" t="s">
        <v>730</v>
      </c>
      <c r="Y226" s="40" t="s">
        <v>284</v>
      </c>
      <c r="Z226" s="40" t="s">
        <v>307</v>
      </c>
      <c r="AA226" s="33" t="s">
        <v>308</v>
      </c>
      <c r="AB226" s="95"/>
      <c r="AC226" s="95"/>
    </row>
    <row r="227" spans="1:29" ht="14.45" hidden="1" customHeight="1" x14ac:dyDescent="0.25">
      <c r="A227" s="36" t="str">
        <f>INDEX('Base de données Mono'!C:C,MATCH(B227,'Base de données Mono'!D:D,0))</f>
        <v>DAUMESNIL</v>
      </c>
      <c r="B227" t="s">
        <v>15</v>
      </c>
      <c r="C227" s="36" t="str">
        <f>INDEX('Base de données Mono'!B:B,MATCH(B227,'Base de données Mono'!D:D,0))</f>
        <v>SES8</v>
      </c>
      <c r="D227" s="36" t="str">
        <f>INDEX('Base de données Mono'!A:A,MATCH(B227,'Base de données Mono'!D:D,0))</f>
        <v>JG</v>
      </c>
      <c r="E227" s="37" t="s">
        <v>303</v>
      </c>
      <c r="F227" s="41">
        <f t="shared" si="19"/>
        <v>13</v>
      </c>
      <c r="G227" s="41">
        <f t="shared" si="20"/>
        <v>3</v>
      </c>
      <c r="H227">
        <v>8.67</v>
      </c>
      <c r="I227" s="131">
        <f>INDEX('Base de données Mono'!K:K,MATCH(B227,'Base de données Mono'!D:D,0))</f>
        <v>0.24305555555555555</v>
      </c>
      <c r="J227" s="131">
        <f>INDEX('Base de données Mono'!L:L,MATCH(B227,'Base de données Mono'!D:D,0))</f>
        <v>0.92013888888888884</v>
      </c>
      <c r="K227" s="131">
        <f>INDEX('Base de données Mono'!M:M,MATCH(B227,'Base de données Mono'!D:D,0))</f>
        <v>0.28472222222222221</v>
      </c>
      <c r="L227" s="131">
        <f>INDEX('Base de données Mono'!N:N,MATCH(B227,'Base de données Mono'!D:D,0))</f>
        <v>0.54166666666666663</v>
      </c>
      <c r="M227" s="33" t="s">
        <v>811</v>
      </c>
      <c r="N227" s="33">
        <f>IF(AND(E227="Electricité",M227="Hiver"),INDEX('Base de données Mono'!E:E,MATCH(B227,'Base de données Mono'!D:D,0)),IF(AND(E227="Electricité",M227="Mi-saison"),INDEX('Base de données Mono'!F:F,MATCH(B227,'Base de données Mono'!D:D,0)),IF(AND(E227="Electricité",M227="Eté"),INDEX('Base de données Mono'!G:G,MATCH(B227,'Base de données Mono'!D:D,0)),IF(AND(E227="Gaz",M227="Hiver"),INDEX('Base de données Mono'!J:J,MATCH(B227,'Base de données Mono'!D:D,0)),IF(AND(E227="Gaz",M227="Mi-saison"),INDEX('Base de données Mono'!#REF!,MATCH(B227,'Base de données Mono'!D:D,0)),IF(AND(E227="Gaz",M227="Eté"),INDEX('Base de données Mono'!#REF!,MATCH(B227,'Base de données Mono'!D:D,0)),"-"))))))</f>
        <v>15</v>
      </c>
      <c r="O227" s="123">
        <v>45382</v>
      </c>
      <c r="P227" s="123">
        <v>45382</v>
      </c>
      <c r="Q227" s="34">
        <v>50</v>
      </c>
      <c r="R227" s="33">
        <f t="shared" si="21"/>
        <v>35</v>
      </c>
      <c r="S227" s="34">
        <v>3</v>
      </c>
      <c r="T227" s="34">
        <v>1</v>
      </c>
      <c r="U227" s="33">
        <f t="shared" si="22"/>
        <v>105</v>
      </c>
      <c r="V227" s="38" t="s">
        <v>148</v>
      </c>
      <c r="W227" s="39">
        <f t="shared" si="23"/>
        <v>2.3333333333333335</v>
      </c>
      <c r="X227" s="40" t="s">
        <v>730</v>
      </c>
      <c r="Y227" s="40" t="s">
        <v>284</v>
      </c>
      <c r="Z227" s="40" t="s">
        <v>305</v>
      </c>
      <c r="AA227" s="33" t="s">
        <v>771</v>
      </c>
      <c r="AB227" s="95"/>
      <c r="AC227" s="95"/>
    </row>
    <row r="228" spans="1:29" ht="14.45" hidden="1" customHeight="1" x14ac:dyDescent="0.25">
      <c r="A228" s="36" t="str">
        <f>INDEX('Base de données Mono'!C:C,MATCH(B228,'Base de données Mono'!D:D,0))</f>
        <v>SETE</v>
      </c>
      <c r="B228" t="s">
        <v>34</v>
      </c>
      <c r="C228" s="36" t="str">
        <f>INDEX('Base de données Mono'!B:B,MATCH(B228,'Base de données Mono'!D:D,0))</f>
        <v>SES8</v>
      </c>
      <c r="D228" s="36" t="str">
        <f>INDEX('Base de données Mono'!A:A,MATCH(B228,'Base de données Mono'!D:D,0))</f>
        <v>AD</v>
      </c>
      <c r="E228" s="37" t="s">
        <v>303</v>
      </c>
      <c r="F228" s="41">
        <f t="shared" si="19"/>
        <v>13</v>
      </c>
      <c r="G228" s="41">
        <f t="shared" si="20"/>
        <v>3</v>
      </c>
      <c r="H228">
        <v>8.08</v>
      </c>
      <c r="I228" s="131">
        <f>INDEX('Base de données Mono'!K:K,MATCH(B228,'Base de données Mono'!D:D,0))</f>
        <v>0.23611111111111113</v>
      </c>
      <c r="J228" s="131">
        <f>INDEX('Base de données Mono'!L:L,MATCH(B228,'Base de données Mono'!D:D,0))</f>
        <v>0.85416666666666663</v>
      </c>
      <c r="K228" s="131">
        <f>INDEX('Base de données Mono'!M:M,MATCH(B228,'Base de données Mono'!D:D,0))</f>
        <v>0.29166666666666669</v>
      </c>
      <c r="L228" s="131">
        <f>INDEX('Base de données Mono'!N:N,MATCH(B228,'Base de données Mono'!D:D,0))</f>
        <v>0.54166666666666663</v>
      </c>
      <c r="M228" s="33" t="s">
        <v>811</v>
      </c>
      <c r="N228" s="33">
        <f>IF(AND(E228="Electricité",M228="Hiver"),INDEX('Base de données Mono'!E:E,MATCH(B228,'Base de données Mono'!D:D,0)),IF(AND(E228="Electricité",M228="Mi-saison"),INDEX('Base de données Mono'!F:F,MATCH(B228,'Base de données Mono'!D:D,0)),IF(AND(E228="Electricité",M228="Eté"),INDEX('Base de données Mono'!G:G,MATCH(B228,'Base de données Mono'!D:D,0)),IF(AND(E228="Gaz",M228="Hiver"),INDEX('Base de données Mono'!J:J,MATCH(B228,'Base de données Mono'!D:D,0)),IF(AND(E228="Gaz",M228="Mi-saison"),INDEX('Base de données Mono'!#REF!,MATCH(B228,'Base de données Mono'!D:D,0)),IF(AND(E228="Gaz",M228="Eté"),INDEX('Base de données Mono'!#REF!,MATCH(B228,'Base de données Mono'!D:D,0)),"-"))))))</f>
        <v>50</v>
      </c>
      <c r="O228" s="123">
        <v>45382</v>
      </c>
      <c r="P228" s="123">
        <v>45382</v>
      </c>
      <c r="Q228" s="34">
        <v>90</v>
      </c>
      <c r="R228" s="33">
        <f t="shared" si="21"/>
        <v>40</v>
      </c>
      <c r="S228" s="34">
        <v>6</v>
      </c>
      <c r="T228" s="34">
        <v>1</v>
      </c>
      <c r="U228" s="33">
        <f t="shared" si="22"/>
        <v>240</v>
      </c>
      <c r="V228" s="38" t="s">
        <v>148</v>
      </c>
      <c r="W228" s="39">
        <f t="shared" si="23"/>
        <v>0.8</v>
      </c>
      <c r="X228" s="40" t="s">
        <v>730</v>
      </c>
      <c r="Y228" s="40" t="s">
        <v>284</v>
      </c>
      <c r="Z228" s="40" t="s">
        <v>307</v>
      </c>
      <c r="AA228" s="33" t="s">
        <v>308</v>
      </c>
      <c r="AB228" s="95"/>
      <c r="AC228" s="95"/>
    </row>
    <row r="229" spans="1:29" ht="14.45" hidden="1" customHeight="1" x14ac:dyDescent="0.25">
      <c r="A229" s="36" t="str">
        <f>INDEX('Base de données Mono'!C:C,MATCH(B229,'Base de données Mono'!D:D,0))</f>
        <v>VINCENNES</v>
      </c>
      <c r="B229" t="s">
        <v>277</v>
      </c>
      <c r="C229" s="36" t="str">
        <f>INDEX('Base de données Mono'!B:B,MATCH(B229,'Base de données Mono'!D:D,0))</f>
        <v>SES8</v>
      </c>
      <c r="D229" s="36" t="str">
        <f>INDEX('Base de données Mono'!A:A,MATCH(B229,'Base de données Mono'!D:D,0))</f>
        <v>JG</v>
      </c>
      <c r="E229" s="37" t="s">
        <v>303</v>
      </c>
      <c r="F229" s="41">
        <f t="shared" si="19"/>
        <v>13</v>
      </c>
      <c r="G229" s="41">
        <f t="shared" si="20"/>
        <v>3</v>
      </c>
      <c r="H229">
        <v>9.58</v>
      </c>
      <c r="I229" s="131">
        <f>INDEX('Base de données Mono'!K:K,MATCH(B229,'Base de données Mono'!D:D,0))</f>
        <v>0.24305555555555555</v>
      </c>
      <c r="J229" s="131">
        <f>INDEX('Base de données Mono'!L:L,MATCH(B229,'Base de données Mono'!D:D,0))</f>
        <v>0.91666666666666663</v>
      </c>
      <c r="K229" s="131">
        <f>INDEX('Base de données Mono'!M:M,MATCH(B229,'Base de données Mono'!D:D,0))</f>
        <v>0.28472222222222221</v>
      </c>
      <c r="L229" s="131">
        <f>INDEX('Base de données Mono'!N:N,MATCH(B229,'Base de données Mono'!D:D,0))</f>
        <v>0.56944444444444442</v>
      </c>
      <c r="M229" s="33" t="s">
        <v>811</v>
      </c>
      <c r="N229" s="33">
        <f>IF(AND(E229="Electricité",M229="Hiver"),INDEX('Base de données Mono'!E:E,MATCH(B229,'Base de données Mono'!D:D,0)),IF(AND(E229="Electricité",M229="Mi-saison"),INDEX('Base de données Mono'!F:F,MATCH(B229,'Base de données Mono'!D:D,0)),IF(AND(E229="Electricité",M229="Eté"),INDEX('Base de données Mono'!G:G,MATCH(B229,'Base de données Mono'!D:D,0)),IF(AND(E229="Gaz",M229="Hiver"),INDEX('Base de données Mono'!J:J,MATCH(B229,'Base de données Mono'!D:D,0)),IF(AND(E229="Gaz",M229="Mi-saison"),INDEX('Base de données Mono'!#REF!,MATCH(B229,'Base de données Mono'!D:D,0)),IF(AND(E229="Gaz",M229="Eté"),INDEX('Base de données Mono'!#REF!,MATCH(B229,'Base de données Mono'!D:D,0)),"-"))))))</f>
        <v>40</v>
      </c>
      <c r="O229" s="123">
        <v>45382</v>
      </c>
      <c r="P229" s="123">
        <v>45382</v>
      </c>
      <c r="Q229" s="34">
        <v>75</v>
      </c>
      <c r="R229" s="33">
        <f t="shared" si="21"/>
        <v>35</v>
      </c>
      <c r="S229" s="34">
        <v>6</v>
      </c>
      <c r="T229" s="34">
        <v>1</v>
      </c>
      <c r="U229" s="33">
        <f t="shared" si="22"/>
        <v>210</v>
      </c>
      <c r="V229" s="38" t="s">
        <v>148</v>
      </c>
      <c r="W229" s="39">
        <f t="shared" si="23"/>
        <v>0.875</v>
      </c>
      <c r="X229" s="40" t="s">
        <v>730</v>
      </c>
      <c r="Y229" s="40" t="s">
        <v>284</v>
      </c>
      <c r="Z229" s="40" t="s">
        <v>305</v>
      </c>
      <c r="AA229" s="33" t="s">
        <v>771</v>
      </c>
      <c r="AB229" s="95"/>
      <c r="AC229" s="95"/>
    </row>
    <row r="230" spans="1:29" ht="14.45" hidden="1" customHeight="1" x14ac:dyDescent="0.25">
      <c r="A230" s="36" t="str">
        <f>INDEX('Base de données Mono'!C:C,MATCH(B230,'Base de données Mono'!D:D,0))</f>
        <v>LE VESINET</v>
      </c>
      <c r="B230" t="s">
        <v>19</v>
      </c>
      <c r="C230" s="36" t="str">
        <f>INDEX('Base de données Mono'!B:B,MATCH(B230,'Base de données Mono'!D:D,0))</f>
        <v>SES8</v>
      </c>
      <c r="D230" s="36" t="str">
        <f>INDEX('Base de données Mono'!A:A,MATCH(B230,'Base de données Mono'!D:D,0))</f>
        <v>AD</v>
      </c>
      <c r="E230" s="37" t="s">
        <v>303</v>
      </c>
      <c r="F230" s="41">
        <f t="shared" si="19"/>
        <v>13</v>
      </c>
      <c r="G230" s="41">
        <f t="shared" si="20"/>
        <v>3</v>
      </c>
      <c r="H230">
        <v>9.58</v>
      </c>
      <c r="I230" s="131">
        <f>INDEX('Base de données Mono'!K:K,MATCH(B230,'Base de données Mono'!D:D,0))</f>
        <v>0.24305555555555555</v>
      </c>
      <c r="J230" s="131">
        <f>INDEX('Base de données Mono'!L:L,MATCH(B230,'Base de données Mono'!D:D,0))</f>
        <v>0.89583333333333337</v>
      </c>
      <c r="K230" s="131">
        <f>INDEX('Base de données Mono'!M:M,MATCH(B230,'Base de données Mono'!D:D,0))</f>
        <v>0.29166666666666669</v>
      </c>
      <c r="L230" s="131">
        <f>INDEX('Base de données Mono'!N:N,MATCH(B230,'Base de données Mono'!D:D,0))</f>
        <v>0.5625</v>
      </c>
      <c r="M230" s="33" t="s">
        <v>811</v>
      </c>
      <c r="N230" s="33">
        <f>IF(AND(E230="Electricité",M230="Hiver"),INDEX('Base de données Mono'!E:E,MATCH(B230,'Base de données Mono'!D:D,0)),IF(AND(E230="Electricité",M230="Mi-saison"),INDEX('Base de données Mono'!F:F,MATCH(B230,'Base de données Mono'!D:D,0)),IF(AND(E230="Electricité",M230="Eté"),INDEX('Base de données Mono'!G:G,MATCH(B230,'Base de données Mono'!D:D,0)),IF(AND(E230="Gaz",M230="Hiver"),INDEX('Base de données Mono'!J:J,MATCH(B230,'Base de données Mono'!D:D,0)),IF(AND(E230="Gaz",M230="Mi-saison"),INDEX('Base de données Mono'!#REF!,MATCH(B230,'Base de données Mono'!D:D,0)),IF(AND(E230="Gaz",M230="Eté"),INDEX('Base de données Mono'!#REF!,MATCH(B230,'Base de données Mono'!D:D,0)),"-"))))))</f>
        <v>45</v>
      </c>
      <c r="O230" s="123">
        <v>45382</v>
      </c>
      <c r="P230" s="123">
        <v>45382</v>
      </c>
      <c r="Q230" s="34">
        <v>90</v>
      </c>
      <c r="R230" s="33">
        <f t="shared" si="21"/>
        <v>45</v>
      </c>
      <c r="S230" s="34">
        <v>6.5</v>
      </c>
      <c r="T230" s="34">
        <v>1</v>
      </c>
      <c r="U230" s="33">
        <f t="shared" si="22"/>
        <v>292.5</v>
      </c>
      <c r="V230" s="38" t="s">
        <v>148</v>
      </c>
      <c r="W230" s="39">
        <f t="shared" si="23"/>
        <v>1</v>
      </c>
      <c r="X230" s="40" t="s">
        <v>730</v>
      </c>
      <c r="Y230" s="40" t="s">
        <v>284</v>
      </c>
      <c r="Z230" s="40" t="s">
        <v>307</v>
      </c>
      <c r="AA230" s="33" t="s">
        <v>308</v>
      </c>
      <c r="AB230" s="95"/>
      <c r="AC230" s="95"/>
    </row>
    <row r="231" spans="1:29" ht="14.45" hidden="1" customHeight="1" x14ac:dyDescent="0.25">
      <c r="A231" s="36" t="str">
        <f>INDEX('Base de données Mono'!C:C,MATCH(B231,'Base de données Mono'!D:D,0))</f>
        <v>LE VESINET</v>
      </c>
      <c r="B231" t="s">
        <v>19</v>
      </c>
      <c r="C231" s="36" t="str">
        <f>INDEX('Base de données Mono'!B:B,MATCH(B231,'Base de données Mono'!D:D,0))</f>
        <v>SES8</v>
      </c>
      <c r="D231" s="36" t="str">
        <f>INDEX('Base de données Mono'!A:A,MATCH(B231,'Base de données Mono'!D:D,0))</f>
        <v>AD</v>
      </c>
      <c r="E231" s="37" t="s">
        <v>303</v>
      </c>
      <c r="F231" s="41">
        <f t="shared" si="19"/>
        <v>13</v>
      </c>
      <c r="G231" s="41">
        <f t="shared" si="20"/>
        <v>3</v>
      </c>
      <c r="H231">
        <v>9.58</v>
      </c>
      <c r="I231" s="131">
        <f>INDEX('Base de données Mono'!K:K,MATCH(B231,'Base de données Mono'!D:D,0))</f>
        <v>0.24305555555555555</v>
      </c>
      <c r="J231" s="131">
        <f>INDEX('Base de données Mono'!L:L,MATCH(B231,'Base de données Mono'!D:D,0))</f>
        <v>0.89583333333333337</v>
      </c>
      <c r="K231" s="131">
        <f>INDEX('Base de données Mono'!M:M,MATCH(B231,'Base de données Mono'!D:D,0))</f>
        <v>0.29166666666666669</v>
      </c>
      <c r="L231" s="131">
        <f>INDEX('Base de données Mono'!N:N,MATCH(B231,'Base de données Mono'!D:D,0))</f>
        <v>0.5625</v>
      </c>
      <c r="M231" s="33" t="s">
        <v>811</v>
      </c>
      <c r="N231" s="33">
        <f>IF(AND(E231="Electricité",M231="Hiver"),INDEX('Base de données Mono'!E:E,MATCH(B231,'Base de données Mono'!D:D,0)),IF(AND(E231="Electricité",M231="Mi-saison"),INDEX('Base de données Mono'!F:F,MATCH(B231,'Base de données Mono'!D:D,0)),IF(AND(E231="Electricité",M231="Eté"),INDEX('Base de données Mono'!G:G,MATCH(B231,'Base de données Mono'!D:D,0)),IF(AND(E231="Gaz",M231="Hiver"),INDEX('Base de données Mono'!J:J,MATCH(B231,'Base de données Mono'!D:D,0)),IF(AND(E231="Gaz",M231="Mi-saison"),INDEX('Base de données Mono'!#REF!,MATCH(B231,'Base de données Mono'!D:D,0)),IF(AND(E231="Gaz",M231="Eté"),INDEX('Base de données Mono'!#REF!,MATCH(B231,'Base de données Mono'!D:D,0)),"-"))))))</f>
        <v>45</v>
      </c>
      <c r="O231" s="123">
        <v>45382</v>
      </c>
      <c r="P231" s="123">
        <v>45382</v>
      </c>
      <c r="Q231" s="34">
        <v>60</v>
      </c>
      <c r="R231" s="33">
        <f t="shared" si="21"/>
        <v>15</v>
      </c>
      <c r="S231" s="34">
        <v>1.5</v>
      </c>
      <c r="T231" s="34">
        <v>1</v>
      </c>
      <c r="U231" s="33">
        <f t="shared" si="22"/>
        <v>22.5</v>
      </c>
      <c r="V231" s="38" t="s">
        <v>148</v>
      </c>
      <c r="W231" s="39">
        <f t="shared" si="23"/>
        <v>0.33333333333333331</v>
      </c>
      <c r="X231" s="40" t="s">
        <v>730</v>
      </c>
      <c r="Y231" s="40" t="s">
        <v>284</v>
      </c>
      <c r="Z231" s="40" t="s">
        <v>305</v>
      </c>
      <c r="AA231" s="33" t="s">
        <v>771</v>
      </c>
      <c r="AB231" s="95"/>
      <c r="AC231" s="95"/>
    </row>
    <row r="232" spans="1:29" ht="14.45" hidden="1" customHeight="1" x14ac:dyDescent="0.25">
      <c r="A232" s="36" t="str">
        <f>INDEX('Base de données Mono'!C:C,MATCH(B232,'Base de données Mono'!D:D,0))</f>
        <v>ALESIA ALI</v>
      </c>
      <c r="B232" t="s">
        <v>56</v>
      </c>
      <c r="C232" s="36" t="str">
        <f>INDEX('Base de données Mono'!B:B,MATCH(B232,'Base de données Mono'!D:D,0))</f>
        <v>SES8</v>
      </c>
      <c r="D232" s="36" t="str">
        <f>INDEX('Base de données Mono'!A:A,MATCH(B232,'Base de données Mono'!D:D,0))</f>
        <v>AD</v>
      </c>
      <c r="E232" s="37" t="s">
        <v>303</v>
      </c>
      <c r="F232" s="41">
        <f t="shared" si="19"/>
        <v>13</v>
      </c>
      <c r="G232" s="41">
        <f t="shared" si="20"/>
        <v>3</v>
      </c>
      <c r="H232">
        <v>9.58</v>
      </c>
      <c r="I232" s="131">
        <f>INDEX('Base de données Mono'!K:K,MATCH(B232,'Base de données Mono'!D:D,0))</f>
        <v>0.20833333333333334</v>
      </c>
      <c r="J232" s="131">
        <f>INDEX('Base de données Mono'!L:L,MATCH(B232,'Base de données Mono'!D:D,0))</f>
        <v>0.83333333333333337</v>
      </c>
      <c r="K232" s="131">
        <f>INDEX('Base de données Mono'!M:M,MATCH(B232,'Base de données Mono'!D:D,0))</f>
        <v>0.25</v>
      </c>
      <c r="L232" s="131">
        <f>INDEX('Base de données Mono'!N:N,MATCH(B232,'Base de données Mono'!D:D,0))</f>
        <v>0.54166666666666663</v>
      </c>
      <c r="M232" s="33" t="s">
        <v>811</v>
      </c>
      <c r="N232" s="33">
        <f>IF(AND(E232="Electricité",M232="Hiver"),INDEX('Base de données Mono'!E:E,MATCH(B232,'Base de données Mono'!D:D,0)),IF(AND(E232="Electricité",M232="Mi-saison"),INDEX('Base de données Mono'!F:F,MATCH(B232,'Base de données Mono'!D:D,0)),IF(AND(E232="Electricité",M232="Eté"),INDEX('Base de données Mono'!G:G,MATCH(B232,'Base de données Mono'!D:D,0)),IF(AND(E232="Gaz",M232="Hiver"),INDEX('Base de données Mono'!J:J,MATCH(B232,'Base de données Mono'!D:D,0)),IF(AND(E232="Gaz",M232="Mi-saison"),INDEX('Base de données Mono'!#REF!,MATCH(B232,'Base de données Mono'!D:D,0)),IF(AND(E232="Gaz",M232="Eté"),INDEX('Base de données Mono'!#REF!,MATCH(B232,'Base de données Mono'!D:D,0)),"-"))))))</f>
        <v>45</v>
      </c>
      <c r="O232" s="123">
        <v>45382</v>
      </c>
      <c r="P232" s="123">
        <v>45382</v>
      </c>
      <c r="Q232" s="34">
        <v>75</v>
      </c>
      <c r="R232" s="33">
        <f t="shared" si="21"/>
        <v>30</v>
      </c>
      <c r="S232" s="34">
        <v>6.5</v>
      </c>
      <c r="T232" s="34">
        <v>1</v>
      </c>
      <c r="U232" s="33">
        <f t="shared" si="22"/>
        <v>195</v>
      </c>
      <c r="V232" s="38" t="s">
        <v>148</v>
      </c>
      <c r="W232" s="39">
        <f t="shared" si="23"/>
        <v>0.66666666666666663</v>
      </c>
      <c r="X232" s="40" t="s">
        <v>730</v>
      </c>
      <c r="Y232" s="40" t="s">
        <v>284</v>
      </c>
      <c r="Z232" s="40" t="s">
        <v>307</v>
      </c>
      <c r="AA232" s="33" t="s">
        <v>308</v>
      </c>
      <c r="AB232" s="95"/>
      <c r="AC232" s="95"/>
    </row>
    <row r="233" spans="1:29" ht="14.45" hidden="1" customHeight="1" x14ac:dyDescent="0.25">
      <c r="A233" s="36" t="str">
        <f>INDEX('Base de données Mono'!C:C,MATCH(B233,'Base de données Mono'!D:D,0))</f>
        <v>LE COURBE</v>
      </c>
      <c r="B233" t="s">
        <v>20</v>
      </c>
      <c r="C233" s="36" t="str">
        <f>INDEX('Base de données Mono'!B:B,MATCH(B233,'Base de données Mono'!D:D,0))</f>
        <v>SES8</v>
      </c>
      <c r="D233" s="36" t="str">
        <f>INDEX('Base de données Mono'!A:A,MATCH(B233,'Base de données Mono'!D:D,0))</f>
        <v>AD</v>
      </c>
      <c r="E233" s="37" t="s">
        <v>303</v>
      </c>
      <c r="F233" s="41">
        <f t="shared" si="19"/>
        <v>13</v>
      </c>
      <c r="G233" s="41">
        <f t="shared" si="20"/>
        <v>3</v>
      </c>
      <c r="H233">
        <v>9.58</v>
      </c>
      <c r="I233" s="131">
        <f>INDEX('Base de données Mono'!K:K,MATCH(B233,'Base de données Mono'!D:D,0))</f>
        <v>0.24305555555555555</v>
      </c>
      <c r="J233" s="131">
        <f>INDEX('Base de données Mono'!L:L,MATCH(B233,'Base de données Mono'!D:D,0))</f>
        <v>0.875</v>
      </c>
      <c r="K233" s="131" t="str">
        <f>INDEX('Base de données Mono'!M:M,MATCH(B233,'Base de données Mono'!D:D,0))</f>
        <v>-</v>
      </c>
      <c r="L233" s="131" t="str">
        <f>INDEX('Base de données Mono'!N:N,MATCH(B233,'Base de données Mono'!D:D,0))</f>
        <v>-</v>
      </c>
      <c r="M233" s="33" t="s">
        <v>811</v>
      </c>
      <c r="N233" s="33">
        <f>IF(AND(E233="Electricité",M233="Hiver"),INDEX('Base de données Mono'!E:E,MATCH(B233,'Base de données Mono'!D:D,0)),IF(AND(E233="Electricité",M233="Mi-saison"),INDEX('Base de données Mono'!F:F,MATCH(B233,'Base de données Mono'!D:D,0)),IF(AND(E233="Electricité",M233="Eté"),INDEX('Base de données Mono'!G:G,MATCH(B233,'Base de données Mono'!D:D,0)),IF(AND(E233="Gaz",M233="Hiver"),INDEX('Base de données Mono'!J:J,MATCH(B233,'Base de données Mono'!D:D,0)),IF(AND(E233="Gaz",M233="Mi-saison"),INDEX('Base de données Mono'!#REF!,MATCH(B233,'Base de données Mono'!D:D,0)),IF(AND(E233="Gaz",M233="Eté"),INDEX('Base de données Mono'!#REF!,MATCH(B233,'Base de données Mono'!D:D,0)),"-"))))))</f>
        <v>80</v>
      </c>
      <c r="O233" s="123">
        <v>45382</v>
      </c>
      <c r="P233" s="123">
        <v>45382</v>
      </c>
      <c r="Q233" s="34">
        <v>115</v>
      </c>
      <c r="R233" s="33">
        <f t="shared" si="21"/>
        <v>35</v>
      </c>
      <c r="S233" s="34">
        <v>13</v>
      </c>
      <c r="T233" s="34">
        <v>1</v>
      </c>
      <c r="U233" s="33">
        <f t="shared" si="22"/>
        <v>455</v>
      </c>
      <c r="V233" s="38" t="s">
        <v>148</v>
      </c>
      <c r="W233" s="39">
        <f t="shared" si="23"/>
        <v>0.4375</v>
      </c>
      <c r="X233" s="40" t="s">
        <v>730</v>
      </c>
      <c r="Y233" s="40" t="s">
        <v>284</v>
      </c>
      <c r="Z233" s="40" t="s">
        <v>307</v>
      </c>
      <c r="AA233" s="33" t="s">
        <v>308</v>
      </c>
      <c r="AB233" s="95"/>
      <c r="AC233" s="95"/>
    </row>
    <row r="234" spans="1:29" ht="14.45" hidden="1" customHeight="1" x14ac:dyDescent="0.25">
      <c r="A234" s="36" t="str">
        <f>INDEX('Base de données Mono'!C:C,MATCH(B234,'Base de données Mono'!D:D,0))</f>
        <v>COMMERCE</v>
      </c>
      <c r="B234" t="s">
        <v>110</v>
      </c>
      <c r="C234" s="36" t="str">
        <f>INDEX('Base de données Mono'!B:B,MATCH(B234,'Base de données Mono'!D:D,0))</f>
        <v>SES8</v>
      </c>
      <c r="D234" s="36" t="str">
        <f>INDEX('Base de données Mono'!A:A,MATCH(B234,'Base de données Mono'!D:D,0))</f>
        <v>AD</v>
      </c>
      <c r="E234" s="37" t="s">
        <v>303</v>
      </c>
      <c r="F234" s="41">
        <f t="shared" si="19"/>
        <v>13</v>
      </c>
      <c r="G234" s="41">
        <f t="shared" si="20"/>
        <v>3</v>
      </c>
      <c r="H234">
        <v>9.58</v>
      </c>
      <c r="I234" s="131">
        <f>INDEX('Base de données Mono'!K:K,MATCH(B234,'Base de données Mono'!D:D,0))</f>
        <v>0.20833333333333334</v>
      </c>
      <c r="J234" s="131">
        <f>INDEX('Base de données Mono'!L:L,MATCH(B234,'Base de données Mono'!D:D,0))</f>
        <v>0.89583333333333337</v>
      </c>
      <c r="K234" s="131">
        <f>INDEX('Base de données Mono'!M:M,MATCH(B234,'Base de données Mono'!D:D,0))</f>
        <v>0.27083333333333331</v>
      </c>
      <c r="L234" s="131">
        <f>INDEX('Base de données Mono'!N:N,MATCH(B234,'Base de données Mono'!D:D,0))</f>
        <v>0.55902777777777779</v>
      </c>
      <c r="M234" s="33" t="s">
        <v>811</v>
      </c>
      <c r="N234" s="33">
        <f>IF(AND(E234="Electricité",M234="Hiver"),INDEX('Base de données Mono'!E:E,MATCH(B234,'Base de données Mono'!D:D,0)),IF(AND(E234="Electricité",M234="Mi-saison"),INDEX('Base de données Mono'!F:F,MATCH(B234,'Base de données Mono'!D:D,0)),IF(AND(E234="Electricité",M234="Eté"),INDEX('Base de données Mono'!G:G,MATCH(B234,'Base de données Mono'!D:D,0)),IF(AND(E234="Gaz",M234="Hiver"),INDEX('Base de données Mono'!J:J,MATCH(B234,'Base de données Mono'!D:D,0)),IF(AND(E234="Gaz",M234="Mi-saison"),INDEX('Base de données Mono'!#REF!,MATCH(B234,'Base de données Mono'!D:D,0)),IF(AND(E234="Gaz",M234="Eté"),INDEX('Base de données Mono'!#REF!,MATCH(B234,'Base de données Mono'!D:D,0)),"-"))))))</f>
        <v>75</v>
      </c>
      <c r="O234" s="123">
        <v>45382</v>
      </c>
      <c r="P234" s="123">
        <v>45382</v>
      </c>
      <c r="Q234" s="34">
        <v>115</v>
      </c>
      <c r="R234" s="33">
        <f t="shared" si="21"/>
        <v>40</v>
      </c>
      <c r="S234" s="34">
        <v>6</v>
      </c>
      <c r="T234" s="34">
        <v>1</v>
      </c>
      <c r="U234" s="33">
        <f t="shared" si="22"/>
        <v>240</v>
      </c>
      <c r="V234" s="38" t="s">
        <v>148</v>
      </c>
      <c r="W234" s="39">
        <f t="shared" si="23"/>
        <v>0.53333333333333333</v>
      </c>
      <c r="X234" s="40" t="s">
        <v>730</v>
      </c>
      <c r="Y234" s="40" t="s">
        <v>284</v>
      </c>
      <c r="Z234" s="40" t="s">
        <v>307</v>
      </c>
      <c r="AA234" s="33" t="s">
        <v>308</v>
      </c>
      <c r="AB234" s="95"/>
      <c r="AC234" s="95"/>
    </row>
    <row r="235" spans="1:29" ht="14.45" hidden="1" customHeight="1" x14ac:dyDescent="0.25">
      <c r="A235" s="36" t="str">
        <f>INDEX('Base de données Mono'!C:C,MATCH(B235,'Base de données Mono'!D:D,0))</f>
        <v>VERSAILLES</v>
      </c>
      <c r="B235" t="s">
        <v>38</v>
      </c>
      <c r="C235" s="36" t="str">
        <f>INDEX('Base de données Mono'!B:B,MATCH(B235,'Base de données Mono'!D:D,0))</f>
        <v>SES8</v>
      </c>
      <c r="D235" s="36" t="str">
        <f>INDEX('Base de données Mono'!A:A,MATCH(B235,'Base de données Mono'!D:D,0))</f>
        <v>AD</v>
      </c>
      <c r="E235" s="37" t="s">
        <v>303</v>
      </c>
      <c r="F235" s="41">
        <f t="shared" si="19"/>
        <v>13</v>
      </c>
      <c r="G235" s="41">
        <f t="shared" si="20"/>
        <v>3</v>
      </c>
      <c r="H235">
        <v>9.58</v>
      </c>
      <c r="I235" s="131">
        <f>INDEX('Base de données Mono'!K:K,MATCH(B235,'Base de données Mono'!D:D,0))</f>
        <v>0.1875</v>
      </c>
      <c r="J235" s="131">
        <f>INDEX('Base de données Mono'!L:L,MATCH(B235,'Base de données Mono'!D:D,0))</f>
        <v>0.85416666666666663</v>
      </c>
      <c r="K235" s="131" t="str">
        <f>INDEX('Base de données Mono'!M:M,MATCH(B235,'Base de données Mono'!D:D,0))</f>
        <v>-</v>
      </c>
      <c r="L235" s="131" t="str">
        <f>INDEX('Base de données Mono'!N:N,MATCH(B235,'Base de données Mono'!D:D,0))</f>
        <v>-</v>
      </c>
      <c r="M235" s="33" t="s">
        <v>811</v>
      </c>
      <c r="N235" s="33">
        <f>IF(AND(E235="Electricité",M235="Hiver"),INDEX('Base de données Mono'!E:E,MATCH(B235,'Base de données Mono'!D:D,0)),IF(AND(E235="Electricité",M235="Mi-saison"),INDEX('Base de données Mono'!F:F,MATCH(B235,'Base de données Mono'!D:D,0)),IF(AND(E235="Electricité",M235="Eté"),INDEX('Base de données Mono'!G:G,MATCH(B235,'Base de données Mono'!D:D,0)),IF(AND(E235="Gaz",M235="Hiver"),INDEX('Base de données Mono'!J:J,MATCH(B235,'Base de données Mono'!D:D,0)),IF(AND(E235="Gaz",M235="Mi-saison"),INDEX('Base de données Mono'!#REF!,MATCH(B235,'Base de données Mono'!D:D,0)),IF(AND(E235="Gaz",M235="Eté"),INDEX('Base de données Mono'!#REF!,MATCH(B235,'Base de données Mono'!D:D,0)),"-"))))))</f>
        <v>80</v>
      </c>
      <c r="O235" s="123">
        <v>45382</v>
      </c>
      <c r="P235" s="123">
        <v>45382</v>
      </c>
      <c r="Q235" s="34">
        <v>135</v>
      </c>
      <c r="R235" s="33">
        <f t="shared" si="21"/>
        <v>55</v>
      </c>
      <c r="S235" s="34">
        <v>14</v>
      </c>
      <c r="T235" s="34">
        <v>1</v>
      </c>
      <c r="U235" s="33">
        <f t="shared" si="22"/>
        <v>770</v>
      </c>
      <c r="V235" s="38" t="s">
        <v>148</v>
      </c>
      <c r="W235" s="39">
        <f t="shared" si="23"/>
        <v>0.6875</v>
      </c>
      <c r="X235" s="40" t="s">
        <v>730</v>
      </c>
      <c r="Y235" s="40" t="s">
        <v>284</v>
      </c>
      <c r="Z235" s="40" t="s">
        <v>307</v>
      </c>
      <c r="AA235" s="33" t="s">
        <v>308</v>
      </c>
      <c r="AB235" s="95"/>
      <c r="AC235" s="95"/>
    </row>
    <row r="236" spans="1:29" ht="14.45" hidden="1" customHeight="1" x14ac:dyDescent="0.25">
      <c r="A236" s="36" t="str">
        <f>INDEX('Base de données Mono'!C:C,MATCH(B236,'Base de données Mono'!D:D,0))</f>
        <v>ST ANTOINE</v>
      </c>
      <c r="B236" t="s">
        <v>352</v>
      </c>
      <c r="C236" s="36" t="str">
        <f>INDEX('Base de données Mono'!B:B,MATCH(B236,'Base de données Mono'!D:D,0))</f>
        <v>Monoprix</v>
      </c>
      <c r="D236" s="36" t="str">
        <f>INDEX('Base de données Mono'!A:A,MATCH(B236,'Base de données Mono'!D:D,0))</f>
        <v>JG</v>
      </c>
      <c r="E236" s="37" t="s">
        <v>303</v>
      </c>
      <c r="F236" s="41">
        <f t="shared" ref="F236:F286" si="24">IF(O236="","-",IF(AND(X236="Nuit",WEEKDAY(O236,2)=7,O236&lt;&gt;P236),WEEKNUM(O236,2),WEEKNUM(O236,2)-1))+1</f>
        <v>14</v>
      </c>
      <c r="G236" s="41">
        <f t="shared" ref="G236:G286" si="25">IF(O236="","-",MONTH(O236))</f>
        <v>4</v>
      </c>
      <c r="H236">
        <v>9.67</v>
      </c>
      <c r="I236" s="131">
        <f>INDEX('Base de données Mono'!K:K,MATCH(B236,'Base de données Mono'!D:D,0))</f>
        <v>0.24305555555555555</v>
      </c>
      <c r="J236" s="131">
        <f>INDEX('Base de données Mono'!L:L,MATCH(B236,'Base de données Mono'!D:D,0))</f>
        <v>0.84027777777777779</v>
      </c>
      <c r="K236" s="131">
        <f>INDEX('Base de données Mono'!M:M,MATCH(B236,'Base de données Mono'!D:D,0))</f>
        <v>0.28472222222222221</v>
      </c>
      <c r="L236" s="131">
        <f>INDEX('Base de données Mono'!N:N,MATCH(B236,'Base de données Mono'!D:D,0))</f>
        <v>0.54861111111111105</v>
      </c>
      <c r="M236" s="33" t="s">
        <v>46</v>
      </c>
      <c r="N236" s="33">
        <f>IF(AND(E236="Electricité",M236="Hiver"),INDEX('Base de données Mono'!E:E,MATCH(B236,'Base de données Mono'!D:D,0)),IF(AND(E236="Electricité",M236="Mi-saison"),INDEX('Base de données Mono'!F:F,MATCH(B236,'Base de données Mono'!D:D,0)),IF(AND(E236="Electricité",M236="Eté"),INDEX('Base de données Mono'!G:G,MATCH(B236,'Base de données Mono'!D:D,0)),IF(AND(E236="Gaz",M236="Hiver"),INDEX('Base de données Mono'!J:J,MATCH(B236,'Base de données Mono'!D:D,0)),IF(AND(E236="Gaz",M236="Mi-saison"),INDEX('Base de données Mono'!#REF!,MATCH(B236,'Base de données Mono'!D:D,0)),IF(AND(E236="Gaz",M236="Eté"),INDEX('Base de données Mono'!#REF!,MATCH(B236,'Base de données Mono'!D:D,0)),"-"))))))</f>
        <v>55</v>
      </c>
      <c r="O236" s="123">
        <v>45384</v>
      </c>
      <c r="P236" s="123">
        <v>45387</v>
      </c>
      <c r="Q236" s="34">
        <v>90</v>
      </c>
      <c r="R236" s="33">
        <f t="shared" ref="R236:R286" si="26">IF(Q236="","",Q236-N236)</f>
        <v>35</v>
      </c>
      <c r="S236" s="34">
        <v>1</v>
      </c>
      <c r="T236" s="34">
        <f t="shared" ref="T236:T286" si="27">P236-O236</f>
        <v>3</v>
      </c>
      <c r="U236" s="33">
        <f t="shared" ref="U236:U286" si="28">R236*S236*T236</f>
        <v>105</v>
      </c>
      <c r="V236" s="38" t="s">
        <v>827</v>
      </c>
      <c r="W236" s="39">
        <f t="shared" ref="W236:W286" si="29">IFERROR(IF(E236="Gaz","-",R236/N236),"-")</f>
        <v>0.63636363636363635</v>
      </c>
      <c r="X236" s="40" t="s">
        <v>304</v>
      </c>
      <c r="Y236" s="40" t="s">
        <v>283</v>
      </c>
      <c r="Z236" s="40" t="s">
        <v>749</v>
      </c>
      <c r="AA236" s="33" t="s">
        <v>749</v>
      </c>
      <c r="AB236" s="95"/>
      <c r="AC236" s="95"/>
    </row>
    <row r="237" spans="1:29" ht="14.45" hidden="1" customHeight="1" x14ac:dyDescent="0.25">
      <c r="A237" s="36" t="str">
        <f>INDEX('Base de données Mono'!C:C,MATCH(B237,'Base de données Mono'!D:D,0))</f>
        <v>ST ANTOINE</v>
      </c>
      <c r="B237" t="s">
        <v>352</v>
      </c>
      <c r="C237" s="36" t="str">
        <f>INDEX('Base de données Mono'!B:B,MATCH(B237,'Base de données Mono'!D:D,0))</f>
        <v>Monoprix</v>
      </c>
      <c r="D237" s="36" t="str">
        <f>INDEX('Base de données Mono'!A:A,MATCH(B237,'Base de données Mono'!D:D,0))</f>
        <v>JG</v>
      </c>
      <c r="E237" s="37" t="s">
        <v>303</v>
      </c>
      <c r="F237" s="41">
        <f t="shared" si="24"/>
        <v>14</v>
      </c>
      <c r="G237" s="41">
        <f t="shared" si="25"/>
        <v>4</v>
      </c>
      <c r="H237">
        <v>9.67</v>
      </c>
      <c r="I237" s="131">
        <f>INDEX('Base de données Mono'!K:K,MATCH(B237,'Base de données Mono'!D:D,0))</f>
        <v>0.24305555555555555</v>
      </c>
      <c r="J237" s="131">
        <f>INDEX('Base de données Mono'!L:L,MATCH(B237,'Base de données Mono'!D:D,0))</f>
        <v>0.84027777777777779</v>
      </c>
      <c r="K237" s="131">
        <f>INDEX('Base de données Mono'!M:M,MATCH(B237,'Base de données Mono'!D:D,0))</f>
        <v>0.28472222222222221</v>
      </c>
      <c r="L237" s="131">
        <f>INDEX('Base de données Mono'!N:N,MATCH(B237,'Base de données Mono'!D:D,0))</f>
        <v>0.54861111111111105</v>
      </c>
      <c r="M237" s="33" t="s">
        <v>46</v>
      </c>
      <c r="N237" s="33">
        <f>IF(AND(E237="Electricité",M237="Hiver"),INDEX('Base de données Mono'!E:E,MATCH(B237,'Base de données Mono'!D:D,0)),IF(AND(E237="Electricité",M237="Mi-saison"),INDEX('Base de données Mono'!F:F,MATCH(B237,'Base de données Mono'!D:D,0)),IF(AND(E237="Electricité",M237="Eté"),INDEX('Base de données Mono'!G:G,MATCH(B237,'Base de données Mono'!D:D,0)),IF(AND(E237="Gaz",M237="Hiver"),INDEX('Base de données Mono'!J:J,MATCH(B237,'Base de données Mono'!D:D,0)),IF(AND(E237="Gaz",M237="Mi-saison"),INDEX('Base de données Mono'!#REF!,MATCH(B237,'Base de données Mono'!D:D,0)),IF(AND(E237="Gaz",M237="Eté"),INDEX('Base de données Mono'!#REF!,MATCH(B237,'Base de données Mono'!D:D,0)),"-"))))))</f>
        <v>55</v>
      </c>
      <c r="O237" s="123">
        <v>45385</v>
      </c>
      <c r="P237" s="123">
        <v>45386</v>
      </c>
      <c r="Q237" s="34">
        <v>80</v>
      </c>
      <c r="R237" s="33">
        <f t="shared" si="26"/>
        <v>25</v>
      </c>
      <c r="S237" s="34">
        <v>5</v>
      </c>
      <c r="T237" s="34">
        <f t="shared" si="27"/>
        <v>1</v>
      </c>
      <c r="U237" s="33">
        <f t="shared" si="28"/>
        <v>125</v>
      </c>
      <c r="V237" s="38" t="s">
        <v>827</v>
      </c>
      <c r="W237" s="39">
        <f t="shared" si="29"/>
        <v>0.45454545454545453</v>
      </c>
      <c r="X237" s="40" t="s">
        <v>304</v>
      </c>
      <c r="Y237" s="40" t="s">
        <v>283</v>
      </c>
      <c r="Z237" s="40" t="s">
        <v>749</v>
      </c>
      <c r="AA237" s="33" t="s">
        <v>749</v>
      </c>
      <c r="AB237" s="95"/>
      <c r="AC237" s="95"/>
    </row>
    <row r="238" spans="1:29" ht="14.45" hidden="1" customHeight="1" x14ac:dyDescent="0.25">
      <c r="A238" s="36" t="str">
        <f>INDEX('Base de données Mono'!C:C,MATCH(B238,'Base de données Mono'!D:D,0))</f>
        <v>ST ANTOINE</v>
      </c>
      <c r="B238" t="s">
        <v>352</v>
      </c>
      <c r="C238" s="36" t="str">
        <f>INDEX('Base de données Mono'!B:B,MATCH(B238,'Base de données Mono'!D:D,0))</f>
        <v>Monoprix</v>
      </c>
      <c r="D238" s="36" t="str">
        <f>INDEX('Base de données Mono'!A:A,MATCH(B238,'Base de données Mono'!D:D,0))</f>
        <v>JG</v>
      </c>
      <c r="E238" s="37" t="s">
        <v>303</v>
      </c>
      <c r="F238" s="41">
        <f t="shared" si="24"/>
        <v>14</v>
      </c>
      <c r="G238" s="41">
        <f t="shared" si="25"/>
        <v>4</v>
      </c>
      <c r="H238">
        <v>9.67</v>
      </c>
      <c r="I238" s="131">
        <f>INDEX('Base de données Mono'!K:K,MATCH(B238,'Base de données Mono'!D:D,0))</f>
        <v>0.24305555555555555</v>
      </c>
      <c r="J238" s="131">
        <f>INDEX('Base de données Mono'!L:L,MATCH(B238,'Base de données Mono'!D:D,0))</f>
        <v>0.84027777777777779</v>
      </c>
      <c r="K238" s="131">
        <f>INDEX('Base de données Mono'!M:M,MATCH(B238,'Base de données Mono'!D:D,0))</f>
        <v>0.28472222222222221</v>
      </c>
      <c r="L238" s="131">
        <f>INDEX('Base de données Mono'!N:N,MATCH(B238,'Base de données Mono'!D:D,0))</f>
        <v>0.54861111111111105</v>
      </c>
      <c r="M238" s="33" t="s">
        <v>46</v>
      </c>
      <c r="N238" s="33">
        <f>IF(AND(E238="Electricité",M238="Hiver"),INDEX('Base de données Mono'!E:E,MATCH(B238,'Base de données Mono'!D:D,0)),IF(AND(E238="Electricité",M238="Mi-saison"),INDEX('Base de données Mono'!F:F,MATCH(B238,'Base de données Mono'!D:D,0)),IF(AND(E238="Electricité",M238="Eté"),INDEX('Base de données Mono'!G:G,MATCH(B238,'Base de données Mono'!D:D,0)),IF(AND(E238="Gaz",M238="Hiver"),INDEX('Base de données Mono'!J:J,MATCH(B238,'Base de données Mono'!D:D,0)),IF(AND(E238="Gaz",M238="Mi-saison"),INDEX('Base de données Mono'!#REF!,MATCH(B238,'Base de données Mono'!D:D,0)),IF(AND(E238="Gaz",M238="Eté"),INDEX('Base de données Mono'!#REF!,MATCH(B238,'Base de données Mono'!D:D,0)),"-"))))))</f>
        <v>55</v>
      </c>
      <c r="O238" s="123">
        <v>45386</v>
      </c>
      <c r="P238" s="123">
        <v>45389</v>
      </c>
      <c r="Q238" s="34">
        <v>80</v>
      </c>
      <c r="R238" s="33">
        <f t="shared" si="26"/>
        <v>25</v>
      </c>
      <c r="S238" s="34">
        <v>2</v>
      </c>
      <c r="T238" s="34">
        <f t="shared" si="27"/>
        <v>3</v>
      </c>
      <c r="U238" s="33">
        <f t="shared" si="28"/>
        <v>150</v>
      </c>
      <c r="V238" s="38" t="s">
        <v>827</v>
      </c>
      <c r="W238" s="39">
        <f t="shared" si="29"/>
        <v>0.45454545454545453</v>
      </c>
      <c r="X238" s="40" t="s">
        <v>304</v>
      </c>
      <c r="Y238" s="40" t="s">
        <v>283</v>
      </c>
      <c r="Z238" s="40" t="s">
        <v>749</v>
      </c>
      <c r="AA238" s="33" t="s">
        <v>749</v>
      </c>
      <c r="AB238" s="95"/>
      <c r="AC238" s="95"/>
    </row>
    <row r="239" spans="1:29" ht="14.45" hidden="1" customHeight="1" x14ac:dyDescent="0.25">
      <c r="A239" s="36" t="str">
        <f>INDEX('Base de données Mono'!C:C,MATCH(B239,'Base de données Mono'!D:D,0))</f>
        <v>ST ANTOINE</v>
      </c>
      <c r="B239" t="s">
        <v>352</v>
      </c>
      <c r="C239" s="36" t="str">
        <f>INDEX('Base de données Mono'!B:B,MATCH(B239,'Base de données Mono'!D:D,0))</f>
        <v>Monoprix</v>
      </c>
      <c r="D239" s="36" t="str">
        <f>INDEX('Base de données Mono'!A:A,MATCH(B239,'Base de données Mono'!D:D,0))</f>
        <v>JG</v>
      </c>
      <c r="E239" s="37" t="s">
        <v>303</v>
      </c>
      <c r="F239" s="41">
        <f t="shared" si="24"/>
        <v>14</v>
      </c>
      <c r="G239" s="41">
        <f t="shared" si="25"/>
        <v>4</v>
      </c>
      <c r="H239">
        <v>9.67</v>
      </c>
      <c r="I239" s="131">
        <f>INDEX('Base de données Mono'!K:K,MATCH(B239,'Base de données Mono'!D:D,0))</f>
        <v>0.24305555555555555</v>
      </c>
      <c r="J239" s="131">
        <f>INDEX('Base de données Mono'!L:L,MATCH(B239,'Base de données Mono'!D:D,0))</f>
        <v>0.84027777777777779</v>
      </c>
      <c r="K239" s="131">
        <f>INDEX('Base de données Mono'!M:M,MATCH(B239,'Base de données Mono'!D:D,0))</f>
        <v>0.28472222222222221</v>
      </c>
      <c r="L239" s="131">
        <f>INDEX('Base de données Mono'!N:N,MATCH(B239,'Base de données Mono'!D:D,0))</f>
        <v>0.54861111111111105</v>
      </c>
      <c r="M239" s="33" t="s">
        <v>46</v>
      </c>
      <c r="N239" s="33">
        <f>IF(AND(E239="Electricité",M239="Hiver"),INDEX('Base de données Mono'!E:E,MATCH(B239,'Base de données Mono'!D:D,0)),IF(AND(E239="Electricité",M239="Mi-saison"),INDEX('Base de données Mono'!F:F,MATCH(B239,'Base de données Mono'!D:D,0)),IF(AND(E239="Electricité",M239="Eté"),INDEX('Base de données Mono'!G:G,MATCH(B239,'Base de données Mono'!D:D,0)),IF(AND(E239="Gaz",M239="Hiver"),INDEX('Base de données Mono'!J:J,MATCH(B239,'Base de données Mono'!D:D,0)),IF(AND(E239="Gaz",M239="Mi-saison"),INDEX('Base de données Mono'!#REF!,MATCH(B239,'Base de données Mono'!D:D,0)),IF(AND(E239="Gaz",M239="Eté"),INDEX('Base de données Mono'!#REF!,MATCH(B239,'Base de données Mono'!D:D,0)),"-"))))))</f>
        <v>55</v>
      </c>
      <c r="O239" s="123">
        <v>45387</v>
      </c>
      <c r="P239" s="123">
        <v>45388</v>
      </c>
      <c r="Q239" s="34">
        <v>100</v>
      </c>
      <c r="R239" s="33">
        <f t="shared" si="26"/>
        <v>45</v>
      </c>
      <c r="S239" s="34">
        <v>1</v>
      </c>
      <c r="T239" s="34">
        <f t="shared" si="27"/>
        <v>1</v>
      </c>
      <c r="U239" s="33">
        <f t="shared" si="28"/>
        <v>45</v>
      </c>
      <c r="V239" s="38" t="s">
        <v>827</v>
      </c>
      <c r="W239" s="39">
        <f t="shared" si="29"/>
        <v>0.81818181818181823</v>
      </c>
      <c r="X239" s="40" t="s">
        <v>304</v>
      </c>
      <c r="Y239" s="40" t="s">
        <v>283</v>
      </c>
      <c r="Z239" s="40" t="s">
        <v>749</v>
      </c>
      <c r="AA239" s="33" t="s">
        <v>749</v>
      </c>
      <c r="AB239" s="95"/>
      <c r="AC239" s="95"/>
    </row>
    <row r="240" spans="1:29" ht="14.45" hidden="1" customHeight="1" x14ac:dyDescent="0.25">
      <c r="A240" s="36" t="str">
        <f>INDEX('Base de données Mono'!C:C,MATCH(B240,'Base de données Mono'!D:D,0))</f>
        <v>PUTEAUX</v>
      </c>
      <c r="B240" t="s">
        <v>354</v>
      </c>
      <c r="C240" s="36" t="str">
        <f>INDEX('Base de données Mono'!B:B,MATCH(B240,'Base de données Mono'!D:D,0))</f>
        <v>Monoprix</v>
      </c>
      <c r="D240" s="36" t="str">
        <f>INDEX('Base de données Mono'!A:A,MATCH(B240,'Base de données Mono'!D:D,0))</f>
        <v>AD</v>
      </c>
      <c r="E240" s="37" t="s">
        <v>303</v>
      </c>
      <c r="F240" s="41">
        <f t="shared" si="24"/>
        <v>14</v>
      </c>
      <c r="G240" s="41">
        <f t="shared" si="25"/>
        <v>4</v>
      </c>
      <c r="H240">
        <v>8</v>
      </c>
      <c r="I240" s="131">
        <f>INDEX('Base de données Mono'!K:K,MATCH(B240,'Base de données Mono'!D:D,0))</f>
        <v>0.25</v>
      </c>
      <c r="J240" s="131">
        <f>INDEX('Base de données Mono'!L:L,MATCH(B240,'Base de données Mono'!D:D,0))</f>
        <v>0.91666666666666663</v>
      </c>
      <c r="K240" s="131">
        <f>INDEX('Base de données Mono'!M:M,MATCH(B240,'Base de données Mono'!D:D,0))</f>
        <v>0.28472222222222221</v>
      </c>
      <c r="L240" s="131">
        <f>INDEX('Base de données Mono'!N:N,MATCH(B240,'Base de données Mono'!D:D,0))</f>
        <v>0.79861111111111116</v>
      </c>
      <c r="M240" s="33" t="s">
        <v>46</v>
      </c>
      <c r="N240" s="33">
        <f>IF(AND(E240="Electricité",M240="Hiver"),INDEX('Base de données Mono'!E:E,MATCH(B240,'Base de données Mono'!D:D,0)),IF(AND(E240="Electricité",M240="Mi-saison"),INDEX('Base de données Mono'!F:F,MATCH(B240,'Base de données Mono'!D:D,0)),IF(AND(E240="Electricité",M240="Eté"),INDEX('Base de données Mono'!G:G,MATCH(B240,'Base de données Mono'!D:D,0)),IF(AND(E240="Gaz",M240="Hiver"),INDEX('Base de données Mono'!J:J,MATCH(B240,'Base de données Mono'!D:D,0)),IF(AND(E240="Gaz",M240="Mi-saison"),INDEX('Base de données Mono'!#REF!,MATCH(B240,'Base de données Mono'!D:D,0)),IF(AND(E240="Gaz",M240="Eté"),INDEX('Base de données Mono'!#REF!,MATCH(B240,'Base de données Mono'!D:D,0)),"-"))))))</f>
        <v>65</v>
      </c>
      <c r="O240" s="123">
        <v>45383</v>
      </c>
      <c r="P240" s="123">
        <v>45385</v>
      </c>
      <c r="Q240" s="34">
        <v>75</v>
      </c>
      <c r="R240" s="33">
        <f t="shared" si="26"/>
        <v>10</v>
      </c>
      <c r="S240" s="34">
        <v>7</v>
      </c>
      <c r="T240" s="34">
        <f t="shared" si="27"/>
        <v>2</v>
      </c>
      <c r="U240" s="33">
        <f t="shared" si="28"/>
        <v>140</v>
      </c>
      <c r="V240" s="38" t="s">
        <v>827</v>
      </c>
      <c r="W240" s="39">
        <f t="shared" si="29"/>
        <v>0.15384615384615385</v>
      </c>
      <c r="X240" s="40" t="s">
        <v>304</v>
      </c>
      <c r="Y240" s="40" t="s">
        <v>283</v>
      </c>
      <c r="Z240" s="40" t="s">
        <v>749</v>
      </c>
      <c r="AA240" s="33" t="s">
        <v>749</v>
      </c>
      <c r="AB240" s="95"/>
      <c r="AC240" s="95"/>
    </row>
    <row r="241" spans="1:29" ht="14.45" hidden="1" customHeight="1" x14ac:dyDescent="0.25">
      <c r="A241" s="36" t="str">
        <f>INDEX('Base de données Mono'!C:C,MATCH(B241,'Base de données Mono'!D:D,0))</f>
        <v>MEUDON</v>
      </c>
      <c r="B241" t="s">
        <v>333</v>
      </c>
      <c r="C241" s="36" t="str">
        <f>INDEX('Base de données Mono'!B:B,MATCH(B241,'Base de données Mono'!D:D,0))</f>
        <v>Monoprix</v>
      </c>
      <c r="D241" s="36" t="str">
        <f>INDEX('Base de données Mono'!A:A,MATCH(B241,'Base de données Mono'!D:D,0))</f>
        <v>AD</v>
      </c>
      <c r="E241" s="37" t="s">
        <v>303</v>
      </c>
      <c r="F241" s="41">
        <f t="shared" si="24"/>
        <v>14</v>
      </c>
      <c r="G241" s="41">
        <f t="shared" si="25"/>
        <v>4</v>
      </c>
      <c r="H241">
        <v>6</v>
      </c>
      <c r="I241" s="131">
        <f>INDEX('Base de données Mono'!K:K,MATCH(B241,'Base de données Mono'!D:D,0))</f>
        <v>0.1875</v>
      </c>
      <c r="J241" s="131">
        <f>INDEX('Base de données Mono'!L:L,MATCH(B241,'Base de données Mono'!D:D,0))</f>
        <v>0.9375</v>
      </c>
      <c r="K241" s="131">
        <f>INDEX('Base de données Mono'!M:M,MATCH(B241,'Base de données Mono'!D:D,0))</f>
        <v>0.27083333333333331</v>
      </c>
      <c r="L241" s="131">
        <f>INDEX('Base de données Mono'!N:N,MATCH(B241,'Base de données Mono'!D:D,0))</f>
        <v>0.79166666666666663</v>
      </c>
      <c r="M241" s="33" t="s">
        <v>46</v>
      </c>
      <c r="N241" s="33">
        <f>IF(AND(E241="Electricité",M241="Hiver"),INDEX('Base de données Mono'!E:E,MATCH(B241,'Base de données Mono'!D:D,0)),IF(AND(E241="Electricité",M241="Mi-saison"),INDEX('Base de données Mono'!F:F,MATCH(B241,'Base de données Mono'!D:D,0)),IF(AND(E241="Electricité",M241="Eté"),INDEX('Base de données Mono'!G:G,MATCH(B241,'Base de données Mono'!D:D,0)),IF(AND(E241="Gaz",M241="Hiver"),INDEX('Base de données Mono'!J:J,MATCH(B241,'Base de données Mono'!D:D,0)),IF(AND(E241="Gaz",M241="Mi-saison"),INDEX('Base de données Mono'!#REF!,MATCH(B241,'Base de données Mono'!D:D,0)),IF(AND(E241="Gaz",M241="Eté"),INDEX('Base de données Mono'!#REF!,MATCH(B241,'Base de données Mono'!D:D,0)),"-"))))))</f>
        <v>65</v>
      </c>
      <c r="O241" s="123">
        <v>45385</v>
      </c>
      <c r="P241" s="123">
        <v>45388</v>
      </c>
      <c r="Q241" s="34">
        <v>70</v>
      </c>
      <c r="R241" s="33">
        <f t="shared" si="26"/>
        <v>5</v>
      </c>
      <c r="S241" s="34">
        <v>2</v>
      </c>
      <c r="T241" s="34">
        <f t="shared" si="27"/>
        <v>3</v>
      </c>
      <c r="U241" s="33">
        <f t="shared" si="28"/>
        <v>30</v>
      </c>
      <c r="V241" s="38" t="s">
        <v>827</v>
      </c>
      <c r="W241" s="39">
        <f t="shared" si="29"/>
        <v>7.6923076923076927E-2</v>
      </c>
      <c r="X241" s="40" t="s">
        <v>304</v>
      </c>
      <c r="Y241" s="40" t="s">
        <v>283</v>
      </c>
      <c r="Z241" s="40" t="s">
        <v>749</v>
      </c>
      <c r="AA241" s="33" t="s">
        <v>749</v>
      </c>
      <c r="AB241" s="95"/>
      <c r="AC241" s="95"/>
    </row>
    <row r="242" spans="1:29" ht="14.45" hidden="1" customHeight="1" x14ac:dyDescent="0.25">
      <c r="A242" s="36" t="str">
        <f>INDEX('Base de données Mono'!C:C,MATCH(B242,'Base de données Mono'!D:D,0))</f>
        <v>PUTEAUX</v>
      </c>
      <c r="B242" t="s">
        <v>354</v>
      </c>
      <c r="C242" s="36" t="str">
        <f>INDEX('Base de données Mono'!B:B,MATCH(B242,'Base de données Mono'!D:D,0))</f>
        <v>Monoprix</v>
      </c>
      <c r="D242" s="36" t="str">
        <f>INDEX('Base de données Mono'!A:A,MATCH(B242,'Base de données Mono'!D:D,0))</f>
        <v>AD</v>
      </c>
      <c r="E242" s="37" t="s">
        <v>303</v>
      </c>
      <c r="F242" s="41">
        <f t="shared" si="24"/>
        <v>14</v>
      </c>
      <c r="G242" s="41">
        <f t="shared" si="25"/>
        <v>4</v>
      </c>
      <c r="H242">
        <v>8</v>
      </c>
      <c r="I242" s="131">
        <f>INDEX('Base de données Mono'!K:K,MATCH(B242,'Base de données Mono'!D:D,0))</f>
        <v>0.25</v>
      </c>
      <c r="J242" s="131">
        <f>INDEX('Base de données Mono'!L:L,MATCH(B242,'Base de données Mono'!D:D,0))</f>
        <v>0.91666666666666663</v>
      </c>
      <c r="K242" s="131">
        <f>INDEX('Base de données Mono'!M:M,MATCH(B242,'Base de données Mono'!D:D,0))</f>
        <v>0.28472222222222221</v>
      </c>
      <c r="L242" s="131">
        <f>INDEX('Base de données Mono'!N:N,MATCH(B242,'Base de données Mono'!D:D,0))</f>
        <v>0.79861111111111116</v>
      </c>
      <c r="M242" s="33" t="s">
        <v>46</v>
      </c>
      <c r="N242" s="33">
        <f>IF(AND(E242="Electricité",M242="Hiver"),INDEX('Base de données Mono'!E:E,MATCH(B242,'Base de données Mono'!D:D,0)),IF(AND(E242="Electricité",M242="Mi-saison"),INDEX('Base de données Mono'!F:F,MATCH(B242,'Base de données Mono'!D:D,0)),IF(AND(E242="Electricité",M242="Eté"),INDEX('Base de données Mono'!G:G,MATCH(B242,'Base de données Mono'!D:D,0)),IF(AND(E242="Gaz",M242="Hiver"),INDEX('Base de données Mono'!J:J,MATCH(B242,'Base de données Mono'!D:D,0)),IF(AND(E242="Gaz",M242="Mi-saison"),INDEX('Base de données Mono'!#REF!,MATCH(B242,'Base de données Mono'!D:D,0)),IF(AND(E242="Gaz",M242="Eté"),INDEX('Base de données Mono'!#REF!,MATCH(B242,'Base de données Mono'!D:D,0)),"-"))))))</f>
        <v>65</v>
      </c>
      <c r="O242" s="123">
        <v>45383</v>
      </c>
      <c r="P242" s="123">
        <v>45384</v>
      </c>
      <c r="Q242" s="34">
        <v>110</v>
      </c>
      <c r="R242" s="33">
        <f t="shared" si="26"/>
        <v>45</v>
      </c>
      <c r="S242" s="34">
        <v>1</v>
      </c>
      <c r="T242" s="34">
        <f t="shared" si="27"/>
        <v>1</v>
      </c>
      <c r="U242" s="33">
        <f t="shared" si="28"/>
        <v>45</v>
      </c>
      <c r="V242" s="38" t="s">
        <v>827</v>
      </c>
      <c r="W242" s="39">
        <f t="shared" si="29"/>
        <v>0.69230769230769229</v>
      </c>
      <c r="X242" s="40" t="s">
        <v>304</v>
      </c>
      <c r="Y242" s="40" t="s">
        <v>283</v>
      </c>
      <c r="Z242" s="40" t="s">
        <v>749</v>
      </c>
      <c r="AA242" s="33" t="s">
        <v>749</v>
      </c>
      <c r="AB242" s="95"/>
      <c r="AC242" s="95"/>
    </row>
    <row r="243" spans="1:29" ht="14.45" hidden="1" customHeight="1" x14ac:dyDescent="0.25">
      <c r="A243" s="36" t="str">
        <f>INDEX('Base de données Mono'!C:C,MATCH(B243,'Base de données Mono'!D:D,0))</f>
        <v>PUTEAUX</v>
      </c>
      <c r="B243" t="s">
        <v>354</v>
      </c>
      <c r="C243" s="36" t="str">
        <f>INDEX('Base de données Mono'!B:B,MATCH(B243,'Base de données Mono'!D:D,0))</f>
        <v>Monoprix</v>
      </c>
      <c r="D243" s="36" t="str">
        <f>INDEX('Base de données Mono'!A:A,MATCH(B243,'Base de données Mono'!D:D,0))</f>
        <v>AD</v>
      </c>
      <c r="E243" s="37" t="s">
        <v>303</v>
      </c>
      <c r="F243" s="41">
        <f t="shared" si="24"/>
        <v>14</v>
      </c>
      <c r="G243" s="41">
        <f t="shared" si="25"/>
        <v>4</v>
      </c>
      <c r="H243">
        <v>8</v>
      </c>
      <c r="I243" s="131">
        <f>INDEX('Base de données Mono'!K:K,MATCH(B243,'Base de données Mono'!D:D,0))</f>
        <v>0.25</v>
      </c>
      <c r="J243" s="131">
        <f>INDEX('Base de données Mono'!L:L,MATCH(B243,'Base de données Mono'!D:D,0))</f>
        <v>0.91666666666666663</v>
      </c>
      <c r="K243" s="131">
        <f>INDEX('Base de données Mono'!M:M,MATCH(B243,'Base de données Mono'!D:D,0))</f>
        <v>0.28472222222222221</v>
      </c>
      <c r="L243" s="131">
        <f>INDEX('Base de données Mono'!N:N,MATCH(B243,'Base de données Mono'!D:D,0))</f>
        <v>0.79861111111111116</v>
      </c>
      <c r="M243" s="33" t="s">
        <v>46</v>
      </c>
      <c r="N243" s="33">
        <f>IF(AND(E243="Electricité",M243="Hiver"),INDEX('Base de données Mono'!E:E,MATCH(B243,'Base de données Mono'!D:D,0)),IF(AND(E243="Electricité",M243="Mi-saison"),INDEX('Base de données Mono'!F:F,MATCH(B243,'Base de données Mono'!D:D,0)),IF(AND(E243="Electricité",M243="Eté"),INDEX('Base de données Mono'!G:G,MATCH(B243,'Base de données Mono'!D:D,0)),IF(AND(E243="Gaz",M243="Hiver"),INDEX('Base de données Mono'!J:J,MATCH(B243,'Base de données Mono'!D:D,0)),IF(AND(E243="Gaz",M243="Mi-saison"),INDEX('Base de données Mono'!#REF!,MATCH(B243,'Base de données Mono'!D:D,0)),IF(AND(E243="Gaz",M243="Eté"),INDEX('Base de données Mono'!#REF!,MATCH(B243,'Base de données Mono'!D:D,0)),"-"))))))</f>
        <v>65</v>
      </c>
      <c r="O243" s="123">
        <v>45384</v>
      </c>
      <c r="P243" s="123">
        <v>45385</v>
      </c>
      <c r="Q243" s="34">
        <v>95</v>
      </c>
      <c r="R243" s="33">
        <f t="shared" si="26"/>
        <v>30</v>
      </c>
      <c r="S243" s="34">
        <v>1</v>
      </c>
      <c r="T243" s="34">
        <f t="shared" si="27"/>
        <v>1</v>
      </c>
      <c r="U243" s="33">
        <f t="shared" si="28"/>
        <v>30</v>
      </c>
      <c r="V243" s="38" t="s">
        <v>827</v>
      </c>
      <c r="W243" s="39">
        <f t="shared" si="29"/>
        <v>0.46153846153846156</v>
      </c>
      <c r="X243" s="40" t="s">
        <v>304</v>
      </c>
      <c r="Y243" s="40" t="s">
        <v>283</v>
      </c>
      <c r="Z243" s="40" t="s">
        <v>749</v>
      </c>
      <c r="AA243" s="33" t="s">
        <v>749</v>
      </c>
      <c r="AB243" s="95"/>
      <c r="AC243" s="95"/>
    </row>
    <row r="244" spans="1:29" ht="14.45" hidden="1" customHeight="1" x14ac:dyDescent="0.25">
      <c r="A244" s="36" t="str">
        <f>INDEX('Base de données Mono'!C:C,MATCH(B244,'Base de données Mono'!D:D,0))</f>
        <v>PUTEAUX</v>
      </c>
      <c r="B244" t="s">
        <v>354</v>
      </c>
      <c r="C244" s="36" t="str">
        <f>INDEX('Base de données Mono'!B:B,MATCH(B244,'Base de données Mono'!D:D,0))</f>
        <v>Monoprix</v>
      </c>
      <c r="D244" s="36" t="str">
        <f>INDEX('Base de données Mono'!A:A,MATCH(B244,'Base de données Mono'!D:D,0))</f>
        <v>AD</v>
      </c>
      <c r="E244" s="37" t="s">
        <v>303</v>
      </c>
      <c r="F244" s="41">
        <f t="shared" si="24"/>
        <v>14</v>
      </c>
      <c r="G244" s="41">
        <f t="shared" si="25"/>
        <v>4</v>
      </c>
      <c r="H244">
        <v>8</v>
      </c>
      <c r="I244" s="131">
        <f>INDEX('Base de données Mono'!K:K,MATCH(B244,'Base de données Mono'!D:D,0))</f>
        <v>0.25</v>
      </c>
      <c r="J244" s="131">
        <f>INDEX('Base de données Mono'!L:L,MATCH(B244,'Base de données Mono'!D:D,0))</f>
        <v>0.91666666666666663</v>
      </c>
      <c r="K244" s="131">
        <f>INDEX('Base de données Mono'!M:M,MATCH(B244,'Base de données Mono'!D:D,0))</f>
        <v>0.28472222222222221</v>
      </c>
      <c r="L244" s="131">
        <f>INDEX('Base de données Mono'!N:N,MATCH(B244,'Base de données Mono'!D:D,0))</f>
        <v>0.79861111111111116</v>
      </c>
      <c r="M244" s="33" t="s">
        <v>46</v>
      </c>
      <c r="N244" s="33">
        <f>IF(AND(E244="Electricité",M244="Hiver"),INDEX('Base de données Mono'!E:E,MATCH(B244,'Base de données Mono'!D:D,0)),IF(AND(E244="Electricité",M244="Mi-saison"),INDEX('Base de données Mono'!F:F,MATCH(B244,'Base de données Mono'!D:D,0)),IF(AND(E244="Electricité",M244="Eté"),INDEX('Base de données Mono'!G:G,MATCH(B244,'Base de données Mono'!D:D,0)),IF(AND(E244="Gaz",M244="Hiver"),INDEX('Base de données Mono'!J:J,MATCH(B244,'Base de données Mono'!D:D,0)),IF(AND(E244="Gaz",M244="Mi-saison"),INDEX('Base de données Mono'!#REF!,MATCH(B244,'Base de données Mono'!D:D,0)),IF(AND(E244="Gaz",M244="Eté"),INDEX('Base de données Mono'!#REF!,MATCH(B244,'Base de données Mono'!D:D,0)),"-"))))))</f>
        <v>65</v>
      </c>
      <c r="O244" s="123">
        <v>45385</v>
      </c>
      <c r="P244" s="123">
        <v>45387</v>
      </c>
      <c r="Q244" s="34">
        <v>75</v>
      </c>
      <c r="R244" s="33">
        <f t="shared" si="26"/>
        <v>10</v>
      </c>
      <c r="S244" s="34">
        <v>7</v>
      </c>
      <c r="T244" s="34">
        <f t="shared" si="27"/>
        <v>2</v>
      </c>
      <c r="U244" s="33">
        <f t="shared" si="28"/>
        <v>140</v>
      </c>
      <c r="V244" s="38" t="s">
        <v>827</v>
      </c>
      <c r="W244" s="39">
        <f t="shared" si="29"/>
        <v>0.15384615384615385</v>
      </c>
      <c r="X244" s="40" t="s">
        <v>304</v>
      </c>
      <c r="Y244" s="40" t="s">
        <v>283</v>
      </c>
      <c r="Z244" s="40" t="s">
        <v>749</v>
      </c>
      <c r="AA244" s="33" t="s">
        <v>749</v>
      </c>
      <c r="AB244" s="95"/>
      <c r="AC244" s="95"/>
    </row>
    <row r="245" spans="1:29" ht="14.45" hidden="1" customHeight="1" x14ac:dyDescent="0.25">
      <c r="A245" s="36" t="str">
        <f>INDEX('Base de données Mono'!C:C,MATCH(B245,'Base de données Mono'!D:D,0))</f>
        <v>PUTEAUX</v>
      </c>
      <c r="B245" t="s">
        <v>354</v>
      </c>
      <c r="C245" s="36" t="str">
        <f>INDEX('Base de données Mono'!B:B,MATCH(B245,'Base de données Mono'!D:D,0))</f>
        <v>Monoprix</v>
      </c>
      <c r="D245" s="36" t="str">
        <f>INDEX('Base de données Mono'!A:A,MATCH(B245,'Base de données Mono'!D:D,0))</f>
        <v>AD</v>
      </c>
      <c r="E245" s="37" t="s">
        <v>303</v>
      </c>
      <c r="F245" s="41">
        <f t="shared" si="24"/>
        <v>14</v>
      </c>
      <c r="G245" s="41">
        <f t="shared" si="25"/>
        <v>4</v>
      </c>
      <c r="H245">
        <v>8</v>
      </c>
      <c r="I245" s="131">
        <f>INDEX('Base de données Mono'!K:K,MATCH(B245,'Base de données Mono'!D:D,0))</f>
        <v>0.25</v>
      </c>
      <c r="J245" s="131">
        <f>INDEX('Base de données Mono'!L:L,MATCH(B245,'Base de données Mono'!D:D,0))</f>
        <v>0.91666666666666663</v>
      </c>
      <c r="K245" s="131">
        <f>INDEX('Base de données Mono'!M:M,MATCH(B245,'Base de données Mono'!D:D,0))</f>
        <v>0.28472222222222221</v>
      </c>
      <c r="L245" s="131">
        <f>INDEX('Base de données Mono'!N:N,MATCH(B245,'Base de données Mono'!D:D,0))</f>
        <v>0.79861111111111116</v>
      </c>
      <c r="M245" s="33" t="s">
        <v>46</v>
      </c>
      <c r="N245" s="33">
        <f>IF(AND(E245="Electricité",M245="Hiver"),INDEX('Base de données Mono'!E:E,MATCH(B245,'Base de données Mono'!D:D,0)),IF(AND(E245="Electricité",M245="Mi-saison"),INDEX('Base de données Mono'!F:F,MATCH(B245,'Base de données Mono'!D:D,0)),IF(AND(E245="Electricité",M245="Eté"),INDEX('Base de données Mono'!G:G,MATCH(B245,'Base de données Mono'!D:D,0)),IF(AND(E245="Gaz",M245="Hiver"),INDEX('Base de données Mono'!J:J,MATCH(B245,'Base de données Mono'!D:D,0)),IF(AND(E245="Gaz",M245="Mi-saison"),INDEX('Base de données Mono'!#REF!,MATCH(B245,'Base de données Mono'!D:D,0)),IF(AND(E245="Gaz",M245="Eté"),INDEX('Base de données Mono'!#REF!,MATCH(B245,'Base de données Mono'!D:D,0)),"-"))))))</f>
        <v>65</v>
      </c>
      <c r="O245" s="123">
        <v>45385</v>
      </c>
      <c r="P245" s="123">
        <v>45387</v>
      </c>
      <c r="Q245" s="34">
        <v>115</v>
      </c>
      <c r="R245" s="33">
        <f t="shared" si="26"/>
        <v>50</v>
      </c>
      <c r="S245" s="34">
        <v>1</v>
      </c>
      <c r="T245" s="34">
        <f t="shared" si="27"/>
        <v>2</v>
      </c>
      <c r="U245" s="33">
        <f t="shared" si="28"/>
        <v>100</v>
      </c>
      <c r="V245" s="38" t="s">
        <v>827</v>
      </c>
      <c r="W245" s="39">
        <f t="shared" si="29"/>
        <v>0.76923076923076927</v>
      </c>
      <c r="X245" s="40" t="s">
        <v>304</v>
      </c>
      <c r="Y245" s="40" t="s">
        <v>283</v>
      </c>
      <c r="Z245" s="40" t="s">
        <v>749</v>
      </c>
      <c r="AA245" s="33" t="s">
        <v>749</v>
      </c>
      <c r="AB245" s="95"/>
      <c r="AC245" s="95"/>
    </row>
    <row r="246" spans="1:29" ht="14.45" hidden="1" customHeight="1" x14ac:dyDescent="0.25">
      <c r="A246" s="36" t="str">
        <f>INDEX('Base de données Mono'!C:C,MATCH(B246,'Base de données Mono'!D:D,0))</f>
        <v>PUTEAUX</v>
      </c>
      <c r="B246" t="s">
        <v>354</v>
      </c>
      <c r="C246" s="36" t="str">
        <f>INDEX('Base de données Mono'!B:B,MATCH(B246,'Base de données Mono'!D:D,0))</f>
        <v>Monoprix</v>
      </c>
      <c r="D246" s="36" t="str">
        <f>INDEX('Base de données Mono'!A:A,MATCH(B246,'Base de données Mono'!D:D,0))</f>
        <v>AD</v>
      </c>
      <c r="E246" s="37" t="s">
        <v>303</v>
      </c>
      <c r="F246" s="41">
        <f t="shared" si="24"/>
        <v>14</v>
      </c>
      <c r="G246" s="41">
        <f t="shared" si="25"/>
        <v>4</v>
      </c>
      <c r="H246">
        <v>8</v>
      </c>
      <c r="I246" s="131">
        <f>INDEX('Base de données Mono'!K:K,MATCH(B246,'Base de données Mono'!D:D,0))</f>
        <v>0.25</v>
      </c>
      <c r="J246" s="131">
        <f>INDEX('Base de données Mono'!L:L,MATCH(B246,'Base de données Mono'!D:D,0))</f>
        <v>0.91666666666666663</v>
      </c>
      <c r="K246" s="131">
        <f>INDEX('Base de données Mono'!M:M,MATCH(B246,'Base de données Mono'!D:D,0))</f>
        <v>0.28472222222222221</v>
      </c>
      <c r="L246" s="131">
        <f>INDEX('Base de données Mono'!N:N,MATCH(B246,'Base de données Mono'!D:D,0))</f>
        <v>0.79861111111111116</v>
      </c>
      <c r="M246" s="33" t="s">
        <v>46</v>
      </c>
      <c r="N246" s="33">
        <f>IF(AND(E246="Electricité",M246="Hiver"),INDEX('Base de données Mono'!E:E,MATCH(B246,'Base de données Mono'!D:D,0)),IF(AND(E246="Electricité",M246="Mi-saison"),INDEX('Base de données Mono'!F:F,MATCH(B246,'Base de données Mono'!D:D,0)),IF(AND(E246="Electricité",M246="Eté"),INDEX('Base de données Mono'!G:G,MATCH(B246,'Base de données Mono'!D:D,0)),IF(AND(E246="Gaz",M246="Hiver"),INDEX('Base de données Mono'!J:J,MATCH(B246,'Base de données Mono'!D:D,0)),IF(AND(E246="Gaz",M246="Mi-saison"),INDEX('Base de données Mono'!#REF!,MATCH(B246,'Base de données Mono'!D:D,0)),IF(AND(E246="Gaz",M246="Eté"),INDEX('Base de données Mono'!#REF!,MATCH(B246,'Base de données Mono'!D:D,0)),"-"))))))</f>
        <v>65</v>
      </c>
      <c r="O246" s="123">
        <v>45387</v>
      </c>
      <c r="P246" s="123">
        <v>45388</v>
      </c>
      <c r="Q246" s="34">
        <v>72.5</v>
      </c>
      <c r="R246" s="33">
        <f t="shared" si="26"/>
        <v>7.5</v>
      </c>
      <c r="S246" s="34">
        <v>7</v>
      </c>
      <c r="T246" s="34">
        <f t="shared" si="27"/>
        <v>1</v>
      </c>
      <c r="U246" s="33">
        <f t="shared" si="28"/>
        <v>52.5</v>
      </c>
      <c r="V246" s="38" t="s">
        <v>827</v>
      </c>
      <c r="W246" s="39">
        <f t="shared" si="29"/>
        <v>0.11538461538461539</v>
      </c>
      <c r="X246" s="40" t="s">
        <v>304</v>
      </c>
      <c r="Y246" s="40" t="s">
        <v>283</v>
      </c>
      <c r="Z246" s="40" t="s">
        <v>749</v>
      </c>
      <c r="AA246" s="33" t="s">
        <v>749</v>
      </c>
      <c r="AB246" s="95"/>
      <c r="AC246" s="95"/>
    </row>
    <row r="247" spans="1:29" ht="14.45" hidden="1" customHeight="1" x14ac:dyDescent="0.25">
      <c r="A247" s="36" t="str">
        <f>INDEX('Base de données Mono'!C:C,MATCH(B247,'Base de données Mono'!D:D,0))</f>
        <v>PUTEAUX</v>
      </c>
      <c r="B247" t="s">
        <v>354</v>
      </c>
      <c r="C247" s="36" t="str">
        <f>INDEX('Base de données Mono'!B:B,MATCH(B247,'Base de données Mono'!D:D,0))</f>
        <v>Monoprix</v>
      </c>
      <c r="D247" s="36" t="str">
        <f>INDEX('Base de données Mono'!A:A,MATCH(B247,'Base de données Mono'!D:D,0))</f>
        <v>AD</v>
      </c>
      <c r="E247" s="37" t="s">
        <v>303</v>
      </c>
      <c r="F247" s="41">
        <f t="shared" si="24"/>
        <v>14</v>
      </c>
      <c r="G247" s="41">
        <f t="shared" si="25"/>
        <v>4</v>
      </c>
      <c r="H247">
        <v>8</v>
      </c>
      <c r="I247" s="131">
        <f>INDEX('Base de données Mono'!K:K,MATCH(B247,'Base de données Mono'!D:D,0))</f>
        <v>0.25</v>
      </c>
      <c r="J247" s="131">
        <f>INDEX('Base de données Mono'!L:L,MATCH(B247,'Base de données Mono'!D:D,0))</f>
        <v>0.91666666666666663</v>
      </c>
      <c r="K247" s="131">
        <f>INDEX('Base de données Mono'!M:M,MATCH(B247,'Base de données Mono'!D:D,0))</f>
        <v>0.28472222222222221</v>
      </c>
      <c r="L247" s="131">
        <f>INDEX('Base de données Mono'!N:N,MATCH(B247,'Base de données Mono'!D:D,0))</f>
        <v>0.79861111111111116</v>
      </c>
      <c r="M247" s="33" t="s">
        <v>46</v>
      </c>
      <c r="N247" s="33">
        <f>IF(AND(E247="Electricité",M247="Hiver"),INDEX('Base de données Mono'!E:E,MATCH(B247,'Base de données Mono'!D:D,0)),IF(AND(E247="Electricité",M247="Mi-saison"),INDEX('Base de données Mono'!F:F,MATCH(B247,'Base de données Mono'!D:D,0)),IF(AND(E247="Electricité",M247="Eté"),INDEX('Base de données Mono'!G:G,MATCH(B247,'Base de données Mono'!D:D,0)),IF(AND(E247="Gaz",M247="Hiver"),INDEX('Base de données Mono'!J:J,MATCH(B247,'Base de données Mono'!D:D,0)),IF(AND(E247="Gaz",M247="Mi-saison"),INDEX('Base de données Mono'!#REF!,MATCH(B247,'Base de données Mono'!D:D,0)),IF(AND(E247="Gaz",M247="Eté"),INDEX('Base de données Mono'!#REF!,MATCH(B247,'Base de données Mono'!D:D,0)),"-"))))))</f>
        <v>65</v>
      </c>
      <c r="O247" s="123">
        <v>45387</v>
      </c>
      <c r="P247" s="123">
        <v>45388</v>
      </c>
      <c r="Q247" s="34">
        <v>120</v>
      </c>
      <c r="R247" s="33">
        <f t="shared" si="26"/>
        <v>55</v>
      </c>
      <c r="S247" s="34">
        <v>1</v>
      </c>
      <c r="T247" s="34">
        <f t="shared" si="27"/>
        <v>1</v>
      </c>
      <c r="U247" s="33">
        <f t="shared" si="28"/>
        <v>55</v>
      </c>
      <c r="V247" s="38" t="s">
        <v>827</v>
      </c>
      <c r="W247" s="39">
        <f t="shared" si="29"/>
        <v>0.84615384615384615</v>
      </c>
      <c r="X247" s="40" t="s">
        <v>304</v>
      </c>
      <c r="Y247" s="40" t="s">
        <v>283</v>
      </c>
      <c r="Z247" s="40" t="s">
        <v>749</v>
      </c>
      <c r="AA247" s="33" t="s">
        <v>749</v>
      </c>
      <c r="AB247" s="95"/>
      <c r="AC247" s="95"/>
    </row>
    <row r="248" spans="1:29" ht="14.45" hidden="1" customHeight="1" x14ac:dyDescent="0.25">
      <c r="A248" s="36" t="str">
        <f>INDEX('Base de données Mono'!C:C,MATCH(B248,'Base de données Mono'!D:D,0))</f>
        <v>PUTEAUX</v>
      </c>
      <c r="B248" t="s">
        <v>354</v>
      </c>
      <c r="C248" s="36" t="str">
        <f>INDEX('Base de données Mono'!B:B,MATCH(B248,'Base de données Mono'!D:D,0))</f>
        <v>Monoprix</v>
      </c>
      <c r="D248" s="36" t="str">
        <f>INDEX('Base de données Mono'!A:A,MATCH(B248,'Base de données Mono'!D:D,0))</f>
        <v>AD</v>
      </c>
      <c r="E248" s="37" t="s">
        <v>303</v>
      </c>
      <c r="F248" s="41">
        <f t="shared" si="24"/>
        <v>14</v>
      </c>
      <c r="G248" s="41">
        <f t="shared" si="25"/>
        <v>4</v>
      </c>
      <c r="H248">
        <v>8</v>
      </c>
      <c r="I248" s="131">
        <f>INDEX('Base de données Mono'!K:K,MATCH(B248,'Base de données Mono'!D:D,0))</f>
        <v>0.25</v>
      </c>
      <c r="J248" s="131">
        <f>INDEX('Base de données Mono'!L:L,MATCH(B248,'Base de données Mono'!D:D,0))</f>
        <v>0.91666666666666663</v>
      </c>
      <c r="K248" s="131">
        <f>INDEX('Base de données Mono'!M:M,MATCH(B248,'Base de données Mono'!D:D,0))</f>
        <v>0.28472222222222221</v>
      </c>
      <c r="L248" s="131">
        <f>INDEX('Base de données Mono'!N:N,MATCH(B248,'Base de données Mono'!D:D,0))</f>
        <v>0.79861111111111116</v>
      </c>
      <c r="M248" s="33" t="s">
        <v>46</v>
      </c>
      <c r="N248" s="33">
        <f>IF(AND(E248="Electricité",M248="Hiver"),INDEX('Base de données Mono'!E:E,MATCH(B248,'Base de données Mono'!D:D,0)),IF(AND(E248="Electricité",M248="Mi-saison"),INDEX('Base de données Mono'!F:F,MATCH(B248,'Base de données Mono'!D:D,0)),IF(AND(E248="Electricité",M248="Eté"),INDEX('Base de données Mono'!G:G,MATCH(B248,'Base de données Mono'!D:D,0)),IF(AND(E248="Gaz",M248="Hiver"),INDEX('Base de données Mono'!J:J,MATCH(B248,'Base de données Mono'!D:D,0)),IF(AND(E248="Gaz",M248="Mi-saison"),INDEX('Base de données Mono'!#REF!,MATCH(B248,'Base de données Mono'!D:D,0)),IF(AND(E248="Gaz",M248="Eté"),INDEX('Base de données Mono'!#REF!,MATCH(B248,'Base de données Mono'!D:D,0)),"-"))))))</f>
        <v>65</v>
      </c>
      <c r="O248" s="123">
        <v>45388</v>
      </c>
      <c r="P248" s="123">
        <v>45389</v>
      </c>
      <c r="Q248" s="34">
        <v>80</v>
      </c>
      <c r="R248" s="33">
        <f t="shared" si="26"/>
        <v>15</v>
      </c>
      <c r="S248" s="34">
        <v>1</v>
      </c>
      <c r="T248" s="34">
        <f t="shared" si="27"/>
        <v>1</v>
      </c>
      <c r="U248" s="33">
        <f t="shared" si="28"/>
        <v>15</v>
      </c>
      <c r="V248" s="38" t="s">
        <v>827</v>
      </c>
      <c r="W248" s="39">
        <f t="shared" si="29"/>
        <v>0.23076923076923078</v>
      </c>
      <c r="X248" s="40" t="s">
        <v>304</v>
      </c>
      <c r="Y248" s="40" t="s">
        <v>283</v>
      </c>
      <c r="Z248" s="40" t="s">
        <v>749</v>
      </c>
      <c r="AA248" s="33" t="s">
        <v>749</v>
      </c>
      <c r="AB248" s="95"/>
      <c r="AC248" s="95"/>
    </row>
    <row r="249" spans="1:29" ht="14.45" hidden="1" customHeight="1" x14ac:dyDescent="0.25">
      <c r="A249" s="36" t="str">
        <f>INDEX('Base de données Mono'!C:C,MATCH(B249,'Base de données Mono'!D:D,0))</f>
        <v>FONTAINEBLEAU</v>
      </c>
      <c r="B249" t="s">
        <v>127</v>
      </c>
      <c r="C249" s="36" t="str">
        <f>INDEX('Base de données Mono'!B:B,MATCH(B249,'Base de données Mono'!D:D,0))</f>
        <v>Monoprix</v>
      </c>
      <c r="D249" s="36" t="str">
        <f>INDEX('Base de données Mono'!A:A,MATCH(B249,'Base de données Mono'!D:D,0))</f>
        <v>JG</v>
      </c>
      <c r="E249" s="37" t="s">
        <v>303</v>
      </c>
      <c r="F249" s="41">
        <f t="shared" si="24"/>
        <v>14</v>
      </c>
      <c r="G249" s="41">
        <f t="shared" si="25"/>
        <v>4</v>
      </c>
      <c r="H249">
        <v>10.25</v>
      </c>
      <c r="I249" s="131">
        <f>INDEX('Base de données Mono'!K:K,MATCH(B249,'Base de données Mono'!D:D,0))</f>
        <v>0.25</v>
      </c>
      <c r="J249" s="131">
        <f>INDEX('Base de données Mono'!L:L,MATCH(B249,'Base de données Mono'!D:D,0))</f>
        <v>0.82291666666666663</v>
      </c>
      <c r="K249" s="131">
        <f>INDEX('Base de données Mono'!M:M,MATCH(B249,'Base de données Mono'!D:D,0))</f>
        <v>0.3125</v>
      </c>
      <c r="L249" s="131">
        <f>INDEX('Base de données Mono'!N:N,MATCH(B249,'Base de données Mono'!D:D,0))</f>
        <v>0.55208333333333337</v>
      </c>
      <c r="M249" s="33" t="s">
        <v>46</v>
      </c>
      <c r="N249" s="33">
        <f>IF(AND(E249="Electricité",M249="Hiver"),INDEX('Base de données Mono'!E:E,MATCH(B249,'Base de données Mono'!D:D,0)),IF(AND(E249="Electricité",M249="Mi-saison"),INDEX('Base de données Mono'!F:F,MATCH(B249,'Base de données Mono'!D:D,0)),IF(AND(E249="Electricité",M249="Eté"),INDEX('Base de données Mono'!G:G,MATCH(B249,'Base de données Mono'!D:D,0)),IF(AND(E249="Gaz",M249="Hiver"),INDEX('Base de données Mono'!J:J,MATCH(B249,'Base de données Mono'!D:D,0)),IF(AND(E249="Gaz",M249="Mi-saison"),INDEX('Base de données Mono'!#REF!,MATCH(B249,'Base de données Mono'!D:D,0)),IF(AND(E249="Gaz",M249="Eté"),INDEX('Base de données Mono'!#REF!,MATCH(B249,'Base de données Mono'!D:D,0)),"-"))))))</f>
        <v>35</v>
      </c>
      <c r="O249" s="123">
        <v>45383</v>
      </c>
      <c r="P249" s="123">
        <v>45388</v>
      </c>
      <c r="Q249" s="34">
        <v>55</v>
      </c>
      <c r="R249" s="33">
        <f t="shared" si="26"/>
        <v>20</v>
      </c>
      <c r="S249" s="34">
        <v>1</v>
      </c>
      <c r="T249" s="34">
        <f t="shared" si="27"/>
        <v>5</v>
      </c>
      <c r="U249" s="33">
        <f t="shared" si="28"/>
        <v>100</v>
      </c>
      <c r="V249" s="38" t="s">
        <v>827</v>
      </c>
      <c r="W249" s="39">
        <f t="shared" si="29"/>
        <v>0.5714285714285714</v>
      </c>
      <c r="X249" s="40" t="s">
        <v>304</v>
      </c>
      <c r="Y249" s="40" t="s">
        <v>283</v>
      </c>
      <c r="Z249" s="40" t="s">
        <v>749</v>
      </c>
      <c r="AA249" s="33" t="s">
        <v>749</v>
      </c>
      <c r="AB249" s="95"/>
      <c r="AC249" s="95"/>
    </row>
    <row r="250" spans="1:29" ht="14.45" hidden="1" customHeight="1" x14ac:dyDescent="0.25">
      <c r="A250" s="36" t="str">
        <f>INDEX('Base de données Mono'!C:C,MATCH(B250,'Base de données Mono'!D:D,0))</f>
        <v>Jasmin</v>
      </c>
      <c r="B250" t="s">
        <v>482</v>
      </c>
      <c r="C250" s="36" t="str">
        <f>INDEX('Base de données Mono'!B:B,MATCH(B250,'Base de données Mono'!D:D,0))</f>
        <v>Monoprix</v>
      </c>
      <c r="D250" s="36" t="str">
        <f>INDEX('Base de données Mono'!A:A,MATCH(B250,'Base de données Mono'!D:D,0))</f>
        <v>AD</v>
      </c>
      <c r="E250" s="37" t="s">
        <v>303</v>
      </c>
      <c r="F250" s="41">
        <f t="shared" si="24"/>
        <v>14</v>
      </c>
      <c r="G250" s="41">
        <f t="shared" si="25"/>
        <v>4</v>
      </c>
      <c r="H250">
        <v>8</v>
      </c>
      <c r="I250" s="131">
        <f>INDEX('Base de données Mono'!K:K,MATCH(B250,'Base de données Mono'!D:D,0))</f>
        <v>0.25</v>
      </c>
      <c r="J250" s="131">
        <f>INDEX('Base de données Mono'!L:L,MATCH(B250,'Base de données Mono'!D:D,0))</f>
        <v>0.91666666666666663</v>
      </c>
      <c r="K250" s="131">
        <f>INDEX('Base de données Mono'!M:M,MATCH(B250,'Base de données Mono'!D:D,0))</f>
        <v>0.27777777777777779</v>
      </c>
      <c r="L250" s="131">
        <f>INDEX('Base de données Mono'!N:N,MATCH(B250,'Base de données Mono'!D:D,0))</f>
        <v>0.84027777777777779</v>
      </c>
      <c r="M250" s="33" t="s">
        <v>46</v>
      </c>
      <c r="N250" s="33">
        <f>IF(AND(E250="Electricité",M250="Hiver"),INDEX('Base de données Mono'!E:E,MATCH(B250,'Base de données Mono'!D:D,0)),IF(AND(E250="Electricité",M250="Mi-saison"),INDEX('Base de données Mono'!F:F,MATCH(B250,'Base de données Mono'!D:D,0)),IF(AND(E250="Electricité",M250="Eté"),INDEX('Base de données Mono'!G:G,MATCH(B250,'Base de données Mono'!D:D,0)),IF(AND(E250="Gaz",M250="Hiver"),INDEX('Base de données Mono'!J:J,MATCH(B250,'Base de données Mono'!D:D,0)),IF(AND(E250="Gaz",M250="Mi-saison"),INDEX('Base de données Mono'!#REF!,MATCH(B250,'Base de données Mono'!D:D,0)),IF(AND(E250="Gaz",M250="Eté"),INDEX('Base de données Mono'!#REF!,MATCH(B250,'Base de données Mono'!D:D,0)),"-"))))))</f>
        <v>30</v>
      </c>
      <c r="O250" s="123">
        <v>45383</v>
      </c>
      <c r="P250" s="123">
        <v>45387</v>
      </c>
      <c r="Q250" s="34">
        <v>50</v>
      </c>
      <c r="R250" s="33">
        <f t="shared" si="26"/>
        <v>20</v>
      </c>
      <c r="S250" s="34">
        <v>1</v>
      </c>
      <c r="T250" s="34">
        <f t="shared" si="27"/>
        <v>4</v>
      </c>
      <c r="U250" s="33">
        <f t="shared" si="28"/>
        <v>80</v>
      </c>
      <c r="V250" s="38" t="s">
        <v>827</v>
      </c>
      <c r="W250" s="39">
        <f t="shared" si="29"/>
        <v>0.66666666666666663</v>
      </c>
      <c r="X250" s="40" t="s">
        <v>304</v>
      </c>
      <c r="Y250" s="40" t="s">
        <v>283</v>
      </c>
      <c r="Z250" s="40" t="s">
        <v>749</v>
      </c>
      <c r="AA250" s="33" t="s">
        <v>749</v>
      </c>
      <c r="AB250" s="95"/>
      <c r="AC250" s="95"/>
    </row>
    <row r="251" spans="1:29" ht="14.45" hidden="1" customHeight="1" x14ac:dyDescent="0.25">
      <c r="A251" s="36" t="str">
        <f>INDEX('Base de données Mono'!C:C,MATCH(B251,'Base de données Mono'!D:D,0))</f>
        <v>Jasmin</v>
      </c>
      <c r="B251" t="s">
        <v>482</v>
      </c>
      <c r="C251" s="36" t="str">
        <f>INDEX('Base de données Mono'!B:B,MATCH(B251,'Base de données Mono'!D:D,0))</f>
        <v>Monoprix</v>
      </c>
      <c r="D251" s="36" t="str">
        <f>INDEX('Base de données Mono'!A:A,MATCH(B251,'Base de données Mono'!D:D,0))</f>
        <v>AD</v>
      </c>
      <c r="E251" s="37" t="s">
        <v>303</v>
      </c>
      <c r="F251" s="41">
        <f t="shared" si="24"/>
        <v>14</v>
      </c>
      <c r="G251" s="41">
        <f t="shared" si="25"/>
        <v>4</v>
      </c>
      <c r="H251">
        <v>8</v>
      </c>
      <c r="I251" s="131">
        <f>INDEX('Base de données Mono'!K:K,MATCH(B251,'Base de données Mono'!D:D,0))</f>
        <v>0.25</v>
      </c>
      <c r="J251" s="131">
        <f>INDEX('Base de données Mono'!L:L,MATCH(B251,'Base de données Mono'!D:D,0))</f>
        <v>0.91666666666666663</v>
      </c>
      <c r="K251" s="131">
        <f>INDEX('Base de données Mono'!M:M,MATCH(B251,'Base de données Mono'!D:D,0))</f>
        <v>0.27777777777777779</v>
      </c>
      <c r="L251" s="131">
        <f>INDEX('Base de données Mono'!N:N,MATCH(B251,'Base de données Mono'!D:D,0))</f>
        <v>0.84027777777777779</v>
      </c>
      <c r="M251" s="33" t="s">
        <v>46</v>
      </c>
      <c r="N251" s="33">
        <f>IF(AND(E251="Electricité",M251="Hiver"),INDEX('Base de données Mono'!E:E,MATCH(B251,'Base de données Mono'!D:D,0)),IF(AND(E251="Electricité",M251="Mi-saison"),INDEX('Base de données Mono'!F:F,MATCH(B251,'Base de données Mono'!D:D,0)),IF(AND(E251="Electricité",M251="Eté"),INDEX('Base de données Mono'!G:G,MATCH(B251,'Base de données Mono'!D:D,0)),IF(AND(E251="Gaz",M251="Hiver"),INDEX('Base de données Mono'!J:J,MATCH(B251,'Base de données Mono'!D:D,0)),IF(AND(E251="Gaz",M251="Mi-saison"),INDEX('Base de données Mono'!#REF!,MATCH(B251,'Base de données Mono'!D:D,0)),IF(AND(E251="Gaz",M251="Eté"),INDEX('Base de données Mono'!#REF!,MATCH(B251,'Base de données Mono'!D:D,0)),"-"))))))</f>
        <v>30</v>
      </c>
      <c r="O251" s="123">
        <v>45387</v>
      </c>
      <c r="P251" s="123">
        <v>45388</v>
      </c>
      <c r="Q251" s="34">
        <v>60</v>
      </c>
      <c r="R251" s="33">
        <f t="shared" si="26"/>
        <v>30</v>
      </c>
      <c r="S251" s="34">
        <v>1</v>
      </c>
      <c r="T251" s="34">
        <f t="shared" si="27"/>
        <v>1</v>
      </c>
      <c r="U251" s="33">
        <f t="shared" si="28"/>
        <v>30</v>
      </c>
      <c r="V251" s="38" t="s">
        <v>827</v>
      </c>
      <c r="W251" s="39">
        <f t="shared" si="29"/>
        <v>1</v>
      </c>
      <c r="X251" s="40" t="s">
        <v>304</v>
      </c>
      <c r="Y251" s="40" t="s">
        <v>283</v>
      </c>
      <c r="Z251" s="40" t="s">
        <v>749</v>
      </c>
      <c r="AA251" s="33" t="s">
        <v>749</v>
      </c>
      <c r="AB251" s="95"/>
      <c r="AC251" s="95"/>
    </row>
    <row r="252" spans="1:29" ht="14.45" hidden="1" customHeight="1" x14ac:dyDescent="0.25">
      <c r="A252" s="36" t="str">
        <f>INDEX('Base de données Mono'!C:C,MATCH(B252,'Base de données Mono'!D:D,0))</f>
        <v>VICHY</v>
      </c>
      <c r="B252" t="s">
        <v>269</v>
      </c>
      <c r="C252" s="36" t="str">
        <f>INDEX('Base de données Mono'!B:B,MATCH(B252,'Base de données Mono'!D:D,0))</f>
        <v>Monoprix</v>
      </c>
      <c r="D252" s="36" t="str">
        <f>INDEX('Base de données Mono'!A:A,MATCH(B252,'Base de données Mono'!D:D,0))</f>
        <v>AD</v>
      </c>
      <c r="E252" s="37" t="s">
        <v>303</v>
      </c>
      <c r="F252" s="41">
        <f t="shared" si="24"/>
        <v>14</v>
      </c>
      <c r="G252" s="41">
        <f t="shared" si="25"/>
        <v>4</v>
      </c>
      <c r="H252">
        <v>9.5</v>
      </c>
      <c r="I252" s="131">
        <f>INDEX('Base de données Mono'!K:K,MATCH(B252,'Base de données Mono'!D:D,0))</f>
        <v>0.25</v>
      </c>
      <c r="J252" s="131">
        <f>INDEX('Base de données Mono'!L:L,MATCH(B252,'Base de données Mono'!D:D,0))</f>
        <v>0.85416666666666663</v>
      </c>
      <c r="K252" s="131">
        <f>INDEX('Base de données Mono'!M:M,MATCH(B252,'Base de données Mono'!D:D,0))</f>
        <v>0.30555555555555552</v>
      </c>
      <c r="L252" s="131">
        <f>INDEX('Base de données Mono'!N:N,MATCH(B252,'Base de données Mono'!D:D,0))</f>
        <v>0.8125</v>
      </c>
      <c r="M252" s="33" t="s">
        <v>46</v>
      </c>
      <c r="N252" s="33">
        <f>IF(AND(E252="Electricité",M252="Hiver"),INDEX('Base de données Mono'!E:E,MATCH(B252,'Base de données Mono'!D:D,0)),IF(AND(E252="Electricité",M252="Mi-saison"),INDEX('Base de données Mono'!F:F,MATCH(B252,'Base de données Mono'!D:D,0)),IF(AND(E252="Electricité",M252="Eté"),INDEX('Base de données Mono'!G:G,MATCH(B252,'Base de données Mono'!D:D,0)),IF(AND(E252="Gaz",M252="Hiver"),INDEX('Base de données Mono'!J:J,MATCH(B252,'Base de données Mono'!D:D,0)),IF(AND(E252="Gaz",M252="Mi-saison"),INDEX('Base de données Mono'!#REF!,MATCH(B252,'Base de données Mono'!D:D,0)),IF(AND(E252="Gaz",M252="Eté"),INDEX('Base de données Mono'!#REF!,MATCH(B252,'Base de données Mono'!D:D,0)),"-"))))))</f>
        <v>40</v>
      </c>
      <c r="O252" s="123">
        <v>45383</v>
      </c>
      <c r="P252" s="123">
        <v>45385</v>
      </c>
      <c r="Q252" s="34">
        <v>50</v>
      </c>
      <c r="R252" s="33">
        <f t="shared" si="26"/>
        <v>10</v>
      </c>
      <c r="S252" s="34">
        <v>9</v>
      </c>
      <c r="T252" s="34">
        <f t="shared" si="27"/>
        <v>2</v>
      </c>
      <c r="U252" s="33">
        <f t="shared" si="28"/>
        <v>180</v>
      </c>
      <c r="V252" s="38" t="s">
        <v>827</v>
      </c>
      <c r="W252" s="39">
        <f t="shared" si="29"/>
        <v>0.25</v>
      </c>
      <c r="X252" s="40" t="s">
        <v>304</v>
      </c>
      <c r="Y252" s="40" t="s">
        <v>283</v>
      </c>
      <c r="Z252" s="40" t="s">
        <v>749</v>
      </c>
      <c r="AA252" s="33" t="s">
        <v>749</v>
      </c>
      <c r="AB252" s="95"/>
      <c r="AC252" s="95"/>
    </row>
    <row r="253" spans="1:29" ht="14.45" hidden="1" customHeight="1" x14ac:dyDescent="0.25">
      <c r="A253" s="36" t="str">
        <f>INDEX('Base de données Mono'!C:C,MATCH(B253,'Base de données Mono'!D:D,0))</f>
        <v>VICHY</v>
      </c>
      <c r="B253" t="s">
        <v>269</v>
      </c>
      <c r="C253" s="36" t="str">
        <f>INDEX('Base de données Mono'!B:B,MATCH(B253,'Base de données Mono'!D:D,0))</f>
        <v>Monoprix</v>
      </c>
      <c r="D253" s="36" t="str">
        <f>INDEX('Base de données Mono'!A:A,MATCH(B253,'Base de données Mono'!D:D,0))</f>
        <v>AD</v>
      </c>
      <c r="E253" s="37" t="s">
        <v>303</v>
      </c>
      <c r="F253" s="41">
        <f t="shared" si="24"/>
        <v>14</v>
      </c>
      <c r="G253" s="41">
        <f t="shared" si="25"/>
        <v>4</v>
      </c>
      <c r="H253">
        <v>9.5</v>
      </c>
      <c r="I253" s="131">
        <f>INDEX('Base de données Mono'!K:K,MATCH(B253,'Base de données Mono'!D:D,0))</f>
        <v>0.25</v>
      </c>
      <c r="J253" s="131">
        <f>INDEX('Base de données Mono'!L:L,MATCH(B253,'Base de données Mono'!D:D,0))</f>
        <v>0.85416666666666663</v>
      </c>
      <c r="K253" s="131">
        <f>INDEX('Base de données Mono'!M:M,MATCH(B253,'Base de données Mono'!D:D,0))</f>
        <v>0.30555555555555552</v>
      </c>
      <c r="L253" s="131">
        <f>INDEX('Base de données Mono'!N:N,MATCH(B253,'Base de données Mono'!D:D,0))</f>
        <v>0.8125</v>
      </c>
      <c r="M253" s="33" t="s">
        <v>46</v>
      </c>
      <c r="N253" s="33">
        <f>IF(AND(E253="Electricité",M253="Hiver"),INDEX('Base de données Mono'!E:E,MATCH(B253,'Base de données Mono'!D:D,0)),IF(AND(E253="Electricité",M253="Mi-saison"),INDEX('Base de données Mono'!F:F,MATCH(B253,'Base de données Mono'!D:D,0)),IF(AND(E253="Electricité",M253="Eté"),INDEX('Base de données Mono'!G:G,MATCH(B253,'Base de données Mono'!D:D,0)),IF(AND(E253="Gaz",M253="Hiver"),INDEX('Base de données Mono'!J:J,MATCH(B253,'Base de données Mono'!D:D,0)),IF(AND(E253="Gaz",M253="Mi-saison"),INDEX('Base de données Mono'!#REF!,MATCH(B253,'Base de données Mono'!D:D,0)),IF(AND(E253="Gaz",M253="Eté"),INDEX('Base de données Mono'!#REF!,MATCH(B253,'Base de données Mono'!D:D,0)),"-"))))))</f>
        <v>40</v>
      </c>
      <c r="O253" s="123">
        <v>45383</v>
      </c>
      <c r="P253" s="123">
        <v>45384</v>
      </c>
      <c r="Q253" s="34">
        <v>75</v>
      </c>
      <c r="R253" s="33">
        <f t="shared" si="26"/>
        <v>35</v>
      </c>
      <c r="S253" s="34">
        <v>1</v>
      </c>
      <c r="T253" s="34">
        <f t="shared" si="27"/>
        <v>1</v>
      </c>
      <c r="U253" s="33">
        <f t="shared" si="28"/>
        <v>35</v>
      </c>
      <c r="V253" s="38" t="s">
        <v>827</v>
      </c>
      <c r="W253" s="39">
        <f t="shared" si="29"/>
        <v>0.875</v>
      </c>
      <c r="X253" s="40" t="s">
        <v>304</v>
      </c>
      <c r="Y253" s="40" t="s">
        <v>283</v>
      </c>
      <c r="Z253" s="40" t="s">
        <v>749</v>
      </c>
      <c r="AA253" s="33" t="s">
        <v>749</v>
      </c>
      <c r="AB253" s="95"/>
      <c r="AC253" s="95"/>
    </row>
    <row r="254" spans="1:29" ht="14.45" hidden="1" customHeight="1" x14ac:dyDescent="0.25">
      <c r="A254" s="36" t="str">
        <f>INDEX('Base de données Mono'!C:C,MATCH(B254,'Base de données Mono'!D:D,0))</f>
        <v>VICHY</v>
      </c>
      <c r="B254" t="s">
        <v>269</v>
      </c>
      <c r="C254" s="36" t="str">
        <f>INDEX('Base de données Mono'!B:B,MATCH(B254,'Base de données Mono'!D:D,0))</f>
        <v>Monoprix</v>
      </c>
      <c r="D254" s="36" t="str">
        <f>INDEX('Base de données Mono'!A:A,MATCH(B254,'Base de données Mono'!D:D,0))</f>
        <v>AD</v>
      </c>
      <c r="E254" s="37" t="s">
        <v>303</v>
      </c>
      <c r="F254" s="41">
        <f t="shared" si="24"/>
        <v>14</v>
      </c>
      <c r="G254" s="41">
        <f t="shared" si="25"/>
        <v>4</v>
      </c>
      <c r="H254">
        <v>9.5</v>
      </c>
      <c r="I254" s="131">
        <f>INDEX('Base de données Mono'!K:K,MATCH(B254,'Base de données Mono'!D:D,0))</f>
        <v>0.25</v>
      </c>
      <c r="J254" s="131">
        <f>INDEX('Base de données Mono'!L:L,MATCH(B254,'Base de données Mono'!D:D,0))</f>
        <v>0.85416666666666663</v>
      </c>
      <c r="K254" s="131">
        <f>INDEX('Base de données Mono'!M:M,MATCH(B254,'Base de données Mono'!D:D,0))</f>
        <v>0.30555555555555552</v>
      </c>
      <c r="L254" s="131">
        <f>INDEX('Base de données Mono'!N:N,MATCH(B254,'Base de données Mono'!D:D,0))</f>
        <v>0.8125</v>
      </c>
      <c r="M254" s="33" t="s">
        <v>46</v>
      </c>
      <c r="N254" s="33">
        <f>IF(AND(E254="Electricité",M254="Hiver"),INDEX('Base de données Mono'!E:E,MATCH(B254,'Base de données Mono'!D:D,0)),IF(AND(E254="Electricité",M254="Mi-saison"),INDEX('Base de données Mono'!F:F,MATCH(B254,'Base de données Mono'!D:D,0)),IF(AND(E254="Electricité",M254="Eté"),INDEX('Base de données Mono'!G:G,MATCH(B254,'Base de données Mono'!D:D,0)),IF(AND(E254="Gaz",M254="Hiver"),INDEX('Base de données Mono'!J:J,MATCH(B254,'Base de données Mono'!D:D,0)),IF(AND(E254="Gaz",M254="Mi-saison"),INDEX('Base de données Mono'!#REF!,MATCH(B254,'Base de données Mono'!D:D,0)),IF(AND(E254="Gaz",M254="Eté"),INDEX('Base de données Mono'!#REF!,MATCH(B254,'Base de données Mono'!D:D,0)),"-"))))))</f>
        <v>40</v>
      </c>
      <c r="O254" s="123">
        <v>45384</v>
      </c>
      <c r="P254" s="123">
        <v>45385</v>
      </c>
      <c r="Q254" s="34">
        <v>85</v>
      </c>
      <c r="R254" s="33">
        <f t="shared" si="26"/>
        <v>45</v>
      </c>
      <c r="S254" s="34">
        <v>1</v>
      </c>
      <c r="T254" s="34">
        <f t="shared" si="27"/>
        <v>1</v>
      </c>
      <c r="U254" s="33">
        <f t="shared" si="28"/>
        <v>45</v>
      </c>
      <c r="V254" s="38" t="s">
        <v>827</v>
      </c>
      <c r="W254" s="39">
        <f t="shared" si="29"/>
        <v>1.125</v>
      </c>
      <c r="X254" s="40" t="s">
        <v>304</v>
      </c>
      <c r="Y254" s="40" t="s">
        <v>283</v>
      </c>
      <c r="Z254" s="40" t="s">
        <v>749</v>
      </c>
      <c r="AA254" s="33" t="s">
        <v>749</v>
      </c>
      <c r="AB254" s="95"/>
      <c r="AC254" s="95"/>
    </row>
    <row r="255" spans="1:29" ht="14.45" hidden="1" customHeight="1" x14ac:dyDescent="0.25">
      <c r="A255" s="36" t="str">
        <f>INDEX('Base de données Mono'!C:C,MATCH(B255,'Base de données Mono'!D:D,0))</f>
        <v>VICHY</v>
      </c>
      <c r="B255" t="s">
        <v>269</v>
      </c>
      <c r="C255" s="36" t="str">
        <f>INDEX('Base de données Mono'!B:B,MATCH(B255,'Base de données Mono'!D:D,0))</f>
        <v>Monoprix</v>
      </c>
      <c r="D255" s="36" t="str">
        <f>INDEX('Base de données Mono'!A:A,MATCH(B255,'Base de données Mono'!D:D,0))</f>
        <v>AD</v>
      </c>
      <c r="E255" s="37" t="s">
        <v>303</v>
      </c>
      <c r="F255" s="41">
        <f t="shared" si="24"/>
        <v>14</v>
      </c>
      <c r="G255" s="41">
        <f t="shared" si="25"/>
        <v>4</v>
      </c>
      <c r="H255">
        <v>9.5</v>
      </c>
      <c r="I255" s="131">
        <f>INDEX('Base de données Mono'!K:K,MATCH(B255,'Base de données Mono'!D:D,0))</f>
        <v>0.25</v>
      </c>
      <c r="J255" s="131">
        <f>INDEX('Base de données Mono'!L:L,MATCH(B255,'Base de données Mono'!D:D,0))</f>
        <v>0.85416666666666663</v>
      </c>
      <c r="K255" s="131">
        <f>INDEX('Base de données Mono'!M:M,MATCH(B255,'Base de données Mono'!D:D,0))</f>
        <v>0.30555555555555552</v>
      </c>
      <c r="L255" s="131">
        <f>INDEX('Base de données Mono'!N:N,MATCH(B255,'Base de données Mono'!D:D,0))</f>
        <v>0.8125</v>
      </c>
      <c r="M255" s="33" t="s">
        <v>46</v>
      </c>
      <c r="N255" s="33">
        <f>IF(AND(E255="Electricité",M255="Hiver"),INDEX('Base de données Mono'!E:E,MATCH(B255,'Base de données Mono'!D:D,0)),IF(AND(E255="Electricité",M255="Mi-saison"),INDEX('Base de données Mono'!F:F,MATCH(B255,'Base de données Mono'!D:D,0)),IF(AND(E255="Electricité",M255="Eté"),INDEX('Base de données Mono'!G:G,MATCH(B255,'Base de données Mono'!D:D,0)),IF(AND(E255="Gaz",M255="Hiver"),INDEX('Base de données Mono'!J:J,MATCH(B255,'Base de données Mono'!D:D,0)),IF(AND(E255="Gaz",M255="Mi-saison"),INDEX('Base de données Mono'!#REF!,MATCH(B255,'Base de données Mono'!D:D,0)),IF(AND(E255="Gaz",M255="Eté"),INDEX('Base de données Mono'!#REF!,MATCH(B255,'Base de données Mono'!D:D,0)),"-"))))))</f>
        <v>40</v>
      </c>
      <c r="O255" s="123">
        <v>45385</v>
      </c>
      <c r="P255" s="123">
        <v>45387</v>
      </c>
      <c r="Q255" s="34">
        <v>55</v>
      </c>
      <c r="R255" s="33">
        <f t="shared" si="26"/>
        <v>15</v>
      </c>
      <c r="S255" s="34">
        <v>9</v>
      </c>
      <c r="T255" s="34">
        <f t="shared" si="27"/>
        <v>2</v>
      </c>
      <c r="U255" s="33">
        <f t="shared" si="28"/>
        <v>270</v>
      </c>
      <c r="V255" s="38" t="s">
        <v>827</v>
      </c>
      <c r="W255" s="39">
        <f t="shared" si="29"/>
        <v>0.375</v>
      </c>
      <c r="X255" s="40" t="s">
        <v>304</v>
      </c>
      <c r="Y255" s="40" t="s">
        <v>283</v>
      </c>
      <c r="Z255" s="40" t="s">
        <v>749</v>
      </c>
      <c r="AA255" s="33" t="s">
        <v>749</v>
      </c>
      <c r="AB255" s="95"/>
      <c r="AC255" s="95"/>
    </row>
    <row r="256" spans="1:29" ht="14.45" hidden="1" customHeight="1" x14ac:dyDescent="0.25">
      <c r="A256" s="36" t="str">
        <f>INDEX('Base de données Mono'!C:C,MATCH(B256,'Base de données Mono'!D:D,0))</f>
        <v>VICHY</v>
      </c>
      <c r="B256" t="s">
        <v>269</v>
      </c>
      <c r="C256" s="36" t="str">
        <f>INDEX('Base de données Mono'!B:B,MATCH(B256,'Base de données Mono'!D:D,0))</f>
        <v>Monoprix</v>
      </c>
      <c r="D256" s="36" t="str">
        <f>INDEX('Base de données Mono'!A:A,MATCH(B256,'Base de données Mono'!D:D,0))</f>
        <v>AD</v>
      </c>
      <c r="E256" s="37" t="s">
        <v>303</v>
      </c>
      <c r="F256" s="41">
        <f t="shared" si="24"/>
        <v>14</v>
      </c>
      <c r="G256" s="41">
        <f t="shared" si="25"/>
        <v>4</v>
      </c>
      <c r="H256">
        <v>9.5</v>
      </c>
      <c r="I256" s="131">
        <f>INDEX('Base de données Mono'!K:K,MATCH(B256,'Base de données Mono'!D:D,0))</f>
        <v>0.25</v>
      </c>
      <c r="J256" s="131">
        <f>INDEX('Base de données Mono'!L:L,MATCH(B256,'Base de données Mono'!D:D,0))</f>
        <v>0.85416666666666663</v>
      </c>
      <c r="K256" s="131">
        <f>INDEX('Base de données Mono'!M:M,MATCH(B256,'Base de données Mono'!D:D,0))</f>
        <v>0.30555555555555552</v>
      </c>
      <c r="L256" s="131">
        <f>INDEX('Base de données Mono'!N:N,MATCH(B256,'Base de données Mono'!D:D,0))</f>
        <v>0.8125</v>
      </c>
      <c r="M256" s="33" t="s">
        <v>46</v>
      </c>
      <c r="N256" s="33">
        <f>IF(AND(E256="Electricité",M256="Hiver"),INDEX('Base de données Mono'!E:E,MATCH(B256,'Base de données Mono'!D:D,0)),IF(AND(E256="Electricité",M256="Mi-saison"),INDEX('Base de données Mono'!F:F,MATCH(B256,'Base de données Mono'!D:D,0)),IF(AND(E256="Electricité",M256="Eté"),INDEX('Base de données Mono'!G:G,MATCH(B256,'Base de données Mono'!D:D,0)),IF(AND(E256="Gaz",M256="Hiver"),INDEX('Base de données Mono'!J:J,MATCH(B256,'Base de données Mono'!D:D,0)),IF(AND(E256="Gaz",M256="Mi-saison"),INDEX('Base de données Mono'!#REF!,MATCH(B256,'Base de données Mono'!D:D,0)),IF(AND(E256="Gaz",M256="Eté"),INDEX('Base de données Mono'!#REF!,MATCH(B256,'Base de données Mono'!D:D,0)),"-"))))))</f>
        <v>40</v>
      </c>
      <c r="O256" s="123">
        <v>45385</v>
      </c>
      <c r="P256" s="123">
        <v>45387</v>
      </c>
      <c r="Q256" s="34">
        <v>75</v>
      </c>
      <c r="R256" s="33">
        <f t="shared" si="26"/>
        <v>35</v>
      </c>
      <c r="S256" s="34">
        <v>1</v>
      </c>
      <c r="T256" s="34">
        <f t="shared" si="27"/>
        <v>2</v>
      </c>
      <c r="U256" s="33">
        <f t="shared" si="28"/>
        <v>70</v>
      </c>
      <c r="V256" s="38" t="s">
        <v>827</v>
      </c>
      <c r="W256" s="39">
        <f t="shared" si="29"/>
        <v>0.875</v>
      </c>
      <c r="X256" s="40" t="s">
        <v>304</v>
      </c>
      <c r="Y256" s="40" t="s">
        <v>283</v>
      </c>
      <c r="Z256" s="40" t="s">
        <v>749</v>
      </c>
      <c r="AA256" s="33" t="s">
        <v>749</v>
      </c>
      <c r="AB256" s="95"/>
      <c r="AC256" s="95"/>
    </row>
    <row r="257" spans="1:29" ht="14.45" hidden="1" customHeight="1" x14ac:dyDescent="0.25">
      <c r="A257" s="36" t="str">
        <f>INDEX('Base de données Mono'!C:C,MATCH(B257,'Base de données Mono'!D:D,0))</f>
        <v>VICHY</v>
      </c>
      <c r="B257" t="s">
        <v>269</v>
      </c>
      <c r="C257" s="36" t="str">
        <f>INDEX('Base de données Mono'!B:B,MATCH(B257,'Base de données Mono'!D:D,0))</f>
        <v>Monoprix</v>
      </c>
      <c r="D257" s="36" t="str">
        <f>INDEX('Base de données Mono'!A:A,MATCH(B257,'Base de données Mono'!D:D,0))</f>
        <v>AD</v>
      </c>
      <c r="E257" s="37" t="s">
        <v>303</v>
      </c>
      <c r="F257" s="41">
        <f t="shared" si="24"/>
        <v>14</v>
      </c>
      <c r="G257" s="41">
        <f t="shared" si="25"/>
        <v>4</v>
      </c>
      <c r="H257">
        <v>9.5</v>
      </c>
      <c r="I257" s="131">
        <f>INDEX('Base de données Mono'!K:K,MATCH(B257,'Base de données Mono'!D:D,0))</f>
        <v>0.25</v>
      </c>
      <c r="J257" s="131">
        <f>INDEX('Base de données Mono'!L:L,MATCH(B257,'Base de données Mono'!D:D,0))</f>
        <v>0.85416666666666663</v>
      </c>
      <c r="K257" s="131">
        <f>INDEX('Base de données Mono'!M:M,MATCH(B257,'Base de données Mono'!D:D,0))</f>
        <v>0.30555555555555552</v>
      </c>
      <c r="L257" s="131">
        <f>INDEX('Base de données Mono'!N:N,MATCH(B257,'Base de données Mono'!D:D,0))</f>
        <v>0.8125</v>
      </c>
      <c r="M257" s="33" t="s">
        <v>46</v>
      </c>
      <c r="N257" s="33">
        <f>IF(AND(E257="Electricité",M257="Hiver"),INDEX('Base de données Mono'!E:E,MATCH(B257,'Base de données Mono'!D:D,0)),IF(AND(E257="Electricité",M257="Mi-saison"),INDEX('Base de données Mono'!F:F,MATCH(B257,'Base de données Mono'!D:D,0)),IF(AND(E257="Electricité",M257="Eté"),INDEX('Base de données Mono'!G:G,MATCH(B257,'Base de données Mono'!D:D,0)),IF(AND(E257="Gaz",M257="Hiver"),INDEX('Base de données Mono'!J:J,MATCH(B257,'Base de données Mono'!D:D,0)),IF(AND(E257="Gaz",M257="Mi-saison"),INDEX('Base de données Mono'!#REF!,MATCH(B257,'Base de données Mono'!D:D,0)),IF(AND(E257="Gaz",M257="Eté"),INDEX('Base de données Mono'!#REF!,MATCH(B257,'Base de données Mono'!D:D,0)),"-"))))))</f>
        <v>40</v>
      </c>
      <c r="O257" s="123">
        <v>45387</v>
      </c>
      <c r="P257" s="123">
        <v>45389</v>
      </c>
      <c r="Q257" s="34">
        <v>55</v>
      </c>
      <c r="R257" s="33">
        <f t="shared" si="26"/>
        <v>15</v>
      </c>
      <c r="S257" s="34">
        <v>10</v>
      </c>
      <c r="T257" s="34">
        <f t="shared" si="27"/>
        <v>2</v>
      </c>
      <c r="U257" s="33">
        <f t="shared" si="28"/>
        <v>300</v>
      </c>
      <c r="V257" s="38" t="s">
        <v>827</v>
      </c>
      <c r="W257" s="39">
        <f t="shared" si="29"/>
        <v>0.375</v>
      </c>
      <c r="X257" s="40" t="s">
        <v>304</v>
      </c>
      <c r="Y257" s="40" t="s">
        <v>283</v>
      </c>
      <c r="Z257" s="40" t="s">
        <v>749</v>
      </c>
      <c r="AA257" s="33" t="s">
        <v>749</v>
      </c>
      <c r="AB257" s="95"/>
      <c r="AC257" s="95"/>
    </row>
    <row r="258" spans="1:29" ht="14.45" hidden="1" customHeight="1" x14ac:dyDescent="0.25">
      <c r="A258" s="36" t="str">
        <f>INDEX('Base de données Mono'!C:C,MATCH(B258,'Base de données Mono'!D:D,0))</f>
        <v>VICHY</v>
      </c>
      <c r="B258" t="s">
        <v>269</v>
      </c>
      <c r="C258" s="36" t="str">
        <f>INDEX('Base de données Mono'!B:B,MATCH(B258,'Base de données Mono'!D:D,0))</f>
        <v>Monoprix</v>
      </c>
      <c r="D258" s="36" t="str">
        <f>INDEX('Base de données Mono'!A:A,MATCH(B258,'Base de données Mono'!D:D,0))</f>
        <v>AD</v>
      </c>
      <c r="E258" s="37" t="s">
        <v>303</v>
      </c>
      <c r="F258" s="41">
        <f t="shared" si="24"/>
        <v>14</v>
      </c>
      <c r="G258" s="41">
        <f t="shared" si="25"/>
        <v>4</v>
      </c>
      <c r="H258">
        <v>9.5</v>
      </c>
      <c r="I258" s="131">
        <f>INDEX('Base de données Mono'!K:K,MATCH(B258,'Base de données Mono'!D:D,0))</f>
        <v>0.25</v>
      </c>
      <c r="J258" s="131">
        <f>INDEX('Base de données Mono'!L:L,MATCH(B258,'Base de données Mono'!D:D,0))</f>
        <v>0.85416666666666663</v>
      </c>
      <c r="K258" s="131">
        <f>INDEX('Base de données Mono'!M:M,MATCH(B258,'Base de données Mono'!D:D,0))</f>
        <v>0.30555555555555552</v>
      </c>
      <c r="L258" s="131">
        <f>INDEX('Base de données Mono'!N:N,MATCH(B258,'Base de données Mono'!D:D,0))</f>
        <v>0.8125</v>
      </c>
      <c r="M258" s="33" t="s">
        <v>46</v>
      </c>
      <c r="N258" s="33">
        <f>IF(AND(E258="Electricité",M258="Hiver"),INDEX('Base de données Mono'!E:E,MATCH(B258,'Base de données Mono'!D:D,0)),IF(AND(E258="Electricité",M258="Mi-saison"),INDEX('Base de données Mono'!F:F,MATCH(B258,'Base de données Mono'!D:D,0)),IF(AND(E258="Electricité",M258="Eté"),INDEX('Base de données Mono'!G:G,MATCH(B258,'Base de données Mono'!D:D,0)),IF(AND(E258="Gaz",M258="Hiver"),INDEX('Base de données Mono'!J:J,MATCH(B258,'Base de données Mono'!D:D,0)),IF(AND(E258="Gaz",M258="Mi-saison"),INDEX('Base de données Mono'!#REF!,MATCH(B258,'Base de données Mono'!D:D,0)),IF(AND(E258="Gaz",M258="Eté"),INDEX('Base de données Mono'!#REF!,MATCH(B258,'Base de données Mono'!D:D,0)),"-"))))))</f>
        <v>40</v>
      </c>
      <c r="O258" s="123">
        <v>45387</v>
      </c>
      <c r="P258" s="123">
        <v>45388</v>
      </c>
      <c r="Q258" s="34">
        <v>70</v>
      </c>
      <c r="R258" s="33">
        <f t="shared" si="26"/>
        <v>30</v>
      </c>
      <c r="S258" s="34">
        <v>1</v>
      </c>
      <c r="T258" s="34">
        <f t="shared" si="27"/>
        <v>1</v>
      </c>
      <c r="U258" s="33">
        <f t="shared" si="28"/>
        <v>30</v>
      </c>
      <c r="V258" s="38" t="s">
        <v>827</v>
      </c>
      <c r="W258" s="39">
        <f t="shared" si="29"/>
        <v>0.75</v>
      </c>
      <c r="X258" s="40" t="s">
        <v>304</v>
      </c>
      <c r="Y258" s="40" t="s">
        <v>283</v>
      </c>
      <c r="Z258" s="40" t="s">
        <v>749</v>
      </c>
      <c r="AA258" s="33" t="s">
        <v>749</v>
      </c>
      <c r="AB258" s="95"/>
      <c r="AC258" s="95"/>
    </row>
    <row r="259" spans="1:29" ht="14.45" hidden="1" customHeight="1" x14ac:dyDescent="0.25">
      <c r="A259" s="36" t="str">
        <f>INDEX('Base de données Mono'!C:C,MATCH(B259,'Base de données Mono'!D:D,0))</f>
        <v>BOIS COLOMBES</v>
      </c>
      <c r="B259" t="s">
        <v>346</v>
      </c>
      <c r="C259" s="36" t="str">
        <f>INDEX('Base de données Mono'!B:B,MATCH(B259,'Base de données Mono'!D:D,0))</f>
        <v>Monoprix</v>
      </c>
      <c r="D259" s="36" t="str">
        <f>INDEX('Base de données Mono'!A:A,MATCH(B259,'Base de données Mono'!D:D,0))</f>
        <v>AD</v>
      </c>
      <c r="E259" s="37" t="s">
        <v>303</v>
      </c>
      <c r="F259" s="41">
        <f t="shared" si="24"/>
        <v>14</v>
      </c>
      <c r="G259" s="41">
        <f t="shared" si="25"/>
        <v>4</v>
      </c>
      <c r="H259">
        <v>8.83</v>
      </c>
      <c r="I259" s="131">
        <f>INDEX('Base de données Mono'!K:K,MATCH(B259,'Base de données Mono'!D:D,0))</f>
        <v>0.20138888888888887</v>
      </c>
      <c r="J259" s="131">
        <f>INDEX('Base de données Mono'!L:L,MATCH(B259,'Base de données Mono'!D:D,0))</f>
        <v>0.83333333333333337</v>
      </c>
      <c r="K259" s="131">
        <f>INDEX('Base de données Mono'!M:M,MATCH(B259,'Base de données Mono'!D:D,0))</f>
        <v>0.29166666666666669</v>
      </c>
      <c r="L259" s="131">
        <f>INDEX('Base de données Mono'!N:N,MATCH(B259,'Base de données Mono'!D:D,0))</f>
        <v>0.79166666666666663</v>
      </c>
      <c r="M259" s="33" t="s">
        <v>46</v>
      </c>
      <c r="N259" s="33">
        <f>IF(AND(E259="Electricité",M259="Hiver"),INDEX('Base de données Mono'!E:E,MATCH(B259,'Base de données Mono'!D:D,0)),IF(AND(E259="Electricité",M259="Mi-saison"),INDEX('Base de données Mono'!F:F,MATCH(B259,'Base de données Mono'!D:D,0)),IF(AND(E259="Electricité",M259="Eté"),INDEX('Base de données Mono'!G:G,MATCH(B259,'Base de données Mono'!D:D,0)),IF(AND(E259="Gaz",M259="Hiver"),INDEX('Base de données Mono'!J:J,MATCH(B259,'Base de données Mono'!D:D,0)),IF(AND(E259="Gaz",M259="Mi-saison"),INDEX('Base de données Mono'!#REF!,MATCH(B259,'Base de données Mono'!D:D,0)),IF(AND(E259="Gaz",M259="Eté"),INDEX('Base de données Mono'!#REF!,MATCH(B259,'Base de données Mono'!D:D,0)),"-"))))))</f>
        <v>45</v>
      </c>
      <c r="O259" s="123">
        <v>45383</v>
      </c>
      <c r="P259" s="123">
        <v>45386</v>
      </c>
      <c r="Q259" s="34">
        <v>55</v>
      </c>
      <c r="R259" s="33">
        <f t="shared" si="26"/>
        <v>10</v>
      </c>
      <c r="S259" s="34">
        <v>3</v>
      </c>
      <c r="T259" s="34">
        <f t="shared" si="27"/>
        <v>3</v>
      </c>
      <c r="U259" s="33">
        <f t="shared" si="28"/>
        <v>90</v>
      </c>
      <c r="V259" s="38" t="s">
        <v>827</v>
      </c>
      <c r="W259" s="39">
        <f t="shared" si="29"/>
        <v>0.22222222222222221</v>
      </c>
      <c r="X259" s="40" t="s">
        <v>304</v>
      </c>
      <c r="Y259" s="40" t="s">
        <v>283</v>
      </c>
      <c r="Z259" s="40" t="s">
        <v>749</v>
      </c>
      <c r="AA259" s="33" t="s">
        <v>749</v>
      </c>
      <c r="AB259" s="95"/>
      <c r="AC259" s="95"/>
    </row>
    <row r="260" spans="1:29" ht="14.45" hidden="1" customHeight="1" x14ac:dyDescent="0.25">
      <c r="A260" s="36" t="str">
        <f>INDEX('Base de données Mono'!C:C,MATCH(B260,'Base de données Mono'!D:D,0))</f>
        <v>BOIS COLOMBES</v>
      </c>
      <c r="B260" t="s">
        <v>346</v>
      </c>
      <c r="C260" s="36" t="str">
        <f>INDEX('Base de données Mono'!B:B,MATCH(B260,'Base de données Mono'!D:D,0))</f>
        <v>Monoprix</v>
      </c>
      <c r="D260" s="36" t="str">
        <f>INDEX('Base de données Mono'!A:A,MATCH(B260,'Base de données Mono'!D:D,0))</f>
        <v>AD</v>
      </c>
      <c r="E260" s="37" t="s">
        <v>303</v>
      </c>
      <c r="F260" s="41">
        <f t="shared" si="24"/>
        <v>14</v>
      </c>
      <c r="G260" s="41">
        <f t="shared" si="25"/>
        <v>4</v>
      </c>
      <c r="H260">
        <v>8.83</v>
      </c>
      <c r="I260" s="131">
        <f>INDEX('Base de données Mono'!K:K,MATCH(B260,'Base de données Mono'!D:D,0))</f>
        <v>0.20138888888888887</v>
      </c>
      <c r="J260" s="131">
        <f>INDEX('Base de données Mono'!L:L,MATCH(B260,'Base de données Mono'!D:D,0))</f>
        <v>0.83333333333333337</v>
      </c>
      <c r="K260" s="131">
        <f>INDEX('Base de données Mono'!M:M,MATCH(B260,'Base de données Mono'!D:D,0))</f>
        <v>0.29166666666666669</v>
      </c>
      <c r="L260" s="131">
        <f>INDEX('Base de données Mono'!N:N,MATCH(B260,'Base de données Mono'!D:D,0))</f>
        <v>0.79166666666666663</v>
      </c>
      <c r="M260" s="33" t="s">
        <v>46</v>
      </c>
      <c r="N260" s="33">
        <f>IF(AND(E260="Electricité",M260="Hiver"),INDEX('Base de données Mono'!E:E,MATCH(B260,'Base de données Mono'!D:D,0)),IF(AND(E260="Electricité",M260="Mi-saison"),INDEX('Base de données Mono'!F:F,MATCH(B260,'Base de données Mono'!D:D,0)),IF(AND(E260="Electricité",M260="Eté"),INDEX('Base de données Mono'!G:G,MATCH(B260,'Base de données Mono'!D:D,0)),IF(AND(E260="Gaz",M260="Hiver"),INDEX('Base de données Mono'!J:J,MATCH(B260,'Base de données Mono'!D:D,0)),IF(AND(E260="Gaz",M260="Mi-saison"),INDEX('Base de données Mono'!#REF!,MATCH(B260,'Base de données Mono'!D:D,0)),IF(AND(E260="Gaz",M260="Eté"),INDEX('Base de données Mono'!#REF!,MATCH(B260,'Base de données Mono'!D:D,0)),"-"))))))</f>
        <v>45</v>
      </c>
      <c r="O260" s="123">
        <v>45387</v>
      </c>
      <c r="P260" s="123">
        <v>45388</v>
      </c>
      <c r="Q260" s="34">
        <v>50</v>
      </c>
      <c r="R260" s="33">
        <f t="shared" si="26"/>
        <v>5</v>
      </c>
      <c r="S260" s="34">
        <v>5</v>
      </c>
      <c r="T260" s="34">
        <f t="shared" si="27"/>
        <v>1</v>
      </c>
      <c r="U260" s="33">
        <f t="shared" si="28"/>
        <v>25</v>
      </c>
      <c r="V260" s="38" t="s">
        <v>827</v>
      </c>
      <c r="W260" s="39">
        <f t="shared" si="29"/>
        <v>0.1111111111111111</v>
      </c>
      <c r="X260" s="40" t="s">
        <v>304</v>
      </c>
      <c r="Y260" s="40" t="s">
        <v>283</v>
      </c>
      <c r="Z260" s="40" t="s">
        <v>749</v>
      </c>
      <c r="AA260" s="33" t="s">
        <v>749</v>
      </c>
      <c r="AB260" s="95"/>
      <c r="AC260" s="95"/>
    </row>
    <row r="261" spans="1:29" ht="14.45" hidden="1" customHeight="1" x14ac:dyDescent="0.25">
      <c r="A261" s="36" t="str">
        <f>INDEX('Base de données Mono'!C:C,MATCH(B261,'Base de données Mono'!D:D,0))</f>
        <v>BOIS COLOMBES</v>
      </c>
      <c r="B261" t="s">
        <v>346</v>
      </c>
      <c r="C261" s="36" t="str">
        <f>INDEX('Base de données Mono'!B:B,MATCH(B261,'Base de données Mono'!D:D,0))</f>
        <v>Monoprix</v>
      </c>
      <c r="D261" s="36" t="str">
        <f>INDEX('Base de données Mono'!A:A,MATCH(B261,'Base de données Mono'!D:D,0))</f>
        <v>AD</v>
      </c>
      <c r="E261" s="37" t="s">
        <v>303</v>
      </c>
      <c r="F261" s="41">
        <f t="shared" si="24"/>
        <v>14</v>
      </c>
      <c r="G261" s="41">
        <f t="shared" si="25"/>
        <v>4</v>
      </c>
      <c r="H261">
        <v>8.83</v>
      </c>
      <c r="I261" s="131">
        <f>INDEX('Base de données Mono'!K:K,MATCH(B261,'Base de données Mono'!D:D,0))</f>
        <v>0.20138888888888887</v>
      </c>
      <c r="J261" s="131">
        <f>INDEX('Base de données Mono'!L:L,MATCH(B261,'Base de données Mono'!D:D,0))</f>
        <v>0.83333333333333337</v>
      </c>
      <c r="K261" s="131">
        <f>INDEX('Base de données Mono'!M:M,MATCH(B261,'Base de données Mono'!D:D,0))</f>
        <v>0.29166666666666669</v>
      </c>
      <c r="L261" s="131">
        <f>INDEX('Base de données Mono'!N:N,MATCH(B261,'Base de données Mono'!D:D,0))</f>
        <v>0.79166666666666663</v>
      </c>
      <c r="M261" s="33" t="s">
        <v>46</v>
      </c>
      <c r="N261" s="33">
        <f>IF(AND(E261="Electricité",M261="Hiver"),INDEX('Base de données Mono'!E:E,MATCH(B261,'Base de données Mono'!D:D,0)),IF(AND(E261="Electricité",M261="Mi-saison"),INDEX('Base de données Mono'!F:F,MATCH(B261,'Base de données Mono'!D:D,0)),IF(AND(E261="Electricité",M261="Eté"),INDEX('Base de données Mono'!G:G,MATCH(B261,'Base de données Mono'!D:D,0)),IF(AND(E261="Gaz",M261="Hiver"),INDEX('Base de données Mono'!J:J,MATCH(B261,'Base de données Mono'!D:D,0)),IF(AND(E261="Gaz",M261="Mi-saison"),INDEX('Base de données Mono'!#REF!,MATCH(B261,'Base de données Mono'!D:D,0)),IF(AND(E261="Gaz",M261="Eté"),INDEX('Base de données Mono'!#REF!,MATCH(B261,'Base de données Mono'!D:D,0)),"-"))))))</f>
        <v>45</v>
      </c>
      <c r="O261" s="123">
        <v>45387</v>
      </c>
      <c r="P261" s="123">
        <v>45389</v>
      </c>
      <c r="Q261" s="34">
        <v>50</v>
      </c>
      <c r="R261" s="33">
        <f t="shared" si="26"/>
        <v>5</v>
      </c>
      <c r="S261" s="34">
        <v>2</v>
      </c>
      <c r="T261" s="34">
        <f t="shared" si="27"/>
        <v>2</v>
      </c>
      <c r="U261" s="33">
        <f t="shared" si="28"/>
        <v>20</v>
      </c>
      <c r="V261" s="38" t="s">
        <v>827</v>
      </c>
      <c r="W261" s="39">
        <f t="shared" si="29"/>
        <v>0.1111111111111111</v>
      </c>
      <c r="X261" s="40" t="s">
        <v>304</v>
      </c>
      <c r="Y261" s="40" t="s">
        <v>283</v>
      </c>
      <c r="Z261" s="40" t="s">
        <v>749</v>
      </c>
      <c r="AA261" s="33" t="s">
        <v>749</v>
      </c>
      <c r="AB261" s="95"/>
      <c r="AC261" s="95"/>
    </row>
    <row r="262" spans="1:29" ht="14.45" hidden="1" customHeight="1" x14ac:dyDescent="0.25">
      <c r="A262" s="36" t="str">
        <f>INDEX('Base de données Mono'!C:C,MATCH(B262,'Base de données Mono'!D:D,0))</f>
        <v>BOIS COLOMBES</v>
      </c>
      <c r="B262" t="s">
        <v>346</v>
      </c>
      <c r="C262" s="36" t="str">
        <f>INDEX('Base de données Mono'!B:B,MATCH(B262,'Base de données Mono'!D:D,0))</f>
        <v>Monoprix</v>
      </c>
      <c r="D262" s="36" t="str">
        <f>INDEX('Base de données Mono'!A:A,MATCH(B262,'Base de données Mono'!D:D,0))</f>
        <v>AD</v>
      </c>
      <c r="E262" s="37" t="s">
        <v>303</v>
      </c>
      <c r="F262" s="41">
        <f t="shared" si="24"/>
        <v>14</v>
      </c>
      <c r="G262" s="41">
        <f t="shared" si="25"/>
        <v>4</v>
      </c>
      <c r="H262">
        <v>8.83</v>
      </c>
      <c r="I262" s="131">
        <f>INDEX('Base de données Mono'!K:K,MATCH(B262,'Base de données Mono'!D:D,0))</f>
        <v>0.20138888888888887</v>
      </c>
      <c r="J262" s="131">
        <f>INDEX('Base de données Mono'!L:L,MATCH(B262,'Base de données Mono'!D:D,0))</f>
        <v>0.83333333333333337</v>
      </c>
      <c r="K262" s="131">
        <f>INDEX('Base de données Mono'!M:M,MATCH(B262,'Base de données Mono'!D:D,0))</f>
        <v>0.29166666666666669</v>
      </c>
      <c r="L262" s="131">
        <f>INDEX('Base de données Mono'!N:N,MATCH(B262,'Base de données Mono'!D:D,0))</f>
        <v>0.79166666666666663</v>
      </c>
      <c r="M262" s="33" t="s">
        <v>46</v>
      </c>
      <c r="N262" s="33">
        <f>IF(AND(E262="Electricité",M262="Hiver"),INDEX('Base de données Mono'!E:E,MATCH(B262,'Base de données Mono'!D:D,0)),IF(AND(E262="Electricité",M262="Mi-saison"),INDEX('Base de données Mono'!F:F,MATCH(B262,'Base de données Mono'!D:D,0)),IF(AND(E262="Electricité",M262="Eté"),INDEX('Base de données Mono'!G:G,MATCH(B262,'Base de données Mono'!D:D,0)),IF(AND(E262="Gaz",M262="Hiver"),INDEX('Base de données Mono'!J:J,MATCH(B262,'Base de données Mono'!D:D,0)),IF(AND(E262="Gaz",M262="Mi-saison"),INDEX('Base de données Mono'!#REF!,MATCH(B262,'Base de données Mono'!D:D,0)),IF(AND(E262="Gaz",M262="Eté"),INDEX('Base de données Mono'!#REF!,MATCH(B262,'Base de données Mono'!D:D,0)),"-"))))))</f>
        <v>45</v>
      </c>
      <c r="O262" s="123">
        <v>45387</v>
      </c>
      <c r="P262" s="123">
        <v>45388</v>
      </c>
      <c r="Q262" s="34">
        <v>75</v>
      </c>
      <c r="R262" s="33">
        <f t="shared" si="26"/>
        <v>30</v>
      </c>
      <c r="S262" s="34">
        <v>1</v>
      </c>
      <c r="T262" s="34">
        <f t="shared" si="27"/>
        <v>1</v>
      </c>
      <c r="U262" s="33">
        <f t="shared" si="28"/>
        <v>30</v>
      </c>
      <c r="V262" s="38" t="s">
        <v>827</v>
      </c>
      <c r="W262" s="39">
        <f t="shared" si="29"/>
        <v>0.66666666666666663</v>
      </c>
      <c r="X262" s="40" t="s">
        <v>304</v>
      </c>
      <c r="Y262" s="40" t="s">
        <v>283</v>
      </c>
      <c r="Z262" s="40" t="s">
        <v>749</v>
      </c>
      <c r="AA262" s="33" t="s">
        <v>749</v>
      </c>
      <c r="AB262" s="95"/>
      <c r="AC262" s="95"/>
    </row>
    <row r="263" spans="1:29" ht="14.45" hidden="1" customHeight="1" x14ac:dyDescent="0.25">
      <c r="A263" s="36" t="str">
        <f>INDEX('Base de données Mono'!C:C,MATCH(B263,'Base de données Mono'!D:D,0))</f>
        <v>BOIS COLOMBES</v>
      </c>
      <c r="B263" t="s">
        <v>346</v>
      </c>
      <c r="C263" s="36" t="str">
        <f>INDEX('Base de données Mono'!B:B,MATCH(B263,'Base de données Mono'!D:D,0))</f>
        <v>Monoprix</v>
      </c>
      <c r="D263" s="36" t="str">
        <f>INDEX('Base de données Mono'!A:A,MATCH(B263,'Base de données Mono'!D:D,0))</f>
        <v>AD</v>
      </c>
      <c r="E263" s="37" t="s">
        <v>303</v>
      </c>
      <c r="F263" s="41">
        <f t="shared" si="24"/>
        <v>14</v>
      </c>
      <c r="G263" s="41">
        <f t="shared" si="25"/>
        <v>4</v>
      </c>
      <c r="H263">
        <v>8.83</v>
      </c>
      <c r="I263" s="131">
        <f>INDEX('Base de données Mono'!K:K,MATCH(B263,'Base de données Mono'!D:D,0))</f>
        <v>0.20138888888888887</v>
      </c>
      <c r="J263" s="131">
        <f>INDEX('Base de données Mono'!L:L,MATCH(B263,'Base de données Mono'!D:D,0))</f>
        <v>0.83333333333333337</v>
      </c>
      <c r="K263" s="131">
        <f>INDEX('Base de données Mono'!M:M,MATCH(B263,'Base de données Mono'!D:D,0))</f>
        <v>0.29166666666666669</v>
      </c>
      <c r="L263" s="131">
        <f>INDEX('Base de données Mono'!N:N,MATCH(B263,'Base de données Mono'!D:D,0))</f>
        <v>0.79166666666666663</v>
      </c>
      <c r="M263" s="33" t="s">
        <v>46</v>
      </c>
      <c r="N263" s="33">
        <f>IF(AND(E263="Electricité",M263="Hiver"),INDEX('Base de données Mono'!E:E,MATCH(B263,'Base de données Mono'!D:D,0)),IF(AND(E263="Electricité",M263="Mi-saison"),INDEX('Base de données Mono'!F:F,MATCH(B263,'Base de données Mono'!D:D,0)),IF(AND(E263="Electricité",M263="Eté"),INDEX('Base de données Mono'!G:G,MATCH(B263,'Base de données Mono'!D:D,0)),IF(AND(E263="Gaz",M263="Hiver"),INDEX('Base de données Mono'!J:J,MATCH(B263,'Base de données Mono'!D:D,0)),IF(AND(E263="Gaz",M263="Mi-saison"),INDEX('Base de données Mono'!#REF!,MATCH(B263,'Base de données Mono'!D:D,0)),IF(AND(E263="Gaz",M263="Eté"),INDEX('Base de données Mono'!#REF!,MATCH(B263,'Base de données Mono'!D:D,0)),"-"))))))</f>
        <v>45</v>
      </c>
      <c r="O263" s="123">
        <v>45388</v>
      </c>
      <c r="P263" s="123">
        <v>45389</v>
      </c>
      <c r="Q263" s="34">
        <v>50</v>
      </c>
      <c r="R263" s="33">
        <f t="shared" si="26"/>
        <v>5</v>
      </c>
      <c r="S263" s="34">
        <v>5</v>
      </c>
      <c r="T263" s="34">
        <f t="shared" si="27"/>
        <v>1</v>
      </c>
      <c r="U263" s="33">
        <f t="shared" si="28"/>
        <v>25</v>
      </c>
      <c r="V263" s="38" t="s">
        <v>827</v>
      </c>
      <c r="W263" s="39">
        <f t="shared" si="29"/>
        <v>0.1111111111111111</v>
      </c>
      <c r="X263" s="40" t="s">
        <v>304</v>
      </c>
      <c r="Y263" s="40" t="s">
        <v>283</v>
      </c>
      <c r="Z263" s="40" t="s">
        <v>749</v>
      </c>
      <c r="AA263" s="33" t="s">
        <v>749</v>
      </c>
      <c r="AB263" s="95"/>
      <c r="AC263" s="95"/>
    </row>
    <row r="264" spans="1:29" ht="14.45" hidden="1" customHeight="1" x14ac:dyDescent="0.25">
      <c r="A264" s="36" t="str">
        <f>INDEX('Base de données Mono'!C:C,MATCH(B264,'Base de données Mono'!D:D,0))</f>
        <v>CHAMPIGNY</v>
      </c>
      <c r="B264" t="s">
        <v>101</v>
      </c>
      <c r="C264" s="36" t="str">
        <f>INDEX('Base de données Mono'!B:B,MATCH(B264,'Base de données Mono'!D:D,0))</f>
        <v>Monoprix</v>
      </c>
      <c r="D264" s="36" t="str">
        <f>INDEX('Base de données Mono'!A:A,MATCH(B264,'Base de données Mono'!D:D,0))</f>
        <v>JG</v>
      </c>
      <c r="E264" s="37" t="s">
        <v>303</v>
      </c>
      <c r="F264" s="41">
        <f t="shared" si="24"/>
        <v>14</v>
      </c>
      <c r="G264" s="41">
        <f t="shared" si="25"/>
        <v>4</v>
      </c>
      <c r="H264">
        <v>10</v>
      </c>
      <c r="I264" s="131">
        <f>INDEX('Base de données Mono'!K:K,MATCH(B264,'Base de données Mono'!D:D,0))</f>
        <v>0.25</v>
      </c>
      <c r="J264" s="131">
        <f>INDEX('Base de données Mono'!L:L,MATCH(B264,'Base de données Mono'!D:D,0))</f>
        <v>0.83333333333333304</v>
      </c>
      <c r="K264" s="131">
        <f>INDEX('Base de données Mono'!M:M,MATCH(B264,'Base de données Mono'!D:D,0))</f>
        <v>0.375</v>
      </c>
      <c r="L264" s="131">
        <f>INDEX('Base de données Mono'!N:N,MATCH(B264,'Base de données Mono'!D:D,0))</f>
        <v>0.54166666666666696</v>
      </c>
      <c r="M264" s="33" t="s">
        <v>46</v>
      </c>
      <c r="N264" s="33">
        <f>IF(AND(E264="Electricité",M264="Hiver"),INDEX('Base de données Mono'!E:E,MATCH(B264,'Base de données Mono'!D:D,0)),IF(AND(E264="Electricité",M264="Mi-saison"),INDEX('Base de données Mono'!F:F,MATCH(B264,'Base de données Mono'!D:D,0)),IF(AND(E264="Electricité",M264="Eté"),INDEX('Base de données Mono'!G:G,MATCH(B264,'Base de données Mono'!D:D,0)),IF(AND(E264="Gaz",M264="Hiver"),INDEX('Base de données Mono'!J:J,MATCH(B264,'Base de données Mono'!D:D,0)),IF(AND(E264="Gaz",M264="Mi-saison"),INDEX('Base de données Mono'!#REF!,MATCH(B264,'Base de données Mono'!D:D,0)),IF(AND(E264="Gaz",M264="Eté"),INDEX('Base de données Mono'!#REF!,MATCH(B264,'Base de données Mono'!D:D,0)),"-"))))))</f>
        <v>25</v>
      </c>
      <c r="O264" s="123">
        <v>45383</v>
      </c>
      <c r="P264" s="123">
        <v>45388</v>
      </c>
      <c r="Q264" s="34">
        <v>40</v>
      </c>
      <c r="R264" s="33">
        <f t="shared" si="26"/>
        <v>15</v>
      </c>
      <c r="S264" s="34">
        <v>1</v>
      </c>
      <c r="T264" s="34">
        <f t="shared" si="27"/>
        <v>5</v>
      </c>
      <c r="U264" s="33">
        <f t="shared" si="28"/>
        <v>75</v>
      </c>
      <c r="V264" s="38" t="s">
        <v>827</v>
      </c>
      <c r="W264" s="39">
        <f t="shared" si="29"/>
        <v>0.6</v>
      </c>
      <c r="X264" s="40" t="s">
        <v>304</v>
      </c>
      <c r="Y264" s="40" t="s">
        <v>283</v>
      </c>
      <c r="Z264" s="40" t="s">
        <v>749</v>
      </c>
      <c r="AA264" s="33" t="s">
        <v>749</v>
      </c>
      <c r="AB264" s="95"/>
      <c r="AC264" s="95"/>
    </row>
    <row r="265" spans="1:29" ht="14.45" hidden="1" customHeight="1" x14ac:dyDescent="0.25">
      <c r="A265" s="36" t="str">
        <f>INDEX('Base de données Mono'!C:C,MATCH(B265,'Base de données Mono'!D:D,0))</f>
        <v>CHAMPIGNY</v>
      </c>
      <c r="B265" t="s">
        <v>101</v>
      </c>
      <c r="C265" s="36" t="str">
        <f>INDEX('Base de données Mono'!B:B,MATCH(B265,'Base de données Mono'!D:D,0))</f>
        <v>Monoprix</v>
      </c>
      <c r="D265" s="36" t="str">
        <f>INDEX('Base de données Mono'!A:A,MATCH(B265,'Base de données Mono'!D:D,0))</f>
        <v>JG</v>
      </c>
      <c r="E265" s="37" t="s">
        <v>303</v>
      </c>
      <c r="F265" s="41">
        <f t="shared" si="24"/>
        <v>14</v>
      </c>
      <c r="G265" s="41">
        <f t="shared" si="25"/>
        <v>4</v>
      </c>
      <c r="H265">
        <v>10</v>
      </c>
      <c r="I265" s="131">
        <f>INDEX('Base de données Mono'!K:K,MATCH(B265,'Base de données Mono'!D:D,0))</f>
        <v>0.25</v>
      </c>
      <c r="J265" s="131">
        <f>INDEX('Base de données Mono'!L:L,MATCH(B265,'Base de données Mono'!D:D,0))</f>
        <v>0.83333333333333304</v>
      </c>
      <c r="K265" s="131">
        <f>INDEX('Base de données Mono'!M:M,MATCH(B265,'Base de données Mono'!D:D,0))</f>
        <v>0.375</v>
      </c>
      <c r="L265" s="131">
        <f>INDEX('Base de données Mono'!N:N,MATCH(B265,'Base de données Mono'!D:D,0))</f>
        <v>0.54166666666666696</v>
      </c>
      <c r="M265" s="33" t="s">
        <v>46</v>
      </c>
      <c r="N265" s="33">
        <f>IF(AND(E265="Electricité",M265="Hiver"),INDEX('Base de données Mono'!E:E,MATCH(B265,'Base de données Mono'!D:D,0)),IF(AND(E265="Electricité",M265="Mi-saison"),INDEX('Base de données Mono'!F:F,MATCH(B265,'Base de données Mono'!D:D,0)),IF(AND(E265="Electricité",M265="Eté"),INDEX('Base de données Mono'!G:G,MATCH(B265,'Base de données Mono'!D:D,0)),IF(AND(E265="Gaz",M265="Hiver"),INDEX('Base de données Mono'!J:J,MATCH(B265,'Base de données Mono'!D:D,0)),IF(AND(E265="Gaz",M265="Mi-saison"),INDEX('Base de données Mono'!#REF!,MATCH(B265,'Base de données Mono'!D:D,0)),IF(AND(E265="Gaz",M265="Eté"),INDEX('Base de données Mono'!#REF!,MATCH(B265,'Base de données Mono'!D:D,0)),"-"))))))</f>
        <v>25</v>
      </c>
      <c r="O265" s="123">
        <v>45388</v>
      </c>
      <c r="P265" s="123">
        <v>45389</v>
      </c>
      <c r="Q265" s="34">
        <v>30</v>
      </c>
      <c r="R265" s="33">
        <f t="shared" si="26"/>
        <v>5</v>
      </c>
      <c r="S265" s="34">
        <v>1</v>
      </c>
      <c r="T265" s="34">
        <f t="shared" si="27"/>
        <v>1</v>
      </c>
      <c r="U265" s="33">
        <f t="shared" si="28"/>
        <v>5</v>
      </c>
      <c r="V265" s="38" t="s">
        <v>827</v>
      </c>
      <c r="W265" s="39">
        <f t="shared" si="29"/>
        <v>0.2</v>
      </c>
      <c r="X265" s="40" t="s">
        <v>304</v>
      </c>
      <c r="Y265" s="40" t="s">
        <v>283</v>
      </c>
      <c r="Z265" s="40" t="s">
        <v>749</v>
      </c>
      <c r="AA265" s="33" t="s">
        <v>749</v>
      </c>
      <c r="AB265" s="95"/>
      <c r="AC265" s="95"/>
    </row>
    <row r="266" spans="1:29" ht="14.45" hidden="1" customHeight="1" x14ac:dyDescent="0.25">
      <c r="A266" s="36" t="str">
        <f>INDEX('Base de données Mono'!C:C,MATCH(B266,'Base de données Mono'!D:D,0))</f>
        <v>Suresnes    </v>
      </c>
      <c r="B266" t="s">
        <v>394</v>
      </c>
      <c r="C266" s="36" t="str">
        <f>INDEX('Base de données Mono'!B:B,MATCH(B266,'Base de données Mono'!D:D,0))</f>
        <v>Monoprix</v>
      </c>
      <c r="D266" s="36" t="str">
        <f>INDEX('Base de données Mono'!A:A,MATCH(B266,'Base de données Mono'!D:D,0))</f>
        <v>JG</v>
      </c>
      <c r="E266" s="37" t="s">
        <v>303</v>
      </c>
      <c r="F266" s="41">
        <f t="shared" si="24"/>
        <v>14</v>
      </c>
      <c r="G266" s="41">
        <f t="shared" si="25"/>
        <v>4</v>
      </c>
      <c r="H266">
        <v>8.5</v>
      </c>
      <c r="I266" s="131">
        <f>INDEX('Base de données Mono'!K:K,MATCH(B266,'Base de données Mono'!D:D,0))</f>
        <v>0.25</v>
      </c>
      <c r="J266" s="131">
        <f>INDEX('Base de données Mono'!L:L,MATCH(B266,'Base de données Mono'!D:D,0))</f>
        <v>0.89583333333333337</v>
      </c>
      <c r="K266" s="131">
        <f>INDEX('Base de données Mono'!M:M,MATCH(B266,'Base de données Mono'!D:D,0))</f>
        <v>0.29166666666666669</v>
      </c>
      <c r="L266" s="131">
        <f>INDEX('Base de données Mono'!N:N,MATCH(B266,'Base de données Mono'!D:D,0))</f>
        <v>0.5625</v>
      </c>
      <c r="M266" s="33" t="s">
        <v>46</v>
      </c>
      <c r="N266" s="33">
        <f>IF(AND(E266="Electricité",M266="Hiver"),INDEX('Base de données Mono'!E:E,MATCH(B266,'Base de données Mono'!D:D,0)),IF(AND(E266="Electricité",M266="Mi-saison"),INDEX('Base de données Mono'!F:F,MATCH(B266,'Base de données Mono'!D:D,0)),IF(AND(E266="Electricité",M266="Eté"),INDEX('Base de données Mono'!G:G,MATCH(B266,'Base de données Mono'!D:D,0)),IF(AND(E266="Gaz",M266="Hiver"),INDEX('Base de données Mono'!J:J,MATCH(B266,'Base de données Mono'!D:D,0)),IF(AND(E266="Gaz",M266="Mi-saison"),INDEX('Base de données Mono'!#REF!,MATCH(B266,'Base de données Mono'!D:D,0)),IF(AND(E266="Gaz",M266="Eté"),INDEX('Base de données Mono'!#REF!,MATCH(B266,'Base de données Mono'!D:D,0)),"-"))))))</f>
        <v>25</v>
      </c>
      <c r="O266" s="123">
        <v>45383</v>
      </c>
      <c r="P266" s="123">
        <v>45388</v>
      </c>
      <c r="Q266" s="34">
        <v>50</v>
      </c>
      <c r="R266" s="33">
        <f t="shared" si="26"/>
        <v>25</v>
      </c>
      <c r="S266" s="34">
        <v>1</v>
      </c>
      <c r="T266" s="34">
        <f t="shared" si="27"/>
        <v>5</v>
      </c>
      <c r="U266" s="33">
        <f t="shared" si="28"/>
        <v>125</v>
      </c>
      <c r="V266" s="38" t="s">
        <v>827</v>
      </c>
      <c r="W266" s="39">
        <f t="shared" si="29"/>
        <v>1</v>
      </c>
      <c r="X266" s="40" t="s">
        <v>304</v>
      </c>
      <c r="Y266" s="40" t="s">
        <v>283</v>
      </c>
      <c r="Z266" s="40" t="s">
        <v>749</v>
      </c>
      <c r="AA266" s="33" t="s">
        <v>749</v>
      </c>
      <c r="AB266" s="95"/>
      <c r="AC266" s="95"/>
    </row>
    <row r="267" spans="1:29" ht="14.45" hidden="1" customHeight="1" x14ac:dyDescent="0.25">
      <c r="A267" s="36" t="str">
        <f>INDEX('Base de données Mono'!C:C,MATCH(B267,'Base de données Mono'!D:D,0))</f>
        <v>Suresnes    </v>
      </c>
      <c r="B267" t="s">
        <v>394</v>
      </c>
      <c r="C267" s="36" t="str">
        <f>INDEX('Base de données Mono'!B:B,MATCH(B267,'Base de données Mono'!D:D,0))</f>
        <v>Monoprix</v>
      </c>
      <c r="D267" s="36" t="str">
        <f>INDEX('Base de données Mono'!A:A,MATCH(B267,'Base de données Mono'!D:D,0))</f>
        <v>JG</v>
      </c>
      <c r="E267" s="37" t="s">
        <v>303</v>
      </c>
      <c r="F267" s="41">
        <f t="shared" si="24"/>
        <v>14</v>
      </c>
      <c r="G267" s="41">
        <f t="shared" si="25"/>
        <v>4</v>
      </c>
      <c r="H267">
        <v>8.5</v>
      </c>
      <c r="I267" s="131">
        <f>INDEX('Base de données Mono'!K:K,MATCH(B267,'Base de données Mono'!D:D,0))</f>
        <v>0.25</v>
      </c>
      <c r="J267" s="131">
        <f>INDEX('Base de données Mono'!L:L,MATCH(B267,'Base de données Mono'!D:D,0))</f>
        <v>0.89583333333333337</v>
      </c>
      <c r="K267" s="131">
        <f>INDEX('Base de données Mono'!M:M,MATCH(B267,'Base de données Mono'!D:D,0))</f>
        <v>0.29166666666666669</v>
      </c>
      <c r="L267" s="131">
        <f>INDEX('Base de données Mono'!N:N,MATCH(B267,'Base de données Mono'!D:D,0))</f>
        <v>0.5625</v>
      </c>
      <c r="M267" s="33" t="s">
        <v>46</v>
      </c>
      <c r="N267" s="33">
        <f>IF(AND(E267="Electricité",M267="Hiver"),INDEX('Base de données Mono'!E:E,MATCH(B267,'Base de données Mono'!D:D,0)),IF(AND(E267="Electricité",M267="Mi-saison"),INDEX('Base de données Mono'!F:F,MATCH(B267,'Base de données Mono'!D:D,0)),IF(AND(E267="Electricité",M267="Eté"),INDEX('Base de données Mono'!G:G,MATCH(B267,'Base de données Mono'!D:D,0)),IF(AND(E267="Gaz",M267="Hiver"),INDEX('Base de données Mono'!J:J,MATCH(B267,'Base de données Mono'!D:D,0)),IF(AND(E267="Gaz",M267="Mi-saison"),INDEX('Base de données Mono'!#REF!,MATCH(B267,'Base de données Mono'!D:D,0)),IF(AND(E267="Gaz",M267="Eté"),INDEX('Base de données Mono'!#REF!,MATCH(B267,'Base de données Mono'!D:D,0)),"-"))))))</f>
        <v>25</v>
      </c>
      <c r="O267" s="123">
        <v>45388</v>
      </c>
      <c r="P267" s="123">
        <v>45389</v>
      </c>
      <c r="Q267" s="34">
        <v>35</v>
      </c>
      <c r="R267" s="33">
        <f t="shared" si="26"/>
        <v>10</v>
      </c>
      <c r="S267" s="34">
        <v>1</v>
      </c>
      <c r="T267" s="34">
        <f t="shared" si="27"/>
        <v>1</v>
      </c>
      <c r="U267" s="33">
        <f t="shared" si="28"/>
        <v>10</v>
      </c>
      <c r="V267" s="38" t="s">
        <v>827</v>
      </c>
      <c r="W267" s="39">
        <f t="shared" si="29"/>
        <v>0.4</v>
      </c>
      <c r="X267" s="40" t="s">
        <v>304</v>
      </c>
      <c r="Y267" s="40" t="s">
        <v>283</v>
      </c>
      <c r="Z267" s="40" t="s">
        <v>749</v>
      </c>
      <c r="AA267" s="33" t="s">
        <v>749</v>
      </c>
      <c r="AB267" s="95"/>
      <c r="AC267" s="95"/>
    </row>
    <row r="268" spans="1:29" ht="14.45" hidden="1" customHeight="1" x14ac:dyDescent="0.25">
      <c r="A268" s="36" t="str">
        <f>INDEX('Base de données Mono'!C:C,MATCH(B268,'Base de données Mono'!D:D,0))</f>
        <v>AUBERVILLIERS</v>
      </c>
      <c r="B268" t="s">
        <v>370</v>
      </c>
      <c r="C268" s="36" t="str">
        <f>INDEX('Base de données Mono'!B:B,MATCH(B268,'Base de données Mono'!D:D,0))</f>
        <v>Monoprix</v>
      </c>
      <c r="D268" s="36" t="str">
        <f>INDEX('Base de données Mono'!A:A,MATCH(B268,'Base de données Mono'!D:D,0))</f>
        <v>JG</v>
      </c>
      <c r="E268" s="37" t="s">
        <v>303</v>
      </c>
      <c r="F268" s="41">
        <f t="shared" si="24"/>
        <v>14</v>
      </c>
      <c r="G268" s="41">
        <f t="shared" si="25"/>
        <v>4</v>
      </c>
      <c r="H268">
        <v>9</v>
      </c>
      <c r="I268" s="131">
        <f>INDEX('Base de données Mono'!K:K,MATCH(B268,'Base de données Mono'!D:D,0))</f>
        <v>0.22916666666666666</v>
      </c>
      <c r="J268" s="131">
        <f>INDEX('Base de données Mono'!L:L,MATCH(B268,'Base de données Mono'!D:D,0))</f>
        <v>0.85416666666666663</v>
      </c>
      <c r="K268" s="131">
        <f>INDEX('Base de données Mono'!M:M,MATCH(B268,'Base de données Mono'!D:D,0))</f>
        <v>0.32291666666666669</v>
      </c>
      <c r="L268" s="131">
        <f>INDEX('Base de données Mono'!N:N,MATCH(B268,'Base de données Mono'!D:D,0))</f>
        <v>0.55555555555555558</v>
      </c>
      <c r="M268" s="33" t="s">
        <v>46</v>
      </c>
      <c r="N268" s="33">
        <f>IF(AND(E268="Electricité",M268="Hiver"),INDEX('Base de données Mono'!E:E,MATCH(B268,'Base de données Mono'!D:D,0)),IF(AND(E268="Electricité",M268="Mi-saison"),INDEX('Base de données Mono'!F:F,MATCH(B268,'Base de données Mono'!D:D,0)),IF(AND(E268="Electricité",M268="Eté"),INDEX('Base de données Mono'!G:G,MATCH(B268,'Base de données Mono'!D:D,0)),IF(AND(E268="Gaz",M268="Hiver"),INDEX('Base de données Mono'!J:J,MATCH(B268,'Base de données Mono'!D:D,0)),IF(AND(E268="Gaz",M268="Mi-saison"),INDEX('Base de données Mono'!#REF!,MATCH(B268,'Base de données Mono'!D:D,0)),IF(AND(E268="Gaz",M268="Eté"),INDEX('Base de données Mono'!#REF!,MATCH(B268,'Base de données Mono'!D:D,0)),"-"))))))</f>
        <v>35</v>
      </c>
      <c r="O268" s="123">
        <v>45383</v>
      </c>
      <c r="P268" s="123">
        <v>45385</v>
      </c>
      <c r="Q268" s="34">
        <v>55</v>
      </c>
      <c r="R268" s="33">
        <f t="shared" si="26"/>
        <v>20</v>
      </c>
      <c r="S268" s="34">
        <v>1</v>
      </c>
      <c r="T268" s="34">
        <f t="shared" si="27"/>
        <v>2</v>
      </c>
      <c r="U268" s="33">
        <f t="shared" si="28"/>
        <v>40</v>
      </c>
      <c r="V268" s="38" t="s">
        <v>827</v>
      </c>
      <c r="W268" s="39">
        <f t="shared" si="29"/>
        <v>0.5714285714285714</v>
      </c>
      <c r="X268" s="40" t="s">
        <v>304</v>
      </c>
      <c r="Y268" s="40" t="s">
        <v>283</v>
      </c>
      <c r="Z268" s="40" t="s">
        <v>749</v>
      </c>
      <c r="AA268" s="33" t="s">
        <v>749</v>
      </c>
      <c r="AB268" s="95"/>
      <c r="AC268" s="95"/>
    </row>
    <row r="269" spans="1:29" ht="14.45" hidden="1" customHeight="1" x14ac:dyDescent="0.25">
      <c r="A269" s="36" t="str">
        <f>INDEX('Base de données Mono'!C:C,MATCH(B269,'Base de données Mono'!D:D,0))</f>
        <v>AUBERVILLIERS</v>
      </c>
      <c r="B269" t="s">
        <v>370</v>
      </c>
      <c r="C269" s="36" t="str">
        <f>INDEX('Base de données Mono'!B:B,MATCH(B269,'Base de données Mono'!D:D,0))</f>
        <v>Monoprix</v>
      </c>
      <c r="D269" s="36" t="str">
        <f>INDEX('Base de données Mono'!A:A,MATCH(B269,'Base de données Mono'!D:D,0))</f>
        <v>JG</v>
      </c>
      <c r="E269" s="37" t="s">
        <v>303</v>
      </c>
      <c r="F269" s="41">
        <f t="shared" si="24"/>
        <v>14</v>
      </c>
      <c r="G269" s="41">
        <f t="shared" si="25"/>
        <v>4</v>
      </c>
      <c r="H269">
        <v>9</v>
      </c>
      <c r="I269" s="131">
        <f>INDEX('Base de données Mono'!K:K,MATCH(B269,'Base de données Mono'!D:D,0))</f>
        <v>0.22916666666666666</v>
      </c>
      <c r="J269" s="131">
        <f>INDEX('Base de données Mono'!L:L,MATCH(B269,'Base de données Mono'!D:D,0))</f>
        <v>0.85416666666666663</v>
      </c>
      <c r="K269" s="131">
        <f>INDEX('Base de données Mono'!M:M,MATCH(B269,'Base de données Mono'!D:D,0))</f>
        <v>0.32291666666666669</v>
      </c>
      <c r="L269" s="131">
        <f>INDEX('Base de données Mono'!N:N,MATCH(B269,'Base de données Mono'!D:D,0))</f>
        <v>0.55555555555555558</v>
      </c>
      <c r="M269" s="33" t="s">
        <v>46</v>
      </c>
      <c r="N269" s="33">
        <f>IF(AND(E269="Electricité",M269="Hiver"),INDEX('Base de données Mono'!E:E,MATCH(B269,'Base de données Mono'!D:D,0)),IF(AND(E269="Electricité",M269="Mi-saison"),INDEX('Base de données Mono'!F:F,MATCH(B269,'Base de données Mono'!D:D,0)),IF(AND(E269="Electricité",M269="Eté"),INDEX('Base de données Mono'!G:G,MATCH(B269,'Base de données Mono'!D:D,0)),IF(AND(E269="Gaz",M269="Hiver"),INDEX('Base de données Mono'!J:J,MATCH(B269,'Base de données Mono'!D:D,0)),IF(AND(E269="Gaz",M269="Mi-saison"),INDEX('Base de données Mono'!#REF!,MATCH(B269,'Base de données Mono'!D:D,0)),IF(AND(E269="Gaz",M269="Eté"),INDEX('Base de données Mono'!#REF!,MATCH(B269,'Base de données Mono'!D:D,0)),"-"))))))</f>
        <v>35</v>
      </c>
      <c r="O269" s="123">
        <v>45384</v>
      </c>
      <c r="P269" s="123">
        <v>45386</v>
      </c>
      <c r="Q269" s="34">
        <v>40</v>
      </c>
      <c r="R269" s="33">
        <f t="shared" si="26"/>
        <v>5</v>
      </c>
      <c r="S269" s="34">
        <v>2</v>
      </c>
      <c r="T269" s="34">
        <f t="shared" si="27"/>
        <v>2</v>
      </c>
      <c r="U269" s="33">
        <f t="shared" si="28"/>
        <v>20</v>
      </c>
      <c r="V269" s="38" t="s">
        <v>827</v>
      </c>
      <c r="W269" s="39">
        <f t="shared" si="29"/>
        <v>0.14285714285714285</v>
      </c>
      <c r="X269" s="40" t="s">
        <v>304</v>
      </c>
      <c r="Y269" s="40" t="s">
        <v>283</v>
      </c>
      <c r="Z269" s="40" t="s">
        <v>749</v>
      </c>
      <c r="AA269" s="33" t="s">
        <v>749</v>
      </c>
      <c r="AB269" s="95"/>
      <c r="AC269" s="95"/>
    </row>
    <row r="270" spans="1:29" ht="14.45" hidden="1" customHeight="1" x14ac:dyDescent="0.25">
      <c r="A270" s="36" t="str">
        <f>INDEX('Base de données Mono'!C:C,MATCH(B270,'Base de données Mono'!D:D,0))</f>
        <v>AUBERVILLIERS</v>
      </c>
      <c r="B270" t="s">
        <v>370</v>
      </c>
      <c r="C270" s="36" t="str">
        <f>INDEX('Base de données Mono'!B:B,MATCH(B270,'Base de données Mono'!D:D,0))</f>
        <v>Monoprix</v>
      </c>
      <c r="D270" s="36" t="str">
        <f>INDEX('Base de données Mono'!A:A,MATCH(B270,'Base de données Mono'!D:D,0))</f>
        <v>JG</v>
      </c>
      <c r="E270" s="37" t="s">
        <v>303</v>
      </c>
      <c r="F270" s="41">
        <f t="shared" si="24"/>
        <v>14</v>
      </c>
      <c r="G270" s="41">
        <f t="shared" si="25"/>
        <v>4</v>
      </c>
      <c r="H270">
        <v>9</v>
      </c>
      <c r="I270" s="131">
        <f>INDEX('Base de données Mono'!K:K,MATCH(B270,'Base de données Mono'!D:D,0))</f>
        <v>0.22916666666666666</v>
      </c>
      <c r="J270" s="131">
        <f>INDEX('Base de données Mono'!L:L,MATCH(B270,'Base de données Mono'!D:D,0))</f>
        <v>0.85416666666666663</v>
      </c>
      <c r="K270" s="131">
        <f>INDEX('Base de données Mono'!M:M,MATCH(B270,'Base de données Mono'!D:D,0))</f>
        <v>0.32291666666666669</v>
      </c>
      <c r="L270" s="131">
        <f>INDEX('Base de données Mono'!N:N,MATCH(B270,'Base de données Mono'!D:D,0))</f>
        <v>0.55555555555555558</v>
      </c>
      <c r="M270" s="33" t="s">
        <v>46</v>
      </c>
      <c r="N270" s="33">
        <f>IF(AND(E270="Electricité",M270="Hiver"),INDEX('Base de données Mono'!E:E,MATCH(B270,'Base de données Mono'!D:D,0)),IF(AND(E270="Electricité",M270="Mi-saison"),INDEX('Base de données Mono'!F:F,MATCH(B270,'Base de données Mono'!D:D,0)),IF(AND(E270="Electricité",M270="Eté"),INDEX('Base de données Mono'!G:G,MATCH(B270,'Base de données Mono'!D:D,0)),IF(AND(E270="Gaz",M270="Hiver"),INDEX('Base de données Mono'!J:J,MATCH(B270,'Base de données Mono'!D:D,0)),IF(AND(E270="Gaz",M270="Mi-saison"),INDEX('Base de données Mono'!#REF!,MATCH(B270,'Base de données Mono'!D:D,0)),IF(AND(E270="Gaz",M270="Eté"),INDEX('Base de données Mono'!#REF!,MATCH(B270,'Base de données Mono'!D:D,0)),"-"))))))</f>
        <v>35</v>
      </c>
      <c r="O270" s="123">
        <v>45385</v>
      </c>
      <c r="P270" s="123">
        <v>45386</v>
      </c>
      <c r="Q270" s="34">
        <v>50</v>
      </c>
      <c r="R270" s="33">
        <f t="shared" si="26"/>
        <v>15</v>
      </c>
      <c r="S270" s="34">
        <v>1</v>
      </c>
      <c r="T270" s="34">
        <f t="shared" si="27"/>
        <v>1</v>
      </c>
      <c r="U270" s="33">
        <f t="shared" si="28"/>
        <v>15</v>
      </c>
      <c r="V270" s="38" t="s">
        <v>827</v>
      </c>
      <c r="W270" s="39">
        <f t="shared" si="29"/>
        <v>0.42857142857142855</v>
      </c>
      <c r="X270" s="40" t="s">
        <v>304</v>
      </c>
      <c r="Y270" s="40" t="s">
        <v>283</v>
      </c>
      <c r="Z270" s="40" t="s">
        <v>749</v>
      </c>
      <c r="AA270" s="33" t="s">
        <v>749</v>
      </c>
      <c r="AB270" s="95"/>
      <c r="AC270" s="95"/>
    </row>
    <row r="271" spans="1:29" ht="14.45" hidden="1" customHeight="1" x14ac:dyDescent="0.25">
      <c r="A271" s="36" t="str">
        <f>INDEX('Base de données Mono'!C:C,MATCH(B271,'Base de données Mono'!D:D,0))</f>
        <v>AUBERVILLIERS</v>
      </c>
      <c r="B271" t="s">
        <v>370</v>
      </c>
      <c r="C271" s="36" t="str">
        <f>INDEX('Base de données Mono'!B:B,MATCH(B271,'Base de données Mono'!D:D,0))</f>
        <v>Monoprix</v>
      </c>
      <c r="D271" s="36" t="str">
        <f>INDEX('Base de données Mono'!A:A,MATCH(B271,'Base de données Mono'!D:D,0))</f>
        <v>JG</v>
      </c>
      <c r="E271" s="37" t="s">
        <v>303</v>
      </c>
      <c r="F271" s="41">
        <f t="shared" si="24"/>
        <v>14</v>
      </c>
      <c r="G271" s="41">
        <f t="shared" si="25"/>
        <v>4</v>
      </c>
      <c r="H271">
        <v>9</v>
      </c>
      <c r="I271" s="131">
        <f>INDEX('Base de données Mono'!K:K,MATCH(B271,'Base de données Mono'!D:D,0))</f>
        <v>0.22916666666666666</v>
      </c>
      <c r="J271" s="131">
        <f>INDEX('Base de données Mono'!L:L,MATCH(B271,'Base de données Mono'!D:D,0))</f>
        <v>0.85416666666666663</v>
      </c>
      <c r="K271" s="131">
        <f>INDEX('Base de données Mono'!M:M,MATCH(B271,'Base de données Mono'!D:D,0))</f>
        <v>0.32291666666666669</v>
      </c>
      <c r="L271" s="131">
        <f>INDEX('Base de données Mono'!N:N,MATCH(B271,'Base de données Mono'!D:D,0))</f>
        <v>0.55555555555555558</v>
      </c>
      <c r="M271" s="33" t="s">
        <v>46</v>
      </c>
      <c r="N271" s="33">
        <f>IF(AND(E271="Electricité",M271="Hiver"),INDEX('Base de données Mono'!E:E,MATCH(B271,'Base de données Mono'!D:D,0)),IF(AND(E271="Electricité",M271="Mi-saison"),INDEX('Base de données Mono'!F:F,MATCH(B271,'Base de données Mono'!D:D,0)),IF(AND(E271="Electricité",M271="Eté"),INDEX('Base de données Mono'!G:G,MATCH(B271,'Base de données Mono'!D:D,0)),IF(AND(E271="Gaz",M271="Hiver"),INDEX('Base de données Mono'!J:J,MATCH(B271,'Base de données Mono'!D:D,0)),IF(AND(E271="Gaz",M271="Mi-saison"),INDEX('Base de données Mono'!#REF!,MATCH(B271,'Base de données Mono'!D:D,0)),IF(AND(E271="Gaz",M271="Eté"),INDEX('Base de données Mono'!#REF!,MATCH(B271,'Base de données Mono'!D:D,0)),"-"))))))</f>
        <v>35</v>
      </c>
      <c r="O271" s="123">
        <v>45386</v>
      </c>
      <c r="P271" s="123">
        <v>45388</v>
      </c>
      <c r="Q271" s="34">
        <v>40</v>
      </c>
      <c r="R271" s="33">
        <f t="shared" si="26"/>
        <v>5</v>
      </c>
      <c r="S271" s="34">
        <v>8</v>
      </c>
      <c r="T271" s="34">
        <f t="shared" si="27"/>
        <v>2</v>
      </c>
      <c r="U271" s="33">
        <f t="shared" si="28"/>
        <v>80</v>
      </c>
      <c r="V271" s="38" t="s">
        <v>827</v>
      </c>
      <c r="W271" s="39">
        <f t="shared" si="29"/>
        <v>0.14285714285714285</v>
      </c>
      <c r="X271" s="40" t="s">
        <v>304</v>
      </c>
      <c r="Y271" s="40" t="s">
        <v>283</v>
      </c>
      <c r="Z271" s="40" t="s">
        <v>749</v>
      </c>
      <c r="AA271" s="33" t="s">
        <v>749</v>
      </c>
      <c r="AB271" s="95"/>
      <c r="AC271" s="95"/>
    </row>
    <row r="272" spans="1:29" ht="14.45" hidden="1" customHeight="1" x14ac:dyDescent="0.25">
      <c r="A272" s="36" t="str">
        <f>INDEX('Base de données Mono'!C:C,MATCH(B272,'Base de données Mono'!D:D,0))</f>
        <v>AUBERVILLIERS</v>
      </c>
      <c r="B272" t="s">
        <v>370</v>
      </c>
      <c r="C272" s="36" t="str">
        <f>INDEX('Base de données Mono'!B:B,MATCH(B272,'Base de données Mono'!D:D,0))</f>
        <v>Monoprix</v>
      </c>
      <c r="D272" s="36" t="str">
        <f>INDEX('Base de données Mono'!A:A,MATCH(B272,'Base de données Mono'!D:D,0))</f>
        <v>JG</v>
      </c>
      <c r="E272" s="37" t="s">
        <v>303</v>
      </c>
      <c r="F272" s="41">
        <f t="shared" si="24"/>
        <v>14</v>
      </c>
      <c r="G272" s="41">
        <f t="shared" si="25"/>
        <v>4</v>
      </c>
      <c r="H272">
        <v>9</v>
      </c>
      <c r="I272" s="131">
        <f>INDEX('Base de données Mono'!K:K,MATCH(B272,'Base de données Mono'!D:D,0))</f>
        <v>0.22916666666666666</v>
      </c>
      <c r="J272" s="131">
        <f>INDEX('Base de données Mono'!L:L,MATCH(B272,'Base de données Mono'!D:D,0))</f>
        <v>0.85416666666666663</v>
      </c>
      <c r="K272" s="131">
        <f>INDEX('Base de données Mono'!M:M,MATCH(B272,'Base de données Mono'!D:D,0))</f>
        <v>0.32291666666666669</v>
      </c>
      <c r="L272" s="131">
        <f>INDEX('Base de données Mono'!N:N,MATCH(B272,'Base de données Mono'!D:D,0))</f>
        <v>0.55555555555555558</v>
      </c>
      <c r="M272" s="33" t="s">
        <v>46</v>
      </c>
      <c r="N272" s="33">
        <f>IF(AND(E272="Electricité",M272="Hiver"),INDEX('Base de données Mono'!E:E,MATCH(B272,'Base de données Mono'!D:D,0)),IF(AND(E272="Electricité",M272="Mi-saison"),INDEX('Base de données Mono'!F:F,MATCH(B272,'Base de données Mono'!D:D,0)),IF(AND(E272="Electricité",M272="Eté"),INDEX('Base de données Mono'!G:G,MATCH(B272,'Base de données Mono'!D:D,0)),IF(AND(E272="Gaz",M272="Hiver"),INDEX('Base de données Mono'!J:J,MATCH(B272,'Base de données Mono'!D:D,0)),IF(AND(E272="Gaz",M272="Mi-saison"),INDEX('Base de données Mono'!#REF!,MATCH(B272,'Base de données Mono'!D:D,0)),IF(AND(E272="Gaz",M272="Eté"),INDEX('Base de données Mono'!#REF!,MATCH(B272,'Base de données Mono'!D:D,0)),"-"))))))</f>
        <v>35</v>
      </c>
      <c r="O272" s="123">
        <v>45386</v>
      </c>
      <c r="P272" s="123">
        <v>45388</v>
      </c>
      <c r="Q272" s="34">
        <v>60</v>
      </c>
      <c r="R272" s="33">
        <f t="shared" si="26"/>
        <v>25</v>
      </c>
      <c r="S272" s="34">
        <v>1</v>
      </c>
      <c r="T272" s="34">
        <f t="shared" si="27"/>
        <v>2</v>
      </c>
      <c r="U272" s="33">
        <f t="shared" si="28"/>
        <v>50</v>
      </c>
      <c r="V272" s="38" t="s">
        <v>827</v>
      </c>
      <c r="W272" s="39">
        <f t="shared" si="29"/>
        <v>0.7142857142857143</v>
      </c>
      <c r="X272" s="40" t="s">
        <v>304</v>
      </c>
      <c r="Y272" s="40" t="s">
        <v>283</v>
      </c>
      <c r="Z272" s="40" t="s">
        <v>749</v>
      </c>
      <c r="AA272" s="33" t="s">
        <v>749</v>
      </c>
      <c r="AB272" s="95"/>
      <c r="AC272" s="95"/>
    </row>
    <row r="273" spans="1:29" ht="14.45" hidden="1" customHeight="1" x14ac:dyDescent="0.25">
      <c r="A273" s="36" t="str">
        <f>INDEX('Base de données Mono'!C:C,MATCH(B273,'Base de données Mono'!D:D,0))</f>
        <v>TOURS 2 LIONS</v>
      </c>
      <c r="B273" t="s">
        <v>337</v>
      </c>
      <c r="C273" s="36" t="str">
        <f>INDEX('Base de données Mono'!B:B,MATCH(B273,'Base de données Mono'!D:D,0))</f>
        <v>Monoprix</v>
      </c>
      <c r="D273" s="36" t="str">
        <f>INDEX('Base de données Mono'!A:A,MATCH(B273,'Base de données Mono'!D:D,0))</f>
        <v>AD</v>
      </c>
      <c r="E273" s="37" t="s">
        <v>303</v>
      </c>
      <c r="F273" s="41">
        <f t="shared" si="24"/>
        <v>14</v>
      </c>
      <c r="G273" s="41">
        <f t="shared" si="25"/>
        <v>4</v>
      </c>
      <c r="H273">
        <v>8.5</v>
      </c>
      <c r="I273" s="131">
        <f>INDEX('Base de données Mono'!K:K,MATCH(B273,'Base de données Mono'!D:D,0))</f>
        <v>0.22916666666666666</v>
      </c>
      <c r="J273" s="131">
        <f>INDEX('Base de données Mono'!L:L,MATCH(B273,'Base de données Mono'!D:D,0))</f>
        <v>0.875</v>
      </c>
      <c r="K273" s="131" t="str">
        <f>INDEX('Base de données Mono'!M:M,MATCH(B273,'Base de données Mono'!D:D,0))</f>
        <v>-</v>
      </c>
      <c r="L273" s="131" t="str">
        <f>INDEX('Base de données Mono'!N:N,MATCH(B273,'Base de données Mono'!D:D,0))</f>
        <v>-</v>
      </c>
      <c r="M273" s="33" t="s">
        <v>46</v>
      </c>
      <c r="N273" s="33">
        <f>IF(AND(E273="Electricité",M273="Hiver"),INDEX('Base de données Mono'!E:E,MATCH(B273,'Base de données Mono'!D:D,0)),IF(AND(E273="Electricité",M273="Mi-saison"),INDEX('Base de données Mono'!F:F,MATCH(B273,'Base de données Mono'!D:D,0)),IF(AND(E273="Electricité",M273="Eté"),INDEX('Base de données Mono'!G:G,MATCH(B273,'Base de données Mono'!D:D,0)),IF(AND(E273="Gaz",M273="Hiver"),INDEX('Base de données Mono'!J:J,MATCH(B273,'Base de données Mono'!D:D,0)),IF(AND(E273="Gaz",M273="Mi-saison"),INDEX('Base de données Mono'!#REF!,MATCH(B273,'Base de données Mono'!D:D,0)),IF(AND(E273="Gaz",M273="Eté"),INDEX('Base de données Mono'!#REF!,MATCH(B273,'Base de données Mono'!D:D,0)),"-"))))))</f>
        <v>35</v>
      </c>
      <c r="O273" s="123">
        <v>45383</v>
      </c>
      <c r="P273" s="123">
        <v>45388</v>
      </c>
      <c r="Q273" s="34">
        <v>45</v>
      </c>
      <c r="R273" s="33">
        <f t="shared" si="26"/>
        <v>10</v>
      </c>
      <c r="S273" s="34">
        <v>1</v>
      </c>
      <c r="T273" s="34">
        <f t="shared" si="27"/>
        <v>5</v>
      </c>
      <c r="U273" s="33">
        <f t="shared" si="28"/>
        <v>50</v>
      </c>
      <c r="V273" s="38" t="s">
        <v>827</v>
      </c>
      <c r="W273" s="39">
        <f t="shared" si="29"/>
        <v>0.2857142857142857</v>
      </c>
      <c r="X273" s="40" t="s">
        <v>304</v>
      </c>
      <c r="Y273" s="40" t="s">
        <v>283</v>
      </c>
      <c r="Z273" s="40" t="s">
        <v>749</v>
      </c>
      <c r="AA273" s="33" t="s">
        <v>749</v>
      </c>
      <c r="AB273" s="95"/>
      <c r="AC273" s="95"/>
    </row>
    <row r="274" spans="1:29" ht="14.45" hidden="1" customHeight="1" x14ac:dyDescent="0.25">
      <c r="A274" s="36" t="str">
        <f>INDEX('Base de données Mono'!C:C,MATCH(B274,'Base de données Mono'!D:D,0))</f>
        <v>AUBERVILLIERS</v>
      </c>
      <c r="B274" t="s">
        <v>370</v>
      </c>
      <c r="C274" s="36" t="str">
        <f>INDEX('Base de données Mono'!B:B,MATCH(B274,'Base de données Mono'!D:D,0))</f>
        <v>Monoprix</v>
      </c>
      <c r="D274" s="36" t="str">
        <f>INDEX('Base de données Mono'!A:A,MATCH(B274,'Base de données Mono'!D:D,0))</f>
        <v>JG</v>
      </c>
      <c r="E274" s="37" t="s">
        <v>303</v>
      </c>
      <c r="F274" s="41">
        <f t="shared" si="24"/>
        <v>14</v>
      </c>
      <c r="G274" s="41">
        <f t="shared" si="25"/>
        <v>4</v>
      </c>
      <c r="H274">
        <v>9</v>
      </c>
      <c r="I274" s="131">
        <f>INDEX('Base de données Mono'!K:K,MATCH(B274,'Base de données Mono'!D:D,0))</f>
        <v>0.22916666666666666</v>
      </c>
      <c r="J274" s="131">
        <f>INDEX('Base de données Mono'!L:L,MATCH(B274,'Base de données Mono'!D:D,0))</f>
        <v>0.85416666666666663</v>
      </c>
      <c r="K274" s="131">
        <f>INDEX('Base de données Mono'!M:M,MATCH(B274,'Base de données Mono'!D:D,0))</f>
        <v>0.32291666666666669</v>
      </c>
      <c r="L274" s="131">
        <f>INDEX('Base de données Mono'!N:N,MATCH(B274,'Base de données Mono'!D:D,0))</f>
        <v>0.55555555555555558</v>
      </c>
      <c r="M274" s="33" t="s">
        <v>46</v>
      </c>
      <c r="N274" s="33">
        <f>IF(AND(E274="Electricité",M274="Hiver"),INDEX('Base de données Mono'!E:E,MATCH(B274,'Base de données Mono'!D:D,0)),IF(AND(E274="Electricité",M274="Mi-saison"),INDEX('Base de données Mono'!F:F,MATCH(B274,'Base de données Mono'!D:D,0)),IF(AND(E274="Electricité",M274="Eté"),INDEX('Base de données Mono'!G:G,MATCH(B274,'Base de données Mono'!D:D,0)),IF(AND(E274="Gaz",M274="Hiver"),INDEX('Base de données Mono'!J:J,MATCH(B274,'Base de données Mono'!D:D,0)),IF(AND(E274="Gaz",M274="Mi-saison"),INDEX('Base de données Mono'!#REF!,MATCH(B274,'Base de données Mono'!D:D,0)),IF(AND(E274="Gaz",M274="Eté"),INDEX('Base de données Mono'!#REF!,MATCH(B274,'Base de données Mono'!D:D,0)),"-"))))))</f>
        <v>35</v>
      </c>
      <c r="O274" s="123">
        <v>45388</v>
      </c>
      <c r="P274" s="123">
        <v>45389</v>
      </c>
      <c r="Q274" s="34">
        <v>42.5</v>
      </c>
      <c r="R274" s="33">
        <f t="shared" si="26"/>
        <v>7.5</v>
      </c>
      <c r="S274" s="34">
        <v>9</v>
      </c>
      <c r="T274" s="34">
        <f t="shared" si="27"/>
        <v>1</v>
      </c>
      <c r="U274" s="33">
        <f t="shared" si="28"/>
        <v>67.5</v>
      </c>
      <c r="V274" s="38" t="s">
        <v>827</v>
      </c>
      <c r="W274" s="39">
        <f t="shared" si="29"/>
        <v>0.21428571428571427</v>
      </c>
      <c r="X274" s="40" t="s">
        <v>304</v>
      </c>
      <c r="Y274" s="40" t="s">
        <v>283</v>
      </c>
      <c r="Z274" s="40" t="s">
        <v>749</v>
      </c>
      <c r="AA274" s="33" t="s">
        <v>749</v>
      </c>
      <c r="AB274" s="95"/>
      <c r="AC274" s="95"/>
    </row>
    <row r="275" spans="1:29" ht="14.45" hidden="1" customHeight="1" x14ac:dyDescent="0.25">
      <c r="A275" s="36" t="str">
        <f>INDEX('Base de données Mono'!C:C,MATCH(B275,'Base de données Mono'!D:D,0))</f>
        <v>Aix les Bains</v>
      </c>
      <c r="B275" t="s">
        <v>476</v>
      </c>
      <c r="C275" s="36" t="str">
        <f>INDEX('Base de données Mono'!B:B,MATCH(B275,'Base de données Mono'!D:D,0))</f>
        <v>Monoprix</v>
      </c>
      <c r="D275" s="36" t="str">
        <f>INDEX('Base de données Mono'!A:A,MATCH(B275,'Base de données Mono'!D:D,0))</f>
        <v>AD</v>
      </c>
      <c r="E275" s="37" t="s">
        <v>303</v>
      </c>
      <c r="F275" s="41">
        <f t="shared" si="24"/>
        <v>14</v>
      </c>
      <c r="G275" s="41">
        <f t="shared" si="25"/>
        <v>4</v>
      </c>
      <c r="H275">
        <v>9.67</v>
      </c>
      <c r="I275" s="131">
        <f>INDEX('Base de données Mono'!K:K,MATCH(B275,'Base de données Mono'!D:D,0))</f>
        <v>0.24305555555555555</v>
      </c>
      <c r="J275" s="131">
        <f>INDEX('Base de données Mono'!L:L,MATCH(B275,'Base de données Mono'!D:D,0))</f>
        <v>0.84027777777777779</v>
      </c>
      <c r="K275" s="131">
        <f>INDEX('Base de données Mono'!M:M,MATCH(B275,'Base de données Mono'!D:D,0))</f>
        <v>0.2986111111111111</v>
      </c>
      <c r="L275" s="131">
        <f>INDEX('Base de données Mono'!N:N,MATCH(B275,'Base de données Mono'!D:D,0))</f>
        <v>0.54861111111111105</v>
      </c>
      <c r="M275" s="33" t="s">
        <v>46</v>
      </c>
      <c r="N275" s="33">
        <f>IF(AND(E275="Electricité",M275="Hiver"),INDEX('Base de données Mono'!E:E,MATCH(B275,'Base de données Mono'!D:D,0)),IF(AND(E275="Electricité",M275="Mi-saison"),INDEX('Base de données Mono'!F:F,MATCH(B275,'Base de données Mono'!D:D,0)),IF(AND(E275="Electricité",M275="Eté"),INDEX('Base de données Mono'!G:G,MATCH(B275,'Base de données Mono'!D:D,0)),IF(AND(E275="Gaz",M275="Hiver"),INDEX('Base de données Mono'!J:J,MATCH(B275,'Base de données Mono'!D:D,0)),IF(AND(E275="Gaz",M275="Mi-saison"),INDEX('Base de données Mono'!#REF!,MATCH(B275,'Base de données Mono'!D:D,0)),IF(AND(E275="Gaz",M275="Eté"),INDEX('Base de données Mono'!#REF!,MATCH(B275,'Base de données Mono'!D:D,0)),"-"))))))</f>
        <v>20</v>
      </c>
      <c r="O275" s="123">
        <v>45383</v>
      </c>
      <c r="P275" s="123">
        <v>45384</v>
      </c>
      <c r="Q275" s="34">
        <v>25</v>
      </c>
      <c r="R275" s="33">
        <f t="shared" si="26"/>
        <v>5</v>
      </c>
      <c r="S275" s="34">
        <v>7</v>
      </c>
      <c r="T275" s="34">
        <f t="shared" si="27"/>
        <v>1</v>
      </c>
      <c r="U275" s="33">
        <f t="shared" si="28"/>
        <v>35</v>
      </c>
      <c r="V275" s="38" t="s">
        <v>827</v>
      </c>
      <c r="W275" s="39">
        <f t="shared" si="29"/>
        <v>0.25</v>
      </c>
      <c r="X275" s="40" t="s">
        <v>304</v>
      </c>
      <c r="Y275" s="40" t="s">
        <v>283</v>
      </c>
      <c r="Z275" s="40" t="s">
        <v>749</v>
      </c>
      <c r="AA275" s="33" t="s">
        <v>749</v>
      </c>
      <c r="AB275" s="95"/>
      <c r="AC275" s="95"/>
    </row>
    <row r="276" spans="1:29" ht="14.45" hidden="1" customHeight="1" x14ac:dyDescent="0.25">
      <c r="A276" s="36" t="str">
        <f>INDEX('Base de données Mono'!C:C,MATCH(B276,'Base de données Mono'!D:D,0))</f>
        <v>Aix les Bains</v>
      </c>
      <c r="B276" t="s">
        <v>476</v>
      </c>
      <c r="C276" s="36" t="str">
        <f>INDEX('Base de données Mono'!B:B,MATCH(B276,'Base de données Mono'!D:D,0))</f>
        <v>Monoprix</v>
      </c>
      <c r="D276" s="36" t="str">
        <f>INDEX('Base de données Mono'!A:A,MATCH(B276,'Base de données Mono'!D:D,0))</f>
        <v>AD</v>
      </c>
      <c r="E276" s="37" t="s">
        <v>303</v>
      </c>
      <c r="F276" s="41">
        <f t="shared" si="24"/>
        <v>14</v>
      </c>
      <c r="G276" s="41">
        <f t="shared" si="25"/>
        <v>4</v>
      </c>
      <c r="H276">
        <v>9.67</v>
      </c>
      <c r="I276" s="131">
        <f>INDEX('Base de données Mono'!K:K,MATCH(B276,'Base de données Mono'!D:D,0))</f>
        <v>0.24305555555555555</v>
      </c>
      <c r="J276" s="131">
        <f>INDEX('Base de données Mono'!L:L,MATCH(B276,'Base de données Mono'!D:D,0))</f>
        <v>0.84027777777777779</v>
      </c>
      <c r="K276" s="131">
        <f>INDEX('Base de données Mono'!M:M,MATCH(B276,'Base de données Mono'!D:D,0))</f>
        <v>0.2986111111111111</v>
      </c>
      <c r="L276" s="131">
        <f>INDEX('Base de données Mono'!N:N,MATCH(B276,'Base de données Mono'!D:D,0))</f>
        <v>0.54861111111111105</v>
      </c>
      <c r="M276" s="33" t="s">
        <v>46</v>
      </c>
      <c r="N276" s="33">
        <f>IF(AND(E276="Electricité",M276="Hiver"),INDEX('Base de données Mono'!E:E,MATCH(B276,'Base de données Mono'!D:D,0)),IF(AND(E276="Electricité",M276="Mi-saison"),INDEX('Base de données Mono'!F:F,MATCH(B276,'Base de données Mono'!D:D,0)),IF(AND(E276="Electricité",M276="Eté"),INDEX('Base de données Mono'!G:G,MATCH(B276,'Base de données Mono'!D:D,0)),IF(AND(E276="Gaz",M276="Hiver"),INDEX('Base de données Mono'!J:J,MATCH(B276,'Base de données Mono'!D:D,0)),IF(AND(E276="Gaz",M276="Mi-saison"),INDEX('Base de données Mono'!#REF!,MATCH(B276,'Base de données Mono'!D:D,0)),IF(AND(E276="Gaz",M276="Eté"),INDEX('Base de données Mono'!#REF!,MATCH(B276,'Base de données Mono'!D:D,0)),"-"))))))</f>
        <v>20</v>
      </c>
      <c r="O276" s="123">
        <v>45384</v>
      </c>
      <c r="P276" s="123">
        <v>45389</v>
      </c>
      <c r="Q276" s="34">
        <v>25</v>
      </c>
      <c r="R276" s="33">
        <f t="shared" si="26"/>
        <v>5</v>
      </c>
      <c r="S276" s="34">
        <v>1</v>
      </c>
      <c r="T276" s="34">
        <f t="shared" si="27"/>
        <v>5</v>
      </c>
      <c r="U276" s="33">
        <f t="shared" si="28"/>
        <v>25</v>
      </c>
      <c r="V276" s="38" t="s">
        <v>827</v>
      </c>
      <c r="W276" s="39">
        <f t="shared" si="29"/>
        <v>0.25</v>
      </c>
      <c r="X276" s="40" t="s">
        <v>304</v>
      </c>
      <c r="Y276" s="40" t="s">
        <v>283</v>
      </c>
      <c r="Z276" s="40" t="s">
        <v>749</v>
      </c>
      <c r="AA276" s="33" t="s">
        <v>749</v>
      </c>
      <c r="AB276" s="95"/>
      <c r="AC276" s="95"/>
    </row>
    <row r="277" spans="1:29" ht="14.45" hidden="1" customHeight="1" x14ac:dyDescent="0.25">
      <c r="A277" s="36" t="str">
        <f>INDEX('Base de données Mono'!C:C,MATCH(B277,'Base de données Mono'!D:D,0))</f>
        <v>Aix les Bains</v>
      </c>
      <c r="B277" t="s">
        <v>476</v>
      </c>
      <c r="C277" s="36" t="str">
        <f>INDEX('Base de données Mono'!B:B,MATCH(B277,'Base de données Mono'!D:D,0))</f>
        <v>Monoprix</v>
      </c>
      <c r="D277" s="36" t="str">
        <f>INDEX('Base de données Mono'!A:A,MATCH(B277,'Base de données Mono'!D:D,0))</f>
        <v>AD</v>
      </c>
      <c r="E277" s="37" t="s">
        <v>303</v>
      </c>
      <c r="F277" s="41">
        <f t="shared" si="24"/>
        <v>14</v>
      </c>
      <c r="G277" s="41">
        <f t="shared" si="25"/>
        <v>4</v>
      </c>
      <c r="H277">
        <v>9.67</v>
      </c>
      <c r="I277" s="131">
        <f>INDEX('Base de données Mono'!K:K,MATCH(B277,'Base de données Mono'!D:D,0))</f>
        <v>0.24305555555555555</v>
      </c>
      <c r="J277" s="131">
        <f>INDEX('Base de données Mono'!L:L,MATCH(B277,'Base de données Mono'!D:D,0))</f>
        <v>0.84027777777777779</v>
      </c>
      <c r="K277" s="131">
        <f>INDEX('Base de données Mono'!M:M,MATCH(B277,'Base de données Mono'!D:D,0))</f>
        <v>0.2986111111111111</v>
      </c>
      <c r="L277" s="131">
        <f>INDEX('Base de données Mono'!N:N,MATCH(B277,'Base de données Mono'!D:D,0))</f>
        <v>0.54861111111111105</v>
      </c>
      <c r="M277" s="33" t="s">
        <v>46</v>
      </c>
      <c r="N277" s="33">
        <f>IF(AND(E277="Electricité",M277="Hiver"),INDEX('Base de données Mono'!E:E,MATCH(B277,'Base de données Mono'!D:D,0)),IF(AND(E277="Electricité",M277="Mi-saison"),INDEX('Base de données Mono'!F:F,MATCH(B277,'Base de données Mono'!D:D,0)),IF(AND(E277="Electricité",M277="Eté"),INDEX('Base de données Mono'!G:G,MATCH(B277,'Base de données Mono'!D:D,0)),IF(AND(E277="Gaz",M277="Hiver"),INDEX('Base de données Mono'!J:J,MATCH(B277,'Base de données Mono'!D:D,0)),IF(AND(E277="Gaz",M277="Mi-saison"),INDEX('Base de données Mono'!#REF!,MATCH(B277,'Base de données Mono'!D:D,0)),IF(AND(E277="Gaz",M277="Eté"),INDEX('Base de données Mono'!#REF!,MATCH(B277,'Base de données Mono'!D:D,0)),"-"))))))</f>
        <v>20</v>
      </c>
      <c r="O277" s="123">
        <v>45386</v>
      </c>
      <c r="P277" s="123">
        <v>45387</v>
      </c>
      <c r="Q277" s="34">
        <v>40</v>
      </c>
      <c r="R277" s="33">
        <f t="shared" si="26"/>
        <v>20</v>
      </c>
      <c r="S277" s="34">
        <v>3</v>
      </c>
      <c r="T277" s="34">
        <f t="shared" si="27"/>
        <v>1</v>
      </c>
      <c r="U277" s="33">
        <f t="shared" si="28"/>
        <v>60</v>
      </c>
      <c r="V277" s="38" t="s">
        <v>827</v>
      </c>
      <c r="W277" s="39">
        <f t="shared" si="29"/>
        <v>1</v>
      </c>
      <c r="X277" s="40" t="s">
        <v>304</v>
      </c>
      <c r="Y277" s="40" t="s">
        <v>283</v>
      </c>
      <c r="Z277" s="40" t="s">
        <v>749</v>
      </c>
      <c r="AA277" s="33" t="s">
        <v>749</v>
      </c>
      <c r="AB277" s="95"/>
      <c r="AC277" s="95"/>
    </row>
    <row r="278" spans="1:29" ht="14.45" hidden="1" customHeight="1" x14ac:dyDescent="0.25">
      <c r="A278" s="36" t="str">
        <f>INDEX('Base de données Mono'!C:C,MATCH(B278,'Base de données Mono'!D:D,0))</f>
        <v>Aix les Bains</v>
      </c>
      <c r="B278" t="s">
        <v>476</v>
      </c>
      <c r="C278" s="36" t="str">
        <f>INDEX('Base de données Mono'!B:B,MATCH(B278,'Base de données Mono'!D:D,0))</f>
        <v>Monoprix</v>
      </c>
      <c r="D278" s="36" t="str">
        <f>INDEX('Base de données Mono'!A:A,MATCH(B278,'Base de données Mono'!D:D,0))</f>
        <v>AD</v>
      </c>
      <c r="E278" s="37" t="s">
        <v>303</v>
      </c>
      <c r="F278" s="41">
        <f t="shared" si="24"/>
        <v>14</v>
      </c>
      <c r="G278" s="41">
        <f t="shared" si="25"/>
        <v>4</v>
      </c>
      <c r="H278">
        <v>9.67</v>
      </c>
      <c r="I278" s="131">
        <f>INDEX('Base de données Mono'!K:K,MATCH(B278,'Base de données Mono'!D:D,0))</f>
        <v>0.24305555555555555</v>
      </c>
      <c r="J278" s="131">
        <f>INDEX('Base de données Mono'!L:L,MATCH(B278,'Base de données Mono'!D:D,0))</f>
        <v>0.84027777777777779</v>
      </c>
      <c r="K278" s="131">
        <f>INDEX('Base de données Mono'!M:M,MATCH(B278,'Base de données Mono'!D:D,0))</f>
        <v>0.2986111111111111</v>
      </c>
      <c r="L278" s="131">
        <f>INDEX('Base de données Mono'!N:N,MATCH(B278,'Base de données Mono'!D:D,0))</f>
        <v>0.54861111111111105</v>
      </c>
      <c r="M278" s="33" t="s">
        <v>46</v>
      </c>
      <c r="N278" s="33">
        <f>IF(AND(E278="Electricité",M278="Hiver"),INDEX('Base de données Mono'!E:E,MATCH(B278,'Base de données Mono'!D:D,0)),IF(AND(E278="Electricité",M278="Mi-saison"),INDEX('Base de données Mono'!F:F,MATCH(B278,'Base de données Mono'!D:D,0)),IF(AND(E278="Electricité",M278="Eté"),INDEX('Base de données Mono'!G:G,MATCH(B278,'Base de données Mono'!D:D,0)),IF(AND(E278="Gaz",M278="Hiver"),INDEX('Base de données Mono'!J:J,MATCH(B278,'Base de données Mono'!D:D,0)),IF(AND(E278="Gaz",M278="Mi-saison"),INDEX('Base de données Mono'!#REF!,MATCH(B278,'Base de données Mono'!D:D,0)),IF(AND(E278="Gaz",M278="Eté"),INDEX('Base de données Mono'!#REF!,MATCH(B278,'Base de données Mono'!D:D,0)),"-"))))))</f>
        <v>20</v>
      </c>
      <c r="O278" s="123">
        <v>45386</v>
      </c>
      <c r="P278" s="123">
        <v>45387</v>
      </c>
      <c r="Q278" s="34">
        <v>30</v>
      </c>
      <c r="R278" s="33">
        <f t="shared" si="26"/>
        <v>10</v>
      </c>
      <c r="S278" s="34">
        <v>1</v>
      </c>
      <c r="T278" s="34">
        <f t="shared" si="27"/>
        <v>1</v>
      </c>
      <c r="U278" s="33">
        <f t="shared" si="28"/>
        <v>10</v>
      </c>
      <c r="V278" s="38" t="s">
        <v>827</v>
      </c>
      <c r="W278" s="39">
        <f t="shared" si="29"/>
        <v>0.5</v>
      </c>
      <c r="X278" s="40" t="s">
        <v>304</v>
      </c>
      <c r="Y278" s="40" t="s">
        <v>283</v>
      </c>
      <c r="Z278" s="40" t="s">
        <v>749</v>
      </c>
      <c r="AA278" s="33" t="s">
        <v>749</v>
      </c>
      <c r="AB278" s="95"/>
      <c r="AC278" s="95"/>
    </row>
    <row r="279" spans="1:29" ht="14.45" hidden="1" customHeight="1" x14ac:dyDescent="0.25">
      <c r="A279" s="36" t="str">
        <f>INDEX('Base de données Mono'!C:C,MATCH(B279,'Base de données Mono'!D:D,0))</f>
        <v>Aix les Bains</v>
      </c>
      <c r="B279" t="s">
        <v>476</v>
      </c>
      <c r="C279" s="36" t="str">
        <f>INDEX('Base de données Mono'!B:B,MATCH(B279,'Base de données Mono'!D:D,0))</f>
        <v>Monoprix</v>
      </c>
      <c r="D279" s="36" t="str">
        <f>INDEX('Base de données Mono'!A:A,MATCH(B279,'Base de données Mono'!D:D,0))</f>
        <v>AD</v>
      </c>
      <c r="E279" s="37" t="s">
        <v>303</v>
      </c>
      <c r="F279" s="41">
        <f t="shared" si="24"/>
        <v>14</v>
      </c>
      <c r="G279" s="41">
        <f t="shared" si="25"/>
        <v>4</v>
      </c>
      <c r="H279">
        <v>9.67</v>
      </c>
      <c r="I279" s="131">
        <f>INDEX('Base de données Mono'!K:K,MATCH(B279,'Base de données Mono'!D:D,0))</f>
        <v>0.24305555555555555</v>
      </c>
      <c r="J279" s="131">
        <f>INDEX('Base de données Mono'!L:L,MATCH(B279,'Base de données Mono'!D:D,0))</f>
        <v>0.84027777777777779</v>
      </c>
      <c r="K279" s="131">
        <f>INDEX('Base de données Mono'!M:M,MATCH(B279,'Base de données Mono'!D:D,0))</f>
        <v>0.2986111111111111</v>
      </c>
      <c r="L279" s="131">
        <f>INDEX('Base de données Mono'!N:N,MATCH(B279,'Base de données Mono'!D:D,0))</f>
        <v>0.54861111111111105</v>
      </c>
      <c r="M279" s="33" t="s">
        <v>46</v>
      </c>
      <c r="N279" s="33">
        <f>IF(AND(E279="Electricité",M279="Hiver"),INDEX('Base de données Mono'!E:E,MATCH(B279,'Base de données Mono'!D:D,0)),IF(AND(E279="Electricité",M279="Mi-saison"),INDEX('Base de données Mono'!F:F,MATCH(B279,'Base de données Mono'!D:D,0)),IF(AND(E279="Electricité",M279="Eté"),INDEX('Base de données Mono'!G:G,MATCH(B279,'Base de données Mono'!D:D,0)),IF(AND(E279="Gaz",M279="Hiver"),INDEX('Base de données Mono'!J:J,MATCH(B279,'Base de données Mono'!D:D,0)),IF(AND(E279="Gaz",M279="Mi-saison"),INDEX('Base de données Mono'!#REF!,MATCH(B279,'Base de données Mono'!D:D,0)),IF(AND(E279="Gaz",M279="Eté"),INDEX('Base de données Mono'!#REF!,MATCH(B279,'Base de données Mono'!D:D,0)),"-"))))))</f>
        <v>20</v>
      </c>
      <c r="O279" s="123">
        <v>45387</v>
      </c>
      <c r="P279" s="123">
        <v>45388</v>
      </c>
      <c r="Q279" s="34">
        <v>30</v>
      </c>
      <c r="R279" s="33">
        <f t="shared" si="26"/>
        <v>10</v>
      </c>
      <c r="S279" s="34">
        <v>1</v>
      </c>
      <c r="T279" s="34">
        <f t="shared" si="27"/>
        <v>1</v>
      </c>
      <c r="U279" s="33">
        <f t="shared" si="28"/>
        <v>10</v>
      </c>
      <c r="V279" s="38" t="s">
        <v>827</v>
      </c>
      <c r="W279" s="39">
        <f t="shared" si="29"/>
        <v>0.5</v>
      </c>
      <c r="X279" s="40" t="s">
        <v>304</v>
      </c>
      <c r="Y279" s="40" t="s">
        <v>283</v>
      </c>
      <c r="Z279" s="40" t="s">
        <v>749</v>
      </c>
      <c r="AA279" s="33" t="s">
        <v>749</v>
      </c>
      <c r="AB279" s="95"/>
      <c r="AC279" s="95"/>
    </row>
    <row r="280" spans="1:29" ht="14.45" hidden="1" customHeight="1" x14ac:dyDescent="0.25">
      <c r="A280" s="36" t="str">
        <f>INDEX('Base de données Mono'!C:C,MATCH(B280,'Base de données Mono'!D:D,0))</f>
        <v>Aix les Bains</v>
      </c>
      <c r="B280" t="s">
        <v>476</v>
      </c>
      <c r="C280" s="36" t="str">
        <f>INDEX('Base de données Mono'!B:B,MATCH(B280,'Base de données Mono'!D:D,0))</f>
        <v>Monoprix</v>
      </c>
      <c r="D280" s="36" t="str">
        <f>INDEX('Base de données Mono'!A:A,MATCH(B280,'Base de données Mono'!D:D,0))</f>
        <v>AD</v>
      </c>
      <c r="E280" s="37" t="s">
        <v>303</v>
      </c>
      <c r="F280" s="41">
        <f t="shared" si="24"/>
        <v>14</v>
      </c>
      <c r="G280" s="41">
        <f t="shared" si="25"/>
        <v>4</v>
      </c>
      <c r="H280">
        <v>9.67</v>
      </c>
      <c r="I280" s="131">
        <f>INDEX('Base de données Mono'!K:K,MATCH(B280,'Base de données Mono'!D:D,0))</f>
        <v>0.24305555555555555</v>
      </c>
      <c r="J280" s="131">
        <f>INDEX('Base de données Mono'!L:L,MATCH(B280,'Base de données Mono'!D:D,0))</f>
        <v>0.84027777777777779</v>
      </c>
      <c r="K280" s="131">
        <f>INDEX('Base de données Mono'!M:M,MATCH(B280,'Base de données Mono'!D:D,0))</f>
        <v>0.2986111111111111</v>
      </c>
      <c r="L280" s="131">
        <f>INDEX('Base de données Mono'!N:N,MATCH(B280,'Base de données Mono'!D:D,0))</f>
        <v>0.54861111111111105</v>
      </c>
      <c r="M280" s="33" t="s">
        <v>46</v>
      </c>
      <c r="N280" s="33">
        <f>IF(AND(E280="Electricité",M280="Hiver"),INDEX('Base de données Mono'!E:E,MATCH(B280,'Base de données Mono'!D:D,0)),IF(AND(E280="Electricité",M280="Mi-saison"),INDEX('Base de données Mono'!F:F,MATCH(B280,'Base de données Mono'!D:D,0)),IF(AND(E280="Electricité",M280="Eté"),INDEX('Base de données Mono'!G:G,MATCH(B280,'Base de données Mono'!D:D,0)),IF(AND(E280="Gaz",M280="Hiver"),INDEX('Base de données Mono'!J:J,MATCH(B280,'Base de données Mono'!D:D,0)),IF(AND(E280="Gaz",M280="Mi-saison"),INDEX('Base de données Mono'!#REF!,MATCH(B280,'Base de données Mono'!D:D,0)),IF(AND(E280="Gaz",M280="Eté"),INDEX('Base de données Mono'!#REF!,MATCH(B280,'Base de données Mono'!D:D,0)),"-"))))))</f>
        <v>20</v>
      </c>
      <c r="O280" s="123">
        <v>45388</v>
      </c>
      <c r="P280" s="123">
        <v>45389</v>
      </c>
      <c r="Q280" s="34">
        <v>30</v>
      </c>
      <c r="R280" s="33">
        <f t="shared" si="26"/>
        <v>10</v>
      </c>
      <c r="S280" s="34">
        <v>1</v>
      </c>
      <c r="T280" s="34">
        <f t="shared" si="27"/>
        <v>1</v>
      </c>
      <c r="U280" s="33">
        <f t="shared" si="28"/>
        <v>10</v>
      </c>
      <c r="V280" s="38" t="s">
        <v>827</v>
      </c>
      <c r="W280" s="39">
        <f t="shared" si="29"/>
        <v>0.5</v>
      </c>
      <c r="X280" s="40" t="s">
        <v>304</v>
      </c>
      <c r="Y280" s="40" t="s">
        <v>283</v>
      </c>
      <c r="Z280" s="40" t="s">
        <v>749</v>
      </c>
      <c r="AA280" s="33" t="s">
        <v>749</v>
      </c>
      <c r="AB280" s="95"/>
      <c r="AC280" s="95"/>
    </row>
    <row r="281" spans="1:29" ht="14.45" hidden="1" customHeight="1" x14ac:dyDescent="0.25">
      <c r="A281" s="36" t="str">
        <f>INDEX('Base de données Mono'!C:C,MATCH(B281,'Base de données Mono'!D:D,0))</f>
        <v>GRENOBLE LAFAYETTE</v>
      </c>
      <c r="B281" t="s">
        <v>341</v>
      </c>
      <c r="C281" s="36" t="str">
        <f>INDEX('Base de données Mono'!B:B,MATCH(B281,'Base de données Mono'!D:D,0))</f>
        <v>Monoprix</v>
      </c>
      <c r="D281" s="36" t="str">
        <f>INDEX('Base de données Mono'!A:A,MATCH(B281,'Base de données Mono'!D:D,0))</f>
        <v>JG</v>
      </c>
      <c r="E281" s="37" t="s">
        <v>303</v>
      </c>
      <c r="F281" s="41">
        <f t="shared" si="24"/>
        <v>14</v>
      </c>
      <c r="G281" s="41">
        <f t="shared" si="25"/>
        <v>4</v>
      </c>
      <c r="H281">
        <v>6</v>
      </c>
      <c r="I281" s="131">
        <f>INDEX('Base de données Mono'!K:K,MATCH(B281,'Base de données Mono'!D:D,0))</f>
        <v>0.14583333333333334</v>
      </c>
      <c r="J281" s="131">
        <f>INDEX('Base de données Mono'!L:L,MATCH(B281,'Base de données Mono'!D:D,0))</f>
        <v>0.89583333333333337</v>
      </c>
      <c r="K281" s="131">
        <f>INDEX('Base de données Mono'!M:M,MATCH(B281,'Base de données Mono'!D:D,0))</f>
        <v>0.29166666666666669</v>
      </c>
      <c r="L281" s="131">
        <f>INDEX('Base de données Mono'!N:N,MATCH(B281,'Base de données Mono'!D:D,0))</f>
        <v>0.58333333333333337</v>
      </c>
      <c r="M281" s="33" t="s">
        <v>46</v>
      </c>
      <c r="N281" s="33">
        <f>IF(AND(E281="Electricité",M281="Hiver"),INDEX('Base de données Mono'!E:E,MATCH(B281,'Base de données Mono'!D:D,0)),IF(AND(E281="Electricité",M281="Mi-saison"),INDEX('Base de données Mono'!F:F,MATCH(B281,'Base de données Mono'!D:D,0)),IF(AND(E281="Electricité",M281="Eté"),INDEX('Base de données Mono'!G:G,MATCH(B281,'Base de données Mono'!D:D,0)),IF(AND(E281="Gaz",M281="Hiver"),INDEX('Base de données Mono'!J:J,MATCH(B281,'Base de données Mono'!D:D,0)),IF(AND(E281="Gaz",M281="Mi-saison"),INDEX('Base de données Mono'!#REF!,MATCH(B281,'Base de données Mono'!D:D,0)),IF(AND(E281="Gaz",M281="Eté"),INDEX('Base de données Mono'!#REF!,MATCH(B281,'Base de données Mono'!D:D,0)),"-"))))))</f>
        <v>35</v>
      </c>
      <c r="O281" s="123">
        <v>45383</v>
      </c>
      <c r="P281" s="123">
        <v>45389</v>
      </c>
      <c r="Q281" s="34">
        <v>40</v>
      </c>
      <c r="R281" s="33">
        <f t="shared" si="26"/>
        <v>5</v>
      </c>
      <c r="S281" s="34">
        <v>6</v>
      </c>
      <c r="T281" s="34">
        <f t="shared" si="27"/>
        <v>6</v>
      </c>
      <c r="U281" s="33">
        <f t="shared" si="28"/>
        <v>180</v>
      </c>
      <c r="V281" s="38" t="s">
        <v>827</v>
      </c>
      <c r="W281" s="39">
        <f t="shared" si="29"/>
        <v>0.14285714285714285</v>
      </c>
      <c r="X281" s="40" t="s">
        <v>304</v>
      </c>
      <c r="Y281" s="40" t="s">
        <v>283</v>
      </c>
      <c r="Z281" s="40" t="s">
        <v>749</v>
      </c>
      <c r="AA281" s="33" t="s">
        <v>749</v>
      </c>
      <c r="AB281" s="95"/>
      <c r="AC281" s="95"/>
    </row>
    <row r="282" spans="1:29" ht="14.45" hidden="1" customHeight="1" x14ac:dyDescent="0.25">
      <c r="A282" s="36" t="str">
        <f>INDEX('Base de données Mono'!C:C,MATCH(B282,'Base de données Mono'!D:D,0))</f>
        <v>OYONNAX</v>
      </c>
      <c r="B282" t="s">
        <v>326</v>
      </c>
      <c r="C282" s="36" t="str">
        <f>INDEX('Base de données Mono'!B:B,MATCH(B282,'Base de données Mono'!D:D,0))</f>
        <v>Monoprix</v>
      </c>
      <c r="D282" s="36" t="str">
        <f>INDEX('Base de données Mono'!A:A,MATCH(B282,'Base de données Mono'!D:D,0))</f>
        <v>JG</v>
      </c>
      <c r="E282" s="37" t="s">
        <v>303</v>
      </c>
      <c r="F282" s="41">
        <f t="shared" si="24"/>
        <v>14</v>
      </c>
      <c r="G282" s="41">
        <f t="shared" si="25"/>
        <v>4</v>
      </c>
      <c r="H282">
        <v>10.33</v>
      </c>
      <c r="I282" s="131">
        <f>INDEX('Base de données Mono'!K:K,MATCH(B282,'Base de données Mono'!D:D,0))</f>
        <v>0.28472222222222221</v>
      </c>
      <c r="J282" s="131">
        <f>INDEX('Base de données Mono'!L:L,MATCH(B282,'Base de données Mono'!D:D,0))</f>
        <v>0.85416666666666663</v>
      </c>
      <c r="K282" s="131">
        <f>INDEX('Base de données Mono'!M:M,MATCH(B282,'Base de données Mono'!D:D,0))</f>
        <v>0.3263888888888889</v>
      </c>
      <c r="L282" s="131">
        <f>INDEX('Base de données Mono'!N:N,MATCH(B282,'Base de données Mono'!D:D,0))</f>
        <v>0.5625</v>
      </c>
      <c r="M282" s="33" t="s">
        <v>46</v>
      </c>
      <c r="N282" s="33">
        <f>IF(AND(E282="Electricité",M282="Hiver"),INDEX('Base de données Mono'!E:E,MATCH(B282,'Base de données Mono'!D:D,0)),IF(AND(E282="Electricité",M282="Mi-saison"),INDEX('Base de données Mono'!F:F,MATCH(B282,'Base de données Mono'!D:D,0)),IF(AND(E282="Electricité",M282="Eté"),INDEX('Base de données Mono'!G:G,MATCH(B282,'Base de données Mono'!D:D,0)),IF(AND(E282="Gaz",M282="Hiver"),INDEX('Base de données Mono'!J:J,MATCH(B282,'Base de données Mono'!D:D,0)),IF(AND(E282="Gaz",M282="Mi-saison"),INDEX('Base de données Mono'!#REF!,MATCH(B282,'Base de données Mono'!D:D,0)),IF(AND(E282="Gaz",M282="Eté"),INDEX('Base de données Mono'!#REF!,MATCH(B282,'Base de données Mono'!D:D,0)),"-"))))))</f>
        <v>25</v>
      </c>
      <c r="O282" s="123">
        <v>45384</v>
      </c>
      <c r="P282" s="123">
        <v>45385</v>
      </c>
      <c r="Q282" s="34">
        <v>40</v>
      </c>
      <c r="R282" s="33">
        <f t="shared" si="26"/>
        <v>15</v>
      </c>
      <c r="S282" s="34">
        <v>2</v>
      </c>
      <c r="T282" s="34">
        <f t="shared" si="27"/>
        <v>1</v>
      </c>
      <c r="U282" s="33">
        <f t="shared" si="28"/>
        <v>30</v>
      </c>
      <c r="V282" s="38" t="s">
        <v>827</v>
      </c>
      <c r="W282" s="39">
        <f t="shared" si="29"/>
        <v>0.6</v>
      </c>
      <c r="X282" s="40" t="s">
        <v>304</v>
      </c>
      <c r="Y282" s="40" t="s">
        <v>283</v>
      </c>
      <c r="Z282" s="40" t="s">
        <v>749</v>
      </c>
      <c r="AA282" s="33" t="s">
        <v>749</v>
      </c>
      <c r="AB282" s="95"/>
      <c r="AC282" s="95"/>
    </row>
    <row r="283" spans="1:29" ht="14.45" hidden="1" customHeight="1" x14ac:dyDescent="0.25">
      <c r="A283" s="36" t="str">
        <f>INDEX('Base de données Mono'!C:C,MATCH(B283,'Base de données Mono'!D:D,0))</f>
        <v>OYONNAX</v>
      </c>
      <c r="B283" t="s">
        <v>326</v>
      </c>
      <c r="C283" s="36" t="str">
        <f>INDEX('Base de données Mono'!B:B,MATCH(B283,'Base de données Mono'!D:D,0))</f>
        <v>Monoprix</v>
      </c>
      <c r="D283" s="36" t="str">
        <f>INDEX('Base de données Mono'!A:A,MATCH(B283,'Base de données Mono'!D:D,0))</f>
        <v>JG</v>
      </c>
      <c r="E283" s="37" t="s">
        <v>303</v>
      </c>
      <c r="F283" s="41">
        <f t="shared" si="24"/>
        <v>14</v>
      </c>
      <c r="G283" s="41">
        <f t="shared" si="25"/>
        <v>4</v>
      </c>
      <c r="H283">
        <v>10.33</v>
      </c>
      <c r="I283" s="131">
        <f>INDEX('Base de données Mono'!K:K,MATCH(B283,'Base de données Mono'!D:D,0))</f>
        <v>0.28472222222222221</v>
      </c>
      <c r="J283" s="131">
        <f>INDEX('Base de données Mono'!L:L,MATCH(B283,'Base de données Mono'!D:D,0))</f>
        <v>0.85416666666666663</v>
      </c>
      <c r="K283" s="131">
        <f>INDEX('Base de données Mono'!M:M,MATCH(B283,'Base de données Mono'!D:D,0))</f>
        <v>0.3263888888888889</v>
      </c>
      <c r="L283" s="131">
        <f>INDEX('Base de données Mono'!N:N,MATCH(B283,'Base de données Mono'!D:D,0))</f>
        <v>0.5625</v>
      </c>
      <c r="M283" s="33" t="s">
        <v>46</v>
      </c>
      <c r="N283" s="33">
        <f>IF(AND(E283="Electricité",M283="Hiver"),INDEX('Base de données Mono'!E:E,MATCH(B283,'Base de données Mono'!D:D,0)),IF(AND(E283="Electricité",M283="Mi-saison"),INDEX('Base de données Mono'!F:F,MATCH(B283,'Base de données Mono'!D:D,0)),IF(AND(E283="Electricité",M283="Eté"),INDEX('Base de données Mono'!G:G,MATCH(B283,'Base de données Mono'!D:D,0)),IF(AND(E283="Gaz",M283="Hiver"),INDEX('Base de données Mono'!J:J,MATCH(B283,'Base de données Mono'!D:D,0)),IF(AND(E283="Gaz",M283="Mi-saison"),INDEX('Base de données Mono'!#REF!,MATCH(B283,'Base de données Mono'!D:D,0)),IF(AND(E283="Gaz",M283="Eté"),INDEX('Base de données Mono'!#REF!,MATCH(B283,'Base de données Mono'!D:D,0)),"-"))))))</f>
        <v>25</v>
      </c>
      <c r="O283" s="123">
        <v>45385</v>
      </c>
      <c r="P283" s="123">
        <v>45387</v>
      </c>
      <c r="Q283" s="34">
        <v>45</v>
      </c>
      <c r="R283" s="33">
        <f t="shared" si="26"/>
        <v>20</v>
      </c>
      <c r="S283" s="34">
        <v>1</v>
      </c>
      <c r="T283" s="34">
        <f t="shared" si="27"/>
        <v>2</v>
      </c>
      <c r="U283" s="33">
        <f t="shared" si="28"/>
        <v>40</v>
      </c>
      <c r="V283" s="38" t="s">
        <v>827</v>
      </c>
      <c r="W283" s="39">
        <f t="shared" si="29"/>
        <v>0.8</v>
      </c>
      <c r="X283" s="40" t="s">
        <v>304</v>
      </c>
      <c r="Y283" s="40" t="s">
        <v>283</v>
      </c>
      <c r="Z283" s="40" t="s">
        <v>749</v>
      </c>
      <c r="AA283" s="33" t="s">
        <v>749</v>
      </c>
      <c r="AB283" s="95"/>
      <c r="AC283" s="95"/>
    </row>
    <row r="284" spans="1:29" ht="14.45" hidden="1" customHeight="1" x14ac:dyDescent="0.25">
      <c r="A284" s="36" t="str">
        <f>INDEX('Base de données Mono'!C:C,MATCH(B284,'Base de données Mono'!D:D,0))</f>
        <v>OYONNAX</v>
      </c>
      <c r="B284" t="s">
        <v>326</v>
      </c>
      <c r="C284" s="36" t="str">
        <f>INDEX('Base de données Mono'!B:B,MATCH(B284,'Base de données Mono'!D:D,0))</f>
        <v>Monoprix</v>
      </c>
      <c r="D284" s="36" t="str">
        <f>INDEX('Base de données Mono'!A:A,MATCH(B284,'Base de données Mono'!D:D,0))</f>
        <v>JG</v>
      </c>
      <c r="E284" s="37" t="s">
        <v>303</v>
      </c>
      <c r="F284" s="41">
        <f t="shared" si="24"/>
        <v>14</v>
      </c>
      <c r="G284" s="41">
        <f t="shared" si="25"/>
        <v>4</v>
      </c>
      <c r="H284">
        <v>10.33</v>
      </c>
      <c r="I284" s="131">
        <f>INDEX('Base de données Mono'!K:K,MATCH(B284,'Base de données Mono'!D:D,0))</f>
        <v>0.28472222222222221</v>
      </c>
      <c r="J284" s="131">
        <f>INDEX('Base de données Mono'!L:L,MATCH(B284,'Base de données Mono'!D:D,0))</f>
        <v>0.85416666666666663</v>
      </c>
      <c r="K284" s="131">
        <f>INDEX('Base de données Mono'!M:M,MATCH(B284,'Base de données Mono'!D:D,0))</f>
        <v>0.3263888888888889</v>
      </c>
      <c r="L284" s="131">
        <f>INDEX('Base de données Mono'!N:N,MATCH(B284,'Base de données Mono'!D:D,0))</f>
        <v>0.5625</v>
      </c>
      <c r="M284" s="33" t="s">
        <v>46</v>
      </c>
      <c r="N284" s="33">
        <f>IF(AND(E284="Electricité",M284="Hiver"),INDEX('Base de données Mono'!E:E,MATCH(B284,'Base de données Mono'!D:D,0)),IF(AND(E284="Electricité",M284="Mi-saison"),INDEX('Base de données Mono'!F:F,MATCH(B284,'Base de données Mono'!D:D,0)),IF(AND(E284="Electricité",M284="Eté"),INDEX('Base de données Mono'!G:G,MATCH(B284,'Base de données Mono'!D:D,0)),IF(AND(E284="Gaz",M284="Hiver"),INDEX('Base de données Mono'!J:J,MATCH(B284,'Base de données Mono'!D:D,0)),IF(AND(E284="Gaz",M284="Mi-saison"),INDEX('Base de données Mono'!#REF!,MATCH(B284,'Base de données Mono'!D:D,0)),IF(AND(E284="Gaz",M284="Eté"),INDEX('Base de données Mono'!#REF!,MATCH(B284,'Base de données Mono'!D:D,0)),"-"))))))</f>
        <v>25</v>
      </c>
      <c r="O284" s="123">
        <v>45386</v>
      </c>
      <c r="P284" s="123">
        <v>45387</v>
      </c>
      <c r="Q284" s="34">
        <v>30</v>
      </c>
      <c r="R284" s="33">
        <f t="shared" si="26"/>
        <v>5</v>
      </c>
      <c r="S284" s="34">
        <v>1</v>
      </c>
      <c r="T284" s="34">
        <f t="shared" si="27"/>
        <v>1</v>
      </c>
      <c r="U284" s="33">
        <f t="shared" si="28"/>
        <v>5</v>
      </c>
      <c r="V284" s="38" t="s">
        <v>827</v>
      </c>
      <c r="W284" s="39">
        <f t="shared" si="29"/>
        <v>0.2</v>
      </c>
      <c r="X284" s="40" t="s">
        <v>304</v>
      </c>
      <c r="Y284" s="40" t="s">
        <v>283</v>
      </c>
      <c r="Z284" s="40" t="s">
        <v>749</v>
      </c>
      <c r="AA284" s="33" t="s">
        <v>749</v>
      </c>
      <c r="AB284" s="95"/>
      <c r="AC284" s="95"/>
    </row>
    <row r="285" spans="1:29" ht="14.45" hidden="1" customHeight="1" x14ac:dyDescent="0.25">
      <c r="A285" s="36" t="str">
        <f>INDEX('Base de données Mono'!C:C,MATCH(B285,'Base de données Mono'!D:D,0))</f>
        <v>ROMORANTIN</v>
      </c>
      <c r="B285" t="s">
        <v>331</v>
      </c>
      <c r="C285" s="36" t="str">
        <f>INDEX('Base de données Mono'!B:B,MATCH(B285,'Base de données Mono'!D:D,0))</f>
        <v>Monoprix</v>
      </c>
      <c r="D285" s="36" t="str">
        <f>INDEX('Base de données Mono'!A:A,MATCH(B285,'Base de données Mono'!D:D,0))</f>
        <v>JG</v>
      </c>
      <c r="E285" s="37" t="s">
        <v>303</v>
      </c>
      <c r="F285" s="41">
        <f t="shared" si="24"/>
        <v>14</v>
      </c>
      <c r="G285" s="41">
        <f t="shared" si="25"/>
        <v>4</v>
      </c>
      <c r="H285">
        <v>10.5</v>
      </c>
      <c r="I285" s="131">
        <f>INDEX('Base de données Mono'!K:K,MATCH(B285,'Base de données Mono'!D:D,0))</f>
        <v>0.25</v>
      </c>
      <c r="J285" s="131">
        <f>INDEX('Base de données Mono'!L:L,MATCH(B285,'Base de données Mono'!D:D,0))</f>
        <v>0.8125</v>
      </c>
      <c r="K285" s="131" t="str">
        <f>INDEX('Base de données Mono'!M:M,MATCH(B285,'Base de données Mono'!D:D,0))</f>
        <v>-</v>
      </c>
      <c r="L285" s="131" t="str">
        <f>INDEX('Base de données Mono'!N:N,MATCH(B285,'Base de données Mono'!D:D,0))</f>
        <v>-</v>
      </c>
      <c r="M285" s="33" t="s">
        <v>46</v>
      </c>
      <c r="N285" s="33">
        <f>IF(AND(E285="Electricité",M285="Hiver"),INDEX('Base de données Mono'!E:E,MATCH(B285,'Base de données Mono'!D:D,0)),IF(AND(E285="Electricité",M285="Mi-saison"),INDEX('Base de données Mono'!F:F,MATCH(B285,'Base de données Mono'!D:D,0)),IF(AND(E285="Electricité",M285="Eté"),INDEX('Base de données Mono'!G:G,MATCH(B285,'Base de données Mono'!D:D,0)),IF(AND(E285="Gaz",M285="Hiver"),INDEX('Base de données Mono'!J:J,MATCH(B285,'Base de données Mono'!D:D,0)),IF(AND(E285="Gaz",M285="Mi-saison"),INDEX('Base de données Mono'!#REF!,MATCH(B285,'Base de données Mono'!D:D,0)),IF(AND(E285="Gaz",M285="Eté"),INDEX('Base de données Mono'!#REF!,MATCH(B285,'Base de données Mono'!D:D,0)),"-"))))))</f>
        <v>10</v>
      </c>
      <c r="O285" s="123">
        <v>45385</v>
      </c>
      <c r="P285" s="123">
        <v>45386</v>
      </c>
      <c r="Q285" s="34">
        <v>20</v>
      </c>
      <c r="R285" s="33">
        <f t="shared" si="26"/>
        <v>10</v>
      </c>
      <c r="S285" s="34">
        <v>1</v>
      </c>
      <c r="T285" s="34">
        <f t="shared" si="27"/>
        <v>1</v>
      </c>
      <c r="U285" s="33">
        <f t="shared" si="28"/>
        <v>10</v>
      </c>
      <c r="V285" s="38" t="s">
        <v>827</v>
      </c>
      <c r="W285" s="39">
        <f t="shared" si="29"/>
        <v>1</v>
      </c>
      <c r="X285" s="40" t="s">
        <v>304</v>
      </c>
      <c r="Y285" s="40" t="s">
        <v>283</v>
      </c>
      <c r="Z285" s="40" t="s">
        <v>749</v>
      </c>
      <c r="AA285" s="33" t="s">
        <v>749</v>
      </c>
      <c r="AB285" s="95"/>
      <c r="AC285" s="95"/>
    </row>
    <row r="286" spans="1:29" ht="14.45" hidden="1" customHeight="1" x14ac:dyDescent="0.25">
      <c r="A286" s="36" t="str">
        <f>INDEX('Base de données Mono'!C:C,MATCH(B286,'Base de données Mono'!D:D,0))</f>
        <v>CHARENTON</v>
      </c>
      <c r="B286" t="s">
        <v>357</v>
      </c>
      <c r="C286" s="36" t="str">
        <f>INDEX('Base de données Mono'!B:B,MATCH(B286,'Base de données Mono'!D:D,0))</f>
        <v>Monoprix</v>
      </c>
      <c r="D286" s="36" t="str">
        <f>INDEX('Base de données Mono'!A:A,MATCH(B286,'Base de données Mono'!D:D,0))</f>
        <v>JG</v>
      </c>
      <c r="E286" s="37" t="s">
        <v>303</v>
      </c>
      <c r="F286" s="41">
        <f t="shared" si="24"/>
        <v>14</v>
      </c>
      <c r="G286" s="41">
        <f t="shared" si="25"/>
        <v>4</v>
      </c>
      <c r="H286">
        <v>7.75</v>
      </c>
      <c r="I286" s="131">
        <f>INDEX('Base de données Mono'!K:K,MATCH(B286,'Base de données Mono'!D:D,0))</f>
        <v>0.22916666666666666</v>
      </c>
      <c r="J286" s="131">
        <f>INDEX('Base de données Mono'!L:L,MATCH(B286,'Base de données Mono'!D:D,0))</f>
        <v>0.90625</v>
      </c>
      <c r="K286" s="131">
        <f>INDEX('Base de données Mono'!M:M,MATCH(B286,'Base de données Mono'!D:D,0))</f>
        <v>0.27777777777777779</v>
      </c>
      <c r="L286" s="131">
        <f>INDEX('Base de données Mono'!N:N,MATCH(B286,'Base de données Mono'!D:D,0))</f>
        <v>0.55555555555555558</v>
      </c>
      <c r="M286" s="33" t="s">
        <v>46</v>
      </c>
      <c r="N286" s="33">
        <f>IF(AND(E286="Electricité",M286="Hiver"),INDEX('Base de données Mono'!E:E,MATCH(B286,'Base de données Mono'!D:D,0)),IF(AND(E286="Electricité",M286="Mi-saison"),INDEX('Base de données Mono'!F:F,MATCH(B286,'Base de données Mono'!D:D,0)),IF(AND(E286="Electricité",M286="Eté"),INDEX('Base de données Mono'!G:G,MATCH(B286,'Base de données Mono'!D:D,0)),IF(AND(E286="Gaz",M286="Hiver"),INDEX('Base de données Mono'!J:J,MATCH(B286,'Base de données Mono'!D:D,0)),IF(AND(E286="Gaz",M286="Mi-saison"),INDEX('Base de données Mono'!#REF!,MATCH(B286,'Base de données Mono'!D:D,0)),IF(AND(E286="Gaz",M286="Eté"),INDEX('Base de données Mono'!#REF!,MATCH(B286,'Base de données Mono'!D:D,0)),"-"))))))</f>
        <v>75</v>
      </c>
      <c r="O286" s="123">
        <v>45383</v>
      </c>
      <c r="P286" s="123">
        <v>45388</v>
      </c>
      <c r="Q286" s="34">
        <v>100</v>
      </c>
      <c r="R286" s="33">
        <f t="shared" si="26"/>
        <v>25</v>
      </c>
      <c r="S286" s="34">
        <v>1</v>
      </c>
      <c r="T286" s="34">
        <f t="shared" si="27"/>
        <v>5</v>
      </c>
      <c r="U286" s="33">
        <f t="shared" si="28"/>
        <v>125</v>
      </c>
      <c r="V286" s="38" t="s">
        <v>827</v>
      </c>
      <c r="W286" s="39">
        <f t="shared" si="29"/>
        <v>0.33333333333333331</v>
      </c>
      <c r="X286" s="40" t="s">
        <v>304</v>
      </c>
      <c r="Y286" s="40" t="s">
        <v>283</v>
      </c>
      <c r="Z286" s="40" t="s">
        <v>749</v>
      </c>
      <c r="AA286" s="33" t="s">
        <v>749</v>
      </c>
      <c r="AB286" s="95"/>
      <c r="AC286" s="95"/>
    </row>
    <row r="287" spans="1:29" ht="14.45" hidden="1" customHeight="1" x14ac:dyDescent="0.25">
      <c r="A287" s="36" t="str">
        <f>INDEX('Base de données Mono'!C:C,MATCH(B287,'Base de données Mono'!D:D,0))</f>
        <v>CHÂTEAU ST GERMAIN</v>
      </c>
      <c r="B287" t="s">
        <v>327</v>
      </c>
      <c r="C287" s="36" t="str">
        <f>INDEX('Base de données Mono'!B:B,MATCH(B287,'Base de données Mono'!D:D,0))</f>
        <v>Monop</v>
      </c>
      <c r="D287" s="36" t="str">
        <f>INDEX('Base de données Mono'!A:A,MATCH(B287,'Base de données Mono'!D:D,0))</f>
        <v>AD</v>
      </c>
      <c r="E287" s="37" t="s">
        <v>303</v>
      </c>
      <c r="F287" s="41">
        <f t="shared" ref="F287:F337" si="30">IF(O287="","-",IF(AND(X287="Nuit",WEEKDAY(O287,2)=7,O287&lt;&gt;P287),WEEKNUM(O287,2),WEEKNUM(O287,2)-1))+1</f>
        <v>14</v>
      </c>
      <c r="G287" s="41">
        <f t="shared" ref="G287:G337" si="31">IF(O287="","-",MONTH(O287))</f>
        <v>4</v>
      </c>
      <c r="H287">
        <v>10</v>
      </c>
      <c r="I287" s="131">
        <f>INDEX('Base de données Mono'!K:K,MATCH(B287,'Base de données Mono'!D:D,0))</f>
        <v>0.27083333333333331</v>
      </c>
      <c r="J287" s="131">
        <f>INDEX('Base de données Mono'!L:L,MATCH(B287,'Base de données Mono'!D:D,0))</f>
        <v>0.85416666666666663</v>
      </c>
      <c r="K287" s="131" t="str">
        <f>INDEX('Base de données Mono'!M:M,MATCH(B287,'Base de données Mono'!D:D,0))</f>
        <v>-</v>
      </c>
      <c r="L287" s="131" t="str">
        <f>INDEX('Base de données Mono'!N:N,MATCH(B287,'Base de données Mono'!D:D,0))</f>
        <v>-</v>
      </c>
      <c r="M287" s="33" t="s">
        <v>46</v>
      </c>
      <c r="N287" s="33">
        <f>IF(AND(E287="Electricité",M287="Hiver"),INDEX('Base de données Mono'!E:E,MATCH(B287,'Base de données Mono'!D:D,0)),IF(AND(E287="Electricité",M287="Mi-saison"),INDEX('Base de données Mono'!F:F,MATCH(B287,'Base de données Mono'!D:D,0)),IF(AND(E287="Electricité",M287="Eté"),INDEX('Base de données Mono'!G:G,MATCH(B287,'Base de données Mono'!D:D,0)),IF(AND(E287="Gaz",M287="Hiver"),INDEX('Base de données Mono'!J:J,MATCH(B287,'Base de données Mono'!D:D,0)),IF(AND(E287="Gaz",M287="Mi-saison"),INDEX('Base de données Mono'!#REF!,MATCH(B287,'Base de données Mono'!D:D,0)),IF(AND(E287="Gaz",M287="Eté"),INDEX('Base de données Mono'!#REF!,MATCH(B287,'Base de données Mono'!D:D,0)),"-"))))))</f>
        <v>15</v>
      </c>
      <c r="O287" s="123">
        <v>45383</v>
      </c>
      <c r="P287" s="123">
        <v>45387</v>
      </c>
      <c r="Q287" s="34">
        <v>30</v>
      </c>
      <c r="R287" s="33">
        <f t="shared" ref="R287:R337" si="32">IF(Q287="","",Q287-N287)</f>
        <v>15</v>
      </c>
      <c r="S287" s="34">
        <v>1</v>
      </c>
      <c r="T287" s="34">
        <f t="shared" ref="T287:T337" si="33">P287-O287</f>
        <v>4</v>
      </c>
      <c r="U287" s="33">
        <f t="shared" ref="U287:U337" si="34">R287*S287*T287</f>
        <v>60</v>
      </c>
      <c r="V287" s="38" t="s">
        <v>827</v>
      </c>
      <c r="W287" s="39">
        <f t="shared" ref="W287:W337" si="35">IFERROR(IF(E287="Gaz","-",R287/N287),"-")</f>
        <v>1</v>
      </c>
      <c r="X287" s="40" t="s">
        <v>304</v>
      </c>
      <c r="Y287" s="40" t="s">
        <v>283</v>
      </c>
      <c r="Z287" s="40" t="s">
        <v>749</v>
      </c>
      <c r="AA287" s="33" t="s">
        <v>749</v>
      </c>
      <c r="AB287" s="95"/>
      <c r="AC287" s="95"/>
    </row>
    <row r="288" spans="1:29" ht="14.45" hidden="1" customHeight="1" x14ac:dyDescent="0.25">
      <c r="A288" s="36" t="str">
        <f>INDEX('Base de données Mono'!C:C,MATCH(B288,'Base de données Mono'!D:D,0))</f>
        <v>GAP</v>
      </c>
      <c r="B288" t="s">
        <v>336</v>
      </c>
      <c r="C288" s="36" t="str">
        <f>INDEX('Base de données Mono'!B:B,MATCH(B288,'Base de données Mono'!D:D,0))</f>
        <v>Monoprix</v>
      </c>
      <c r="D288" s="36" t="str">
        <f>INDEX('Base de données Mono'!A:A,MATCH(B288,'Base de données Mono'!D:D,0))</f>
        <v>JG</v>
      </c>
      <c r="E288" s="37" t="s">
        <v>303</v>
      </c>
      <c r="F288" s="41">
        <f t="shared" si="30"/>
        <v>14</v>
      </c>
      <c r="G288" s="41">
        <f t="shared" si="31"/>
        <v>4</v>
      </c>
      <c r="H288">
        <v>9.5</v>
      </c>
      <c r="I288" s="131">
        <f>INDEX('Base de données Mono'!K:K,MATCH(B288,'Base de données Mono'!D:D,0))</f>
        <v>0.22916666666666666</v>
      </c>
      <c r="J288" s="131">
        <f>INDEX('Base de données Mono'!L:L,MATCH(B288,'Base de données Mono'!D:D,0))</f>
        <v>0.83333333333333337</v>
      </c>
      <c r="K288" s="131">
        <f>INDEX('Base de données Mono'!M:M,MATCH(B288,'Base de données Mono'!D:D,0))</f>
        <v>0.33333333333333331</v>
      </c>
      <c r="L288" s="131">
        <f>INDEX('Base de données Mono'!N:N,MATCH(B288,'Base de données Mono'!D:D,0))</f>
        <v>0.54166666666666663</v>
      </c>
      <c r="M288" s="33" t="s">
        <v>46</v>
      </c>
      <c r="N288" s="33">
        <f>IF(AND(E288="Electricité",M288="Hiver"),INDEX('Base de données Mono'!E:E,MATCH(B288,'Base de données Mono'!D:D,0)),IF(AND(E288="Electricité",M288="Mi-saison"),INDEX('Base de données Mono'!F:F,MATCH(B288,'Base de données Mono'!D:D,0)),IF(AND(E288="Electricité",M288="Eté"),INDEX('Base de données Mono'!G:G,MATCH(B288,'Base de données Mono'!D:D,0)),IF(AND(E288="Gaz",M288="Hiver"),INDEX('Base de données Mono'!J:J,MATCH(B288,'Base de données Mono'!D:D,0)),IF(AND(E288="Gaz",M288="Mi-saison"),INDEX('Base de données Mono'!#REF!,MATCH(B288,'Base de données Mono'!D:D,0)),IF(AND(E288="Gaz",M288="Eté"),INDEX('Base de données Mono'!#REF!,MATCH(B288,'Base de données Mono'!D:D,0)),"-"))))))</f>
        <v>20</v>
      </c>
      <c r="O288" s="123">
        <v>45386</v>
      </c>
      <c r="P288" s="123">
        <v>45387</v>
      </c>
      <c r="Q288" s="34">
        <v>30</v>
      </c>
      <c r="R288" s="33">
        <f t="shared" si="32"/>
        <v>10</v>
      </c>
      <c r="S288" s="34">
        <v>3</v>
      </c>
      <c r="T288" s="34">
        <f t="shared" si="33"/>
        <v>1</v>
      </c>
      <c r="U288" s="33">
        <f t="shared" si="34"/>
        <v>30</v>
      </c>
      <c r="V288" s="38" t="s">
        <v>827</v>
      </c>
      <c r="W288" s="39">
        <f t="shared" si="35"/>
        <v>0.5</v>
      </c>
      <c r="X288" s="40" t="s">
        <v>304</v>
      </c>
      <c r="Y288" s="40" t="s">
        <v>283</v>
      </c>
      <c r="Z288" s="40" t="s">
        <v>749</v>
      </c>
      <c r="AA288" s="33" t="s">
        <v>749</v>
      </c>
      <c r="AB288" s="95"/>
      <c r="AC288" s="95"/>
    </row>
    <row r="289" spans="1:29" ht="14.45" hidden="1" customHeight="1" x14ac:dyDescent="0.25">
      <c r="A289" s="36" t="str">
        <f>INDEX('Base de données Mono'!C:C,MATCH(B289,'Base de données Mono'!D:D,0))</f>
        <v>CHÂTEAU ST GERMAIN</v>
      </c>
      <c r="B289" t="s">
        <v>327</v>
      </c>
      <c r="C289" s="36" t="str">
        <f>INDEX('Base de données Mono'!B:B,MATCH(B289,'Base de données Mono'!D:D,0))</f>
        <v>Monop</v>
      </c>
      <c r="D289" s="36" t="str">
        <f>INDEX('Base de données Mono'!A:A,MATCH(B289,'Base de données Mono'!D:D,0))</f>
        <v>AD</v>
      </c>
      <c r="E289" s="37" t="s">
        <v>303</v>
      </c>
      <c r="F289" s="41">
        <f t="shared" si="30"/>
        <v>14</v>
      </c>
      <c r="G289" s="41">
        <f t="shared" si="31"/>
        <v>4</v>
      </c>
      <c r="H289">
        <v>10</v>
      </c>
      <c r="I289" s="131">
        <f>INDEX('Base de données Mono'!K:K,MATCH(B289,'Base de données Mono'!D:D,0))</f>
        <v>0.27083333333333331</v>
      </c>
      <c r="J289" s="131">
        <f>INDEX('Base de données Mono'!L:L,MATCH(B289,'Base de données Mono'!D:D,0))</f>
        <v>0.85416666666666663</v>
      </c>
      <c r="K289" s="131" t="str">
        <f>INDEX('Base de données Mono'!M:M,MATCH(B289,'Base de données Mono'!D:D,0))</f>
        <v>-</v>
      </c>
      <c r="L289" s="131" t="str">
        <f>INDEX('Base de données Mono'!N:N,MATCH(B289,'Base de données Mono'!D:D,0))</f>
        <v>-</v>
      </c>
      <c r="M289" s="33" t="s">
        <v>46</v>
      </c>
      <c r="N289" s="33">
        <f>IF(AND(E289="Electricité",M289="Hiver"),INDEX('Base de données Mono'!E:E,MATCH(B289,'Base de données Mono'!D:D,0)),IF(AND(E289="Electricité",M289="Mi-saison"),INDEX('Base de données Mono'!F:F,MATCH(B289,'Base de données Mono'!D:D,0)),IF(AND(E289="Electricité",M289="Eté"),INDEX('Base de données Mono'!G:G,MATCH(B289,'Base de données Mono'!D:D,0)),IF(AND(E289="Gaz",M289="Hiver"),INDEX('Base de données Mono'!J:J,MATCH(B289,'Base de données Mono'!D:D,0)),IF(AND(E289="Gaz",M289="Mi-saison"),INDEX('Base de données Mono'!#REF!,MATCH(B289,'Base de données Mono'!D:D,0)),IF(AND(E289="Gaz",M289="Eté"),INDEX('Base de données Mono'!#REF!,MATCH(B289,'Base de données Mono'!D:D,0)),"-"))))))</f>
        <v>15</v>
      </c>
      <c r="O289" s="123">
        <v>45386</v>
      </c>
      <c r="P289" s="123">
        <v>45389</v>
      </c>
      <c r="Q289" s="34">
        <v>30</v>
      </c>
      <c r="R289" s="33">
        <f t="shared" si="32"/>
        <v>15</v>
      </c>
      <c r="S289" s="34">
        <v>2</v>
      </c>
      <c r="T289" s="34">
        <f t="shared" si="33"/>
        <v>3</v>
      </c>
      <c r="U289" s="33">
        <f t="shared" si="34"/>
        <v>90</v>
      </c>
      <c r="V289" s="38" t="s">
        <v>827</v>
      </c>
      <c r="W289" s="39">
        <f t="shared" si="35"/>
        <v>1</v>
      </c>
      <c r="X289" s="40" t="s">
        <v>304</v>
      </c>
      <c r="Y289" s="40" t="s">
        <v>283</v>
      </c>
      <c r="Z289" s="40" t="s">
        <v>749</v>
      </c>
      <c r="AA289" s="33" t="s">
        <v>749</v>
      </c>
      <c r="AB289" s="95"/>
      <c r="AC289" s="95"/>
    </row>
    <row r="290" spans="1:29" ht="14.45" hidden="1" customHeight="1" x14ac:dyDescent="0.25">
      <c r="A290" s="36" t="str">
        <f>INDEX('Base de données Mono'!C:C,MATCH(B290,'Base de données Mono'!D:D,0))</f>
        <v>CHÂTEAU ST GERMAIN</v>
      </c>
      <c r="B290" t="s">
        <v>327</v>
      </c>
      <c r="C290" s="36" t="str">
        <f>INDEX('Base de données Mono'!B:B,MATCH(B290,'Base de données Mono'!D:D,0))</f>
        <v>Monop</v>
      </c>
      <c r="D290" s="36" t="str">
        <f>INDEX('Base de données Mono'!A:A,MATCH(B290,'Base de données Mono'!D:D,0))</f>
        <v>AD</v>
      </c>
      <c r="E290" s="37" t="s">
        <v>303</v>
      </c>
      <c r="F290" s="41">
        <f t="shared" si="30"/>
        <v>14</v>
      </c>
      <c r="G290" s="41">
        <f t="shared" si="31"/>
        <v>4</v>
      </c>
      <c r="H290">
        <v>10</v>
      </c>
      <c r="I290" s="131">
        <f>INDEX('Base de données Mono'!K:K,MATCH(B290,'Base de données Mono'!D:D,0))</f>
        <v>0.27083333333333331</v>
      </c>
      <c r="J290" s="131">
        <f>INDEX('Base de données Mono'!L:L,MATCH(B290,'Base de données Mono'!D:D,0))</f>
        <v>0.85416666666666663</v>
      </c>
      <c r="K290" s="131" t="str">
        <f>INDEX('Base de données Mono'!M:M,MATCH(B290,'Base de données Mono'!D:D,0))</f>
        <v>-</v>
      </c>
      <c r="L290" s="131" t="str">
        <f>INDEX('Base de données Mono'!N:N,MATCH(B290,'Base de données Mono'!D:D,0))</f>
        <v>-</v>
      </c>
      <c r="M290" s="33" t="s">
        <v>46</v>
      </c>
      <c r="N290" s="33">
        <f>IF(AND(E290="Electricité",M290="Hiver"),INDEX('Base de données Mono'!E:E,MATCH(B290,'Base de données Mono'!D:D,0)),IF(AND(E290="Electricité",M290="Mi-saison"),INDEX('Base de données Mono'!F:F,MATCH(B290,'Base de données Mono'!D:D,0)),IF(AND(E290="Electricité",M290="Eté"),INDEX('Base de données Mono'!G:G,MATCH(B290,'Base de données Mono'!D:D,0)),IF(AND(E290="Gaz",M290="Hiver"),INDEX('Base de données Mono'!J:J,MATCH(B290,'Base de données Mono'!D:D,0)),IF(AND(E290="Gaz",M290="Mi-saison"),INDEX('Base de données Mono'!#REF!,MATCH(B290,'Base de données Mono'!D:D,0)),IF(AND(E290="Gaz",M290="Eté"),INDEX('Base de données Mono'!#REF!,MATCH(B290,'Base de données Mono'!D:D,0)),"-"))))))</f>
        <v>15</v>
      </c>
      <c r="O290" s="123">
        <v>45388</v>
      </c>
      <c r="P290" s="123">
        <v>45389</v>
      </c>
      <c r="Q290" s="34">
        <v>45</v>
      </c>
      <c r="R290" s="33">
        <f t="shared" si="32"/>
        <v>30</v>
      </c>
      <c r="S290" s="34">
        <v>1</v>
      </c>
      <c r="T290" s="34">
        <f t="shared" si="33"/>
        <v>1</v>
      </c>
      <c r="U290" s="33">
        <f t="shared" si="34"/>
        <v>30</v>
      </c>
      <c r="V290" s="38" t="s">
        <v>827</v>
      </c>
      <c r="W290" s="39">
        <f t="shared" si="35"/>
        <v>2</v>
      </c>
      <c r="X290" s="40" t="s">
        <v>304</v>
      </c>
      <c r="Y290" s="40" t="s">
        <v>283</v>
      </c>
      <c r="Z290" s="40" t="s">
        <v>749</v>
      </c>
      <c r="AA290" s="33" t="s">
        <v>749</v>
      </c>
      <c r="AB290" s="95"/>
      <c r="AC290" s="95"/>
    </row>
    <row r="291" spans="1:29" ht="14.45" hidden="1" customHeight="1" x14ac:dyDescent="0.25">
      <c r="A291" s="36" t="str">
        <f>INDEX('Base de données Mono'!C:C,MATCH(B291,'Base de données Mono'!D:D,0))</f>
        <v>SAINT CLOUD</v>
      </c>
      <c r="B291" t="s">
        <v>348</v>
      </c>
      <c r="C291" s="36" t="str">
        <f>INDEX('Base de données Mono'!B:B,MATCH(B291,'Base de données Mono'!D:D,0))</f>
        <v>Monoprix</v>
      </c>
      <c r="D291" s="36" t="str">
        <f>INDEX('Base de données Mono'!A:A,MATCH(B291,'Base de données Mono'!D:D,0))</f>
        <v>AD</v>
      </c>
      <c r="E291" s="37" t="s">
        <v>303</v>
      </c>
      <c r="F291" s="41">
        <f t="shared" si="30"/>
        <v>14</v>
      </c>
      <c r="G291" s="41">
        <f t="shared" si="31"/>
        <v>4</v>
      </c>
      <c r="H291">
        <v>8</v>
      </c>
      <c r="I291" s="131">
        <f>INDEX('Base de données Mono'!K:K,MATCH(B291,'Base de données Mono'!D:D,0))</f>
        <v>0.16666666666666666</v>
      </c>
      <c r="J291" s="131">
        <f>INDEX('Base de données Mono'!L:L,MATCH(B291,'Base de données Mono'!D:D,0))</f>
        <v>0.83333333333333337</v>
      </c>
      <c r="K291" s="131">
        <f>INDEX('Base de données Mono'!M:M,MATCH(B291,'Base de données Mono'!D:D,0))</f>
        <v>0.27083333333333331</v>
      </c>
      <c r="L291" s="131">
        <f>INDEX('Base de données Mono'!N:N,MATCH(B291,'Base de données Mono'!D:D,0))</f>
        <v>0.8125</v>
      </c>
      <c r="M291" s="33" t="s">
        <v>46</v>
      </c>
      <c r="N291" s="33">
        <f>IF(AND(E291="Electricité",M291="Hiver"),INDEX('Base de données Mono'!E:E,MATCH(B291,'Base de données Mono'!D:D,0)),IF(AND(E291="Electricité",M291="Mi-saison"),INDEX('Base de données Mono'!F:F,MATCH(B291,'Base de données Mono'!D:D,0)),IF(AND(E291="Electricité",M291="Eté"),INDEX('Base de données Mono'!G:G,MATCH(B291,'Base de données Mono'!D:D,0)),IF(AND(E291="Gaz",M291="Hiver"),INDEX('Base de données Mono'!J:J,MATCH(B291,'Base de données Mono'!D:D,0)),IF(AND(E291="Gaz",M291="Mi-saison"),INDEX('Base de données Mono'!#REF!,MATCH(B291,'Base de données Mono'!D:D,0)),IF(AND(E291="Gaz",M291="Eté"),INDEX('Base de données Mono'!#REF!,MATCH(B291,'Base de données Mono'!D:D,0)),"-"))))))</f>
        <v>110</v>
      </c>
      <c r="O291" s="123">
        <v>45383</v>
      </c>
      <c r="P291" s="123">
        <v>45386</v>
      </c>
      <c r="Q291" s="34">
        <v>120</v>
      </c>
      <c r="R291" s="33">
        <f t="shared" si="32"/>
        <v>10</v>
      </c>
      <c r="S291" s="34">
        <v>2</v>
      </c>
      <c r="T291" s="34">
        <f t="shared" si="33"/>
        <v>3</v>
      </c>
      <c r="U291" s="33">
        <f t="shared" si="34"/>
        <v>60</v>
      </c>
      <c r="V291" s="38" t="s">
        <v>827</v>
      </c>
      <c r="W291" s="39">
        <f t="shared" si="35"/>
        <v>9.0909090909090912E-2</v>
      </c>
      <c r="X291" s="40" t="s">
        <v>304</v>
      </c>
      <c r="Y291" s="40" t="s">
        <v>283</v>
      </c>
      <c r="Z291" s="40" t="s">
        <v>749</v>
      </c>
      <c r="AA291" s="33" t="s">
        <v>749</v>
      </c>
      <c r="AB291" s="95"/>
      <c r="AC291" s="95"/>
    </row>
    <row r="292" spans="1:29" ht="14.45" hidden="1" customHeight="1" x14ac:dyDescent="0.25">
      <c r="A292" s="36" t="str">
        <f>INDEX('Base de données Mono'!C:C,MATCH(B292,'Base de données Mono'!D:D,0))</f>
        <v>SAINT CLOUD</v>
      </c>
      <c r="B292" t="s">
        <v>348</v>
      </c>
      <c r="C292" s="36" t="str">
        <f>INDEX('Base de données Mono'!B:B,MATCH(B292,'Base de données Mono'!D:D,0))</f>
        <v>Monoprix</v>
      </c>
      <c r="D292" s="36" t="str">
        <f>INDEX('Base de données Mono'!A:A,MATCH(B292,'Base de données Mono'!D:D,0))</f>
        <v>AD</v>
      </c>
      <c r="E292" s="37" t="s">
        <v>303</v>
      </c>
      <c r="F292" s="41">
        <f t="shared" si="30"/>
        <v>14</v>
      </c>
      <c r="G292" s="41">
        <f t="shared" si="31"/>
        <v>4</v>
      </c>
      <c r="H292">
        <v>8</v>
      </c>
      <c r="I292" s="131">
        <f>INDEX('Base de données Mono'!K:K,MATCH(B292,'Base de données Mono'!D:D,0))</f>
        <v>0.16666666666666666</v>
      </c>
      <c r="J292" s="131">
        <f>INDEX('Base de données Mono'!L:L,MATCH(B292,'Base de données Mono'!D:D,0))</f>
        <v>0.83333333333333337</v>
      </c>
      <c r="K292" s="131">
        <f>INDEX('Base de données Mono'!M:M,MATCH(B292,'Base de données Mono'!D:D,0))</f>
        <v>0.27083333333333331</v>
      </c>
      <c r="L292" s="131">
        <f>INDEX('Base de données Mono'!N:N,MATCH(B292,'Base de données Mono'!D:D,0))</f>
        <v>0.8125</v>
      </c>
      <c r="M292" s="33" t="s">
        <v>46</v>
      </c>
      <c r="N292" s="33">
        <f>IF(AND(E292="Electricité",M292="Hiver"),INDEX('Base de données Mono'!E:E,MATCH(B292,'Base de données Mono'!D:D,0)),IF(AND(E292="Electricité",M292="Mi-saison"),INDEX('Base de données Mono'!F:F,MATCH(B292,'Base de données Mono'!D:D,0)),IF(AND(E292="Electricité",M292="Eté"),INDEX('Base de données Mono'!G:G,MATCH(B292,'Base de données Mono'!D:D,0)),IF(AND(E292="Gaz",M292="Hiver"),INDEX('Base de données Mono'!J:J,MATCH(B292,'Base de données Mono'!D:D,0)),IF(AND(E292="Gaz",M292="Mi-saison"),INDEX('Base de données Mono'!#REF!,MATCH(B292,'Base de données Mono'!D:D,0)),IF(AND(E292="Gaz",M292="Eté"),INDEX('Base de données Mono'!#REF!,MATCH(B292,'Base de données Mono'!D:D,0)),"-"))))))</f>
        <v>110</v>
      </c>
      <c r="O292" s="123">
        <v>45384</v>
      </c>
      <c r="P292" s="123">
        <v>45387</v>
      </c>
      <c r="Q292" s="34">
        <v>160</v>
      </c>
      <c r="R292" s="33">
        <f t="shared" si="32"/>
        <v>50</v>
      </c>
      <c r="S292" s="34">
        <v>1</v>
      </c>
      <c r="T292" s="34">
        <f t="shared" si="33"/>
        <v>3</v>
      </c>
      <c r="U292" s="33">
        <f t="shared" si="34"/>
        <v>150</v>
      </c>
      <c r="V292" s="38" t="s">
        <v>827</v>
      </c>
      <c r="W292" s="39">
        <f t="shared" si="35"/>
        <v>0.45454545454545453</v>
      </c>
      <c r="X292" s="40" t="s">
        <v>304</v>
      </c>
      <c r="Y292" s="40" t="s">
        <v>283</v>
      </c>
      <c r="Z292" s="40" t="s">
        <v>749</v>
      </c>
      <c r="AA292" s="33" t="s">
        <v>749</v>
      </c>
      <c r="AB292" s="95"/>
      <c r="AC292" s="95"/>
    </row>
    <row r="293" spans="1:29" ht="14.45" hidden="1" customHeight="1" x14ac:dyDescent="0.25">
      <c r="A293" s="36" t="str">
        <f>INDEX('Base de données Mono'!C:C,MATCH(B293,'Base de données Mono'!D:D,0))</f>
        <v>SAINT CLOUD</v>
      </c>
      <c r="B293" t="s">
        <v>348</v>
      </c>
      <c r="C293" s="36" t="str">
        <f>INDEX('Base de données Mono'!B:B,MATCH(B293,'Base de données Mono'!D:D,0))</f>
        <v>Monoprix</v>
      </c>
      <c r="D293" s="36" t="str">
        <f>INDEX('Base de données Mono'!A:A,MATCH(B293,'Base de données Mono'!D:D,0))</f>
        <v>AD</v>
      </c>
      <c r="E293" s="37" t="s">
        <v>303</v>
      </c>
      <c r="F293" s="41">
        <f t="shared" si="30"/>
        <v>14</v>
      </c>
      <c r="G293" s="41">
        <f t="shared" si="31"/>
        <v>4</v>
      </c>
      <c r="H293">
        <v>8</v>
      </c>
      <c r="I293" s="131">
        <f>INDEX('Base de données Mono'!K:K,MATCH(B293,'Base de données Mono'!D:D,0))</f>
        <v>0.16666666666666666</v>
      </c>
      <c r="J293" s="131">
        <f>INDEX('Base de données Mono'!L:L,MATCH(B293,'Base de données Mono'!D:D,0))</f>
        <v>0.83333333333333337</v>
      </c>
      <c r="K293" s="131">
        <f>INDEX('Base de données Mono'!M:M,MATCH(B293,'Base de données Mono'!D:D,0))</f>
        <v>0.27083333333333331</v>
      </c>
      <c r="L293" s="131">
        <f>INDEX('Base de données Mono'!N:N,MATCH(B293,'Base de données Mono'!D:D,0))</f>
        <v>0.8125</v>
      </c>
      <c r="M293" s="33" t="s">
        <v>46</v>
      </c>
      <c r="N293" s="33">
        <f>IF(AND(E293="Electricité",M293="Hiver"),INDEX('Base de données Mono'!E:E,MATCH(B293,'Base de données Mono'!D:D,0)),IF(AND(E293="Electricité",M293="Mi-saison"),INDEX('Base de données Mono'!F:F,MATCH(B293,'Base de données Mono'!D:D,0)),IF(AND(E293="Electricité",M293="Eté"),INDEX('Base de données Mono'!G:G,MATCH(B293,'Base de données Mono'!D:D,0)),IF(AND(E293="Gaz",M293="Hiver"),INDEX('Base de données Mono'!J:J,MATCH(B293,'Base de données Mono'!D:D,0)),IF(AND(E293="Gaz",M293="Mi-saison"),INDEX('Base de données Mono'!#REF!,MATCH(B293,'Base de données Mono'!D:D,0)),IF(AND(E293="Gaz",M293="Eté"),INDEX('Base de données Mono'!#REF!,MATCH(B293,'Base de données Mono'!D:D,0)),"-"))))))</f>
        <v>110</v>
      </c>
      <c r="O293" s="123">
        <v>45386</v>
      </c>
      <c r="P293" s="123">
        <v>45388</v>
      </c>
      <c r="Q293" s="34">
        <v>120</v>
      </c>
      <c r="R293" s="33">
        <f t="shared" si="32"/>
        <v>10</v>
      </c>
      <c r="S293" s="34">
        <v>6</v>
      </c>
      <c r="T293" s="34">
        <f t="shared" si="33"/>
        <v>2</v>
      </c>
      <c r="U293" s="33">
        <f t="shared" si="34"/>
        <v>120</v>
      </c>
      <c r="V293" s="38" t="s">
        <v>827</v>
      </c>
      <c r="W293" s="39">
        <f t="shared" si="35"/>
        <v>9.0909090909090912E-2</v>
      </c>
      <c r="X293" s="40" t="s">
        <v>304</v>
      </c>
      <c r="Y293" s="40" t="s">
        <v>283</v>
      </c>
      <c r="Z293" s="40" t="s">
        <v>749</v>
      </c>
      <c r="AA293" s="33" t="s">
        <v>749</v>
      </c>
      <c r="AB293" s="95"/>
      <c r="AC293" s="95"/>
    </row>
    <row r="294" spans="1:29" ht="14.45" hidden="1" customHeight="1" x14ac:dyDescent="0.25">
      <c r="A294" s="36" t="str">
        <f>INDEX('Base de données Mono'!C:C,MATCH(B294,'Base de données Mono'!D:D,0))</f>
        <v>SAINT CLOUD</v>
      </c>
      <c r="B294" t="s">
        <v>348</v>
      </c>
      <c r="C294" s="36" t="str">
        <f>INDEX('Base de données Mono'!B:B,MATCH(B294,'Base de données Mono'!D:D,0))</f>
        <v>Monoprix</v>
      </c>
      <c r="D294" s="36" t="str">
        <f>INDEX('Base de données Mono'!A:A,MATCH(B294,'Base de données Mono'!D:D,0))</f>
        <v>AD</v>
      </c>
      <c r="E294" s="37" t="s">
        <v>303</v>
      </c>
      <c r="F294" s="41">
        <f t="shared" si="30"/>
        <v>14</v>
      </c>
      <c r="G294" s="41">
        <f t="shared" si="31"/>
        <v>4</v>
      </c>
      <c r="H294">
        <v>8</v>
      </c>
      <c r="I294" s="131">
        <f>INDEX('Base de données Mono'!K:K,MATCH(B294,'Base de données Mono'!D:D,0))</f>
        <v>0.16666666666666666</v>
      </c>
      <c r="J294" s="131">
        <f>INDEX('Base de données Mono'!L:L,MATCH(B294,'Base de données Mono'!D:D,0))</f>
        <v>0.83333333333333337</v>
      </c>
      <c r="K294" s="131">
        <f>INDEX('Base de données Mono'!M:M,MATCH(B294,'Base de données Mono'!D:D,0))</f>
        <v>0.27083333333333331</v>
      </c>
      <c r="L294" s="131">
        <f>INDEX('Base de données Mono'!N:N,MATCH(B294,'Base de données Mono'!D:D,0))</f>
        <v>0.8125</v>
      </c>
      <c r="M294" s="33" t="s">
        <v>46</v>
      </c>
      <c r="N294" s="33">
        <f>IF(AND(E294="Electricité",M294="Hiver"),INDEX('Base de données Mono'!E:E,MATCH(B294,'Base de données Mono'!D:D,0)),IF(AND(E294="Electricité",M294="Mi-saison"),INDEX('Base de données Mono'!F:F,MATCH(B294,'Base de données Mono'!D:D,0)),IF(AND(E294="Electricité",M294="Eté"),INDEX('Base de données Mono'!G:G,MATCH(B294,'Base de données Mono'!D:D,0)),IF(AND(E294="Gaz",M294="Hiver"),INDEX('Base de données Mono'!J:J,MATCH(B294,'Base de données Mono'!D:D,0)),IF(AND(E294="Gaz",M294="Mi-saison"),INDEX('Base de données Mono'!#REF!,MATCH(B294,'Base de données Mono'!D:D,0)),IF(AND(E294="Gaz",M294="Eté"),INDEX('Base de données Mono'!#REF!,MATCH(B294,'Base de données Mono'!D:D,0)),"-"))))))</f>
        <v>110</v>
      </c>
      <c r="O294" s="123">
        <v>45387</v>
      </c>
      <c r="P294" s="123">
        <v>45389</v>
      </c>
      <c r="Q294" s="34">
        <v>170</v>
      </c>
      <c r="R294" s="33">
        <f t="shared" si="32"/>
        <v>60</v>
      </c>
      <c r="S294" s="34">
        <v>1</v>
      </c>
      <c r="T294" s="34">
        <f t="shared" si="33"/>
        <v>2</v>
      </c>
      <c r="U294" s="33">
        <f t="shared" si="34"/>
        <v>120</v>
      </c>
      <c r="V294" s="38" t="s">
        <v>827</v>
      </c>
      <c r="W294" s="39">
        <f t="shared" si="35"/>
        <v>0.54545454545454541</v>
      </c>
      <c r="X294" s="40" t="s">
        <v>304</v>
      </c>
      <c r="Y294" s="40" t="s">
        <v>283</v>
      </c>
      <c r="Z294" s="40" t="s">
        <v>749</v>
      </c>
      <c r="AA294" s="33" t="s">
        <v>749</v>
      </c>
      <c r="AB294" s="95"/>
      <c r="AC294" s="95"/>
    </row>
    <row r="295" spans="1:29" ht="14.45" hidden="1" customHeight="1" x14ac:dyDescent="0.25">
      <c r="A295" s="36" t="str">
        <f>INDEX('Base de données Mono'!C:C,MATCH(B295,'Base de données Mono'!D:D,0))</f>
        <v>SAINT CLOUD</v>
      </c>
      <c r="B295" t="s">
        <v>348</v>
      </c>
      <c r="C295" s="36" t="str">
        <f>INDEX('Base de données Mono'!B:B,MATCH(B295,'Base de données Mono'!D:D,0))</f>
        <v>Monoprix</v>
      </c>
      <c r="D295" s="36" t="str">
        <f>INDEX('Base de données Mono'!A:A,MATCH(B295,'Base de données Mono'!D:D,0))</f>
        <v>AD</v>
      </c>
      <c r="E295" s="37" t="s">
        <v>303</v>
      </c>
      <c r="F295" s="41">
        <f t="shared" si="30"/>
        <v>14</v>
      </c>
      <c r="G295" s="41">
        <f t="shared" si="31"/>
        <v>4</v>
      </c>
      <c r="H295">
        <v>8</v>
      </c>
      <c r="I295" s="131">
        <f>INDEX('Base de données Mono'!K:K,MATCH(B295,'Base de données Mono'!D:D,0))</f>
        <v>0.16666666666666666</v>
      </c>
      <c r="J295" s="131">
        <f>INDEX('Base de données Mono'!L:L,MATCH(B295,'Base de données Mono'!D:D,0))</f>
        <v>0.83333333333333337</v>
      </c>
      <c r="K295" s="131">
        <f>INDEX('Base de données Mono'!M:M,MATCH(B295,'Base de données Mono'!D:D,0))</f>
        <v>0.27083333333333331</v>
      </c>
      <c r="L295" s="131">
        <f>INDEX('Base de données Mono'!N:N,MATCH(B295,'Base de données Mono'!D:D,0))</f>
        <v>0.8125</v>
      </c>
      <c r="M295" s="33" t="s">
        <v>46</v>
      </c>
      <c r="N295" s="33">
        <f>IF(AND(E295="Electricité",M295="Hiver"),INDEX('Base de données Mono'!E:E,MATCH(B295,'Base de données Mono'!D:D,0)),IF(AND(E295="Electricité",M295="Mi-saison"),INDEX('Base de données Mono'!F:F,MATCH(B295,'Base de données Mono'!D:D,0)),IF(AND(E295="Electricité",M295="Eté"),INDEX('Base de données Mono'!G:G,MATCH(B295,'Base de données Mono'!D:D,0)),IF(AND(E295="Gaz",M295="Hiver"),INDEX('Base de données Mono'!J:J,MATCH(B295,'Base de données Mono'!D:D,0)),IF(AND(E295="Gaz",M295="Mi-saison"),INDEX('Base de données Mono'!#REF!,MATCH(B295,'Base de données Mono'!D:D,0)),IF(AND(E295="Gaz",M295="Eté"),INDEX('Base de données Mono'!#REF!,MATCH(B295,'Base de données Mono'!D:D,0)),"-"))))))</f>
        <v>110</v>
      </c>
      <c r="O295" s="123">
        <v>45388</v>
      </c>
      <c r="P295" s="123">
        <v>45389</v>
      </c>
      <c r="Q295" s="34">
        <v>120</v>
      </c>
      <c r="R295" s="33">
        <f t="shared" si="32"/>
        <v>10</v>
      </c>
      <c r="S295" s="34">
        <v>7</v>
      </c>
      <c r="T295" s="34">
        <f t="shared" si="33"/>
        <v>1</v>
      </c>
      <c r="U295" s="33">
        <f t="shared" si="34"/>
        <v>70</v>
      </c>
      <c r="V295" s="38" t="s">
        <v>827</v>
      </c>
      <c r="W295" s="39">
        <f t="shared" si="35"/>
        <v>9.0909090909090912E-2</v>
      </c>
      <c r="X295" s="40" t="s">
        <v>304</v>
      </c>
      <c r="Y295" s="40" t="s">
        <v>283</v>
      </c>
      <c r="Z295" s="40" t="s">
        <v>749</v>
      </c>
      <c r="AA295" s="33" t="s">
        <v>749</v>
      </c>
      <c r="AB295" s="95"/>
      <c r="AC295" s="95"/>
    </row>
    <row r="296" spans="1:29" ht="14.45" hidden="1" customHeight="1" x14ac:dyDescent="0.25">
      <c r="A296" s="36" t="str">
        <f>INDEX('Base de données Mono'!C:C,MATCH(B296,'Base de données Mono'!D:D,0))</f>
        <v>MOZART</v>
      </c>
      <c r="B296" t="s">
        <v>27</v>
      </c>
      <c r="C296" s="36" t="str">
        <f>INDEX('Base de données Mono'!B:B,MATCH(B296,'Base de données Mono'!D:D,0))</f>
        <v>SES8</v>
      </c>
      <c r="D296" s="36" t="str">
        <f>INDEX('Base de données Mono'!A:A,MATCH(B296,'Base de données Mono'!D:D,0))</f>
        <v>AD</v>
      </c>
      <c r="E296" s="37" t="s">
        <v>303</v>
      </c>
      <c r="F296" s="41">
        <f t="shared" si="30"/>
        <v>14</v>
      </c>
      <c r="G296" s="41">
        <f t="shared" si="31"/>
        <v>4</v>
      </c>
      <c r="H296">
        <v>7.42</v>
      </c>
      <c r="I296" s="131">
        <f>INDEX('Base de données Mono'!K:K,MATCH(B296,'Base de données Mono'!D:D,0))</f>
        <v>0.23611111111111113</v>
      </c>
      <c r="J296" s="131">
        <f>INDEX('Base de données Mono'!L:L,MATCH(B296,'Base de données Mono'!D:D,0))</f>
        <v>0.92708333333333337</v>
      </c>
      <c r="K296" s="131">
        <f>INDEX('Base de données Mono'!M:M,MATCH(B296,'Base de données Mono'!D:D,0))</f>
        <v>0.23611111111111113</v>
      </c>
      <c r="L296" s="131">
        <f>INDEX('Base de données Mono'!N:N,MATCH(B296,'Base de données Mono'!D:D,0))</f>
        <v>0.54166666666666663</v>
      </c>
      <c r="M296" s="33" t="s">
        <v>46</v>
      </c>
      <c r="N296" s="33">
        <f>IF(AND(E296="Electricité",M296="Hiver"),INDEX('Base de données Mono'!E:E,MATCH(B296,'Base de données Mono'!D:D,0)),IF(AND(E296="Electricité",M296="Mi-saison"),INDEX('Base de données Mono'!F:F,MATCH(B296,'Base de données Mono'!D:D,0)),IF(AND(E296="Electricité",M296="Eté"),INDEX('Base de données Mono'!G:G,MATCH(B296,'Base de données Mono'!D:D,0)),IF(AND(E296="Gaz",M296="Hiver"),INDEX('Base de données Mono'!J:J,MATCH(B296,'Base de données Mono'!D:D,0)),IF(AND(E296="Gaz",M296="Mi-saison"),INDEX('Base de données Mono'!#REF!,MATCH(B296,'Base de données Mono'!D:D,0)),IF(AND(E296="Gaz",M296="Eté"),INDEX('Base de données Mono'!#REF!,MATCH(B296,'Base de données Mono'!D:D,0)),"-"))))))</f>
        <v>35</v>
      </c>
      <c r="O296" s="123">
        <v>45384</v>
      </c>
      <c r="P296" s="123">
        <v>45386</v>
      </c>
      <c r="Q296" s="34">
        <v>80</v>
      </c>
      <c r="R296" s="33">
        <f t="shared" si="32"/>
        <v>45</v>
      </c>
      <c r="S296" s="34">
        <v>7</v>
      </c>
      <c r="T296" s="34">
        <f t="shared" si="33"/>
        <v>2</v>
      </c>
      <c r="U296" s="33">
        <f t="shared" si="34"/>
        <v>630</v>
      </c>
      <c r="V296" s="38" t="s">
        <v>827</v>
      </c>
      <c r="W296" s="39">
        <f t="shared" si="35"/>
        <v>1.2857142857142858</v>
      </c>
      <c r="X296" s="40" t="s">
        <v>304</v>
      </c>
      <c r="Y296" s="40" t="s">
        <v>284</v>
      </c>
      <c r="Z296" s="95" t="s">
        <v>311</v>
      </c>
      <c r="AA296" s="95" t="s">
        <v>775</v>
      </c>
      <c r="AB296" s="95"/>
      <c r="AC296" s="95"/>
    </row>
    <row r="297" spans="1:29" ht="14.45" hidden="1" customHeight="1" x14ac:dyDescent="0.25">
      <c r="A297" s="36" t="str">
        <f>INDEX('Base de données Mono'!C:C,MATCH(B297,'Base de données Mono'!D:D,0))</f>
        <v>MOZART</v>
      </c>
      <c r="B297" t="s">
        <v>27</v>
      </c>
      <c r="C297" s="36" t="str">
        <f>INDEX('Base de données Mono'!B:B,MATCH(B297,'Base de données Mono'!D:D,0))</f>
        <v>SES8</v>
      </c>
      <c r="D297" s="36" t="str">
        <f>INDEX('Base de données Mono'!A:A,MATCH(B297,'Base de données Mono'!D:D,0))</f>
        <v>AD</v>
      </c>
      <c r="E297" s="37" t="s">
        <v>303</v>
      </c>
      <c r="F297" s="41">
        <f t="shared" si="30"/>
        <v>14</v>
      </c>
      <c r="G297" s="41">
        <f t="shared" si="31"/>
        <v>4</v>
      </c>
      <c r="H297">
        <v>7.42</v>
      </c>
      <c r="I297" s="131">
        <f>INDEX('Base de données Mono'!K:K,MATCH(B297,'Base de données Mono'!D:D,0))</f>
        <v>0.23611111111111113</v>
      </c>
      <c r="J297" s="131">
        <f>INDEX('Base de données Mono'!L:L,MATCH(B297,'Base de données Mono'!D:D,0))</f>
        <v>0.92708333333333337</v>
      </c>
      <c r="K297" s="131">
        <f>INDEX('Base de données Mono'!M:M,MATCH(B297,'Base de données Mono'!D:D,0))</f>
        <v>0.23611111111111113</v>
      </c>
      <c r="L297" s="131">
        <f>INDEX('Base de données Mono'!N:N,MATCH(B297,'Base de données Mono'!D:D,0))</f>
        <v>0.54166666666666663</v>
      </c>
      <c r="M297" s="33" t="s">
        <v>46</v>
      </c>
      <c r="N297" s="33">
        <f>IF(AND(E297="Electricité",M297="Hiver"),INDEX('Base de données Mono'!E:E,MATCH(B297,'Base de données Mono'!D:D,0)),IF(AND(E297="Electricité",M297="Mi-saison"),INDEX('Base de données Mono'!F:F,MATCH(B297,'Base de données Mono'!D:D,0)),IF(AND(E297="Electricité",M297="Eté"),INDEX('Base de données Mono'!G:G,MATCH(B297,'Base de données Mono'!D:D,0)),IF(AND(E297="Gaz",M297="Hiver"),INDEX('Base de données Mono'!J:J,MATCH(B297,'Base de données Mono'!D:D,0)),IF(AND(E297="Gaz",M297="Mi-saison"),INDEX('Base de données Mono'!#REF!,MATCH(B297,'Base de données Mono'!D:D,0)),IF(AND(E297="Gaz",M297="Eté"),INDEX('Base de données Mono'!#REF!,MATCH(B297,'Base de données Mono'!D:D,0)),"-"))))))</f>
        <v>35</v>
      </c>
      <c r="O297" s="123">
        <v>45386</v>
      </c>
      <c r="P297" s="123">
        <v>45389</v>
      </c>
      <c r="Q297" s="34">
        <v>40</v>
      </c>
      <c r="R297" s="33">
        <f t="shared" si="32"/>
        <v>5</v>
      </c>
      <c r="S297" s="34">
        <v>7</v>
      </c>
      <c r="T297" s="34">
        <f t="shared" si="33"/>
        <v>3</v>
      </c>
      <c r="U297" s="33">
        <f t="shared" si="34"/>
        <v>105</v>
      </c>
      <c r="V297" s="38" t="s">
        <v>827</v>
      </c>
      <c r="W297" s="39">
        <f t="shared" si="35"/>
        <v>0.14285714285714285</v>
      </c>
      <c r="X297" s="40" t="s">
        <v>304</v>
      </c>
      <c r="Y297" s="40" t="s">
        <v>284</v>
      </c>
      <c r="Z297" s="40" t="s">
        <v>305</v>
      </c>
      <c r="AA297" s="33" t="s">
        <v>771</v>
      </c>
      <c r="AB297" s="95"/>
      <c r="AC297" s="95"/>
    </row>
    <row r="298" spans="1:29" ht="14.45" hidden="1" customHeight="1" x14ac:dyDescent="0.25">
      <c r="A298" s="36" t="str">
        <f>INDEX('Base de données Mono'!C:C,MATCH(B298,'Base de données Mono'!D:D,0))</f>
        <v>MOZART</v>
      </c>
      <c r="B298" t="s">
        <v>27</v>
      </c>
      <c r="C298" s="36" t="str">
        <f>INDEX('Base de données Mono'!B:B,MATCH(B298,'Base de données Mono'!D:D,0))</f>
        <v>SES8</v>
      </c>
      <c r="D298" s="36" t="str">
        <f>INDEX('Base de données Mono'!A:A,MATCH(B298,'Base de données Mono'!D:D,0))</f>
        <v>AD</v>
      </c>
      <c r="E298" s="37" t="s">
        <v>303</v>
      </c>
      <c r="F298" s="41">
        <f t="shared" si="30"/>
        <v>14</v>
      </c>
      <c r="G298" s="41">
        <f t="shared" si="31"/>
        <v>4</v>
      </c>
      <c r="H298">
        <v>7.42</v>
      </c>
      <c r="I298" s="131">
        <f>INDEX('Base de données Mono'!K:K,MATCH(B298,'Base de données Mono'!D:D,0))</f>
        <v>0.23611111111111113</v>
      </c>
      <c r="J298" s="131">
        <f>INDEX('Base de données Mono'!L:L,MATCH(B298,'Base de données Mono'!D:D,0))</f>
        <v>0.92708333333333337</v>
      </c>
      <c r="K298" s="131">
        <f>INDEX('Base de données Mono'!M:M,MATCH(B298,'Base de données Mono'!D:D,0))</f>
        <v>0.23611111111111113</v>
      </c>
      <c r="L298" s="131">
        <f>INDEX('Base de données Mono'!N:N,MATCH(B298,'Base de données Mono'!D:D,0))</f>
        <v>0.54166666666666663</v>
      </c>
      <c r="M298" s="33" t="s">
        <v>46</v>
      </c>
      <c r="N298" s="33">
        <f>IF(AND(E298="Electricité",M298="Hiver"),INDEX('Base de données Mono'!E:E,MATCH(B298,'Base de données Mono'!D:D,0)),IF(AND(E298="Electricité",M298="Mi-saison"),INDEX('Base de données Mono'!F:F,MATCH(B298,'Base de données Mono'!D:D,0)),IF(AND(E298="Electricité",M298="Eté"),INDEX('Base de données Mono'!G:G,MATCH(B298,'Base de données Mono'!D:D,0)),IF(AND(E298="Gaz",M298="Hiver"),INDEX('Base de données Mono'!J:J,MATCH(B298,'Base de données Mono'!D:D,0)),IF(AND(E298="Gaz",M298="Mi-saison"),INDEX('Base de données Mono'!#REF!,MATCH(B298,'Base de données Mono'!D:D,0)),IF(AND(E298="Gaz",M298="Eté"),INDEX('Base de données Mono'!#REF!,MATCH(B298,'Base de données Mono'!D:D,0)),"-"))))))</f>
        <v>35</v>
      </c>
      <c r="O298" s="123">
        <v>45389</v>
      </c>
      <c r="P298" s="123">
        <v>45389</v>
      </c>
      <c r="Q298" s="34">
        <v>80</v>
      </c>
      <c r="R298" s="33">
        <f t="shared" si="32"/>
        <v>45</v>
      </c>
      <c r="S298" s="34">
        <v>7</v>
      </c>
      <c r="T298" s="34">
        <v>1</v>
      </c>
      <c r="U298" s="33">
        <f t="shared" si="34"/>
        <v>315</v>
      </c>
      <c r="V298" s="38" t="s">
        <v>827</v>
      </c>
      <c r="W298" s="39">
        <f t="shared" si="35"/>
        <v>1.2857142857142858</v>
      </c>
      <c r="X298" s="40" t="s">
        <v>730</v>
      </c>
      <c r="Y298" s="40" t="s">
        <v>284</v>
      </c>
      <c r="Z298" s="40" t="s">
        <v>307</v>
      </c>
      <c r="AA298" s="33" t="s">
        <v>308</v>
      </c>
      <c r="AB298" s="95"/>
      <c r="AC298" s="95"/>
    </row>
    <row r="299" spans="1:29" ht="14.45" hidden="1" customHeight="1" x14ac:dyDescent="0.25">
      <c r="A299" s="36" t="str">
        <f>INDEX('Base de données Mono'!C:C,MATCH(B299,'Base de données Mono'!D:D,0))</f>
        <v>VIENNE PYRAMIDE</v>
      </c>
      <c r="B299" t="s">
        <v>271</v>
      </c>
      <c r="C299" s="36" t="str">
        <f>INDEX('Base de données Mono'!B:B,MATCH(B299,'Base de données Mono'!D:D,0))</f>
        <v>Franchisés</v>
      </c>
      <c r="D299" s="36" t="str">
        <f>INDEX('Base de données Mono'!A:A,MATCH(B299,'Base de données Mono'!D:D,0))</f>
        <v>AD</v>
      </c>
      <c r="E299" s="37" t="s">
        <v>303</v>
      </c>
      <c r="F299" s="41">
        <f t="shared" si="30"/>
        <v>14</v>
      </c>
      <c r="G299" s="41">
        <f t="shared" si="31"/>
        <v>4</v>
      </c>
      <c r="H299">
        <v>9.83</v>
      </c>
      <c r="I299" s="131">
        <f>INDEX('Base de données Mono'!K:K,MATCH(B299,'Base de données Mono'!D:D,0))</f>
        <v>0.24305555555555555</v>
      </c>
      <c r="J299" s="131">
        <f>INDEX('Base de données Mono'!L:L,MATCH(B299,'Base de données Mono'!D:D,0))</f>
        <v>0.83333333333333337</v>
      </c>
      <c r="K299" s="131">
        <f>INDEX('Base de données Mono'!M:M,MATCH(B299,'Base de données Mono'!D:D,0))</f>
        <v>0.29166666666666669</v>
      </c>
      <c r="L299" s="131">
        <f>INDEX('Base de données Mono'!N:N,MATCH(B299,'Base de données Mono'!D:D,0))</f>
        <v>0.54166666666666663</v>
      </c>
      <c r="M299" s="33" t="s">
        <v>46</v>
      </c>
      <c r="N299" s="33">
        <f>IF(AND(E299="Electricité",M299="Hiver"),INDEX('Base de données Mono'!E:E,MATCH(B299,'Base de données Mono'!D:D,0)),IF(AND(E299="Electricité",M299="Mi-saison"),INDEX('Base de données Mono'!F:F,MATCH(B299,'Base de données Mono'!D:D,0)),IF(AND(E299="Electricité",M299="Eté"),INDEX('Base de données Mono'!G:G,MATCH(B299,'Base de données Mono'!D:D,0)),IF(AND(E299="Gaz",M299="Hiver"),INDEX('Base de données Mono'!J:J,MATCH(B299,'Base de données Mono'!D:D,0)),IF(AND(E299="Gaz",M299="Mi-saison"),INDEX('Base de données Mono'!#REF!,MATCH(B299,'Base de données Mono'!D:D,0)),IF(AND(E299="Gaz",M299="Eté"),INDEX('Base de données Mono'!#REF!,MATCH(B299,'Base de données Mono'!D:D,0)),"-"))))))</f>
        <v>45</v>
      </c>
      <c r="O299" s="123">
        <v>45383</v>
      </c>
      <c r="P299" s="123">
        <v>45384</v>
      </c>
      <c r="Q299" s="34">
        <v>55</v>
      </c>
      <c r="R299" s="33">
        <f t="shared" si="32"/>
        <v>10</v>
      </c>
      <c r="S299" s="34">
        <v>1.6</v>
      </c>
      <c r="T299" s="34">
        <f t="shared" si="33"/>
        <v>1</v>
      </c>
      <c r="U299" s="33">
        <f t="shared" si="34"/>
        <v>16</v>
      </c>
      <c r="V299" s="38" t="s">
        <v>827</v>
      </c>
      <c r="W299" s="39">
        <f t="shared" si="35"/>
        <v>0.22222222222222221</v>
      </c>
      <c r="X299" s="40" t="s">
        <v>304</v>
      </c>
      <c r="Y299" s="40" t="s">
        <v>284</v>
      </c>
      <c r="Z299" s="40" t="s">
        <v>305</v>
      </c>
      <c r="AA299" s="33" t="s">
        <v>771</v>
      </c>
      <c r="AB299" s="95"/>
      <c r="AC299" s="95"/>
    </row>
    <row r="300" spans="1:29" ht="14.45" hidden="1" customHeight="1" x14ac:dyDescent="0.25">
      <c r="A300" s="36" t="str">
        <f>INDEX('Base de données Mono'!C:C,MATCH(B300,'Base de données Mono'!D:D,0))</f>
        <v>EPINAL</v>
      </c>
      <c r="B300" t="s">
        <v>125</v>
      </c>
      <c r="C300" s="36" t="str">
        <f>INDEX('Base de données Mono'!B:B,MATCH(B300,'Base de données Mono'!D:D,0))</f>
        <v>Monoprix</v>
      </c>
      <c r="D300" s="36" t="str">
        <f>INDEX('Base de données Mono'!A:A,MATCH(B300,'Base de données Mono'!D:D,0))</f>
        <v>JG</v>
      </c>
      <c r="E300" s="37" t="s">
        <v>303</v>
      </c>
      <c r="F300" s="41">
        <f t="shared" si="30"/>
        <v>14</v>
      </c>
      <c r="G300" s="41">
        <f t="shared" si="31"/>
        <v>4</v>
      </c>
      <c r="H300">
        <v>10.25</v>
      </c>
      <c r="I300" s="131">
        <f>INDEX('Base de données Mono'!K:K,MATCH(B300,'Base de données Mono'!D:D,0))</f>
        <v>0.25</v>
      </c>
      <c r="J300" s="131">
        <f>INDEX('Base de données Mono'!L:L,MATCH(B300,'Base de données Mono'!D:D,0))</f>
        <v>0.82291666666666663</v>
      </c>
      <c r="K300" s="131">
        <f>INDEX('Base de données Mono'!M:M,MATCH(B300,'Base de données Mono'!D:D,0))</f>
        <v>0.32291666666666669</v>
      </c>
      <c r="L300" s="131">
        <f>INDEX('Base de données Mono'!N:N,MATCH(B300,'Base de données Mono'!D:D,0))</f>
        <v>0.53125</v>
      </c>
      <c r="M300" s="33" t="s">
        <v>46</v>
      </c>
      <c r="N300" s="33">
        <f>IF(AND(E300="Electricité",M300="Hiver"),INDEX('Base de données Mono'!E:E,MATCH(B300,'Base de données Mono'!D:D,0)),IF(AND(E300="Electricité",M300="Mi-saison"),INDEX('Base de données Mono'!F:F,MATCH(B300,'Base de données Mono'!D:D,0)),IF(AND(E300="Electricité",M300="Eté"),INDEX('Base de données Mono'!G:G,MATCH(B300,'Base de données Mono'!D:D,0)),IF(AND(E300="Gaz",M300="Hiver"),INDEX('Base de données Mono'!J:J,MATCH(B300,'Base de données Mono'!D:D,0)),IF(AND(E300="Gaz",M300="Mi-saison"),INDEX('Base de données Mono'!#REF!,MATCH(B300,'Base de données Mono'!D:D,0)),IF(AND(E300="Gaz",M300="Eté"),INDEX('Base de données Mono'!#REF!,MATCH(B300,'Base de données Mono'!D:D,0)),"-"))))))</f>
        <v>35</v>
      </c>
      <c r="O300" s="123">
        <v>45383</v>
      </c>
      <c r="P300" s="123">
        <v>45388</v>
      </c>
      <c r="Q300" s="34">
        <v>55</v>
      </c>
      <c r="R300" s="33">
        <f t="shared" si="32"/>
        <v>20</v>
      </c>
      <c r="S300" s="34">
        <v>1</v>
      </c>
      <c r="T300" s="34">
        <f t="shared" si="33"/>
        <v>5</v>
      </c>
      <c r="U300" s="33">
        <f t="shared" si="34"/>
        <v>100</v>
      </c>
      <c r="V300" s="38" t="s">
        <v>827</v>
      </c>
      <c r="W300" s="39">
        <f t="shared" si="35"/>
        <v>0.5714285714285714</v>
      </c>
      <c r="X300" s="40" t="s">
        <v>304</v>
      </c>
      <c r="Y300" s="40" t="s">
        <v>283</v>
      </c>
      <c r="Z300" s="40" t="s">
        <v>749</v>
      </c>
      <c r="AA300" s="33" t="s">
        <v>749</v>
      </c>
      <c r="AB300" s="95"/>
      <c r="AC300" s="95"/>
    </row>
    <row r="301" spans="1:29" ht="14.45" hidden="1" customHeight="1" x14ac:dyDescent="0.25">
      <c r="A301" s="36" t="str">
        <f>INDEX('Base de données Mono'!C:C,MATCH(B301,'Base de données Mono'!D:D,0))</f>
        <v>VIENNE PYRAMIDE</v>
      </c>
      <c r="B301" t="s">
        <v>271</v>
      </c>
      <c r="C301" s="36" t="str">
        <f>INDEX('Base de données Mono'!B:B,MATCH(B301,'Base de données Mono'!D:D,0))</f>
        <v>Franchisés</v>
      </c>
      <c r="D301" s="36" t="str">
        <f>INDEX('Base de données Mono'!A:A,MATCH(B301,'Base de données Mono'!D:D,0))</f>
        <v>AD</v>
      </c>
      <c r="E301" s="37" t="s">
        <v>303</v>
      </c>
      <c r="F301" s="41">
        <f t="shared" si="30"/>
        <v>14</v>
      </c>
      <c r="G301" s="41">
        <f t="shared" si="31"/>
        <v>4</v>
      </c>
      <c r="H301">
        <v>9.83</v>
      </c>
      <c r="I301" s="131">
        <f>INDEX('Base de données Mono'!K:K,MATCH(B301,'Base de données Mono'!D:D,0))</f>
        <v>0.24305555555555555</v>
      </c>
      <c r="J301" s="131">
        <f>INDEX('Base de données Mono'!L:L,MATCH(B301,'Base de données Mono'!D:D,0))</f>
        <v>0.83333333333333337</v>
      </c>
      <c r="K301" s="131">
        <f>INDEX('Base de données Mono'!M:M,MATCH(B301,'Base de données Mono'!D:D,0))</f>
        <v>0.29166666666666669</v>
      </c>
      <c r="L301" s="131">
        <f>INDEX('Base de données Mono'!N:N,MATCH(B301,'Base de données Mono'!D:D,0))</f>
        <v>0.54166666666666663</v>
      </c>
      <c r="M301" s="33" t="s">
        <v>46</v>
      </c>
      <c r="N301" s="33">
        <f>IF(AND(E301="Electricité",M301="Hiver"),INDEX('Base de données Mono'!E:E,MATCH(B301,'Base de données Mono'!D:D,0)),IF(AND(E301="Electricité",M301="Mi-saison"),INDEX('Base de données Mono'!F:F,MATCH(B301,'Base de données Mono'!D:D,0)),IF(AND(E301="Electricité",M301="Eté"),INDEX('Base de données Mono'!G:G,MATCH(B301,'Base de données Mono'!D:D,0)),IF(AND(E301="Gaz",M301="Hiver"),INDEX('Base de données Mono'!J:J,MATCH(B301,'Base de données Mono'!D:D,0)),IF(AND(E301="Gaz",M301="Mi-saison"),INDEX('Base de données Mono'!#REF!,MATCH(B301,'Base de données Mono'!D:D,0)),IF(AND(E301="Gaz",M301="Eté"),INDEX('Base de données Mono'!#REF!,MATCH(B301,'Base de données Mono'!D:D,0)),"-"))))))</f>
        <v>45</v>
      </c>
      <c r="O301" s="123">
        <v>45384</v>
      </c>
      <c r="P301" s="123">
        <v>45385</v>
      </c>
      <c r="Q301" s="34">
        <v>70</v>
      </c>
      <c r="R301" s="33">
        <f t="shared" si="32"/>
        <v>25</v>
      </c>
      <c r="S301" s="34">
        <v>3.6</v>
      </c>
      <c r="T301" s="34">
        <f t="shared" si="33"/>
        <v>1</v>
      </c>
      <c r="U301" s="33">
        <f t="shared" si="34"/>
        <v>90</v>
      </c>
      <c r="V301" s="38" t="s">
        <v>827</v>
      </c>
      <c r="W301" s="39">
        <f t="shared" si="35"/>
        <v>0.55555555555555558</v>
      </c>
      <c r="X301" s="40" t="s">
        <v>304</v>
      </c>
      <c r="Y301" s="40" t="s">
        <v>284</v>
      </c>
      <c r="Z301" s="40" t="s">
        <v>311</v>
      </c>
      <c r="AA301" s="33" t="s">
        <v>775</v>
      </c>
      <c r="AB301" s="95"/>
      <c r="AC301" s="95"/>
    </row>
    <row r="302" spans="1:29" ht="14.45" hidden="1" customHeight="1" x14ac:dyDescent="0.25">
      <c r="A302" s="36" t="str">
        <f>INDEX('Base de données Mono'!C:C,MATCH(B302,'Base de données Mono'!D:D,0))</f>
        <v>VIENNE PYRAMIDE</v>
      </c>
      <c r="B302" t="s">
        <v>271</v>
      </c>
      <c r="C302" s="36" t="str">
        <f>INDEX('Base de données Mono'!B:B,MATCH(B302,'Base de données Mono'!D:D,0))</f>
        <v>Franchisés</v>
      </c>
      <c r="D302" s="36" t="str">
        <f>INDEX('Base de données Mono'!A:A,MATCH(B302,'Base de données Mono'!D:D,0))</f>
        <v>AD</v>
      </c>
      <c r="E302" s="37" t="s">
        <v>303</v>
      </c>
      <c r="F302" s="41">
        <f t="shared" si="30"/>
        <v>14</v>
      </c>
      <c r="G302" s="41">
        <f t="shared" si="31"/>
        <v>4</v>
      </c>
      <c r="H302">
        <v>9.83</v>
      </c>
      <c r="I302" s="131">
        <f>INDEX('Base de données Mono'!K:K,MATCH(B302,'Base de données Mono'!D:D,0))</f>
        <v>0.24305555555555555</v>
      </c>
      <c r="J302" s="131">
        <f>INDEX('Base de données Mono'!L:L,MATCH(B302,'Base de données Mono'!D:D,0))</f>
        <v>0.83333333333333337</v>
      </c>
      <c r="K302" s="131">
        <f>INDEX('Base de données Mono'!M:M,MATCH(B302,'Base de données Mono'!D:D,0))</f>
        <v>0.29166666666666669</v>
      </c>
      <c r="L302" s="131">
        <f>INDEX('Base de données Mono'!N:N,MATCH(B302,'Base de données Mono'!D:D,0))</f>
        <v>0.54166666666666663</v>
      </c>
      <c r="M302" s="33" t="s">
        <v>46</v>
      </c>
      <c r="N302" s="33">
        <f>IF(AND(E302="Electricité",M302="Hiver"),INDEX('Base de données Mono'!E:E,MATCH(B302,'Base de données Mono'!D:D,0)),IF(AND(E302="Electricité",M302="Mi-saison"),INDEX('Base de données Mono'!F:F,MATCH(B302,'Base de données Mono'!D:D,0)),IF(AND(E302="Electricité",M302="Eté"),INDEX('Base de données Mono'!G:G,MATCH(B302,'Base de données Mono'!D:D,0)),IF(AND(E302="Gaz",M302="Hiver"),INDEX('Base de données Mono'!J:J,MATCH(B302,'Base de données Mono'!D:D,0)),IF(AND(E302="Gaz",M302="Mi-saison"),INDEX('Base de données Mono'!#REF!,MATCH(B302,'Base de données Mono'!D:D,0)),IF(AND(E302="Gaz",M302="Eté"),INDEX('Base de données Mono'!#REF!,MATCH(B302,'Base de données Mono'!D:D,0)),"-"))))))</f>
        <v>45</v>
      </c>
      <c r="O302" s="123">
        <v>45385</v>
      </c>
      <c r="P302" s="123">
        <v>45389</v>
      </c>
      <c r="Q302" s="34">
        <v>55</v>
      </c>
      <c r="R302" s="33">
        <f t="shared" si="32"/>
        <v>10</v>
      </c>
      <c r="S302" s="34">
        <v>2</v>
      </c>
      <c r="T302" s="34">
        <f t="shared" si="33"/>
        <v>4</v>
      </c>
      <c r="U302" s="33">
        <f t="shared" si="34"/>
        <v>80</v>
      </c>
      <c r="V302" s="38" t="s">
        <v>827</v>
      </c>
      <c r="W302" s="39">
        <f t="shared" si="35"/>
        <v>0.22222222222222221</v>
      </c>
      <c r="X302" s="40" t="s">
        <v>304</v>
      </c>
      <c r="Y302" s="40" t="s">
        <v>284</v>
      </c>
      <c r="Z302" s="40" t="s">
        <v>305</v>
      </c>
      <c r="AA302" s="33" t="s">
        <v>771</v>
      </c>
      <c r="AB302" s="95"/>
      <c r="AC302" s="95"/>
    </row>
    <row r="303" spans="1:29" ht="14.45" hidden="1" customHeight="1" x14ac:dyDescent="0.25">
      <c r="A303" s="36" t="str">
        <f>INDEX('Base de données Mono'!C:C,MATCH(B303,'Base de données Mono'!D:D,0))</f>
        <v>VIENNE PYRAMIDE</v>
      </c>
      <c r="B303" t="s">
        <v>271</v>
      </c>
      <c r="C303" s="36" t="str">
        <f>INDEX('Base de données Mono'!B:B,MATCH(B303,'Base de données Mono'!D:D,0))</f>
        <v>Franchisés</v>
      </c>
      <c r="D303" s="36" t="str">
        <f>INDEX('Base de données Mono'!A:A,MATCH(B303,'Base de données Mono'!D:D,0))</f>
        <v>AD</v>
      </c>
      <c r="E303" s="37" t="s">
        <v>303</v>
      </c>
      <c r="F303" s="41">
        <f t="shared" si="30"/>
        <v>14</v>
      </c>
      <c r="G303" s="41">
        <f t="shared" si="31"/>
        <v>4</v>
      </c>
      <c r="H303">
        <v>9.83</v>
      </c>
      <c r="I303" s="131">
        <f>INDEX('Base de données Mono'!K:K,MATCH(B303,'Base de données Mono'!D:D,0))</f>
        <v>0.24305555555555555</v>
      </c>
      <c r="J303" s="131">
        <f>INDEX('Base de données Mono'!L:L,MATCH(B303,'Base de données Mono'!D:D,0))</f>
        <v>0.83333333333333337</v>
      </c>
      <c r="K303" s="131">
        <f>INDEX('Base de données Mono'!M:M,MATCH(B303,'Base de données Mono'!D:D,0))</f>
        <v>0.29166666666666669</v>
      </c>
      <c r="L303" s="131">
        <f>INDEX('Base de données Mono'!N:N,MATCH(B303,'Base de données Mono'!D:D,0))</f>
        <v>0.54166666666666663</v>
      </c>
      <c r="M303" s="33" t="s">
        <v>46</v>
      </c>
      <c r="N303" s="33">
        <f>IF(AND(E303="Electricité",M303="Hiver"),INDEX('Base de données Mono'!E:E,MATCH(B303,'Base de données Mono'!D:D,0)),IF(AND(E303="Electricité",M303="Mi-saison"),INDEX('Base de données Mono'!F:F,MATCH(B303,'Base de données Mono'!D:D,0)),IF(AND(E303="Electricité",M303="Eté"),INDEX('Base de données Mono'!G:G,MATCH(B303,'Base de données Mono'!D:D,0)),IF(AND(E303="Gaz",M303="Hiver"),INDEX('Base de données Mono'!J:J,MATCH(B303,'Base de données Mono'!D:D,0)),IF(AND(E303="Gaz",M303="Mi-saison"),INDEX('Base de données Mono'!#REF!,MATCH(B303,'Base de données Mono'!D:D,0)),IF(AND(E303="Gaz",M303="Eté"),INDEX('Base de données Mono'!#REF!,MATCH(B303,'Base de données Mono'!D:D,0)),"-"))))))</f>
        <v>45</v>
      </c>
      <c r="O303" s="123">
        <v>45389</v>
      </c>
      <c r="P303" s="123">
        <v>45389</v>
      </c>
      <c r="Q303" s="34">
        <v>50</v>
      </c>
      <c r="R303" s="33">
        <f t="shared" si="32"/>
        <v>5</v>
      </c>
      <c r="S303" s="34">
        <v>7</v>
      </c>
      <c r="T303" s="34">
        <v>1</v>
      </c>
      <c r="U303" s="33">
        <f t="shared" si="34"/>
        <v>35</v>
      </c>
      <c r="V303" s="38" t="s">
        <v>148</v>
      </c>
      <c r="W303" s="39">
        <f t="shared" si="35"/>
        <v>0.1111111111111111</v>
      </c>
      <c r="X303" s="40" t="s">
        <v>730</v>
      </c>
      <c r="Y303" s="40" t="s">
        <v>284</v>
      </c>
      <c r="Z303" s="40" t="s">
        <v>305</v>
      </c>
      <c r="AA303" s="33" t="s">
        <v>771</v>
      </c>
      <c r="AB303" s="95"/>
      <c r="AC303" s="95"/>
    </row>
    <row r="304" spans="1:29" ht="14.45" hidden="1" customHeight="1" x14ac:dyDescent="0.25">
      <c r="A304" s="36" t="str">
        <f>INDEX('Base de données Mono'!C:C,MATCH(B304,'Base de données Mono'!D:D,0))</f>
        <v>FONTENAY SOUS BOIS</v>
      </c>
      <c r="B304" t="s">
        <v>131</v>
      </c>
      <c r="C304" s="36" t="str">
        <f>INDEX('Base de données Mono'!B:B,MATCH(B304,'Base de données Mono'!D:D,0))</f>
        <v>SES8</v>
      </c>
      <c r="D304" s="36" t="str">
        <f>INDEX('Base de données Mono'!A:A,MATCH(B304,'Base de données Mono'!D:D,0))</f>
        <v>JG</v>
      </c>
      <c r="E304" s="37" t="s">
        <v>303</v>
      </c>
      <c r="F304" s="41">
        <f t="shared" si="30"/>
        <v>14</v>
      </c>
      <c r="G304" s="41">
        <f t="shared" si="31"/>
        <v>4</v>
      </c>
      <c r="H304">
        <v>8.33</v>
      </c>
      <c r="I304" s="131">
        <f>INDEX('Base de données Mono'!K:K,MATCH(B304,'Base de données Mono'!D:D,0))</f>
        <v>0.24305555555555555</v>
      </c>
      <c r="J304" s="131">
        <f>INDEX('Base de données Mono'!L:L,MATCH(B304,'Base de données Mono'!D:D,0))</f>
        <v>0.89583333333333337</v>
      </c>
      <c r="K304" s="131">
        <f>INDEX('Base de données Mono'!M:M,MATCH(B304,'Base de données Mono'!D:D,0))</f>
        <v>0.27083333333333331</v>
      </c>
      <c r="L304" s="131">
        <f>INDEX('Base de données Mono'!N:N,MATCH(B304,'Base de données Mono'!D:D,0))</f>
        <v>0.5625</v>
      </c>
      <c r="M304" s="33" t="s">
        <v>46</v>
      </c>
      <c r="N304" s="33">
        <f>IF(AND(E304="Electricité",M304="Hiver"),INDEX('Base de données Mono'!E:E,MATCH(B304,'Base de données Mono'!D:D,0)),IF(AND(E304="Electricité",M304="Mi-saison"),INDEX('Base de données Mono'!F:F,MATCH(B304,'Base de données Mono'!D:D,0)),IF(AND(E304="Electricité",M304="Eté"),INDEX('Base de données Mono'!G:G,MATCH(B304,'Base de données Mono'!D:D,0)),IF(AND(E304="Gaz",M304="Hiver"),INDEX('Base de données Mono'!J:J,MATCH(B304,'Base de données Mono'!D:D,0)),IF(AND(E304="Gaz",M304="Mi-saison"),INDEX('Base de données Mono'!#REF!,MATCH(B304,'Base de données Mono'!D:D,0)),IF(AND(E304="Gaz",M304="Eté"),INDEX('Base de données Mono'!#REF!,MATCH(B304,'Base de données Mono'!D:D,0)),"-"))))))</f>
        <v>55</v>
      </c>
      <c r="O304" s="123">
        <v>45383</v>
      </c>
      <c r="P304" s="123">
        <v>45385</v>
      </c>
      <c r="Q304" s="34">
        <v>65</v>
      </c>
      <c r="R304" s="33">
        <f t="shared" si="32"/>
        <v>10</v>
      </c>
      <c r="S304" s="34">
        <v>7.5</v>
      </c>
      <c r="T304" s="34">
        <f t="shared" si="33"/>
        <v>2</v>
      </c>
      <c r="U304" s="33">
        <f t="shared" si="34"/>
        <v>150</v>
      </c>
      <c r="V304" s="38" t="s">
        <v>148</v>
      </c>
      <c r="W304" s="39">
        <f t="shared" si="35"/>
        <v>0.18181818181818182</v>
      </c>
      <c r="X304" s="40" t="s">
        <v>304</v>
      </c>
      <c r="Y304" s="40" t="s">
        <v>284</v>
      </c>
      <c r="Z304" s="40" t="s">
        <v>305</v>
      </c>
      <c r="AA304" s="33" t="s">
        <v>771</v>
      </c>
      <c r="AB304" s="95"/>
      <c r="AC304" s="95"/>
    </row>
    <row r="305" spans="1:29" ht="14.45" hidden="1" customHeight="1" x14ac:dyDescent="0.25">
      <c r="A305" s="36" t="str">
        <f>INDEX('Base de données Mono'!C:C,MATCH(B305,'Base de données Mono'!D:D,0))</f>
        <v>FONTENAY SOUS BOIS</v>
      </c>
      <c r="B305" t="s">
        <v>131</v>
      </c>
      <c r="C305" s="36" t="str">
        <f>INDEX('Base de données Mono'!B:B,MATCH(B305,'Base de données Mono'!D:D,0))</f>
        <v>SES8</v>
      </c>
      <c r="D305" s="36" t="str">
        <f>INDEX('Base de données Mono'!A:A,MATCH(B305,'Base de données Mono'!D:D,0))</f>
        <v>JG</v>
      </c>
      <c r="E305" s="37" t="s">
        <v>303</v>
      </c>
      <c r="F305" s="41">
        <f t="shared" si="30"/>
        <v>14</v>
      </c>
      <c r="G305" s="41">
        <f t="shared" si="31"/>
        <v>4</v>
      </c>
      <c r="H305">
        <v>8.33</v>
      </c>
      <c r="I305" s="131">
        <f>INDEX('Base de données Mono'!K:K,MATCH(B305,'Base de données Mono'!D:D,0))</f>
        <v>0.24305555555555555</v>
      </c>
      <c r="J305" s="131">
        <f>INDEX('Base de données Mono'!L:L,MATCH(B305,'Base de données Mono'!D:D,0))</f>
        <v>0.89583333333333337</v>
      </c>
      <c r="K305" s="131">
        <f>INDEX('Base de données Mono'!M:M,MATCH(B305,'Base de données Mono'!D:D,0))</f>
        <v>0.27083333333333331</v>
      </c>
      <c r="L305" s="131">
        <f>INDEX('Base de données Mono'!N:N,MATCH(B305,'Base de données Mono'!D:D,0))</f>
        <v>0.5625</v>
      </c>
      <c r="M305" s="33" t="s">
        <v>46</v>
      </c>
      <c r="N305" s="33">
        <f>IF(AND(E305="Electricité",M305="Hiver"),INDEX('Base de données Mono'!E:E,MATCH(B305,'Base de données Mono'!D:D,0)),IF(AND(E305="Electricité",M305="Mi-saison"),INDEX('Base de données Mono'!F:F,MATCH(B305,'Base de données Mono'!D:D,0)),IF(AND(E305="Electricité",M305="Eté"),INDEX('Base de données Mono'!G:G,MATCH(B305,'Base de données Mono'!D:D,0)),IF(AND(E305="Gaz",M305="Hiver"),INDEX('Base de données Mono'!J:J,MATCH(B305,'Base de données Mono'!D:D,0)),IF(AND(E305="Gaz",M305="Mi-saison"),INDEX('Base de données Mono'!#REF!,MATCH(B305,'Base de données Mono'!D:D,0)),IF(AND(E305="Gaz",M305="Eté"),INDEX('Base de données Mono'!#REF!,MATCH(B305,'Base de données Mono'!D:D,0)),"-"))))))</f>
        <v>55</v>
      </c>
      <c r="O305" s="123">
        <v>45383</v>
      </c>
      <c r="P305" s="123">
        <v>45385</v>
      </c>
      <c r="Q305" s="34">
        <v>90</v>
      </c>
      <c r="R305" s="33">
        <f t="shared" si="32"/>
        <v>35</v>
      </c>
      <c r="S305" s="34">
        <v>0.8</v>
      </c>
      <c r="T305" s="34">
        <f t="shared" si="33"/>
        <v>2</v>
      </c>
      <c r="U305" s="33">
        <f t="shared" si="34"/>
        <v>56</v>
      </c>
      <c r="V305" s="38" t="s">
        <v>148</v>
      </c>
      <c r="W305" s="39">
        <f t="shared" si="35"/>
        <v>0.63636363636363635</v>
      </c>
      <c r="X305" s="40" t="s">
        <v>304</v>
      </c>
      <c r="Y305" s="40" t="s">
        <v>284</v>
      </c>
      <c r="Z305" s="40" t="s">
        <v>307</v>
      </c>
      <c r="AA305" s="33" t="s">
        <v>414</v>
      </c>
      <c r="AB305" s="95"/>
      <c r="AC305" s="95"/>
    </row>
    <row r="306" spans="1:29" ht="14.45" hidden="1" customHeight="1" x14ac:dyDescent="0.25">
      <c r="A306" s="36" t="str">
        <f>INDEX('Base de données Mono'!C:C,MATCH(B306,'Base de données Mono'!D:D,0))</f>
        <v>FONTENAY SOUS BOIS</v>
      </c>
      <c r="B306" t="s">
        <v>131</v>
      </c>
      <c r="C306" s="36" t="str">
        <f>INDEX('Base de données Mono'!B:B,MATCH(B306,'Base de données Mono'!D:D,0))</f>
        <v>SES8</v>
      </c>
      <c r="D306" s="36" t="str">
        <f>INDEX('Base de données Mono'!A:A,MATCH(B306,'Base de données Mono'!D:D,0))</f>
        <v>JG</v>
      </c>
      <c r="E306" s="37" t="s">
        <v>303</v>
      </c>
      <c r="F306" s="41">
        <f t="shared" si="30"/>
        <v>14</v>
      </c>
      <c r="G306" s="41">
        <f t="shared" si="31"/>
        <v>4</v>
      </c>
      <c r="H306">
        <v>8.33</v>
      </c>
      <c r="I306" s="131">
        <f>INDEX('Base de données Mono'!K:K,MATCH(B306,'Base de données Mono'!D:D,0))</f>
        <v>0.24305555555555555</v>
      </c>
      <c r="J306" s="131">
        <f>INDEX('Base de données Mono'!L:L,MATCH(B306,'Base de données Mono'!D:D,0))</f>
        <v>0.89583333333333337</v>
      </c>
      <c r="K306" s="131">
        <f>INDEX('Base de données Mono'!M:M,MATCH(B306,'Base de données Mono'!D:D,0))</f>
        <v>0.27083333333333331</v>
      </c>
      <c r="L306" s="131">
        <f>INDEX('Base de données Mono'!N:N,MATCH(B306,'Base de données Mono'!D:D,0))</f>
        <v>0.5625</v>
      </c>
      <c r="M306" s="33" t="s">
        <v>46</v>
      </c>
      <c r="N306" s="33">
        <f>IF(AND(E306="Electricité",M306="Hiver"),INDEX('Base de données Mono'!E:E,MATCH(B306,'Base de données Mono'!D:D,0)),IF(AND(E306="Electricité",M306="Mi-saison"),INDEX('Base de données Mono'!F:F,MATCH(B306,'Base de données Mono'!D:D,0)),IF(AND(E306="Electricité",M306="Eté"),INDEX('Base de données Mono'!G:G,MATCH(B306,'Base de données Mono'!D:D,0)),IF(AND(E306="Gaz",M306="Hiver"),INDEX('Base de données Mono'!J:J,MATCH(B306,'Base de données Mono'!D:D,0)),IF(AND(E306="Gaz",M306="Mi-saison"),INDEX('Base de données Mono'!#REF!,MATCH(B306,'Base de données Mono'!D:D,0)),IF(AND(E306="Gaz",M306="Eté"),INDEX('Base de données Mono'!#REF!,MATCH(B306,'Base de données Mono'!D:D,0)),"-"))))))</f>
        <v>55</v>
      </c>
      <c r="O306" s="123">
        <v>45385</v>
      </c>
      <c r="P306" s="123">
        <v>45386</v>
      </c>
      <c r="Q306" s="34">
        <v>65</v>
      </c>
      <c r="R306" s="33">
        <f t="shared" si="32"/>
        <v>10</v>
      </c>
      <c r="S306" s="34">
        <v>8.3000000000000007</v>
      </c>
      <c r="T306" s="34">
        <f t="shared" si="33"/>
        <v>1</v>
      </c>
      <c r="U306" s="33">
        <f t="shared" si="34"/>
        <v>83</v>
      </c>
      <c r="V306" s="38" t="s">
        <v>827</v>
      </c>
      <c r="W306" s="39">
        <f t="shared" si="35"/>
        <v>0.18181818181818182</v>
      </c>
      <c r="X306" s="40" t="s">
        <v>304</v>
      </c>
      <c r="Y306" s="40" t="s">
        <v>284</v>
      </c>
      <c r="Z306" s="40" t="s">
        <v>305</v>
      </c>
      <c r="AA306" s="33" t="s">
        <v>771</v>
      </c>
      <c r="AB306" s="95"/>
      <c r="AC306" s="95"/>
    </row>
    <row r="307" spans="1:29" ht="14.45" hidden="1" customHeight="1" x14ac:dyDescent="0.25">
      <c r="A307" s="36" t="str">
        <f>INDEX('Base de données Mono'!C:C,MATCH(B307,'Base de données Mono'!D:D,0))</f>
        <v>FONTENAY SOUS BOIS</v>
      </c>
      <c r="B307" t="s">
        <v>131</v>
      </c>
      <c r="C307" s="36" t="str">
        <f>INDEX('Base de données Mono'!B:B,MATCH(B307,'Base de données Mono'!D:D,0))</f>
        <v>SES8</v>
      </c>
      <c r="D307" s="36" t="str">
        <f>INDEX('Base de données Mono'!A:A,MATCH(B307,'Base de données Mono'!D:D,0))</f>
        <v>JG</v>
      </c>
      <c r="E307" s="37" t="s">
        <v>303</v>
      </c>
      <c r="F307" s="41">
        <f t="shared" si="30"/>
        <v>14</v>
      </c>
      <c r="G307" s="41">
        <f t="shared" si="31"/>
        <v>4</v>
      </c>
      <c r="H307">
        <v>8.33</v>
      </c>
      <c r="I307" s="131">
        <f>INDEX('Base de données Mono'!K:K,MATCH(B307,'Base de données Mono'!D:D,0))</f>
        <v>0.24305555555555555</v>
      </c>
      <c r="J307" s="131">
        <f>INDEX('Base de données Mono'!L:L,MATCH(B307,'Base de données Mono'!D:D,0))</f>
        <v>0.89583333333333337</v>
      </c>
      <c r="K307" s="131">
        <f>INDEX('Base de données Mono'!M:M,MATCH(B307,'Base de données Mono'!D:D,0))</f>
        <v>0.27083333333333331</v>
      </c>
      <c r="L307" s="131">
        <f>INDEX('Base de données Mono'!N:N,MATCH(B307,'Base de données Mono'!D:D,0))</f>
        <v>0.5625</v>
      </c>
      <c r="M307" s="33" t="s">
        <v>46</v>
      </c>
      <c r="N307" s="33">
        <f>IF(AND(E307="Electricité",M307="Hiver"),INDEX('Base de données Mono'!E:E,MATCH(B307,'Base de données Mono'!D:D,0)),IF(AND(E307="Electricité",M307="Mi-saison"),INDEX('Base de données Mono'!F:F,MATCH(B307,'Base de données Mono'!D:D,0)),IF(AND(E307="Electricité",M307="Eté"),INDEX('Base de données Mono'!G:G,MATCH(B307,'Base de données Mono'!D:D,0)),IF(AND(E307="Gaz",M307="Hiver"),INDEX('Base de données Mono'!J:J,MATCH(B307,'Base de données Mono'!D:D,0)),IF(AND(E307="Gaz",M307="Mi-saison"),INDEX('Base de données Mono'!#REF!,MATCH(B307,'Base de données Mono'!D:D,0)),IF(AND(E307="Gaz",M307="Eté"),INDEX('Base de données Mono'!#REF!,MATCH(B307,'Base de données Mono'!D:D,0)),"-"))))))</f>
        <v>55</v>
      </c>
      <c r="O307" s="123">
        <v>45386</v>
      </c>
      <c r="P307" s="123">
        <v>45387</v>
      </c>
      <c r="Q307" s="34">
        <v>70</v>
      </c>
      <c r="R307" s="33">
        <f t="shared" si="32"/>
        <v>15</v>
      </c>
      <c r="S307" s="34">
        <v>4.5999999999999996</v>
      </c>
      <c r="T307" s="34">
        <f t="shared" si="33"/>
        <v>1</v>
      </c>
      <c r="U307" s="33">
        <f t="shared" si="34"/>
        <v>69</v>
      </c>
      <c r="V307" s="38" t="s">
        <v>827</v>
      </c>
      <c r="W307" s="39">
        <f t="shared" si="35"/>
        <v>0.27272727272727271</v>
      </c>
      <c r="X307" s="40" t="s">
        <v>304</v>
      </c>
      <c r="Y307" s="40" t="s">
        <v>284</v>
      </c>
      <c r="Z307" s="40" t="s">
        <v>305</v>
      </c>
      <c r="AA307" s="33" t="s">
        <v>771</v>
      </c>
      <c r="AB307" s="95"/>
      <c r="AC307" s="95"/>
    </row>
    <row r="308" spans="1:29" ht="14.45" hidden="1" customHeight="1" x14ac:dyDescent="0.25">
      <c r="A308" s="36" t="str">
        <f>INDEX('Base de données Mono'!C:C,MATCH(B308,'Base de données Mono'!D:D,0))</f>
        <v>FONTENAY SOUS BOIS</v>
      </c>
      <c r="B308" t="s">
        <v>131</v>
      </c>
      <c r="C308" s="36" t="str">
        <f>INDEX('Base de données Mono'!B:B,MATCH(B308,'Base de données Mono'!D:D,0))</f>
        <v>SES8</v>
      </c>
      <c r="D308" s="36" t="str">
        <f>INDEX('Base de données Mono'!A:A,MATCH(B308,'Base de données Mono'!D:D,0))</f>
        <v>JG</v>
      </c>
      <c r="E308" s="37" t="s">
        <v>303</v>
      </c>
      <c r="F308" s="41">
        <f t="shared" si="30"/>
        <v>14</v>
      </c>
      <c r="G308" s="41">
        <f t="shared" si="31"/>
        <v>4</v>
      </c>
      <c r="H308">
        <v>8.33</v>
      </c>
      <c r="I308" s="131">
        <f>INDEX('Base de données Mono'!K:K,MATCH(B308,'Base de données Mono'!D:D,0))</f>
        <v>0.24305555555555555</v>
      </c>
      <c r="J308" s="131">
        <f>INDEX('Base de données Mono'!L:L,MATCH(B308,'Base de données Mono'!D:D,0))</f>
        <v>0.89583333333333337</v>
      </c>
      <c r="K308" s="131">
        <f>INDEX('Base de données Mono'!M:M,MATCH(B308,'Base de données Mono'!D:D,0))</f>
        <v>0.27083333333333331</v>
      </c>
      <c r="L308" s="131">
        <f>INDEX('Base de données Mono'!N:N,MATCH(B308,'Base de données Mono'!D:D,0))</f>
        <v>0.5625</v>
      </c>
      <c r="M308" s="33" t="s">
        <v>46</v>
      </c>
      <c r="N308" s="33">
        <f>IF(AND(E308="Electricité",M308="Hiver"),INDEX('Base de données Mono'!E:E,MATCH(B308,'Base de données Mono'!D:D,0)),IF(AND(E308="Electricité",M308="Mi-saison"),INDEX('Base de données Mono'!F:F,MATCH(B308,'Base de données Mono'!D:D,0)),IF(AND(E308="Electricité",M308="Eté"),INDEX('Base de données Mono'!G:G,MATCH(B308,'Base de données Mono'!D:D,0)),IF(AND(E308="Gaz",M308="Hiver"),INDEX('Base de données Mono'!J:J,MATCH(B308,'Base de données Mono'!D:D,0)),IF(AND(E308="Gaz",M308="Mi-saison"),INDEX('Base de données Mono'!#REF!,MATCH(B308,'Base de données Mono'!D:D,0)),IF(AND(E308="Gaz",M308="Eté"),INDEX('Base de données Mono'!#REF!,MATCH(B308,'Base de données Mono'!D:D,0)),"-"))))))</f>
        <v>55</v>
      </c>
      <c r="O308" s="123">
        <v>45386</v>
      </c>
      <c r="P308" s="123">
        <v>45387</v>
      </c>
      <c r="Q308" s="34">
        <v>105</v>
      </c>
      <c r="R308" s="33">
        <f t="shared" si="32"/>
        <v>50</v>
      </c>
      <c r="S308" s="34">
        <v>3.7</v>
      </c>
      <c r="T308" s="34">
        <f t="shared" si="33"/>
        <v>1</v>
      </c>
      <c r="U308" s="33">
        <f t="shared" si="34"/>
        <v>185</v>
      </c>
      <c r="V308" s="38" t="s">
        <v>827</v>
      </c>
      <c r="W308" s="39">
        <f t="shared" si="35"/>
        <v>0.90909090909090906</v>
      </c>
      <c r="X308" s="40" t="s">
        <v>304</v>
      </c>
      <c r="Y308" s="40" t="s">
        <v>284</v>
      </c>
      <c r="Z308" s="40" t="s">
        <v>311</v>
      </c>
      <c r="AA308" s="33" t="s">
        <v>775</v>
      </c>
      <c r="AB308" s="95"/>
      <c r="AC308" s="95"/>
    </row>
    <row r="309" spans="1:29" ht="14.45" hidden="1" customHeight="1" x14ac:dyDescent="0.25">
      <c r="A309" s="36" t="str">
        <f>INDEX('Base de données Mono'!C:C,MATCH(B309,'Base de données Mono'!D:D,0))</f>
        <v>FONTENAY SOUS BOIS</v>
      </c>
      <c r="B309" t="s">
        <v>131</v>
      </c>
      <c r="C309" s="36" t="str">
        <f>INDEX('Base de données Mono'!B:B,MATCH(B309,'Base de données Mono'!D:D,0))</f>
        <v>SES8</v>
      </c>
      <c r="D309" s="36" t="str">
        <f>INDEX('Base de données Mono'!A:A,MATCH(B309,'Base de données Mono'!D:D,0))</f>
        <v>JG</v>
      </c>
      <c r="E309" s="37" t="s">
        <v>303</v>
      </c>
      <c r="F309" s="41">
        <f>IF(O309="","-",IF(AND(X309="Nuit",WEEKDAY(O309,2)=7,O309&lt;&gt;P309),WEEKNUM(O309,2),WEEKNUM(O309,2)-1))+1</f>
        <v>14</v>
      </c>
      <c r="G309" s="41">
        <f>IF(O309="","-",MONTH(O309))</f>
        <v>4</v>
      </c>
      <c r="H309">
        <v>8.33</v>
      </c>
      <c r="I309" s="131">
        <f>INDEX('Base de données Mono'!K:K,MATCH(B309,'Base de données Mono'!D:D,0))</f>
        <v>0.24305555555555555</v>
      </c>
      <c r="J309" s="131">
        <f>INDEX('Base de données Mono'!L:L,MATCH(B309,'Base de données Mono'!D:D,0))</f>
        <v>0.89583333333333337</v>
      </c>
      <c r="K309" s="131">
        <f>INDEX('Base de données Mono'!M:M,MATCH(B309,'Base de données Mono'!D:D,0))</f>
        <v>0.27083333333333331</v>
      </c>
      <c r="L309" s="131">
        <f>INDEX('Base de données Mono'!N:N,MATCH(B309,'Base de données Mono'!D:D,0))</f>
        <v>0.5625</v>
      </c>
      <c r="M309" s="33" t="s">
        <v>46</v>
      </c>
      <c r="N309" s="33">
        <f>IF(AND(E309="Electricité",M309="Hiver"),INDEX('Base de données Mono'!E:E,MATCH(B309,'Base de données Mono'!D:D,0)),IF(AND(E309="Electricité",M309="Mi-saison"),INDEX('Base de données Mono'!F:F,MATCH(B309,'Base de données Mono'!D:D,0)),IF(AND(E309="Electricité",M309="Eté"),INDEX('Base de données Mono'!G:G,MATCH(B309,'Base de données Mono'!D:D,0)),IF(AND(E309="Gaz",M309="Hiver"),INDEX('Base de données Mono'!J:J,MATCH(B309,'Base de données Mono'!D:D,0)),IF(AND(E309="Gaz",M309="Mi-saison"),INDEX('Base de données Mono'!#REF!,MATCH(B309,'Base de données Mono'!D:D,0)),IF(AND(E309="Gaz",M309="Eté"),INDEX('Base de données Mono'!#REF!,MATCH(B309,'Base de données Mono'!D:D,0)),"-"))))))</f>
        <v>55</v>
      </c>
      <c r="O309" s="123">
        <v>45387</v>
      </c>
      <c r="P309" s="123">
        <v>45389</v>
      </c>
      <c r="Q309" s="34">
        <v>65</v>
      </c>
      <c r="R309" s="33">
        <f>IF(Q309="","",Q309-N309)</f>
        <v>10</v>
      </c>
      <c r="S309" s="34">
        <v>8.3000000000000007</v>
      </c>
      <c r="T309" s="34">
        <f>P309-O309</f>
        <v>2</v>
      </c>
      <c r="U309" s="33">
        <f>R309*S309*T309</f>
        <v>166</v>
      </c>
      <c r="V309" s="38" t="s">
        <v>827</v>
      </c>
      <c r="W309" s="39">
        <f>IFERROR(IF(E309="Gaz","-",R309/N309),"-")</f>
        <v>0.18181818181818182</v>
      </c>
      <c r="X309" s="40" t="s">
        <v>304</v>
      </c>
      <c r="Y309" s="40" t="s">
        <v>284</v>
      </c>
      <c r="Z309" s="40" t="s">
        <v>305</v>
      </c>
      <c r="AA309" s="33" t="s">
        <v>771</v>
      </c>
      <c r="AB309" s="95"/>
      <c r="AC309" s="95"/>
    </row>
    <row r="310" spans="1:29" ht="14.45" hidden="1" customHeight="1" x14ac:dyDescent="0.25">
      <c r="A310" s="36" t="str">
        <f>INDEX('Base de données Mono'!C:C,MATCH(B310,'Base de données Mono'!D:D,0))</f>
        <v>FONTENAY SOUS BOIS</v>
      </c>
      <c r="B310" t="s">
        <v>131</v>
      </c>
      <c r="C310" s="36" t="str">
        <f>INDEX('Base de données Mono'!B:B,MATCH(B310,'Base de données Mono'!D:D,0))</f>
        <v>SES8</v>
      </c>
      <c r="D310" s="36" t="str">
        <f>INDEX('Base de données Mono'!A:A,MATCH(B310,'Base de données Mono'!D:D,0))</f>
        <v>JG</v>
      </c>
      <c r="E310" s="37" t="s">
        <v>303</v>
      </c>
      <c r="F310" s="41">
        <f t="shared" si="30"/>
        <v>14</v>
      </c>
      <c r="G310" s="41">
        <f t="shared" si="31"/>
        <v>4</v>
      </c>
      <c r="H310">
        <v>8.33</v>
      </c>
      <c r="I310" s="131">
        <f>INDEX('Base de données Mono'!K:K,MATCH(B310,'Base de données Mono'!D:D,0))</f>
        <v>0.24305555555555555</v>
      </c>
      <c r="J310" s="131">
        <f>INDEX('Base de données Mono'!L:L,MATCH(B310,'Base de données Mono'!D:D,0))</f>
        <v>0.89583333333333337</v>
      </c>
      <c r="K310" s="131">
        <f>INDEX('Base de données Mono'!M:M,MATCH(B310,'Base de données Mono'!D:D,0))</f>
        <v>0.27083333333333331</v>
      </c>
      <c r="L310" s="131">
        <f>INDEX('Base de données Mono'!N:N,MATCH(B310,'Base de données Mono'!D:D,0))</f>
        <v>0.5625</v>
      </c>
      <c r="M310" s="33" t="s">
        <v>46</v>
      </c>
      <c r="N310" s="33">
        <f>IF(AND(E310="Electricité",M310="Hiver"),INDEX('Base de données Mono'!E:E,MATCH(B310,'Base de données Mono'!D:D,0)),IF(AND(E310="Electricité",M310="Mi-saison"),INDEX('Base de données Mono'!F:F,MATCH(B310,'Base de données Mono'!D:D,0)),IF(AND(E310="Electricité",M310="Eté"),INDEX('Base de données Mono'!G:G,MATCH(B310,'Base de données Mono'!D:D,0)),IF(AND(E310="Gaz",M310="Hiver"),INDEX('Base de données Mono'!J:J,MATCH(B310,'Base de données Mono'!D:D,0)),IF(AND(E310="Gaz",M310="Mi-saison"),INDEX('Base de données Mono'!#REF!,MATCH(B310,'Base de données Mono'!D:D,0)),IF(AND(E310="Gaz",M310="Eté"),INDEX('Base de données Mono'!#REF!,MATCH(B310,'Base de données Mono'!D:D,0)),"-"))))))</f>
        <v>55</v>
      </c>
      <c r="O310" s="123">
        <v>45389</v>
      </c>
      <c r="P310" s="123">
        <v>45389</v>
      </c>
      <c r="Q310" s="34">
        <v>110</v>
      </c>
      <c r="R310" s="33">
        <f t="shared" si="32"/>
        <v>55</v>
      </c>
      <c r="S310" s="34">
        <v>6</v>
      </c>
      <c r="T310" s="34">
        <v>1</v>
      </c>
      <c r="U310" s="33">
        <f t="shared" si="34"/>
        <v>330</v>
      </c>
      <c r="V310" s="38" t="s">
        <v>827</v>
      </c>
      <c r="W310" s="39">
        <f t="shared" si="35"/>
        <v>1</v>
      </c>
      <c r="X310" s="40" t="s">
        <v>730</v>
      </c>
      <c r="Y310" s="40" t="s">
        <v>284</v>
      </c>
      <c r="Z310" s="40" t="s">
        <v>307</v>
      </c>
      <c r="AA310" s="33" t="s">
        <v>308</v>
      </c>
      <c r="AB310" s="95"/>
      <c r="AC310" s="95"/>
    </row>
    <row r="311" spans="1:29" ht="14.45" hidden="1" customHeight="1" x14ac:dyDescent="0.25">
      <c r="A311" s="36" t="str">
        <f>INDEX('Base de données Mono'!C:C,MATCH(B311,'Base de données Mono'!D:D,0))</f>
        <v>HERBLAY</v>
      </c>
      <c r="B311" t="s">
        <v>141</v>
      </c>
      <c r="C311" s="36" t="str">
        <f>INDEX('Base de données Mono'!B:B,MATCH(B311,'Base de données Mono'!D:D,0))</f>
        <v>Monoprix</v>
      </c>
      <c r="D311" s="36" t="str">
        <f>INDEX('Base de données Mono'!A:A,MATCH(B311,'Base de données Mono'!D:D,0))</f>
        <v>AD</v>
      </c>
      <c r="E311" s="37" t="s">
        <v>303</v>
      </c>
      <c r="F311" s="41">
        <f t="shared" si="30"/>
        <v>14</v>
      </c>
      <c r="G311" s="41">
        <f t="shared" si="31"/>
        <v>4</v>
      </c>
      <c r="H311">
        <v>10</v>
      </c>
      <c r="I311" s="131">
        <f>INDEX('Base de données Mono'!K:K,MATCH(B311,'Base de données Mono'!D:D,0))</f>
        <v>0.25</v>
      </c>
      <c r="J311" s="131">
        <f>INDEX('Base de données Mono'!L:L,MATCH(B311,'Base de données Mono'!D:D,0))</f>
        <v>0.83333333333333337</v>
      </c>
      <c r="K311" s="131">
        <f>INDEX('Base de données Mono'!M:M,MATCH(B311,'Base de données Mono'!D:D,0))</f>
        <v>0.25</v>
      </c>
      <c r="L311" s="131">
        <f>INDEX('Base de données Mono'!N:N,MATCH(B311,'Base de données Mono'!D:D,0))</f>
        <v>0.55208333333333337</v>
      </c>
      <c r="M311" s="33" t="s">
        <v>46</v>
      </c>
      <c r="N311" s="33">
        <f>IF(AND(E311="Electricité",M311="Hiver"),INDEX('Base de données Mono'!E:E,MATCH(B311,'Base de données Mono'!D:D,0)),IF(AND(E311="Electricité",M311="Mi-saison"),INDEX('Base de données Mono'!F:F,MATCH(B311,'Base de données Mono'!D:D,0)),IF(AND(E311="Electricité",M311="Eté"),INDEX('Base de données Mono'!G:G,MATCH(B311,'Base de données Mono'!D:D,0)),IF(AND(E311="Gaz",M311="Hiver"),INDEX('Base de données Mono'!J:J,MATCH(B311,'Base de données Mono'!D:D,0)),IF(AND(E311="Gaz",M311="Mi-saison"),INDEX('Base de données Mono'!#REF!,MATCH(B311,'Base de données Mono'!D:D,0)),IF(AND(E311="Gaz",M311="Eté"),INDEX('Base de données Mono'!#REF!,MATCH(B311,'Base de données Mono'!D:D,0)),"-"))))))</f>
        <v>35</v>
      </c>
      <c r="O311" s="123">
        <v>45383</v>
      </c>
      <c r="P311" s="123">
        <v>45388</v>
      </c>
      <c r="Q311" s="34">
        <v>40</v>
      </c>
      <c r="R311" s="33">
        <f t="shared" si="32"/>
        <v>5</v>
      </c>
      <c r="S311" s="34">
        <v>1</v>
      </c>
      <c r="T311" s="34">
        <f t="shared" si="33"/>
        <v>5</v>
      </c>
      <c r="U311" s="33">
        <f t="shared" si="34"/>
        <v>25</v>
      </c>
      <c r="V311" s="38" t="s">
        <v>827</v>
      </c>
      <c r="W311" s="39">
        <f t="shared" si="35"/>
        <v>0.14285714285714285</v>
      </c>
      <c r="X311" s="40" t="s">
        <v>304</v>
      </c>
      <c r="Y311" s="40" t="s">
        <v>283</v>
      </c>
      <c r="Z311" s="40" t="s">
        <v>749</v>
      </c>
      <c r="AA311" s="33" t="s">
        <v>749</v>
      </c>
      <c r="AB311" s="95"/>
      <c r="AC311" s="95"/>
    </row>
    <row r="312" spans="1:29" ht="14.45" hidden="1" customHeight="1" x14ac:dyDescent="0.25">
      <c r="A312" s="36" t="str">
        <f>INDEX('Base de données Mono'!C:C,MATCH(B312,'Base de données Mono'!D:D,0))</f>
        <v>DRAGON</v>
      </c>
      <c r="B312" t="s">
        <v>334</v>
      </c>
      <c r="C312" s="36" t="str">
        <f>INDEX('Base de données Mono'!B:B,MATCH(B312,'Base de données Mono'!D:D,0))</f>
        <v>Monoprix</v>
      </c>
      <c r="D312" s="36" t="str">
        <f>INDEX('Base de données Mono'!A:A,MATCH(B312,'Base de données Mono'!D:D,0))</f>
        <v>AD</v>
      </c>
      <c r="E312" s="37" t="s">
        <v>303</v>
      </c>
      <c r="F312" s="41">
        <f t="shared" si="30"/>
        <v>14</v>
      </c>
      <c r="G312" s="41">
        <f t="shared" si="31"/>
        <v>4</v>
      </c>
      <c r="H312">
        <v>5.5</v>
      </c>
      <c r="I312" s="131">
        <f>INDEX('Base de données Mono'!K:K,MATCH(B312,'Base de données Mono'!D:D,0))</f>
        <v>0.20833333333333334</v>
      </c>
      <c r="J312" s="131">
        <f>INDEX('Base de données Mono'!L:L,MATCH(B312,'Base de données Mono'!D:D,0))</f>
        <v>0.97916666666666663</v>
      </c>
      <c r="K312" s="131">
        <f>INDEX('Base de données Mono'!M:M,MATCH(B312,'Base de données Mono'!D:D,0))</f>
        <v>0.25</v>
      </c>
      <c r="L312" s="131">
        <f>INDEX('Base de données Mono'!N:N,MATCH(B312,'Base de données Mono'!D:D,0))</f>
        <v>0.85416666666666663</v>
      </c>
      <c r="M312" s="33" t="s">
        <v>46</v>
      </c>
      <c r="N312" s="33">
        <f>IF(AND(E312="Electricité",M312="Hiver"),INDEX('Base de données Mono'!E:E,MATCH(B312,'Base de données Mono'!D:D,0)),IF(AND(E312="Electricité",M312="Mi-saison"),INDEX('Base de données Mono'!F:F,MATCH(B312,'Base de données Mono'!D:D,0)),IF(AND(E312="Electricité",M312="Eté"),INDEX('Base de données Mono'!G:G,MATCH(B312,'Base de données Mono'!D:D,0)),IF(AND(E312="Gaz",M312="Hiver"),INDEX('Base de données Mono'!J:J,MATCH(B312,'Base de données Mono'!D:D,0)),IF(AND(E312="Gaz",M312="Mi-saison"),INDEX('Base de données Mono'!#REF!,MATCH(B312,'Base de données Mono'!D:D,0)),IF(AND(E312="Gaz",M312="Eté"),INDEX('Base de données Mono'!#REF!,MATCH(B312,'Base de données Mono'!D:D,0)),"-"))))))</f>
        <v>90</v>
      </c>
      <c r="O312" s="123">
        <v>45383</v>
      </c>
      <c r="P312" s="123">
        <v>45387</v>
      </c>
      <c r="Q312" s="34">
        <v>110</v>
      </c>
      <c r="R312" s="33">
        <f t="shared" si="32"/>
        <v>20</v>
      </c>
      <c r="S312" s="34">
        <v>6</v>
      </c>
      <c r="T312" s="34">
        <f t="shared" si="33"/>
        <v>4</v>
      </c>
      <c r="U312" s="33">
        <f t="shared" si="34"/>
        <v>480</v>
      </c>
      <c r="V312" s="38" t="s">
        <v>827</v>
      </c>
      <c r="W312" s="39">
        <f t="shared" si="35"/>
        <v>0.22222222222222221</v>
      </c>
      <c r="X312" s="40" t="s">
        <v>304</v>
      </c>
      <c r="Y312" s="40" t="s">
        <v>283</v>
      </c>
      <c r="Z312" s="40" t="s">
        <v>749</v>
      </c>
      <c r="AA312" s="33" t="s">
        <v>749</v>
      </c>
      <c r="AB312" s="95"/>
      <c r="AC312" s="95"/>
    </row>
    <row r="313" spans="1:29" ht="14.45" hidden="1" customHeight="1" x14ac:dyDescent="0.25">
      <c r="A313" s="36" t="str">
        <f>INDEX('Base de données Mono'!C:C,MATCH(B313,'Base de données Mono'!D:D,0))</f>
        <v>DRAGON</v>
      </c>
      <c r="B313" t="s">
        <v>334</v>
      </c>
      <c r="C313" s="36" t="str">
        <f>INDEX('Base de données Mono'!B:B,MATCH(B313,'Base de données Mono'!D:D,0))</f>
        <v>Monoprix</v>
      </c>
      <c r="D313" s="36" t="str">
        <f>INDEX('Base de données Mono'!A:A,MATCH(B313,'Base de données Mono'!D:D,0))</f>
        <v>AD</v>
      </c>
      <c r="E313" s="37" t="s">
        <v>303</v>
      </c>
      <c r="F313" s="41">
        <f t="shared" si="30"/>
        <v>14</v>
      </c>
      <c r="G313" s="41">
        <f t="shared" si="31"/>
        <v>4</v>
      </c>
      <c r="H313">
        <v>5.5</v>
      </c>
      <c r="I313" s="131">
        <f>INDEX('Base de données Mono'!K:K,MATCH(B313,'Base de données Mono'!D:D,0))</f>
        <v>0.20833333333333334</v>
      </c>
      <c r="J313" s="131">
        <f>INDEX('Base de données Mono'!L:L,MATCH(B313,'Base de données Mono'!D:D,0))</f>
        <v>0.97916666666666663</v>
      </c>
      <c r="K313" s="131">
        <f>INDEX('Base de données Mono'!M:M,MATCH(B313,'Base de données Mono'!D:D,0))</f>
        <v>0.25</v>
      </c>
      <c r="L313" s="131">
        <f>INDEX('Base de données Mono'!N:N,MATCH(B313,'Base de données Mono'!D:D,0))</f>
        <v>0.85416666666666663</v>
      </c>
      <c r="M313" s="33" t="s">
        <v>46</v>
      </c>
      <c r="N313" s="33">
        <f>IF(AND(E313="Electricité",M313="Hiver"),INDEX('Base de données Mono'!E:E,MATCH(B313,'Base de données Mono'!D:D,0)),IF(AND(E313="Electricité",M313="Mi-saison"),INDEX('Base de données Mono'!F:F,MATCH(B313,'Base de données Mono'!D:D,0)),IF(AND(E313="Electricité",M313="Eté"),INDEX('Base de données Mono'!G:G,MATCH(B313,'Base de données Mono'!D:D,0)),IF(AND(E313="Gaz",M313="Hiver"),INDEX('Base de données Mono'!J:J,MATCH(B313,'Base de données Mono'!D:D,0)),IF(AND(E313="Gaz",M313="Mi-saison"),INDEX('Base de données Mono'!#REF!,MATCH(B313,'Base de données Mono'!D:D,0)),IF(AND(E313="Gaz",M313="Eté"),INDEX('Base de données Mono'!#REF!,MATCH(B313,'Base de données Mono'!D:D,0)),"-"))))))</f>
        <v>90</v>
      </c>
      <c r="O313" s="123">
        <v>45383</v>
      </c>
      <c r="P313" s="123">
        <v>45384</v>
      </c>
      <c r="Q313" s="34">
        <v>120</v>
      </c>
      <c r="R313" s="33">
        <f t="shared" si="32"/>
        <v>30</v>
      </c>
      <c r="S313" s="34">
        <v>1</v>
      </c>
      <c r="T313" s="34">
        <f t="shared" si="33"/>
        <v>1</v>
      </c>
      <c r="U313" s="33">
        <f t="shared" si="34"/>
        <v>30</v>
      </c>
      <c r="V313" s="38" t="s">
        <v>827</v>
      </c>
      <c r="W313" s="39">
        <f t="shared" si="35"/>
        <v>0.33333333333333331</v>
      </c>
      <c r="X313" s="40" t="s">
        <v>304</v>
      </c>
      <c r="Y313" s="40" t="s">
        <v>283</v>
      </c>
      <c r="Z313" s="40" t="s">
        <v>749</v>
      </c>
      <c r="AA313" s="33" t="s">
        <v>749</v>
      </c>
      <c r="AB313" s="95"/>
      <c r="AC313" s="95"/>
    </row>
    <row r="314" spans="1:29" ht="14.45" hidden="1" customHeight="1" x14ac:dyDescent="0.25">
      <c r="A314" s="36" t="str">
        <f>INDEX('Base de données Mono'!C:C,MATCH(B314,'Base de données Mono'!D:D,0))</f>
        <v>DRAGON</v>
      </c>
      <c r="B314" t="s">
        <v>334</v>
      </c>
      <c r="C314" s="36" t="str">
        <f>INDEX('Base de données Mono'!B:B,MATCH(B314,'Base de données Mono'!D:D,0))</f>
        <v>Monoprix</v>
      </c>
      <c r="D314" s="36" t="str">
        <f>INDEX('Base de données Mono'!A:A,MATCH(B314,'Base de données Mono'!D:D,0))</f>
        <v>AD</v>
      </c>
      <c r="E314" s="37" t="s">
        <v>303</v>
      </c>
      <c r="F314" s="41">
        <f t="shared" si="30"/>
        <v>14</v>
      </c>
      <c r="G314" s="41">
        <f t="shared" si="31"/>
        <v>4</v>
      </c>
      <c r="H314">
        <v>5.5</v>
      </c>
      <c r="I314" s="131">
        <f>INDEX('Base de données Mono'!K:K,MATCH(B314,'Base de données Mono'!D:D,0))</f>
        <v>0.20833333333333334</v>
      </c>
      <c r="J314" s="131">
        <f>INDEX('Base de données Mono'!L:L,MATCH(B314,'Base de données Mono'!D:D,0))</f>
        <v>0.97916666666666663</v>
      </c>
      <c r="K314" s="131">
        <f>INDEX('Base de données Mono'!M:M,MATCH(B314,'Base de données Mono'!D:D,0))</f>
        <v>0.25</v>
      </c>
      <c r="L314" s="131">
        <f>INDEX('Base de données Mono'!N:N,MATCH(B314,'Base de données Mono'!D:D,0))</f>
        <v>0.85416666666666663</v>
      </c>
      <c r="M314" s="33" t="s">
        <v>46</v>
      </c>
      <c r="N314" s="33">
        <f>IF(AND(E314="Electricité",M314="Hiver"),INDEX('Base de données Mono'!E:E,MATCH(B314,'Base de données Mono'!D:D,0)),IF(AND(E314="Electricité",M314="Mi-saison"),INDEX('Base de données Mono'!F:F,MATCH(B314,'Base de données Mono'!D:D,0)),IF(AND(E314="Electricité",M314="Eté"),INDEX('Base de données Mono'!G:G,MATCH(B314,'Base de données Mono'!D:D,0)),IF(AND(E314="Gaz",M314="Hiver"),INDEX('Base de données Mono'!J:J,MATCH(B314,'Base de données Mono'!D:D,0)),IF(AND(E314="Gaz",M314="Mi-saison"),INDEX('Base de données Mono'!#REF!,MATCH(B314,'Base de données Mono'!D:D,0)),IF(AND(E314="Gaz",M314="Eté"),INDEX('Base de données Mono'!#REF!,MATCH(B314,'Base de données Mono'!D:D,0)),"-"))))))</f>
        <v>90</v>
      </c>
      <c r="O314" s="123">
        <v>45386</v>
      </c>
      <c r="P314" s="123">
        <v>45387</v>
      </c>
      <c r="Q314" s="34">
        <v>130</v>
      </c>
      <c r="R314" s="33">
        <f t="shared" si="32"/>
        <v>40</v>
      </c>
      <c r="S314" s="34">
        <v>1</v>
      </c>
      <c r="T314" s="34">
        <f t="shared" si="33"/>
        <v>1</v>
      </c>
      <c r="U314" s="33">
        <f t="shared" si="34"/>
        <v>40</v>
      </c>
      <c r="V314" s="38" t="s">
        <v>827</v>
      </c>
      <c r="W314" s="39">
        <f t="shared" si="35"/>
        <v>0.44444444444444442</v>
      </c>
      <c r="X314" s="40" t="s">
        <v>304</v>
      </c>
      <c r="Y314" s="40" t="s">
        <v>283</v>
      </c>
      <c r="Z314" s="40" t="s">
        <v>749</v>
      </c>
      <c r="AA314" s="33" t="s">
        <v>749</v>
      </c>
      <c r="AB314" s="95"/>
      <c r="AC314" s="95"/>
    </row>
    <row r="315" spans="1:29" ht="14.45" hidden="1" customHeight="1" x14ac:dyDescent="0.25">
      <c r="A315" s="36" t="str">
        <f>INDEX('Base de données Mono'!C:C,MATCH(B315,'Base de données Mono'!D:D,0))</f>
        <v>DRAGON</v>
      </c>
      <c r="B315" t="s">
        <v>334</v>
      </c>
      <c r="C315" s="36" t="str">
        <f>INDEX('Base de données Mono'!B:B,MATCH(B315,'Base de données Mono'!D:D,0))</f>
        <v>Monoprix</v>
      </c>
      <c r="D315" s="36" t="str">
        <f>INDEX('Base de données Mono'!A:A,MATCH(B315,'Base de données Mono'!D:D,0))</f>
        <v>AD</v>
      </c>
      <c r="E315" s="37" t="s">
        <v>303</v>
      </c>
      <c r="F315" s="41">
        <f t="shared" si="30"/>
        <v>14</v>
      </c>
      <c r="G315" s="41">
        <f t="shared" si="31"/>
        <v>4</v>
      </c>
      <c r="H315">
        <v>5.5</v>
      </c>
      <c r="I315" s="131">
        <f>INDEX('Base de données Mono'!K:K,MATCH(B315,'Base de données Mono'!D:D,0))</f>
        <v>0.20833333333333334</v>
      </c>
      <c r="J315" s="131">
        <f>INDEX('Base de données Mono'!L:L,MATCH(B315,'Base de données Mono'!D:D,0))</f>
        <v>0.97916666666666663</v>
      </c>
      <c r="K315" s="131">
        <f>INDEX('Base de données Mono'!M:M,MATCH(B315,'Base de données Mono'!D:D,0))</f>
        <v>0.25</v>
      </c>
      <c r="L315" s="131">
        <f>INDEX('Base de données Mono'!N:N,MATCH(B315,'Base de données Mono'!D:D,0))</f>
        <v>0.85416666666666663</v>
      </c>
      <c r="M315" s="33" t="s">
        <v>46</v>
      </c>
      <c r="N315" s="33">
        <f>IF(AND(E315="Electricité",M315="Hiver"),INDEX('Base de données Mono'!E:E,MATCH(B315,'Base de données Mono'!D:D,0)),IF(AND(E315="Electricité",M315="Mi-saison"),INDEX('Base de données Mono'!F:F,MATCH(B315,'Base de données Mono'!D:D,0)),IF(AND(E315="Electricité",M315="Eté"),INDEX('Base de données Mono'!G:G,MATCH(B315,'Base de données Mono'!D:D,0)),IF(AND(E315="Gaz",M315="Hiver"),INDEX('Base de données Mono'!J:J,MATCH(B315,'Base de données Mono'!D:D,0)),IF(AND(E315="Gaz",M315="Mi-saison"),INDEX('Base de données Mono'!#REF!,MATCH(B315,'Base de données Mono'!D:D,0)),IF(AND(E315="Gaz",M315="Eté"),INDEX('Base de données Mono'!#REF!,MATCH(B315,'Base de données Mono'!D:D,0)),"-"))))))</f>
        <v>90</v>
      </c>
      <c r="O315" s="123">
        <v>45387</v>
      </c>
      <c r="P315" s="123">
        <v>45389</v>
      </c>
      <c r="Q315" s="34">
        <v>110</v>
      </c>
      <c r="R315" s="33">
        <f t="shared" si="32"/>
        <v>20</v>
      </c>
      <c r="S315" s="34">
        <v>6</v>
      </c>
      <c r="T315" s="34">
        <f t="shared" si="33"/>
        <v>2</v>
      </c>
      <c r="U315" s="33">
        <f t="shared" si="34"/>
        <v>240</v>
      </c>
      <c r="V315" s="38" t="s">
        <v>827</v>
      </c>
      <c r="W315" s="39">
        <f t="shared" si="35"/>
        <v>0.22222222222222221</v>
      </c>
      <c r="X315" s="40" t="s">
        <v>304</v>
      </c>
      <c r="Y315" s="40" t="s">
        <v>283</v>
      </c>
      <c r="Z315" s="40" t="s">
        <v>749</v>
      </c>
      <c r="AA315" s="33" t="s">
        <v>749</v>
      </c>
      <c r="AB315" s="95"/>
      <c r="AC315" s="95"/>
    </row>
    <row r="316" spans="1:29" ht="14.45" hidden="1" customHeight="1" x14ac:dyDescent="0.25">
      <c r="A316" s="36" t="str">
        <f>INDEX('Base de données Mono'!C:C,MATCH(B316,'Base de données Mono'!D:D,0))</f>
        <v>Le Pecq</v>
      </c>
      <c r="B316" t="s">
        <v>477</v>
      </c>
      <c r="C316" s="36" t="str">
        <f>INDEX('Base de données Mono'!B:B,MATCH(B316,'Base de données Mono'!D:D,0))</f>
        <v>Monoprix</v>
      </c>
      <c r="D316" s="36" t="str">
        <f>INDEX('Base de données Mono'!A:A,MATCH(B316,'Base de données Mono'!D:D,0))</f>
        <v>AD</v>
      </c>
      <c r="E316" s="37" t="s">
        <v>303</v>
      </c>
      <c r="F316" s="41">
        <f t="shared" si="30"/>
        <v>14</v>
      </c>
      <c r="G316" s="41">
        <f t="shared" si="31"/>
        <v>4</v>
      </c>
      <c r="H316">
        <v>8.5</v>
      </c>
      <c r="I316" s="131">
        <f>INDEX('Base de données Mono'!K:K,MATCH(B316,'Base de données Mono'!D:D,0))</f>
        <v>0.23611111111111113</v>
      </c>
      <c r="J316" s="131">
        <f>INDEX('Base de données Mono'!L:L,MATCH(B316,'Base de données Mono'!D:D,0))</f>
        <v>0.88194444444444453</v>
      </c>
      <c r="K316" s="131">
        <f>INDEX('Base de données Mono'!M:M,MATCH(B316,'Base de données Mono'!D:D,0))</f>
        <v>0.3263888888888889</v>
      </c>
      <c r="L316" s="131">
        <f>INDEX('Base de données Mono'!N:N,MATCH(B316,'Base de données Mono'!D:D,0))</f>
        <v>0.54861111111111105</v>
      </c>
      <c r="M316" s="33" t="s">
        <v>46</v>
      </c>
      <c r="N316" s="33">
        <f>IF(AND(E316="Electricité",M316="Hiver"),INDEX('Base de données Mono'!E:E,MATCH(B316,'Base de données Mono'!D:D,0)),IF(AND(E316="Electricité",M316="Mi-saison"),INDEX('Base de données Mono'!F:F,MATCH(B316,'Base de données Mono'!D:D,0)),IF(AND(E316="Electricité",M316="Eté"),INDEX('Base de données Mono'!G:G,MATCH(B316,'Base de données Mono'!D:D,0)),IF(AND(E316="Gaz",M316="Hiver"),INDEX('Base de données Mono'!J:J,MATCH(B316,'Base de données Mono'!D:D,0)),IF(AND(E316="Gaz",M316="Mi-saison"),INDEX('Base de données Mono'!#REF!,MATCH(B316,'Base de données Mono'!D:D,0)),IF(AND(E316="Gaz",M316="Eté"),INDEX('Base de données Mono'!#REF!,MATCH(B316,'Base de données Mono'!D:D,0)),"-"))))))</f>
        <v>45</v>
      </c>
      <c r="O316" s="123">
        <v>45383</v>
      </c>
      <c r="P316" s="123">
        <v>45385</v>
      </c>
      <c r="Q316" s="34">
        <v>70</v>
      </c>
      <c r="R316" s="33">
        <f t="shared" si="32"/>
        <v>25</v>
      </c>
      <c r="S316" s="34">
        <v>7</v>
      </c>
      <c r="T316" s="34">
        <f t="shared" si="33"/>
        <v>2</v>
      </c>
      <c r="U316" s="33">
        <f t="shared" si="34"/>
        <v>350</v>
      </c>
      <c r="V316" s="38" t="s">
        <v>827</v>
      </c>
      <c r="W316" s="39">
        <f t="shared" si="35"/>
        <v>0.55555555555555558</v>
      </c>
      <c r="X316" s="40" t="s">
        <v>304</v>
      </c>
      <c r="Y316" s="40" t="s">
        <v>283</v>
      </c>
      <c r="Z316" s="40" t="s">
        <v>749</v>
      </c>
      <c r="AA316" s="33" t="s">
        <v>749</v>
      </c>
      <c r="AB316" s="95"/>
      <c r="AC316" s="95"/>
    </row>
    <row r="317" spans="1:29" ht="14.45" hidden="1" customHeight="1" x14ac:dyDescent="0.25">
      <c r="A317" s="36" t="str">
        <f>INDEX('Base de données Mono'!C:C,MATCH(B317,'Base de données Mono'!D:D,0))</f>
        <v>Le Pecq</v>
      </c>
      <c r="B317" t="s">
        <v>477</v>
      </c>
      <c r="C317" s="36" t="str">
        <f>INDEX('Base de données Mono'!B:B,MATCH(B317,'Base de données Mono'!D:D,0))</f>
        <v>Monoprix</v>
      </c>
      <c r="D317" s="36" t="str">
        <f>INDEX('Base de données Mono'!A:A,MATCH(B317,'Base de données Mono'!D:D,0))</f>
        <v>AD</v>
      </c>
      <c r="E317" s="37" t="s">
        <v>303</v>
      </c>
      <c r="F317" s="41">
        <f t="shared" si="30"/>
        <v>14</v>
      </c>
      <c r="G317" s="41">
        <f t="shared" si="31"/>
        <v>4</v>
      </c>
      <c r="H317">
        <v>8.5</v>
      </c>
      <c r="I317" s="131">
        <f>INDEX('Base de données Mono'!K:K,MATCH(B317,'Base de données Mono'!D:D,0))</f>
        <v>0.23611111111111113</v>
      </c>
      <c r="J317" s="131">
        <f>INDEX('Base de données Mono'!L:L,MATCH(B317,'Base de données Mono'!D:D,0))</f>
        <v>0.88194444444444453</v>
      </c>
      <c r="K317" s="131">
        <f>INDEX('Base de données Mono'!M:M,MATCH(B317,'Base de données Mono'!D:D,0))</f>
        <v>0.3263888888888889</v>
      </c>
      <c r="L317" s="131">
        <f>INDEX('Base de données Mono'!N:N,MATCH(B317,'Base de données Mono'!D:D,0))</f>
        <v>0.54861111111111105</v>
      </c>
      <c r="M317" s="33" t="s">
        <v>46</v>
      </c>
      <c r="N317" s="33">
        <f>IF(AND(E317="Electricité",M317="Hiver"),INDEX('Base de données Mono'!E:E,MATCH(B317,'Base de données Mono'!D:D,0)),IF(AND(E317="Electricité",M317="Mi-saison"),INDEX('Base de données Mono'!F:F,MATCH(B317,'Base de données Mono'!D:D,0)),IF(AND(E317="Electricité",M317="Eté"),INDEX('Base de données Mono'!G:G,MATCH(B317,'Base de données Mono'!D:D,0)),IF(AND(E317="Gaz",M317="Hiver"),INDEX('Base de données Mono'!J:J,MATCH(B317,'Base de données Mono'!D:D,0)),IF(AND(E317="Gaz",M317="Mi-saison"),INDEX('Base de données Mono'!#REF!,MATCH(B317,'Base de données Mono'!D:D,0)),IF(AND(E317="Gaz",M317="Eté"),INDEX('Base de données Mono'!#REF!,MATCH(B317,'Base de données Mono'!D:D,0)),"-"))))))</f>
        <v>45</v>
      </c>
      <c r="O317" s="123">
        <v>45383</v>
      </c>
      <c r="P317" s="123">
        <v>45388</v>
      </c>
      <c r="Q317" s="34">
        <v>80</v>
      </c>
      <c r="R317" s="33">
        <f t="shared" si="32"/>
        <v>35</v>
      </c>
      <c r="S317" s="34">
        <v>1</v>
      </c>
      <c r="T317" s="34">
        <f t="shared" si="33"/>
        <v>5</v>
      </c>
      <c r="U317" s="33">
        <f t="shared" si="34"/>
        <v>175</v>
      </c>
      <c r="V317" s="38" t="s">
        <v>827</v>
      </c>
      <c r="W317" s="39">
        <f t="shared" si="35"/>
        <v>0.77777777777777779</v>
      </c>
      <c r="X317" s="40" t="s">
        <v>304</v>
      </c>
      <c r="Y317" s="40" t="s">
        <v>283</v>
      </c>
      <c r="Z317" s="40" t="s">
        <v>749</v>
      </c>
      <c r="AA317" s="33" t="s">
        <v>749</v>
      </c>
      <c r="AB317" s="95"/>
      <c r="AC317" s="95"/>
    </row>
    <row r="318" spans="1:29" ht="14.45" hidden="1" customHeight="1" x14ac:dyDescent="0.25">
      <c r="A318" s="36" t="str">
        <f>INDEX('Base de données Mono'!C:C,MATCH(B318,'Base de données Mono'!D:D,0))</f>
        <v>Le Pecq</v>
      </c>
      <c r="B318" t="s">
        <v>477</v>
      </c>
      <c r="C318" s="36" t="str">
        <f>INDEX('Base de données Mono'!B:B,MATCH(B318,'Base de données Mono'!D:D,0))</f>
        <v>Monoprix</v>
      </c>
      <c r="D318" s="36" t="str">
        <f>INDEX('Base de données Mono'!A:A,MATCH(B318,'Base de données Mono'!D:D,0))</f>
        <v>AD</v>
      </c>
      <c r="E318" s="37" t="s">
        <v>303</v>
      </c>
      <c r="F318" s="41">
        <f t="shared" si="30"/>
        <v>14</v>
      </c>
      <c r="G318" s="41">
        <f t="shared" si="31"/>
        <v>4</v>
      </c>
      <c r="H318">
        <v>8.5</v>
      </c>
      <c r="I318" s="131">
        <f>INDEX('Base de données Mono'!K:K,MATCH(B318,'Base de données Mono'!D:D,0))</f>
        <v>0.23611111111111113</v>
      </c>
      <c r="J318" s="131">
        <f>INDEX('Base de données Mono'!L:L,MATCH(B318,'Base de données Mono'!D:D,0))</f>
        <v>0.88194444444444453</v>
      </c>
      <c r="K318" s="131">
        <f>INDEX('Base de données Mono'!M:M,MATCH(B318,'Base de données Mono'!D:D,0))</f>
        <v>0.3263888888888889</v>
      </c>
      <c r="L318" s="131">
        <f>INDEX('Base de données Mono'!N:N,MATCH(B318,'Base de données Mono'!D:D,0))</f>
        <v>0.54861111111111105</v>
      </c>
      <c r="M318" s="33" t="s">
        <v>46</v>
      </c>
      <c r="N318" s="33">
        <f>IF(AND(E318="Electricité",M318="Hiver"),INDEX('Base de données Mono'!E:E,MATCH(B318,'Base de données Mono'!D:D,0)),IF(AND(E318="Electricité",M318="Mi-saison"),INDEX('Base de données Mono'!F:F,MATCH(B318,'Base de données Mono'!D:D,0)),IF(AND(E318="Electricité",M318="Eté"),INDEX('Base de données Mono'!G:G,MATCH(B318,'Base de données Mono'!D:D,0)),IF(AND(E318="Gaz",M318="Hiver"),INDEX('Base de données Mono'!J:J,MATCH(B318,'Base de données Mono'!D:D,0)),IF(AND(E318="Gaz",M318="Mi-saison"),INDEX('Base de données Mono'!#REF!,MATCH(B318,'Base de données Mono'!D:D,0)),IF(AND(E318="Gaz",M318="Eté"),INDEX('Base de données Mono'!#REF!,MATCH(B318,'Base de données Mono'!D:D,0)),"-"))))))</f>
        <v>45</v>
      </c>
      <c r="O318" s="123">
        <v>45386</v>
      </c>
      <c r="P318" s="123">
        <v>45387</v>
      </c>
      <c r="Q318" s="34">
        <v>75</v>
      </c>
      <c r="R318" s="33">
        <f t="shared" si="32"/>
        <v>30</v>
      </c>
      <c r="S318" s="34">
        <v>1</v>
      </c>
      <c r="T318" s="34">
        <f t="shared" si="33"/>
        <v>1</v>
      </c>
      <c r="U318" s="33">
        <f t="shared" si="34"/>
        <v>30</v>
      </c>
      <c r="V318" s="38" t="s">
        <v>827</v>
      </c>
      <c r="W318" s="39">
        <f t="shared" si="35"/>
        <v>0.66666666666666663</v>
      </c>
      <c r="X318" s="40" t="s">
        <v>304</v>
      </c>
      <c r="Y318" s="40" t="s">
        <v>283</v>
      </c>
      <c r="Z318" s="40" t="s">
        <v>749</v>
      </c>
      <c r="AA318" s="33" t="s">
        <v>749</v>
      </c>
      <c r="AB318" s="95"/>
      <c r="AC318" s="95"/>
    </row>
    <row r="319" spans="1:29" ht="14.45" hidden="1" customHeight="1" x14ac:dyDescent="0.25">
      <c r="A319" s="36" t="str">
        <f>INDEX('Base de données Mono'!C:C,MATCH(B319,'Base de données Mono'!D:D,0))</f>
        <v>RUE DE MARSEILLE</v>
      </c>
      <c r="B319" t="s">
        <v>342</v>
      </c>
      <c r="C319" s="36" t="str">
        <f>INDEX('Base de données Mono'!B:B,MATCH(B319,'Base de données Mono'!D:D,0))</f>
        <v>Monop</v>
      </c>
      <c r="D319" s="36" t="str">
        <f>INDEX('Base de données Mono'!A:A,MATCH(B319,'Base de données Mono'!D:D,0))</f>
        <v>JG</v>
      </c>
      <c r="E319" s="37" t="s">
        <v>303</v>
      </c>
      <c r="F319" s="41">
        <f t="shared" si="30"/>
        <v>14</v>
      </c>
      <c r="G319" s="41">
        <f t="shared" si="31"/>
        <v>4</v>
      </c>
      <c r="H319">
        <v>9</v>
      </c>
      <c r="I319" s="131">
        <f>INDEX('Base de données Mono'!K:K,MATCH(B319,'Base de données Mono'!D:D,0))</f>
        <v>0.25</v>
      </c>
      <c r="J319" s="131">
        <f>INDEX('Base de données Mono'!L:L,MATCH(B319,'Base de données Mono'!D:D,0))</f>
        <v>0.875</v>
      </c>
      <c r="K319" s="131">
        <f>INDEX('Base de données Mono'!M:M,MATCH(B319,'Base de données Mono'!D:D,0))</f>
        <v>0.29166666666666669</v>
      </c>
      <c r="L319" s="131">
        <f>INDEX('Base de données Mono'!N:N,MATCH(B319,'Base de données Mono'!D:D,0))</f>
        <v>0.5625</v>
      </c>
      <c r="M319" s="33" t="s">
        <v>46</v>
      </c>
      <c r="N319" s="33">
        <f>IF(AND(E319="Electricité",M319="Hiver"),INDEX('Base de données Mono'!E:E,MATCH(B319,'Base de données Mono'!D:D,0)),IF(AND(E319="Electricité",M319="Mi-saison"),INDEX('Base de données Mono'!F:F,MATCH(B319,'Base de données Mono'!D:D,0)),IF(AND(E319="Electricité",M319="Eté"),INDEX('Base de données Mono'!G:G,MATCH(B319,'Base de données Mono'!D:D,0)),IF(AND(E319="Gaz",M319="Hiver"),INDEX('Base de données Mono'!J:J,MATCH(B319,'Base de données Mono'!D:D,0)),IF(AND(E319="Gaz",M319="Mi-saison"),INDEX('Base de données Mono'!#REF!,MATCH(B319,'Base de données Mono'!D:D,0)),IF(AND(E319="Gaz",M319="Eté"),INDEX('Base de données Mono'!#REF!,MATCH(B319,'Base de données Mono'!D:D,0)),"-"))))))</f>
        <v>10</v>
      </c>
      <c r="O319" s="123">
        <v>45383</v>
      </c>
      <c r="P319" s="123">
        <v>45384</v>
      </c>
      <c r="Q319" s="34">
        <v>15</v>
      </c>
      <c r="R319" s="33">
        <f t="shared" si="32"/>
        <v>5</v>
      </c>
      <c r="S319" s="34">
        <v>9</v>
      </c>
      <c r="T319" s="34">
        <f t="shared" si="33"/>
        <v>1</v>
      </c>
      <c r="U319" s="33">
        <f t="shared" si="34"/>
        <v>45</v>
      </c>
      <c r="V319" s="38" t="s">
        <v>827</v>
      </c>
      <c r="W319" s="39">
        <f t="shared" si="35"/>
        <v>0.5</v>
      </c>
      <c r="X319" s="40" t="s">
        <v>304</v>
      </c>
      <c r="Y319" s="40" t="s">
        <v>283</v>
      </c>
      <c r="Z319" s="40" t="s">
        <v>749</v>
      </c>
      <c r="AA319" s="33" t="s">
        <v>749</v>
      </c>
      <c r="AB319" s="95"/>
      <c r="AC319" s="95"/>
    </row>
    <row r="320" spans="1:29" ht="14.45" hidden="1" customHeight="1" x14ac:dyDescent="0.25">
      <c r="A320" s="36" t="str">
        <f>INDEX('Base de données Mono'!C:C,MATCH(B320,'Base de données Mono'!D:D,0))</f>
        <v>RUE DE MARSEILLE</v>
      </c>
      <c r="B320" t="s">
        <v>342</v>
      </c>
      <c r="C320" s="36" t="str">
        <f>INDEX('Base de données Mono'!B:B,MATCH(B320,'Base de données Mono'!D:D,0))</f>
        <v>Monop</v>
      </c>
      <c r="D320" s="36" t="str">
        <f>INDEX('Base de données Mono'!A:A,MATCH(B320,'Base de données Mono'!D:D,0))</f>
        <v>JG</v>
      </c>
      <c r="E320" s="37" t="s">
        <v>303</v>
      </c>
      <c r="F320" s="41">
        <f t="shared" si="30"/>
        <v>14</v>
      </c>
      <c r="G320" s="41">
        <f t="shared" si="31"/>
        <v>4</v>
      </c>
      <c r="H320">
        <v>9</v>
      </c>
      <c r="I320" s="131">
        <f>INDEX('Base de données Mono'!K:K,MATCH(B320,'Base de données Mono'!D:D,0))</f>
        <v>0.25</v>
      </c>
      <c r="J320" s="131">
        <f>INDEX('Base de données Mono'!L:L,MATCH(B320,'Base de données Mono'!D:D,0))</f>
        <v>0.875</v>
      </c>
      <c r="K320" s="131">
        <f>INDEX('Base de données Mono'!M:M,MATCH(B320,'Base de données Mono'!D:D,0))</f>
        <v>0.29166666666666669</v>
      </c>
      <c r="L320" s="131">
        <f>INDEX('Base de données Mono'!N:N,MATCH(B320,'Base de données Mono'!D:D,0))</f>
        <v>0.5625</v>
      </c>
      <c r="M320" s="33" t="s">
        <v>46</v>
      </c>
      <c r="N320" s="33">
        <f>IF(AND(E320="Electricité",M320="Hiver"),INDEX('Base de données Mono'!E:E,MATCH(B320,'Base de données Mono'!D:D,0)),IF(AND(E320="Electricité",M320="Mi-saison"),INDEX('Base de données Mono'!F:F,MATCH(B320,'Base de données Mono'!D:D,0)),IF(AND(E320="Electricité",M320="Eté"),INDEX('Base de données Mono'!G:G,MATCH(B320,'Base de données Mono'!D:D,0)),IF(AND(E320="Gaz",M320="Hiver"),INDEX('Base de données Mono'!J:J,MATCH(B320,'Base de données Mono'!D:D,0)),IF(AND(E320="Gaz",M320="Mi-saison"),INDEX('Base de données Mono'!#REF!,MATCH(B320,'Base de données Mono'!D:D,0)),IF(AND(E320="Gaz",M320="Eté"),INDEX('Base de données Mono'!#REF!,MATCH(B320,'Base de données Mono'!D:D,0)),"-"))))))</f>
        <v>10</v>
      </c>
      <c r="O320" s="123">
        <v>45384</v>
      </c>
      <c r="P320" s="123">
        <v>45388</v>
      </c>
      <c r="Q320" s="34">
        <v>15</v>
      </c>
      <c r="R320" s="33">
        <f t="shared" si="32"/>
        <v>5</v>
      </c>
      <c r="S320" s="34">
        <v>3</v>
      </c>
      <c r="T320" s="34">
        <f t="shared" si="33"/>
        <v>4</v>
      </c>
      <c r="U320" s="33">
        <f t="shared" si="34"/>
        <v>60</v>
      </c>
      <c r="V320" s="38" t="s">
        <v>827</v>
      </c>
      <c r="W320" s="39">
        <f t="shared" si="35"/>
        <v>0.5</v>
      </c>
      <c r="X320" s="40" t="s">
        <v>304</v>
      </c>
      <c r="Y320" s="40" t="s">
        <v>283</v>
      </c>
      <c r="Z320" s="40" t="s">
        <v>749</v>
      </c>
      <c r="AA320" s="33" t="s">
        <v>749</v>
      </c>
      <c r="AB320" s="95"/>
      <c r="AC320" s="95"/>
    </row>
    <row r="321" spans="1:29" ht="14.45" hidden="1" customHeight="1" x14ac:dyDescent="0.25">
      <c r="A321" s="36" t="str">
        <f>INDEX('Base de données Mono'!C:C,MATCH(B321,'Base de données Mono'!D:D,0))</f>
        <v>RUE DE MARSEILLE</v>
      </c>
      <c r="B321" t="s">
        <v>342</v>
      </c>
      <c r="C321" s="36" t="str">
        <f>INDEX('Base de données Mono'!B:B,MATCH(B321,'Base de données Mono'!D:D,0))</f>
        <v>Monop</v>
      </c>
      <c r="D321" s="36" t="str">
        <f>INDEX('Base de données Mono'!A:A,MATCH(B321,'Base de données Mono'!D:D,0))</f>
        <v>JG</v>
      </c>
      <c r="E321" s="37" t="s">
        <v>303</v>
      </c>
      <c r="F321" s="41">
        <f t="shared" si="30"/>
        <v>14</v>
      </c>
      <c r="G321" s="41">
        <f t="shared" si="31"/>
        <v>4</v>
      </c>
      <c r="H321">
        <v>9</v>
      </c>
      <c r="I321" s="131">
        <f>INDEX('Base de données Mono'!K:K,MATCH(B321,'Base de données Mono'!D:D,0))</f>
        <v>0.25</v>
      </c>
      <c r="J321" s="131">
        <f>INDEX('Base de données Mono'!L:L,MATCH(B321,'Base de données Mono'!D:D,0))</f>
        <v>0.875</v>
      </c>
      <c r="K321" s="131">
        <f>INDEX('Base de données Mono'!M:M,MATCH(B321,'Base de données Mono'!D:D,0))</f>
        <v>0.29166666666666669</v>
      </c>
      <c r="L321" s="131">
        <f>INDEX('Base de données Mono'!N:N,MATCH(B321,'Base de données Mono'!D:D,0))</f>
        <v>0.5625</v>
      </c>
      <c r="M321" s="33" t="s">
        <v>46</v>
      </c>
      <c r="N321" s="33">
        <f>IF(AND(E321="Electricité",M321="Hiver"),INDEX('Base de données Mono'!E:E,MATCH(B321,'Base de données Mono'!D:D,0)),IF(AND(E321="Electricité",M321="Mi-saison"),INDEX('Base de données Mono'!F:F,MATCH(B321,'Base de données Mono'!D:D,0)),IF(AND(E321="Electricité",M321="Eté"),INDEX('Base de données Mono'!G:G,MATCH(B321,'Base de données Mono'!D:D,0)),IF(AND(E321="Gaz",M321="Hiver"),INDEX('Base de données Mono'!J:J,MATCH(B321,'Base de données Mono'!D:D,0)),IF(AND(E321="Gaz",M321="Mi-saison"),INDEX('Base de données Mono'!#REF!,MATCH(B321,'Base de données Mono'!D:D,0)),IF(AND(E321="Gaz",M321="Eté"),INDEX('Base de données Mono'!#REF!,MATCH(B321,'Base de données Mono'!D:D,0)),"-"))))))</f>
        <v>10</v>
      </c>
      <c r="O321" s="123">
        <v>45385</v>
      </c>
      <c r="P321" s="123">
        <v>45386</v>
      </c>
      <c r="Q321" s="34">
        <v>15</v>
      </c>
      <c r="R321" s="33">
        <f t="shared" si="32"/>
        <v>5</v>
      </c>
      <c r="S321" s="34">
        <v>4</v>
      </c>
      <c r="T321" s="34">
        <f t="shared" si="33"/>
        <v>1</v>
      </c>
      <c r="U321" s="33">
        <f t="shared" si="34"/>
        <v>20</v>
      </c>
      <c r="V321" s="38" t="s">
        <v>827</v>
      </c>
      <c r="W321" s="39">
        <f t="shared" si="35"/>
        <v>0.5</v>
      </c>
      <c r="X321" s="40" t="s">
        <v>304</v>
      </c>
      <c r="Y321" s="40" t="s">
        <v>283</v>
      </c>
      <c r="Z321" s="40" t="s">
        <v>749</v>
      </c>
      <c r="AA321" s="33" t="s">
        <v>749</v>
      </c>
      <c r="AB321" s="95"/>
      <c r="AC321" s="95"/>
    </row>
    <row r="322" spans="1:29" ht="14.45" hidden="1" customHeight="1" x14ac:dyDescent="0.25">
      <c r="A322" s="36" t="str">
        <f>INDEX('Base de données Mono'!C:C,MATCH(B322,'Base de données Mono'!D:D,0))</f>
        <v>RUE DE MARSEILLE</v>
      </c>
      <c r="B322" t="s">
        <v>342</v>
      </c>
      <c r="C322" s="36" t="str">
        <f>INDEX('Base de données Mono'!B:B,MATCH(B322,'Base de données Mono'!D:D,0))</f>
        <v>Monop</v>
      </c>
      <c r="D322" s="36" t="str">
        <f>INDEX('Base de données Mono'!A:A,MATCH(B322,'Base de données Mono'!D:D,0))</f>
        <v>JG</v>
      </c>
      <c r="E322" s="37" t="s">
        <v>303</v>
      </c>
      <c r="F322" s="41">
        <f t="shared" si="30"/>
        <v>14</v>
      </c>
      <c r="G322" s="41">
        <f t="shared" si="31"/>
        <v>4</v>
      </c>
      <c r="H322">
        <v>9</v>
      </c>
      <c r="I322" s="131">
        <f>INDEX('Base de données Mono'!K:K,MATCH(B322,'Base de données Mono'!D:D,0))</f>
        <v>0.25</v>
      </c>
      <c r="J322" s="131">
        <f>INDEX('Base de données Mono'!L:L,MATCH(B322,'Base de données Mono'!D:D,0))</f>
        <v>0.875</v>
      </c>
      <c r="K322" s="131">
        <f>INDEX('Base de données Mono'!M:M,MATCH(B322,'Base de données Mono'!D:D,0))</f>
        <v>0.29166666666666669</v>
      </c>
      <c r="L322" s="131">
        <f>INDEX('Base de données Mono'!N:N,MATCH(B322,'Base de données Mono'!D:D,0))</f>
        <v>0.5625</v>
      </c>
      <c r="M322" s="33" t="s">
        <v>46</v>
      </c>
      <c r="N322" s="33">
        <f>IF(AND(E322="Electricité",M322="Hiver"),INDEX('Base de données Mono'!E:E,MATCH(B322,'Base de données Mono'!D:D,0)),IF(AND(E322="Electricité",M322="Mi-saison"),INDEX('Base de données Mono'!F:F,MATCH(B322,'Base de données Mono'!D:D,0)),IF(AND(E322="Electricité",M322="Eté"),INDEX('Base de données Mono'!G:G,MATCH(B322,'Base de données Mono'!D:D,0)),IF(AND(E322="Gaz",M322="Hiver"),INDEX('Base de données Mono'!J:J,MATCH(B322,'Base de données Mono'!D:D,0)),IF(AND(E322="Gaz",M322="Mi-saison"),INDEX('Base de données Mono'!#REF!,MATCH(B322,'Base de données Mono'!D:D,0)),IF(AND(E322="Gaz",M322="Eté"),INDEX('Base de données Mono'!#REF!,MATCH(B322,'Base de données Mono'!D:D,0)),"-"))))))</f>
        <v>10</v>
      </c>
      <c r="O322" s="123">
        <v>45388</v>
      </c>
      <c r="P322" s="123">
        <v>45389</v>
      </c>
      <c r="Q322" s="34">
        <v>15</v>
      </c>
      <c r="R322" s="33">
        <f t="shared" si="32"/>
        <v>5</v>
      </c>
      <c r="S322" s="34">
        <v>6</v>
      </c>
      <c r="T322" s="34">
        <f t="shared" si="33"/>
        <v>1</v>
      </c>
      <c r="U322" s="33">
        <f t="shared" si="34"/>
        <v>30</v>
      </c>
      <c r="V322" s="38" t="s">
        <v>827</v>
      </c>
      <c r="W322" s="39">
        <f t="shared" si="35"/>
        <v>0.5</v>
      </c>
      <c r="X322" s="40" t="s">
        <v>304</v>
      </c>
      <c r="Y322" s="40" t="s">
        <v>283</v>
      </c>
      <c r="Z322" s="40" t="s">
        <v>749</v>
      </c>
      <c r="AA322" s="33" t="s">
        <v>749</v>
      </c>
      <c r="AB322" s="95"/>
      <c r="AC322" s="95"/>
    </row>
    <row r="323" spans="1:29" ht="14.45" hidden="1" customHeight="1" x14ac:dyDescent="0.25">
      <c r="A323" s="36" t="str">
        <f>INDEX('Base de données Mono'!C:C,MATCH(B323,'Base de données Mono'!D:D,0))</f>
        <v>LE RAINCY</v>
      </c>
      <c r="B323" t="s">
        <v>349</v>
      </c>
      <c r="C323" s="36" t="str">
        <f>INDEX('Base de données Mono'!B:B,MATCH(B323,'Base de données Mono'!D:D,0))</f>
        <v>Monoprix</v>
      </c>
      <c r="D323" s="36" t="str">
        <f>INDEX('Base de données Mono'!A:A,MATCH(B323,'Base de données Mono'!D:D,0))</f>
        <v>JG</v>
      </c>
      <c r="E323" s="37" t="s">
        <v>303</v>
      </c>
      <c r="F323" s="41">
        <f t="shared" si="30"/>
        <v>14</v>
      </c>
      <c r="G323" s="41">
        <f t="shared" si="31"/>
        <v>4</v>
      </c>
      <c r="H323">
        <v>8.5</v>
      </c>
      <c r="I323" s="131">
        <f>INDEX('Base de données Mono'!K:K,MATCH(B323,'Base de données Mono'!D:D,0))</f>
        <v>0.1875</v>
      </c>
      <c r="J323" s="131">
        <f>INDEX('Base de données Mono'!L:L,MATCH(B323,'Base de données Mono'!D:D,0))</f>
        <v>0.83333333333333337</v>
      </c>
      <c r="K323" s="131">
        <f>INDEX('Base de données Mono'!M:M,MATCH(B323,'Base de données Mono'!D:D,0))</f>
        <v>0.29166666666666669</v>
      </c>
      <c r="L323" s="131">
        <f>INDEX('Base de données Mono'!N:N,MATCH(B323,'Base de données Mono'!D:D,0))</f>
        <v>0.8125</v>
      </c>
      <c r="M323" s="33" t="s">
        <v>46</v>
      </c>
      <c r="N323" s="33">
        <f>IF(AND(E323="Electricité",M323="Hiver"),INDEX('Base de données Mono'!E:E,MATCH(B323,'Base de données Mono'!D:D,0)),IF(AND(E323="Electricité",M323="Mi-saison"),INDEX('Base de données Mono'!F:F,MATCH(B323,'Base de données Mono'!D:D,0)),IF(AND(E323="Electricité",M323="Eté"),INDEX('Base de données Mono'!G:G,MATCH(B323,'Base de données Mono'!D:D,0)),IF(AND(E323="Gaz",M323="Hiver"),INDEX('Base de données Mono'!J:J,MATCH(B323,'Base de données Mono'!D:D,0)),IF(AND(E323="Gaz",M323="Mi-saison"),INDEX('Base de données Mono'!#REF!,MATCH(B323,'Base de données Mono'!D:D,0)),IF(AND(E323="Gaz",M323="Eté"),INDEX('Base de données Mono'!#REF!,MATCH(B323,'Base de données Mono'!D:D,0)),"-"))))))</f>
        <v>45</v>
      </c>
      <c r="O323" s="123">
        <v>45383</v>
      </c>
      <c r="P323" s="123">
        <v>45387</v>
      </c>
      <c r="Q323" s="34">
        <v>75</v>
      </c>
      <c r="R323" s="33">
        <f t="shared" si="32"/>
        <v>30</v>
      </c>
      <c r="S323" s="34">
        <v>8</v>
      </c>
      <c r="T323" s="34">
        <f t="shared" si="33"/>
        <v>4</v>
      </c>
      <c r="U323" s="33">
        <f t="shared" si="34"/>
        <v>960</v>
      </c>
      <c r="V323" s="38" t="s">
        <v>827</v>
      </c>
      <c r="W323" s="39">
        <f t="shared" si="35"/>
        <v>0.66666666666666663</v>
      </c>
      <c r="X323" s="40" t="s">
        <v>304</v>
      </c>
      <c r="Y323" s="40" t="s">
        <v>283</v>
      </c>
      <c r="Z323" s="40" t="s">
        <v>749</v>
      </c>
      <c r="AA323" s="33" t="s">
        <v>749</v>
      </c>
      <c r="AB323" s="95"/>
      <c r="AC323" s="95"/>
    </row>
    <row r="324" spans="1:29" ht="14.45" hidden="1" customHeight="1" x14ac:dyDescent="0.25">
      <c r="A324" s="36" t="str">
        <f>INDEX('Base de données Mono'!C:C,MATCH(B324,'Base de données Mono'!D:D,0))</f>
        <v>LE RAINCY</v>
      </c>
      <c r="B324" t="s">
        <v>349</v>
      </c>
      <c r="C324" s="36" t="str">
        <f>INDEX('Base de données Mono'!B:B,MATCH(B324,'Base de données Mono'!D:D,0))</f>
        <v>Monoprix</v>
      </c>
      <c r="D324" s="36" t="str">
        <f>INDEX('Base de données Mono'!A:A,MATCH(B324,'Base de données Mono'!D:D,0))</f>
        <v>JG</v>
      </c>
      <c r="E324" s="37" t="s">
        <v>303</v>
      </c>
      <c r="F324" s="41">
        <f t="shared" si="30"/>
        <v>14</v>
      </c>
      <c r="G324" s="41">
        <f t="shared" si="31"/>
        <v>4</v>
      </c>
      <c r="H324">
        <v>8.5</v>
      </c>
      <c r="I324" s="131">
        <f>INDEX('Base de données Mono'!K:K,MATCH(B324,'Base de données Mono'!D:D,0))</f>
        <v>0.1875</v>
      </c>
      <c r="J324" s="131">
        <f>INDEX('Base de données Mono'!L:L,MATCH(B324,'Base de données Mono'!D:D,0))</f>
        <v>0.83333333333333337</v>
      </c>
      <c r="K324" s="131">
        <f>INDEX('Base de données Mono'!M:M,MATCH(B324,'Base de données Mono'!D:D,0))</f>
        <v>0.29166666666666669</v>
      </c>
      <c r="L324" s="131">
        <f>INDEX('Base de données Mono'!N:N,MATCH(B324,'Base de données Mono'!D:D,0))</f>
        <v>0.8125</v>
      </c>
      <c r="M324" s="33" t="s">
        <v>46</v>
      </c>
      <c r="N324" s="33">
        <f>IF(AND(E324="Electricité",M324="Hiver"),INDEX('Base de données Mono'!E:E,MATCH(B324,'Base de données Mono'!D:D,0)),IF(AND(E324="Electricité",M324="Mi-saison"),INDEX('Base de données Mono'!F:F,MATCH(B324,'Base de données Mono'!D:D,0)),IF(AND(E324="Electricité",M324="Eté"),INDEX('Base de données Mono'!G:G,MATCH(B324,'Base de données Mono'!D:D,0)),IF(AND(E324="Gaz",M324="Hiver"),INDEX('Base de données Mono'!J:J,MATCH(B324,'Base de données Mono'!D:D,0)),IF(AND(E324="Gaz",M324="Mi-saison"),INDEX('Base de données Mono'!#REF!,MATCH(B324,'Base de données Mono'!D:D,0)),IF(AND(E324="Gaz",M324="Eté"),INDEX('Base de données Mono'!#REF!,MATCH(B324,'Base de données Mono'!D:D,0)),"-"))))))</f>
        <v>45</v>
      </c>
      <c r="O324" s="123">
        <v>45387</v>
      </c>
      <c r="P324" s="123">
        <v>45389</v>
      </c>
      <c r="Q324" s="34">
        <v>75</v>
      </c>
      <c r="R324" s="33">
        <f t="shared" si="32"/>
        <v>30</v>
      </c>
      <c r="S324" s="34">
        <v>4</v>
      </c>
      <c r="T324" s="34">
        <f t="shared" si="33"/>
        <v>2</v>
      </c>
      <c r="U324" s="33">
        <f t="shared" si="34"/>
        <v>240</v>
      </c>
      <c r="V324" s="38" t="s">
        <v>827</v>
      </c>
      <c r="W324" s="39">
        <f t="shared" si="35"/>
        <v>0.66666666666666663</v>
      </c>
      <c r="X324" s="40" t="s">
        <v>304</v>
      </c>
      <c r="Y324" s="40" t="s">
        <v>283</v>
      </c>
      <c r="Z324" s="40" t="s">
        <v>749</v>
      </c>
      <c r="AA324" s="33" t="s">
        <v>749</v>
      </c>
      <c r="AB324" s="95"/>
      <c r="AC324" s="95"/>
    </row>
    <row r="325" spans="1:29" ht="14.45" hidden="1" customHeight="1" x14ac:dyDescent="0.25">
      <c r="A325" s="36" t="str">
        <f>INDEX('Base de données Mono'!C:C,MATCH(B325,'Base de données Mono'!D:D,0))</f>
        <v>LE RAINCY</v>
      </c>
      <c r="B325" t="s">
        <v>349</v>
      </c>
      <c r="C325" s="36" t="str">
        <f>INDEX('Base de données Mono'!B:B,MATCH(B325,'Base de données Mono'!D:D,0))</f>
        <v>Monoprix</v>
      </c>
      <c r="D325" s="36" t="str">
        <f>INDEX('Base de données Mono'!A:A,MATCH(B325,'Base de données Mono'!D:D,0))</f>
        <v>JG</v>
      </c>
      <c r="E325" s="37" t="s">
        <v>303</v>
      </c>
      <c r="F325" s="41">
        <f t="shared" si="30"/>
        <v>14</v>
      </c>
      <c r="G325" s="41">
        <f t="shared" si="31"/>
        <v>4</v>
      </c>
      <c r="H325">
        <v>8.5</v>
      </c>
      <c r="I325" s="131">
        <f>INDEX('Base de données Mono'!K:K,MATCH(B325,'Base de données Mono'!D:D,0))</f>
        <v>0.1875</v>
      </c>
      <c r="J325" s="131">
        <f>INDEX('Base de données Mono'!L:L,MATCH(B325,'Base de données Mono'!D:D,0))</f>
        <v>0.83333333333333337</v>
      </c>
      <c r="K325" s="131">
        <f>INDEX('Base de données Mono'!M:M,MATCH(B325,'Base de données Mono'!D:D,0))</f>
        <v>0.29166666666666669</v>
      </c>
      <c r="L325" s="131">
        <f>INDEX('Base de données Mono'!N:N,MATCH(B325,'Base de données Mono'!D:D,0))</f>
        <v>0.8125</v>
      </c>
      <c r="M325" s="33" t="s">
        <v>46</v>
      </c>
      <c r="N325" s="33">
        <f>IF(AND(E325="Electricité",M325="Hiver"),INDEX('Base de données Mono'!E:E,MATCH(B325,'Base de données Mono'!D:D,0)),IF(AND(E325="Electricité",M325="Mi-saison"),INDEX('Base de données Mono'!F:F,MATCH(B325,'Base de données Mono'!D:D,0)),IF(AND(E325="Electricité",M325="Eté"),INDEX('Base de données Mono'!G:G,MATCH(B325,'Base de données Mono'!D:D,0)),IF(AND(E325="Gaz",M325="Hiver"),INDEX('Base de données Mono'!J:J,MATCH(B325,'Base de données Mono'!D:D,0)),IF(AND(E325="Gaz",M325="Mi-saison"),INDEX('Base de données Mono'!#REF!,MATCH(B325,'Base de données Mono'!D:D,0)),IF(AND(E325="Gaz",M325="Eté"),INDEX('Base de données Mono'!#REF!,MATCH(B325,'Base de données Mono'!D:D,0)),"-"))))))</f>
        <v>45</v>
      </c>
      <c r="O325" s="123">
        <v>45388</v>
      </c>
      <c r="P325" s="123">
        <v>45389</v>
      </c>
      <c r="Q325" s="34">
        <v>50</v>
      </c>
      <c r="R325" s="33">
        <f t="shared" si="32"/>
        <v>5</v>
      </c>
      <c r="S325" s="34">
        <v>2</v>
      </c>
      <c r="T325" s="34">
        <f t="shared" si="33"/>
        <v>1</v>
      </c>
      <c r="U325" s="33">
        <f t="shared" si="34"/>
        <v>10</v>
      </c>
      <c r="V325" s="38" t="s">
        <v>827</v>
      </c>
      <c r="W325" s="39">
        <f t="shared" si="35"/>
        <v>0.1111111111111111</v>
      </c>
      <c r="X325" s="40" t="s">
        <v>304</v>
      </c>
      <c r="Y325" s="40" t="s">
        <v>283</v>
      </c>
      <c r="Z325" s="40" t="s">
        <v>749</v>
      </c>
      <c r="AA325" s="33" t="s">
        <v>749</v>
      </c>
      <c r="AB325" s="95"/>
      <c r="AC325" s="95"/>
    </row>
    <row r="326" spans="1:29" ht="14.45" hidden="1" customHeight="1" x14ac:dyDescent="0.25">
      <c r="A326" s="36" t="str">
        <f>INDEX('Base de données Mono'!C:C,MATCH(B326,'Base de données Mono'!D:D,0))</f>
        <v>Convention</v>
      </c>
      <c r="B326" t="s">
        <v>483</v>
      </c>
      <c r="C326" s="36" t="str">
        <f>INDEX('Base de données Mono'!B:B,MATCH(B326,'Base de données Mono'!D:D,0))</f>
        <v>Monoprix</v>
      </c>
      <c r="D326" s="36" t="str">
        <f>INDEX('Base de données Mono'!A:A,MATCH(B326,'Base de données Mono'!D:D,0))</f>
        <v>AD</v>
      </c>
      <c r="E326" s="37" t="s">
        <v>303</v>
      </c>
      <c r="F326" s="41">
        <f t="shared" si="30"/>
        <v>14</v>
      </c>
      <c r="G326" s="41">
        <f t="shared" si="31"/>
        <v>4</v>
      </c>
      <c r="H326">
        <v>8</v>
      </c>
      <c r="I326" s="131">
        <f>INDEX('Base de données Mono'!K:K,MATCH(B326,'Base de données Mono'!D:D,0))</f>
        <v>0.27083333333333331</v>
      </c>
      <c r="J326" s="131">
        <f>INDEX('Base de données Mono'!L:L,MATCH(B326,'Base de données Mono'!D:D,0))</f>
        <v>0.9375</v>
      </c>
      <c r="K326" s="131">
        <f>INDEX('Base de données Mono'!M:M,MATCH(B326,'Base de données Mono'!D:D,0))</f>
        <v>0.29166666666666669</v>
      </c>
      <c r="L326" s="131">
        <f>INDEX('Base de données Mono'!N:N,MATCH(B326,'Base de données Mono'!D:D,0))</f>
        <v>0.83333333333333337</v>
      </c>
      <c r="M326" s="33" t="s">
        <v>46</v>
      </c>
      <c r="N326" s="33">
        <f>IF(AND(E326="Electricité",M326="Hiver"),INDEX('Base de données Mono'!E:E,MATCH(B326,'Base de données Mono'!D:D,0)),IF(AND(E326="Electricité",M326="Mi-saison"),INDEX('Base de données Mono'!F:F,MATCH(B326,'Base de données Mono'!D:D,0)),IF(AND(E326="Electricité",M326="Eté"),INDEX('Base de données Mono'!G:G,MATCH(B326,'Base de données Mono'!D:D,0)),IF(AND(E326="Gaz",M326="Hiver"),INDEX('Base de données Mono'!J:J,MATCH(B326,'Base de données Mono'!D:D,0)),IF(AND(E326="Gaz",M326="Mi-saison"),INDEX('Base de données Mono'!#REF!,MATCH(B326,'Base de données Mono'!D:D,0)),IF(AND(E326="Gaz",M326="Eté"),INDEX('Base de données Mono'!#REF!,MATCH(B326,'Base de données Mono'!D:D,0)),"-"))))))</f>
        <v>35</v>
      </c>
      <c r="O326" s="123">
        <v>45383</v>
      </c>
      <c r="P326" s="123">
        <v>45385</v>
      </c>
      <c r="Q326" s="34">
        <v>40</v>
      </c>
      <c r="R326" s="33">
        <f t="shared" si="32"/>
        <v>5</v>
      </c>
      <c r="S326" s="34">
        <v>2</v>
      </c>
      <c r="T326" s="34">
        <f t="shared" si="33"/>
        <v>2</v>
      </c>
      <c r="U326" s="33">
        <f t="shared" si="34"/>
        <v>20</v>
      </c>
      <c r="V326" s="38" t="s">
        <v>827</v>
      </c>
      <c r="W326" s="39">
        <f t="shared" si="35"/>
        <v>0.14285714285714285</v>
      </c>
      <c r="X326" s="40" t="s">
        <v>304</v>
      </c>
      <c r="Y326" s="40" t="s">
        <v>283</v>
      </c>
      <c r="Z326" s="40" t="s">
        <v>749</v>
      </c>
      <c r="AA326" s="33" t="s">
        <v>749</v>
      </c>
      <c r="AB326" s="95"/>
      <c r="AC326" s="95"/>
    </row>
    <row r="327" spans="1:29" ht="14.45" hidden="1" customHeight="1" x14ac:dyDescent="0.25">
      <c r="A327" s="36" t="str">
        <f>INDEX('Base de données Mono'!C:C,MATCH(B327,'Base de données Mono'!D:D,0))</f>
        <v>Convention</v>
      </c>
      <c r="B327" t="s">
        <v>483</v>
      </c>
      <c r="C327" s="36" t="str">
        <f>INDEX('Base de données Mono'!B:B,MATCH(B327,'Base de données Mono'!D:D,0))</f>
        <v>Monoprix</v>
      </c>
      <c r="D327" s="36" t="str">
        <f>INDEX('Base de données Mono'!A:A,MATCH(B327,'Base de données Mono'!D:D,0))</f>
        <v>AD</v>
      </c>
      <c r="E327" s="37" t="s">
        <v>303</v>
      </c>
      <c r="F327" s="41">
        <f t="shared" si="30"/>
        <v>14</v>
      </c>
      <c r="G327" s="41">
        <f t="shared" si="31"/>
        <v>4</v>
      </c>
      <c r="H327">
        <v>8</v>
      </c>
      <c r="I327" s="131">
        <f>INDEX('Base de données Mono'!K:K,MATCH(B327,'Base de données Mono'!D:D,0))</f>
        <v>0.27083333333333331</v>
      </c>
      <c r="J327" s="131">
        <f>INDEX('Base de données Mono'!L:L,MATCH(B327,'Base de données Mono'!D:D,0))</f>
        <v>0.9375</v>
      </c>
      <c r="K327" s="131">
        <f>INDEX('Base de données Mono'!M:M,MATCH(B327,'Base de données Mono'!D:D,0))</f>
        <v>0.29166666666666669</v>
      </c>
      <c r="L327" s="131">
        <f>INDEX('Base de données Mono'!N:N,MATCH(B327,'Base de données Mono'!D:D,0))</f>
        <v>0.83333333333333337</v>
      </c>
      <c r="M327" s="33" t="s">
        <v>46</v>
      </c>
      <c r="N327" s="33">
        <f>IF(AND(E327="Electricité",M327="Hiver"),INDEX('Base de données Mono'!E:E,MATCH(B327,'Base de données Mono'!D:D,0)),IF(AND(E327="Electricité",M327="Mi-saison"),INDEX('Base de données Mono'!F:F,MATCH(B327,'Base de données Mono'!D:D,0)),IF(AND(E327="Electricité",M327="Eté"),INDEX('Base de données Mono'!G:G,MATCH(B327,'Base de données Mono'!D:D,0)),IF(AND(E327="Gaz",M327="Hiver"),INDEX('Base de données Mono'!J:J,MATCH(B327,'Base de données Mono'!D:D,0)),IF(AND(E327="Gaz",M327="Mi-saison"),INDEX('Base de données Mono'!#REF!,MATCH(B327,'Base de données Mono'!D:D,0)),IF(AND(E327="Gaz",M327="Eté"),INDEX('Base de données Mono'!#REF!,MATCH(B327,'Base de données Mono'!D:D,0)),"-"))))))</f>
        <v>35</v>
      </c>
      <c r="O327" s="123">
        <v>45383</v>
      </c>
      <c r="P327" s="123">
        <v>45384</v>
      </c>
      <c r="Q327" s="34">
        <v>60</v>
      </c>
      <c r="R327" s="33">
        <f t="shared" si="32"/>
        <v>25</v>
      </c>
      <c r="S327" s="34">
        <v>1</v>
      </c>
      <c r="T327" s="34">
        <f t="shared" si="33"/>
        <v>1</v>
      </c>
      <c r="U327" s="33">
        <f t="shared" si="34"/>
        <v>25</v>
      </c>
      <c r="V327" s="38" t="s">
        <v>827</v>
      </c>
      <c r="W327" s="39">
        <f t="shared" si="35"/>
        <v>0.7142857142857143</v>
      </c>
      <c r="X327" s="40" t="s">
        <v>304</v>
      </c>
      <c r="Y327" s="40" t="s">
        <v>283</v>
      </c>
      <c r="Z327" s="40" t="s">
        <v>749</v>
      </c>
      <c r="AA327" s="33" t="s">
        <v>749</v>
      </c>
      <c r="AB327" s="95"/>
      <c r="AC327" s="95"/>
    </row>
    <row r="328" spans="1:29" ht="14.45" hidden="1" customHeight="1" x14ac:dyDescent="0.25">
      <c r="A328" s="36" t="str">
        <f>INDEX('Base de données Mono'!C:C,MATCH(B328,'Base de données Mono'!D:D,0))</f>
        <v>Convention</v>
      </c>
      <c r="B328" t="s">
        <v>483</v>
      </c>
      <c r="C328" s="36" t="str">
        <f>INDEX('Base de données Mono'!B:B,MATCH(B328,'Base de données Mono'!D:D,0))</f>
        <v>Monoprix</v>
      </c>
      <c r="D328" s="36" t="str">
        <f>INDEX('Base de données Mono'!A:A,MATCH(B328,'Base de données Mono'!D:D,0))</f>
        <v>AD</v>
      </c>
      <c r="E328" s="37" t="s">
        <v>303</v>
      </c>
      <c r="F328" s="41">
        <f t="shared" si="30"/>
        <v>14</v>
      </c>
      <c r="G328" s="41">
        <f t="shared" si="31"/>
        <v>4</v>
      </c>
      <c r="H328">
        <v>8</v>
      </c>
      <c r="I328" s="131">
        <f>INDEX('Base de données Mono'!K:K,MATCH(B328,'Base de données Mono'!D:D,0))</f>
        <v>0.27083333333333331</v>
      </c>
      <c r="J328" s="131">
        <f>INDEX('Base de données Mono'!L:L,MATCH(B328,'Base de données Mono'!D:D,0))</f>
        <v>0.9375</v>
      </c>
      <c r="K328" s="131">
        <f>INDEX('Base de données Mono'!M:M,MATCH(B328,'Base de données Mono'!D:D,0))</f>
        <v>0.29166666666666669</v>
      </c>
      <c r="L328" s="131">
        <f>INDEX('Base de données Mono'!N:N,MATCH(B328,'Base de données Mono'!D:D,0))</f>
        <v>0.83333333333333337</v>
      </c>
      <c r="M328" s="33" t="s">
        <v>46</v>
      </c>
      <c r="N328" s="33">
        <f>IF(AND(E328="Electricité",M328="Hiver"),INDEX('Base de données Mono'!E:E,MATCH(B328,'Base de données Mono'!D:D,0)),IF(AND(E328="Electricité",M328="Mi-saison"),INDEX('Base de données Mono'!F:F,MATCH(B328,'Base de données Mono'!D:D,0)),IF(AND(E328="Electricité",M328="Eté"),INDEX('Base de données Mono'!G:G,MATCH(B328,'Base de données Mono'!D:D,0)),IF(AND(E328="Gaz",M328="Hiver"),INDEX('Base de données Mono'!J:J,MATCH(B328,'Base de données Mono'!D:D,0)),IF(AND(E328="Gaz",M328="Mi-saison"),INDEX('Base de données Mono'!#REF!,MATCH(B328,'Base de données Mono'!D:D,0)),IF(AND(E328="Gaz",M328="Eté"),INDEX('Base de données Mono'!#REF!,MATCH(B328,'Base de données Mono'!D:D,0)),"-"))))))</f>
        <v>35</v>
      </c>
      <c r="O328" s="123">
        <v>45384</v>
      </c>
      <c r="P328" s="123">
        <v>45385</v>
      </c>
      <c r="Q328" s="34">
        <v>60</v>
      </c>
      <c r="R328" s="33">
        <f t="shared" si="32"/>
        <v>25</v>
      </c>
      <c r="S328" s="34">
        <v>1</v>
      </c>
      <c r="T328" s="34">
        <f t="shared" si="33"/>
        <v>1</v>
      </c>
      <c r="U328" s="33">
        <f t="shared" si="34"/>
        <v>25</v>
      </c>
      <c r="V328" s="38" t="s">
        <v>827</v>
      </c>
      <c r="W328" s="39">
        <f t="shared" si="35"/>
        <v>0.7142857142857143</v>
      </c>
      <c r="X328" s="40" t="s">
        <v>304</v>
      </c>
      <c r="Y328" s="40" t="s">
        <v>283</v>
      </c>
      <c r="Z328" s="40" t="s">
        <v>749</v>
      </c>
      <c r="AA328" s="33" t="s">
        <v>749</v>
      </c>
      <c r="AB328" s="95"/>
      <c r="AC328" s="95"/>
    </row>
    <row r="329" spans="1:29" ht="14.45" hidden="1" customHeight="1" x14ac:dyDescent="0.25">
      <c r="A329" s="36" t="str">
        <f>INDEX('Base de données Mono'!C:C,MATCH(B329,'Base de données Mono'!D:D,0))</f>
        <v>Convention</v>
      </c>
      <c r="B329" t="s">
        <v>483</v>
      </c>
      <c r="C329" s="36" t="str">
        <f>INDEX('Base de données Mono'!B:B,MATCH(B329,'Base de données Mono'!D:D,0))</f>
        <v>Monoprix</v>
      </c>
      <c r="D329" s="36" t="str">
        <f>INDEX('Base de données Mono'!A:A,MATCH(B329,'Base de données Mono'!D:D,0))</f>
        <v>AD</v>
      </c>
      <c r="E329" s="37" t="s">
        <v>303</v>
      </c>
      <c r="F329" s="41">
        <f t="shared" si="30"/>
        <v>14</v>
      </c>
      <c r="G329" s="41">
        <f t="shared" si="31"/>
        <v>4</v>
      </c>
      <c r="H329">
        <v>8</v>
      </c>
      <c r="I329" s="131">
        <f>INDEX('Base de données Mono'!K:K,MATCH(B329,'Base de données Mono'!D:D,0))</f>
        <v>0.27083333333333331</v>
      </c>
      <c r="J329" s="131">
        <f>INDEX('Base de données Mono'!L:L,MATCH(B329,'Base de données Mono'!D:D,0))</f>
        <v>0.9375</v>
      </c>
      <c r="K329" s="131">
        <f>INDEX('Base de données Mono'!M:M,MATCH(B329,'Base de données Mono'!D:D,0))</f>
        <v>0.29166666666666669</v>
      </c>
      <c r="L329" s="131">
        <f>INDEX('Base de données Mono'!N:N,MATCH(B329,'Base de données Mono'!D:D,0))</f>
        <v>0.83333333333333337</v>
      </c>
      <c r="M329" s="33" t="s">
        <v>46</v>
      </c>
      <c r="N329" s="33">
        <f>IF(AND(E329="Electricité",M329="Hiver"),INDEX('Base de données Mono'!E:E,MATCH(B329,'Base de données Mono'!D:D,0)),IF(AND(E329="Electricité",M329="Mi-saison"),INDEX('Base de données Mono'!F:F,MATCH(B329,'Base de données Mono'!D:D,0)),IF(AND(E329="Electricité",M329="Eté"),INDEX('Base de données Mono'!G:G,MATCH(B329,'Base de données Mono'!D:D,0)),IF(AND(E329="Gaz",M329="Hiver"),INDEX('Base de données Mono'!J:J,MATCH(B329,'Base de données Mono'!D:D,0)),IF(AND(E329="Gaz",M329="Mi-saison"),INDEX('Base de données Mono'!#REF!,MATCH(B329,'Base de données Mono'!D:D,0)),IF(AND(E329="Gaz",M329="Eté"),INDEX('Base de données Mono'!#REF!,MATCH(B329,'Base de données Mono'!D:D,0)),"-"))))))</f>
        <v>35</v>
      </c>
      <c r="O329" s="123">
        <v>45385</v>
      </c>
      <c r="P329" s="123">
        <v>45387</v>
      </c>
      <c r="Q329" s="34">
        <v>40</v>
      </c>
      <c r="R329" s="33">
        <f t="shared" si="32"/>
        <v>5</v>
      </c>
      <c r="S329" s="34">
        <v>7</v>
      </c>
      <c r="T329" s="34">
        <f t="shared" si="33"/>
        <v>2</v>
      </c>
      <c r="U329" s="33">
        <f t="shared" si="34"/>
        <v>70</v>
      </c>
      <c r="V329" s="38" t="s">
        <v>827</v>
      </c>
      <c r="W329" s="39">
        <f t="shared" si="35"/>
        <v>0.14285714285714285</v>
      </c>
      <c r="X329" s="40" t="s">
        <v>304</v>
      </c>
      <c r="Y329" s="40" t="s">
        <v>283</v>
      </c>
      <c r="Z329" s="40" t="s">
        <v>749</v>
      </c>
      <c r="AA329" s="33" t="s">
        <v>749</v>
      </c>
      <c r="AB329" s="95"/>
      <c r="AC329" s="95"/>
    </row>
    <row r="330" spans="1:29" ht="14.45" hidden="1" customHeight="1" x14ac:dyDescent="0.25">
      <c r="A330" s="36" t="str">
        <f>INDEX('Base de données Mono'!C:C,MATCH(B330,'Base de données Mono'!D:D,0))</f>
        <v>Convention</v>
      </c>
      <c r="B330" t="s">
        <v>483</v>
      </c>
      <c r="C330" s="36" t="str">
        <f>INDEX('Base de données Mono'!B:B,MATCH(B330,'Base de données Mono'!D:D,0))</f>
        <v>Monoprix</v>
      </c>
      <c r="D330" s="36" t="str">
        <f>INDEX('Base de données Mono'!A:A,MATCH(B330,'Base de données Mono'!D:D,0))</f>
        <v>AD</v>
      </c>
      <c r="E330" s="37" t="s">
        <v>303</v>
      </c>
      <c r="F330" s="41">
        <f t="shared" si="30"/>
        <v>14</v>
      </c>
      <c r="G330" s="41">
        <f t="shared" si="31"/>
        <v>4</v>
      </c>
      <c r="H330">
        <v>8</v>
      </c>
      <c r="I330" s="131">
        <f>INDEX('Base de données Mono'!K:K,MATCH(B330,'Base de données Mono'!D:D,0))</f>
        <v>0.27083333333333331</v>
      </c>
      <c r="J330" s="131">
        <f>INDEX('Base de données Mono'!L:L,MATCH(B330,'Base de données Mono'!D:D,0))</f>
        <v>0.9375</v>
      </c>
      <c r="K330" s="131">
        <f>INDEX('Base de données Mono'!M:M,MATCH(B330,'Base de données Mono'!D:D,0))</f>
        <v>0.29166666666666669</v>
      </c>
      <c r="L330" s="131">
        <f>INDEX('Base de données Mono'!N:N,MATCH(B330,'Base de données Mono'!D:D,0))</f>
        <v>0.83333333333333337</v>
      </c>
      <c r="M330" s="33" t="s">
        <v>46</v>
      </c>
      <c r="N330" s="33">
        <f>IF(AND(E330="Electricité",M330="Hiver"),INDEX('Base de données Mono'!E:E,MATCH(B330,'Base de données Mono'!D:D,0)),IF(AND(E330="Electricité",M330="Mi-saison"),INDEX('Base de données Mono'!F:F,MATCH(B330,'Base de données Mono'!D:D,0)),IF(AND(E330="Electricité",M330="Eté"),INDEX('Base de données Mono'!G:G,MATCH(B330,'Base de données Mono'!D:D,0)),IF(AND(E330="Gaz",M330="Hiver"),INDEX('Base de données Mono'!J:J,MATCH(B330,'Base de données Mono'!D:D,0)),IF(AND(E330="Gaz",M330="Mi-saison"),INDEX('Base de données Mono'!#REF!,MATCH(B330,'Base de données Mono'!D:D,0)),IF(AND(E330="Gaz",M330="Eté"),INDEX('Base de données Mono'!#REF!,MATCH(B330,'Base de données Mono'!D:D,0)),"-"))))))</f>
        <v>35</v>
      </c>
      <c r="O330" s="123">
        <v>45385</v>
      </c>
      <c r="P330" s="123">
        <v>45387</v>
      </c>
      <c r="Q330" s="34">
        <v>75</v>
      </c>
      <c r="R330" s="33">
        <f t="shared" si="32"/>
        <v>40</v>
      </c>
      <c r="S330" s="34">
        <v>1</v>
      </c>
      <c r="T330" s="34">
        <f t="shared" si="33"/>
        <v>2</v>
      </c>
      <c r="U330" s="33">
        <f t="shared" si="34"/>
        <v>80</v>
      </c>
      <c r="V330" s="38" t="s">
        <v>827</v>
      </c>
      <c r="W330" s="39">
        <f t="shared" si="35"/>
        <v>1.1428571428571428</v>
      </c>
      <c r="X330" s="40" t="s">
        <v>304</v>
      </c>
      <c r="Y330" s="40" t="s">
        <v>283</v>
      </c>
      <c r="Z330" s="40" t="s">
        <v>749</v>
      </c>
      <c r="AA330" s="33" t="s">
        <v>749</v>
      </c>
      <c r="AB330" s="95"/>
      <c r="AC330" s="95"/>
    </row>
    <row r="331" spans="1:29" ht="14.45" hidden="1" customHeight="1" x14ac:dyDescent="0.25">
      <c r="A331" s="36" t="str">
        <f>INDEX('Base de données Mono'!C:C,MATCH(B331,'Base de données Mono'!D:D,0))</f>
        <v>Convention</v>
      </c>
      <c r="B331" t="s">
        <v>483</v>
      </c>
      <c r="C331" s="36" t="str">
        <f>INDEX('Base de données Mono'!B:B,MATCH(B331,'Base de données Mono'!D:D,0))</f>
        <v>Monoprix</v>
      </c>
      <c r="D331" s="36" t="str">
        <f>INDEX('Base de données Mono'!A:A,MATCH(B331,'Base de données Mono'!D:D,0))</f>
        <v>AD</v>
      </c>
      <c r="E331" s="37" t="s">
        <v>303</v>
      </c>
      <c r="F331" s="41">
        <f t="shared" si="30"/>
        <v>14</v>
      </c>
      <c r="G331" s="41">
        <f t="shared" si="31"/>
        <v>4</v>
      </c>
      <c r="H331">
        <v>8</v>
      </c>
      <c r="I331" s="131">
        <f>INDEX('Base de données Mono'!K:K,MATCH(B331,'Base de données Mono'!D:D,0))</f>
        <v>0.27083333333333331</v>
      </c>
      <c r="J331" s="131">
        <f>INDEX('Base de données Mono'!L:L,MATCH(B331,'Base de données Mono'!D:D,0))</f>
        <v>0.9375</v>
      </c>
      <c r="K331" s="131">
        <f>INDEX('Base de données Mono'!M:M,MATCH(B331,'Base de données Mono'!D:D,0))</f>
        <v>0.29166666666666669</v>
      </c>
      <c r="L331" s="131">
        <f>INDEX('Base de données Mono'!N:N,MATCH(B331,'Base de données Mono'!D:D,0))</f>
        <v>0.83333333333333337</v>
      </c>
      <c r="M331" s="33" t="s">
        <v>46</v>
      </c>
      <c r="N331" s="33">
        <f>IF(AND(E331="Electricité",M331="Hiver"),INDEX('Base de données Mono'!E:E,MATCH(B331,'Base de données Mono'!D:D,0)),IF(AND(E331="Electricité",M331="Mi-saison"),INDEX('Base de données Mono'!F:F,MATCH(B331,'Base de données Mono'!D:D,0)),IF(AND(E331="Electricité",M331="Eté"),INDEX('Base de données Mono'!G:G,MATCH(B331,'Base de données Mono'!D:D,0)),IF(AND(E331="Gaz",M331="Hiver"),INDEX('Base de données Mono'!J:J,MATCH(B331,'Base de données Mono'!D:D,0)),IF(AND(E331="Gaz",M331="Mi-saison"),INDEX('Base de données Mono'!#REF!,MATCH(B331,'Base de données Mono'!D:D,0)),IF(AND(E331="Gaz",M331="Eté"),INDEX('Base de données Mono'!#REF!,MATCH(B331,'Base de données Mono'!D:D,0)),"-"))))))</f>
        <v>35</v>
      </c>
      <c r="O331" s="123">
        <v>45387</v>
      </c>
      <c r="P331" s="123">
        <v>45389</v>
      </c>
      <c r="Q331" s="34">
        <v>45</v>
      </c>
      <c r="R331" s="33">
        <f t="shared" si="32"/>
        <v>10</v>
      </c>
      <c r="S331" s="34">
        <v>8</v>
      </c>
      <c r="T331" s="34">
        <f t="shared" si="33"/>
        <v>2</v>
      </c>
      <c r="U331" s="33">
        <f t="shared" si="34"/>
        <v>160</v>
      </c>
      <c r="V331" s="38" t="s">
        <v>827</v>
      </c>
      <c r="W331" s="39">
        <f t="shared" si="35"/>
        <v>0.2857142857142857</v>
      </c>
      <c r="X331" s="40" t="s">
        <v>304</v>
      </c>
      <c r="Y331" s="40" t="s">
        <v>283</v>
      </c>
      <c r="Z331" s="40" t="s">
        <v>749</v>
      </c>
      <c r="AA331" s="33" t="s">
        <v>749</v>
      </c>
      <c r="AB331" s="95"/>
      <c r="AC331" s="95"/>
    </row>
    <row r="332" spans="1:29" ht="14.45" hidden="1" customHeight="1" x14ac:dyDescent="0.25">
      <c r="A332" s="36" t="str">
        <f>INDEX('Base de données Mono'!C:C,MATCH(B332,'Base de données Mono'!D:D,0))</f>
        <v>Convention</v>
      </c>
      <c r="B332" t="s">
        <v>483</v>
      </c>
      <c r="C332" s="36" t="str">
        <f>INDEX('Base de données Mono'!B:B,MATCH(B332,'Base de données Mono'!D:D,0))</f>
        <v>Monoprix</v>
      </c>
      <c r="D332" s="36" t="str">
        <f>INDEX('Base de données Mono'!A:A,MATCH(B332,'Base de données Mono'!D:D,0))</f>
        <v>AD</v>
      </c>
      <c r="E332" s="37" t="s">
        <v>303</v>
      </c>
      <c r="F332" s="41">
        <f t="shared" si="30"/>
        <v>14</v>
      </c>
      <c r="G332" s="41">
        <f t="shared" si="31"/>
        <v>4</v>
      </c>
      <c r="H332">
        <v>8</v>
      </c>
      <c r="I332" s="131">
        <f>INDEX('Base de données Mono'!K:K,MATCH(B332,'Base de données Mono'!D:D,0))</f>
        <v>0.27083333333333331</v>
      </c>
      <c r="J332" s="131">
        <f>INDEX('Base de données Mono'!L:L,MATCH(B332,'Base de données Mono'!D:D,0))</f>
        <v>0.9375</v>
      </c>
      <c r="K332" s="131">
        <f>INDEX('Base de données Mono'!M:M,MATCH(B332,'Base de données Mono'!D:D,0))</f>
        <v>0.29166666666666669</v>
      </c>
      <c r="L332" s="131">
        <f>INDEX('Base de données Mono'!N:N,MATCH(B332,'Base de données Mono'!D:D,0))</f>
        <v>0.83333333333333337</v>
      </c>
      <c r="M332" s="33" t="s">
        <v>46</v>
      </c>
      <c r="N332" s="33">
        <f>IF(AND(E332="Electricité",M332="Hiver"),INDEX('Base de données Mono'!E:E,MATCH(B332,'Base de données Mono'!D:D,0)),IF(AND(E332="Electricité",M332="Mi-saison"),INDEX('Base de données Mono'!F:F,MATCH(B332,'Base de données Mono'!D:D,0)),IF(AND(E332="Electricité",M332="Eté"),INDEX('Base de données Mono'!G:G,MATCH(B332,'Base de données Mono'!D:D,0)),IF(AND(E332="Gaz",M332="Hiver"),INDEX('Base de données Mono'!J:J,MATCH(B332,'Base de données Mono'!D:D,0)),IF(AND(E332="Gaz",M332="Mi-saison"),INDEX('Base de données Mono'!#REF!,MATCH(B332,'Base de données Mono'!D:D,0)),IF(AND(E332="Gaz",M332="Eté"),INDEX('Base de données Mono'!#REF!,MATCH(B332,'Base de données Mono'!D:D,0)),"-"))))))</f>
        <v>35</v>
      </c>
      <c r="O332" s="123">
        <v>45387</v>
      </c>
      <c r="P332" s="123">
        <v>45388</v>
      </c>
      <c r="Q332" s="34">
        <v>65</v>
      </c>
      <c r="R332" s="33">
        <f t="shared" si="32"/>
        <v>30</v>
      </c>
      <c r="S332" s="34">
        <v>1</v>
      </c>
      <c r="T332" s="34">
        <f t="shared" si="33"/>
        <v>1</v>
      </c>
      <c r="U332" s="33">
        <f t="shared" si="34"/>
        <v>30</v>
      </c>
      <c r="V332" s="38" t="s">
        <v>827</v>
      </c>
      <c r="W332" s="39">
        <f t="shared" si="35"/>
        <v>0.8571428571428571</v>
      </c>
      <c r="X332" s="40" t="s">
        <v>304</v>
      </c>
      <c r="Y332" s="40" t="s">
        <v>283</v>
      </c>
      <c r="Z332" s="40" t="s">
        <v>749</v>
      </c>
      <c r="AA332" s="33" t="s">
        <v>749</v>
      </c>
      <c r="AB332" s="95"/>
      <c r="AC332" s="95"/>
    </row>
    <row r="333" spans="1:29" ht="14.45" hidden="1" customHeight="1" x14ac:dyDescent="0.25">
      <c r="A333" s="36" t="str">
        <f>INDEX('Base de données Mono'!C:C,MATCH(B333,'Base de données Mono'!D:D,0))</f>
        <v>ST AUGUSTIN</v>
      </c>
      <c r="B333" t="s">
        <v>351</v>
      </c>
      <c r="C333" s="36" t="str">
        <f>INDEX('Base de données Mono'!B:B,MATCH(B333,'Base de données Mono'!D:D,0))</f>
        <v>Monoprix</v>
      </c>
      <c r="D333" s="36" t="str">
        <f>INDEX('Base de données Mono'!A:A,MATCH(B333,'Base de données Mono'!D:D,0))</f>
        <v>AD</v>
      </c>
      <c r="E333" s="37" t="s">
        <v>303</v>
      </c>
      <c r="F333" s="41">
        <f t="shared" si="30"/>
        <v>14</v>
      </c>
      <c r="G333" s="41">
        <f t="shared" si="31"/>
        <v>4</v>
      </c>
      <c r="H333">
        <v>6.5</v>
      </c>
      <c r="I333" s="131">
        <f>INDEX('Base de données Mono'!K:K,MATCH(B333,'Base de données Mono'!D:D,0))</f>
        <v>0.20833333333333334</v>
      </c>
      <c r="J333" s="131">
        <f>INDEX('Base de données Mono'!L:L,MATCH(B333,'Base de données Mono'!D:D,0))</f>
        <v>0.9375</v>
      </c>
      <c r="K333" s="131">
        <f>INDEX('Base de données Mono'!M:M,MATCH(B333,'Base de données Mono'!D:D,0))</f>
        <v>0.29166666666666669</v>
      </c>
      <c r="L333" s="131">
        <f>INDEX('Base de données Mono'!N:N,MATCH(B333,'Base de données Mono'!D:D,0))</f>
        <v>0.84027777777777779</v>
      </c>
      <c r="M333" s="33" t="s">
        <v>46</v>
      </c>
      <c r="N333" s="33">
        <f>IF(AND(E333="Electricité",M333="Hiver"),INDEX('Base de données Mono'!E:E,MATCH(B333,'Base de données Mono'!D:D,0)),IF(AND(E333="Electricité",M333="Mi-saison"),INDEX('Base de données Mono'!F:F,MATCH(B333,'Base de données Mono'!D:D,0)),IF(AND(E333="Electricité",M333="Eté"),INDEX('Base de données Mono'!G:G,MATCH(B333,'Base de données Mono'!D:D,0)),IF(AND(E333="Gaz",M333="Hiver"),INDEX('Base de données Mono'!J:J,MATCH(B333,'Base de données Mono'!D:D,0)),IF(AND(E333="Gaz",M333="Mi-saison"),INDEX('Base de données Mono'!#REF!,MATCH(B333,'Base de données Mono'!D:D,0)),IF(AND(E333="Gaz",M333="Eté"),INDEX('Base de données Mono'!#REF!,MATCH(B333,'Base de données Mono'!D:D,0)),"-"))))))</f>
        <v>50</v>
      </c>
      <c r="O333" s="123">
        <v>45383</v>
      </c>
      <c r="P333" s="123">
        <v>45386</v>
      </c>
      <c r="Q333" s="34">
        <v>60</v>
      </c>
      <c r="R333" s="33">
        <f t="shared" si="32"/>
        <v>10</v>
      </c>
      <c r="S333" s="34">
        <v>1</v>
      </c>
      <c r="T333" s="34">
        <f t="shared" si="33"/>
        <v>3</v>
      </c>
      <c r="U333" s="33">
        <f t="shared" si="34"/>
        <v>30</v>
      </c>
      <c r="V333" s="38" t="s">
        <v>827</v>
      </c>
      <c r="W333" s="39">
        <f t="shared" si="35"/>
        <v>0.2</v>
      </c>
      <c r="X333" s="40" t="s">
        <v>304</v>
      </c>
      <c r="Y333" s="40" t="s">
        <v>283</v>
      </c>
      <c r="Z333" s="40" t="s">
        <v>749</v>
      </c>
      <c r="AA333" s="33" t="s">
        <v>749</v>
      </c>
      <c r="AB333" s="95"/>
      <c r="AC333" s="95"/>
    </row>
    <row r="334" spans="1:29" ht="14.45" hidden="1" customHeight="1" x14ac:dyDescent="0.25">
      <c r="A334" s="36" t="str">
        <f>INDEX('Base de données Mono'!C:C,MATCH(B334,'Base de données Mono'!D:D,0))</f>
        <v>ST AUGUSTIN</v>
      </c>
      <c r="B334" t="s">
        <v>351</v>
      </c>
      <c r="C334" s="36" t="str">
        <f>INDEX('Base de données Mono'!B:B,MATCH(B334,'Base de données Mono'!D:D,0))</f>
        <v>Monoprix</v>
      </c>
      <c r="D334" s="36" t="str">
        <f>INDEX('Base de données Mono'!A:A,MATCH(B334,'Base de données Mono'!D:D,0))</f>
        <v>AD</v>
      </c>
      <c r="E334" s="37" t="s">
        <v>303</v>
      </c>
      <c r="F334" s="41">
        <f t="shared" si="30"/>
        <v>14</v>
      </c>
      <c r="G334" s="41">
        <f t="shared" si="31"/>
        <v>4</v>
      </c>
      <c r="H334">
        <v>6.5</v>
      </c>
      <c r="I334" s="131">
        <f>INDEX('Base de données Mono'!K:K,MATCH(B334,'Base de données Mono'!D:D,0))</f>
        <v>0.20833333333333334</v>
      </c>
      <c r="J334" s="131">
        <f>INDEX('Base de données Mono'!L:L,MATCH(B334,'Base de données Mono'!D:D,0))</f>
        <v>0.9375</v>
      </c>
      <c r="K334" s="131">
        <f>INDEX('Base de données Mono'!M:M,MATCH(B334,'Base de données Mono'!D:D,0))</f>
        <v>0.29166666666666669</v>
      </c>
      <c r="L334" s="131">
        <f>INDEX('Base de données Mono'!N:N,MATCH(B334,'Base de données Mono'!D:D,0))</f>
        <v>0.84027777777777779</v>
      </c>
      <c r="M334" s="33" t="s">
        <v>46</v>
      </c>
      <c r="N334" s="33">
        <f>IF(AND(E334="Electricité",M334="Hiver"),INDEX('Base de données Mono'!E:E,MATCH(B334,'Base de données Mono'!D:D,0)),IF(AND(E334="Electricité",M334="Mi-saison"),INDEX('Base de données Mono'!F:F,MATCH(B334,'Base de données Mono'!D:D,0)),IF(AND(E334="Electricité",M334="Eté"),INDEX('Base de données Mono'!G:G,MATCH(B334,'Base de données Mono'!D:D,0)),IF(AND(E334="Gaz",M334="Hiver"),INDEX('Base de données Mono'!J:J,MATCH(B334,'Base de données Mono'!D:D,0)),IF(AND(E334="Gaz",M334="Mi-saison"),INDEX('Base de données Mono'!#REF!,MATCH(B334,'Base de données Mono'!D:D,0)),IF(AND(E334="Gaz",M334="Eté"),INDEX('Base de données Mono'!#REF!,MATCH(B334,'Base de données Mono'!D:D,0)),"-"))))))</f>
        <v>50</v>
      </c>
      <c r="O334" s="123">
        <v>45384</v>
      </c>
      <c r="P334" s="123">
        <v>45385</v>
      </c>
      <c r="Q334" s="34">
        <v>55</v>
      </c>
      <c r="R334" s="33">
        <f t="shared" si="32"/>
        <v>5</v>
      </c>
      <c r="S334" s="34">
        <v>1</v>
      </c>
      <c r="T334" s="34">
        <f t="shared" si="33"/>
        <v>1</v>
      </c>
      <c r="U334" s="33">
        <f t="shared" si="34"/>
        <v>5</v>
      </c>
      <c r="V334" s="38" t="s">
        <v>827</v>
      </c>
      <c r="W334" s="39">
        <f t="shared" si="35"/>
        <v>0.1</v>
      </c>
      <c r="X334" s="40" t="s">
        <v>304</v>
      </c>
      <c r="Y334" s="40" t="s">
        <v>283</v>
      </c>
      <c r="Z334" s="40" t="s">
        <v>749</v>
      </c>
      <c r="AA334" s="33" t="s">
        <v>749</v>
      </c>
      <c r="AB334" s="95"/>
      <c r="AC334" s="95"/>
    </row>
    <row r="335" spans="1:29" ht="14.45" hidden="1" customHeight="1" x14ac:dyDescent="0.25">
      <c r="A335" s="36" t="str">
        <f>INDEX('Base de données Mono'!C:C,MATCH(B335,'Base de données Mono'!D:D,0))</f>
        <v>ST AUGUSTIN</v>
      </c>
      <c r="B335" t="s">
        <v>351</v>
      </c>
      <c r="C335" s="36" t="str">
        <f>INDEX('Base de données Mono'!B:B,MATCH(B335,'Base de données Mono'!D:D,0))</f>
        <v>Monoprix</v>
      </c>
      <c r="D335" s="36" t="str">
        <f>INDEX('Base de données Mono'!A:A,MATCH(B335,'Base de données Mono'!D:D,0))</f>
        <v>AD</v>
      </c>
      <c r="E335" s="37" t="s">
        <v>303</v>
      </c>
      <c r="F335" s="41">
        <f t="shared" si="30"/>
        <v>14</v>
      </c>
      <c r="G335" s="41">
        <f t="shared" si="31"/>
        <v>4</v>
      </c>
      <c r="H335">
        <v>6.5</v>
      </c>
      <c r="I335" s="131">
        <f>INDEX('Base de données Mono'!K:K,MATCH(B335,'Base de données Mono'!D:D,0))</f>
        <v>0.20833333333333334</v>
      </c>
      <c r="J335" s="131">
        <f>INDEX('Base de données Mono'!L:L,MATCH(B335,'Base de données Mono'!D:D,0))</f>
        <v>0.9375</v>
      </c>
      <c r="K335" s="131">
        <f>INDEX('Base de données Mono'!M:M,MATCH(B335,'Base de données Mono'!D:D,0))</f>
        <v>0.29166666666666669</v>
      </c>
      <c r="L335" s="131">
        <f>INDEX('Base de données Mono'!N:N,MATCH(B335,'Base de données Mono'!D:D,0))</f>
        <v>0.84027777777777779</v>
      </c>
      <c r="M335" s="33" t="s">
        <v>46</v>
      </c>
      <c r="N335" s="33">
        <f>IF(AND(E335="Electricité",M335="Hiver"),INDEX('Base de données Mono'!E:E,MATCH(B335,'Base de données Mono'!D:D,0)),IF(AND(E335="Electricité",M335="Mi-saison"),INDEX('Base de données Mono'!F:F,MATCH(B335,'Base de données Mono'!D:D,0)),IF(AND(E335="Electricité",M335="Eté"),INDEX('Base de données Mono'!G:G,MATCH(B335,'Base de données Mono'!D:D,0)),IF(AND(E335="Gaz",M335="Hiver"),INDEX('Base de données Mono'!J:J,MATCH(B335,'Base de données Mono'!D:D,0)),IF(AND(E335="Gaz",M335="Mi-saison"),INDEX('Base de données Mono'!#REF!,MATCH(B335,'Base de données Mono'!D:D,0)),IF(AND(E335="Gaz",M335="Eté"),INDEX('Base de données Mono'!#REF!,MATCH(B335,'Base de données Mono'!D:D,0)),"-"))))))</f>
        <v>50</v>
      </c>
      <c r="O335" s="123">
        <v>45385</v>
      </c>
      <c r="P335" s="123">
        <v>45386</v>
      </c>
      <c r="Q335" s="34">
        <v>55</v>
      </c>
      <c r="R335" s="33">
        <f t="shared" si="32"/>
        <v>5</v>
      </c>
      <c r="S335" s="34">
        <v>4</v>
      </c>
      <c r="T335" s="34">
        <f t="shared" si="33"/>
        <v>1</v>
      </c>
      <c r="U335" s="33">
        <f t="shared" si="34"/>
        <v>20</v>
      </c>
      <c r="V335" s="38" t="s">
        <v>827</v>
      </c>
      <c r="W335" s="39">
        <f t="shared" si="35"/>
        <v>0.1</v>
      </c>
      <c r="X335" s="40" t="s">
        <v>304</v>
      </c>
      <c r="Y335" s="40" t="s">
        <v>283</v>
      </c>
      <c r="Z335" s="40" t="s">
        <v>749</v>
      </c>
      <c r="AA335" s="33" t="s">
        <v>749</v>
      </c>
      <c r="AB335" s="95"/>
      <c r="AC335" s="95"/>
    </row>
    <row r="336" spans="1:29" ht="14.45" hidden="1" customHeight="1" x14ac:dyDescent="0.25">
      <c r="A336" s="36" t="str">
        <f>INDEX('Base de données Mono'!C:C,MATCH(B336,'Base de données Mono'!D:D,0))</f>
        <v>ST AUGUSTIN</v>
      </c>
      <c r="B336" t="s">
        <v>351</v>
      </c>
      <c r="C336" s="36" t="str">
        <f>INDEX('Base de données Mono'!B:B,MATCH(B336,'Base de données Mono'!D:D,0))</f>
        <v>Monoprix</v>
      </c>
      <c r="D336" s="36" t="str">
        <f>INDEX('Base de données Mono'!A:A,MATCH(B336,'Base de données Mono'!D:D,0))</f>
        <v>AD</v>
      </c>
      <c r="E336" s="37" t="s">
        <v>303</v>
      </c>
      <c r="F336" s="41">
        <f t="shared" si="30"/>
        <v>14</v>
      </c>
      <c r="G336" s="41">
        <f t="shared" si="31"/>
        <v>4</v>
      </c>
      <c r="H336">
        <v>6.5</v>
      </c>
      <c r="I336" s="131">
        <f>INDEX('Base de données Mono'!K:K,MATCH(B336,'Base de données Mono'!D:D,0))</f>
        <v>0.20833333333333334</v>
      </c>
      <c r="J336" s="131">
        <f>INDEX('Base de données Mono'!L:L,MATCH(B336,'Base de données Mono'!D:D,0))</f>
        <v>0.9375</v>
      </c>
      <c r="K336" s="131">
        <f>INDEX('Base de données Mono'!M:M,MATCH(B336,'Base de données Mono'!D:D,0))</f>
        <v>0.29166666666666669</v>
      </c>
      <c r="L336" s="131">
        <f>INDEX('Base de données Mono'!N:N,MATCH(B336,'Base de données Mono'!D:D,0))</f>
        <v>0.84027777777777779</v>
      </c>
      <c r="M336" s="33" t="s">
        <v>46</v>
      </c>
      <c r="N336" s="33">
        <f>IF(AND(E336="Electricité",M336="Hiver"),INDEX('Base de données Mono'!E:E,MATCH(B336,'Base de données Mono'!D:D,0)),IF(AND(E336="Electricité",M336="Mi-saison"),INDEX('Base de données Mono'!F:F,MATCH(B336,'Base de données Mono'!D:D,0)),IF(AND(E336="Electricité",M336="Eté"),INDEX('Base de données Mono'!G:G,MATCH(B336,'Base de données Mono'!D:D,0)),IF(AND(E336="Gaz",M336="Hiver"),INDEX('Base de données Mono'!J:J,MATCH(B336,'Base de données Mono'!D:D,0)),IF(AND(E336="Gaz",M336="Mi-saison"),INDEX('Base de données Mono'!#REF!,MATCH(B336,'Base de données Mono'!D:D,0)),IF(AND(E336="Gaz",M336="Eté"),INDEX('Base de données Mono'!#REF!,MATCH(B336,'Base de données Mono'!D:D,0)),"-"))))))</f>
        <v>50</v>
      </c>
      <c r="O336" s="123">
        <v>45386</v>
      </c>
      <c r="P336" s="123">
        <v>45389</v>
      </c>
      <c r="Q336" s="34">
        <v>55</v>
      </c>
      <c r="R336" s="33">
        <f t="shared" si="32"/>
        <v>5</v>
      </c>
      <c r="S336" s="34">
        <v>7</v>
      </c>
      <c r="T336" s="34">
        <f t="shared" si="33"/>
        <v>3</v>
      </c>
      <c r="U336" s="33">
        <f t="shared" si="34"/>
        <v>105</v>
      </c>
      <c r="V336" s="38" t="s">
        <v>827</v>
      </c>
      <c r="W336" s="39">
        <f t="shared" si="35"/>
        <v>0.1</v>
      </c>
      <c r="X336" s="40" t="s">
        <v>304</v>
      </c>
      <c r="Y336" s="40" t="s">
        <v>283</v>
      </c>
      <c r="Z336" s="40" t="s">
        <v>749</v>
      </c>
      <c r="AA336" s="33" t="s">
        <v>749</v>
      </c>
      <c r="AB336" s="95"/>
      <c r="AC336" s="95"/>
    </row>
    <row r="337" spans="1:29" ht="14.45" hidden="1" customHeight="1" x14ac:dyDescent="0.25">
      <c r="A337" s="36" t="str">
        <f>INDEX('Base de données Mono'!C:C,MATCH(B337,'Base de données Mono'!D:D,0))</f>
        <v>Reuilly</v>
      </c>
      <c r="B337" t="s">
        <v>479</v>
      </c>
      <c r="C337" s="36" t="str">
        <f>INDEX('Base de données Mono'!B:B,MATCH(B337,'Base de données Mono'!D:D,0))</f>
        <v>Monoprix</v>
      </c>
      <c r="D337" s="36" t="str">
        <f>INDEX('Base de données Mono'!A:A,MATCH(B337,'Base de données Mono'!D:D,0))</f>
        <v>AD</v>
      </c>
      <c r="E337" s="37" t="s">
        <v>303</v>
      </c>
      <c r="F337" s="41">
        <f t="shared" si="30"/>
        <v>14</v>
      </c>
      <c r="G337" s="41">
        <f t="shared" si="31"/>
        <v>4</v>
      </c>
      <c r="H337">
        <v>8</v>
      </c>
      <c r="I337" s="131">
        <f>INDEX('Base de données Mono'!K:K,MATCH(B337,'Base de données Mono'!D:D,0))</f>
        <v>0.24305555555555555</v>
      </c>
      <c r="J337" s="131">
        <f>INDEX('Base de données Mono'!L:L,MATCH(B337,'Base de données Mono'!D:D,0))</f>
        <v>0.90972222222222221</v>
      </c>
      <c r="K337" s="131">
        <f>INDEX('Base de données Mono'!M:M,MATCH(B337,'Base de données Mono'!D:D,0))</f>
        <v>0.31944444444444448</v>
      </c>
      <c r="L337" s="131">
        <f>INDEX('Base de données Mono'!N:N,MATCH(B337,'Base de données Mono'!D:D,0))</f>
        <v>0.55555555555555558</v>
      </c>
      <c r="M337" s="33" t="s">
        <v>46</v>
      </c>
      <c r="N337" s="33">
        <f>IF(AND(E337="Electricité",M337="Hiver"),INDEX('Base de données Mono'!E:E,MATCH(B337,'Base de données Mono'!D:D,0)),IF(AND(E337="Electricité",M337="Mi-saison"),INDEX('Base de données Mono'!F:F,MATCH(B337,'Base de données Mono'!D:D,0)),IF(AND(E337="Electricité",M337="Eté"),INDEX('Base de données Mono'!G:G,MATCH(B337,'Base de données Mono'!D:D,0)),IF(AND(E337="Gaz",M337="Hiver"),INDEX('Base de données Mono'!J:J,MATCH(B337,'Base de données Mono'!D:D,0)),IF(AND(E337="Gaz",M337="Mi-saison"),INDEX('Base de données Mono'!#REF!,MATCH(B337,'Base de données Mono'!D:D,0)),IF(AND(E337="Gaz",M337="Eté"),INDEX('Base de données Mono'!#REF!,MATCH(B337,'Base de données Mono'!D:D,0)),"-"))))))</f>
        <v>85</v>
      </c>
      <c r="O337" s="123">
        <v>45384</v>
      </c>
      <c r="P337" s="123">
        <v>45385</v>
      </c>
      <c r="Q337" s="34">
        <v>97.5</v>
      </c>
      <c r="R337" s="33">
        <f t="shared" si="32"/>
        <v>12.5</v>
      </c>
      <c r="S337" s="34">
        <v>5</v>
      </c>
      <c r="T337" s="34">
        <f t="shared" si="33"/>
        <v>1</v>
      </c>
      <c r="U337" s="33">
        <f t="shared" si="34"/>
        <v>62.5</v>
      </c>
      <c r="V337" s="38" t="s">
        <v>827</v>
      </c>
      <c r="W337" s="39">
        <f t="shared" si="35"/>
        <v>0.14705882352941177</v>
      </c>
      <c r="X337" s="40" t="s">
        <v>304</v>
      </c>
      <c r="Y337" s="40" t="s">
        <v>283</v>
      </c>
      <c r="Z337" s="40" t="s">
        <v>749</v>
      </c>
      <c r="AA337" s="33" t="s">
        <v>749</v>
      </c>
      <c r="AB337" s="95"/>
      <c r="AC337" s="95"/>
    </row>
    <row r="338" spans="1:29" ht="14.45" hidden="1" customHeight="1" x14ac:dyDescent="0.25">
      <c r="A338" s="36" t="str">
        <f>INDEX('Base de données Mono'!C:C,MATCH(B338,'Base de données Mono'!D:D,0))</f>
        <v>Chelles</v>
      </c>
      <c r="B338" t="s">
        <v>376</v>
      </c>
      <c r="C338" s="36" t="str">
        <f>INDEX('Base de données Mono'!B:B,MATCH(B338,'Base de données Mono'!D:D,0))</f>
        <v>Monoprix</v>
      </c>
      <c r="D338" s="36" t="str">
        <f>INDEX('Base de données Mono'!A:A,MATCH(B338,'Base de données Mono'!D:D,0))</f>
        <v>JG</v>
      </c>
      <c r="E338" s="37" t="s">
        <v>303</v>
      </c>
      <c r="F338" s="41">
        <f t="shared" ref="F338:F392" si="36">IF(O338="","-",IF(AND(X338="Nuit",WEEKDAY(O338,2)=7,O338&lt;&gt;P338),WEEKNUM(O338,2),WEEKNUM(O338,2)-1))+1</f>
        <v>14</v>
      </c>
      <c r="G338" s="41">
        <f t="shared" ref="G338:G392" si="37">IF(O338="","-",MONTH(O338))</f>
        <v>4</v>
      </c>
      <c r="H338">
        <v>8.5</v>
      </c>
      <c r="I338" s="131">
        <f>INDEX('Base de données Mono'!K:K,MATCH(B338,'Base de données Mono'!D:D,0))</f>
        <v>0.22916666666666666</v>
      </c>
      <c r="J338" s="131">
        <f>INDEX('Base de données Mono'!L:L,MATCH(B338,'Base de données Mono'!D:D,0))</f>
        <v>0.875</v>
      </c>
      <c r="K338" s="131">
        <f>INDEX('Base de données Mono'!M:M,MATCH(B338,'Base de données Mono'!D:D,0))</f>
        <v>0.29166666666666669</v>
      </c>
      <c r="L338" s="131">
        <f>INDEX('Base de données Mono'!N:N,MATCH(B338,'Base de données Mono'!D:D,0))</f>
        <v>0.5625</v>
      </c>
      <c r="M338" s="33" t="s">
        <v>46</v>
      </c>
      <c r="N338" s="33">
        <f>IF(AND(E338="Electricité",M338="Hiver"),INDEX('Base de données Mono'!E:E,MATCH(B338,'Base de données Mono'!D:D,0)),IF(AND(E338="Electricité",M338="Mi-saison"),INDEX('Base de données Mono'!F:F,MATCH(B338,'Base de données Mono'!D:D,0)),IF(AND(E338="Electricité",M338="Eté"),INDEX('Base de données Mono'!G:G,MATCH(B338,'Base de données Mono'!D:D,0)),IF(AND(E338="Gaz",M338="Hiver"),INDEX('Base de données Mono'!J:J,MATCH(B338,'Base de données Mono'!D:D,0)),IF(AND(E338="Gaz",M338="Mi-saison"),INDEX('Base de données Mono'!#REF!,MATCH(B338,'Base de données Mono'!D:D,0)),IF(AND(E338="Gaz",M338="Eté"),INDEX('Base de données Mono'!#REF!,MATCH(B338,'Base de données Mono'!D:D,0)),"-"))))))</f>
        <v>40</v>
      </c>
      <c r="O338" s="123">
        <v>45386</v>
      </c>
      <c r="P338" s="123">
        <v>45387</v>
      </c>
      <c r="Q338" s="34">
        <v>55</v>
      </c>
      <c r="R338" s="33">
        <f t="shared" ref="R338:R391" si="38">IF(Q338="","",Q338-N338)</f>
        <v>15</v>
      </c>
      <c r="S338" s="34">
        <v>1</v>
      </c>
      <c r="T338" s="34">
        <f t="shared" ref="T338:T386" si="39">P338-O338</f>
        <v>1</v>
      </c>
      <c r="U338" s="33">
        <f t="shared" ref="U338:U393" si="40">R338*S338*T338</f>
        <v>15</v>
      </c>
      <c r="V338" s="38" t="s">
        <v>827</v>
      </c>
      <c r="W338" s="39">
        <f t="shared" ref="W338:W393" si="41">IFERROR(IF(E338="Gaz","-",R338/N338),"-")</f>
        <v>0.375</v>
      </c>
      <c r="X338" s="40" t="s">
        <v>304</v>
      </c>
      <c r="Y338" s="40" t="s">
        <v>283</v>
      </c>
      <c r="Z338" s="40" t="s">
        <v>749</v>
      </c>
      <c r="AA338" s="33" t="s">
        <v>749</v>
      </c>
      <c r="AB338" s="95"/>
      <c r="AC338" s="95"/>
    </row>
    <row r="339" spans="1:29" ht="14.45" hidden="1" customHeight="1" x14ac:dyDescent="0.25">
      <c r="A339" s="36" t="str">
        <f>INDEX('Base de données Mono'!C:C,MATCH(B339,'Base de données Mono'!D:D,0))</f>
        <v>ANNEMASSE GARE</v>
      </c>
      <c r="B339" t="s">
        <v>371</v>
      </c>
      <c r="C339" s="36" t="str">
        <f>INDEX('Base de données Mono'!B:B,MATCH(B339,'Base de données Mono'!D:D,0))</f>
        <v>Monoprix</v>
      </c>
      <c r="D339" s="36" t="str">
        <f>INDEX('Base de données Mono'!A:A,MATCH(B339,'Base de données Mono'!D:D,0))</f>
        <v>JG</v>
      </c>
      <c r="E339" s="37" t="s">
        <v>303</v>
      </c>
      <c r="F339" s="41">
        <f t="shared" si="36"/>
        <v>14</v>
      </c>
      <c r="G339" s="41">
        <f t="shared" si="37"/>
        <v>4</v>
      </c>
      <c r="H339">
        <v>8.67</v>
      </c>
      <c r="I339" s="131">
        <f>INDEX('Base de données Mono'!K:K,MATCH(B339,'Base de données Mono'!D:D,0))</f>
        <v>0.25</v>
      </c>
      <c r="J339" s="131">
        <f>INDEX('Base de données Mono'!L:L,MATCH(B339,'Base de données Mono'!D:D,0))</f>
        <v>0.88888888888888884</v>
      </c>
      <c r="K339" s="131" t="str">
        <f>INDEX('Base de données Mono'!M:M,MATCH(B339,'Base de données Mono'!D:D,0))</f>
        <v>-</v>
      </c>
      <c r="L339" s="131" t="str">
        <f>INDEX('Base de données Mono'!N:N,MATCH(B339,'Base de données Mono'!D:D,0))</f>
        <v>-</v>
      </c>
      <c r="M339" s="33" t="s">
        <v>46</v>
      </c>
      <c r="N339" s="33">
        <f>IF(AND(E339="Electricité",M339="Hiver"),INDEX('Base de données Mono'!E:E,MATCH(B339,'Base de données Mono'!D:D,0)),IF(AND(E339="Electricité",M339="Mi-saison"),INDEX('Base de données Mono'!F:F,MATCH(B339,'Base de données Mono'!D:D,0)),IF(AND(E339="Electricité",M339="Eté"),INDEX('Base de données Mono'!G:G,MATCH(B339,'Base de données Mono'!D:D,0)),IF(AND(E339="Gaz",M339="Hiver"),INDEX('Base de données Mono'!J:J,MATCH(B339,'Base de données Mono'!D:D,0)),IF(AND(E339="Gaz",M339="Mi-saison"),INDEX('Base de données Mono'!#REF!,MATCH(B339,'Base de données Mono'!D:D,0)),IF(AND(E339="Gaz",M339="Eté"),INDEX('Base de données Mono'!#REF!,MATCH(B339,'Base de données Mono'!D:D,0)),"-"))))))</f>
        <v>45</v>
      </c>
      <c r="O339" s="123">
        <v>45383</v>
      </c>
      <c r="P339" s="123">
        <v>45384</v>
      </c>
      <c r="Q339" s="34">
        <v>55</v>
      </c>
      <c r="R339" s="33">
        <f t="shared" si="38"/>
        <v>10</v>
      </c>
      <c r="S339" s="34">
        <v>1</v>
      </c>
      <c r="T339" s="34">
        <f t="shared" si="39"/>
        <v>1</v>
      </c>
      <c r="U339" s="33">
        <f t="shared" si="40"/>
        <v>10</v>
      </c>
      <c r="V339" s="38" t="s">
        <v>827</v>
      </c>
      <c r="W339" s="39">
        <f t="shared" si="41"/>
        <v>0.22222222222222221</v>
      </c>
      <c r="X339" s="40" t="s">
        <v>304</v>
      </c>
      <c r="Y339" s="40" t="s">
        <v>283</v>
      </c>
      <c r="Z339" s="40" t="s">
        <v>749</v>
      </c>
      <c r="AA339" s="33" t="s">
        <v>749</v>
      </c>
      <c r="AB339" s="95"/>
      <c r="AC339" s="95"/>
    </row>
    <row r="340" spans="1:29" ht="14.45" hidden="1" customHeight="1" x14ac:dyDescent="0.25">
      <c r="A340" s="36" t="str">
        <f>INDEX('Base de données Mono'!C:C,MATCH(B340,'Base de données Mono'!D:D,0))</f>
        <v>ANNEMASSE GARE</v>
      </c>
      <c r="B340" t="s">
        <v>371</v>
      </c>
      <c r="C340" s="36" t="str">
        <f>INDEX('Base de données Mono'!B:B,MATCH(B340,'Base de données Mono'!D:D,0))</f>
        <v>Monoprix</v>
      </c>
      <c r="D340" s="36" t="str">
        <f>INDEX('Base de données Mono'!A:A,MATCH(B340,'Base de données Mono'!D:D,0))</f>
        <v>JG</v>
      </c>
      <c r="E340" s="37" t="s">
        <v>303</v>
      </c>
      <c r="F340" s="41">
        <f t="shared" si="36"/>
        <v>14</v>
      </c>
      <c r="G340" s="41">
        <f t="shared" si="37"/>
        <v>4</v>
      </c>
      <c r="H340">
        <v>8.67</v>
      </c>
      <c r="I340" s="131">
        <f>INDEX('Base de données Mono'!K:K,MATCH(B340,'Base de données Mono'!D:D,0))</f>
        <v>0.25</v>
      </c>
      <c r="J340" s="131">
        <f>INDEX('Base de données Mono'!L:L,MATCH(B340,'Base de données Mono'!D:D,0))</f>
        <v>0.88888888888888884</v>
      </c>
      <c r="K340" s="131" t="str">
        <f>INDEX('Base de données Mono'!M:M,MATCH(B340,'Base de données Mono'!D:D,0))</f>
        <v>-</v>
      </c>
      <c r="L340" s="131" t="str">
        <f>INDEX('Base de données Mono'!N:N,MATCH(B340,'Base de données Mono'!D:D,0))</f>
        <v>-</v>
      </c>
      <c r="M340" s="33" t="s">
        <v>46</v>
      </c>
      <c r="N340" s="33">
        <f>IF(AND(E340="Electricité",M340="Hiver"),INDEX('Base de données Mono'!E:E,MATCH(B340,'Base de données Mono'!D:D,0)),IF(AND(E340="Electricité",M340="Mi-saison"),INDEX('Base de données Mono'!F:F,MATCH(B340,'Base de données Mono'!D:D,0)),IF(AND(E340="Electricité",M340="Eté"),INDEX('Base de données Mono'!G:G,MATCH(B340,'Base de données Mono'!D:D,0)),IF(AND(E340="Gaz",M340="Hiver"),INDEX('Base de données Mono'!J:J,MATCH(B340,'Base de données Mono'!D:D,0)),IF(AND(E340="Gaz",M340="Mi-saison"),INDEX('Base de données Mono'!#REF!,MATCH(B340,'Base de données Mono'!D:D,0)),IF(AND(E340="Gaz",M340="Eté"),INDEX('Base de données Mono'!#REF!,MATCH(B340,'Base de données Mono'!D:D,0)),"-"))))))</f>
        <v>45</v>
      </c>
      <c r="O340" s="123">
        <v>45384</v>
      </c>
      <c r="P340" s="123">
        <v>45388</v>
      </c>
      <c r="Q340" s="34">
        <v>50</v>
      </c>
      <c r="R340" s="33">
        <f t="shared" si="38"/>
        <v>5</v>
      </c>
      <c r="S340" s="34">
        <v>1</v>
      </c>
      <c r="T340" s="34">
        <f t="shared" si="39"/>
        <v>4</v>
      </c>
      <c r="U340" s="33">
        <f t="shared" si="40"/>
        <v>20</v>
      </c>
      <c r="V340" s="38" t="s">
        <v>827</v>
      </c>
      <c r="W340" s="39">
        <f t="shared" si="41"/>
        <v>0.1111111111111111</v>
      </c>
      <c r="X340" s="40" t="s">
        <v>304</v>
      </c>
      <c r="Y340" s="40" t="s">
        <v>283</v>
      </c>
      <c r="Z340" s="40" t="s">
        <v>749</v>
      </c>
      <c r="AA340" s="33" t="s">
        <v>749</v>
      </c>
      <c r="AB340" s="95"/>
      <c r="AC340" s="95"/>
    </row>
    <row r="341" spans="1:29" ht="14.45" hidden="1" customHeight="1" x14ac:dyDescent="0.25">
      <c r="A341" s="36" t="str">
        <f>INDEX('Base de données Mono'!C:C,MATCH(B341,'Base de données Mono'!D:D,0))</f>
        <v>BOURSE</v>
      </c>
      <c r="B341" t="s">
        <v>332</v>
      </c>
      <c r="C341" s="36" t="str">
        <f>INDEX('Base de données Mono'!B:B,MATCH(B341,'Base de données Mono'!D:D,0))</f>
        <v>Monop</v>
      </c>
      <c r="D341" s="36" t="str">
        <f>INDEX('Base de données Mono'!A:A,MATCH(B341,'Base de données Mono'!D:D,0))</f>
        <v>JG</v>
      </c>
      <c r="E341" s="37" t="s">
        <v>303</v>
      </c>
      <c r="F341" s="41">
        <f t="shared" si="36"/>
        <v>14</v>
      </c>
      <c r="G341" s="41">
        <f t="shared" si="37"/>
        <v>4</v>
      </c>
      <c r="H341">
        <v>7</v>
      </c>
      <c r="I341" s="131">
        <f>INDEX('Base de données Mono'!K:K,MATCH(B341,'Base de données Mono'!D:D,0))</f>
        <v>0.25</v>
      </c>
      <c r="J341" s="131">
        <f>INDEX('Base de données Mono'!L:L,MATCH(B341,'Base de données Mono'!D:D,0))</f>
        <v>0.95833333333333337</v>
      </c>
      <c r="K341" s="131" t="str">
        <f>INDEX('Base de données Mono'!M:M,MATCH(B341,'Base de données Mono'!D:D,0))</f>
        <v>-</v>
      </c>
      <c r="L341" s="131" t="str">
        <f>INDEX('Base de données Mono'!N:N,MATCH(B341,'Base de données Mono'!D:D,0))</f>
        <v>-</v>
      </c>
      <c r="M341" s="33" t="s">
        <v>46</v>
      </c>
      <c r="N341" s="33">
        <f>IF(AND(E341="Electricité",M341="Hiver"),INDEX('Base de données Mono'!E:E,MATCH(B341,'Base de données Mono'!D:D,0)),IF(AND(E341="Electricité",M341="Mi-saison"),INDEX('Base de données Mono'!F:F,MATCH(B341,'Base de données Mono'!D:D,0)),IF(AND(E341="Electricité",M341="Eté"),INDEX('Base de données Mono'!G:G,MATCH(B341,'Base de données Mono'!D:D,0)),IF(AND(E341="Gaz",M341="Hiver"),INDEX('Base de données Mono'!J:J,MATCH(B341,'Base de données Mono'!D:D,0)),IF(AND(E341="Gaz",M341="Mi-saison"),INDEX('Base de données Mono'!#REF!,MATCH(B341,'Base de données Mono'!D:D,0)),IF(AND(E341="Gaz",M341="Eté"),INDEX('Base de données Mono'!#REF!,MATCH(B341,'Base de données Mono'!D:D,0)),"-"))))))</f>
        <v>10</v>
      </c>
      <c r="O341" s="123">
        <v>45383</v>
      </c>
      <c r="P341" s="123">
        <v>45384</v>
      </c>
      <c r="Q341" s="34">
        <v>25</v>
      </c>
      <c r="R341" s="33">
        <f t="shared" si="38"/>
        <v>15</v>
      </c>
      <c r="S341" s="34">
        <v>1</v>
      </c>
      <c r="T341" s="34">
        <f t="shared" si="39"/>
        <v>1</v>
      </c>
      <c r="U341" s="33">
        <f t="shared" si="40"/>
        <v>15</v>
      </c>
      <c r="V341" s="38" t="s">
        <v>827</v>
      </c>
      <c r="W341" s="39">
        <f t="shared" si="41"/>
        <v>1.5</v>
      </c>
      <c r="X341" s="40" t="s">
        <v>304</v>
      </c>
      <c r="Y341" s="40" t="s">
        <v>283</v>
      </c>
      <c r="Z341" s="40" t="s">
        <v>749</v>
      </c>
      <c r="AA341" s="33" t="s">
        <v>749</v>
      </c>
      <c r="AB341" s="95"/>
      <c r="AC341" s="95"/>
    </row>
    <row r="342" spans="1:29" ht="14.45" hidden="1" customHeight="1" x14ac:dyDescent="0.25">
      <c r="A342" s="36" t="str">
        <f>INDEX('Base de données Mono'!C:C,MATCH(B342,'Base de données Mono'!D:D,0))</f>
        <v>BOURSE</v>
      </c>
      <c r="B342" t="s">
        <v>332</v>
      </c>
      <c r="C342" s="36" t="str">
        <f>INDEX('Base de données Mono'!B:B,MATCH(B342,'Base de données Mono'!D:D,0))</f>
        <v>Monop</v>
      </c>
      <c r="D342" s="36" t="str">
        <f>INDEX('Base de données Mono'!A:A,MATCH(B342,'Base de données Mono'!D:D,0))</f>
        <v>JG</v>
      </c>
      <c r="E342" s="37" t="s">
        <v>303</v>
      </c>
      <c r="F342" s="41">
        <f t="shared" si="36"/>
        <v>14</v>
      </c>
      <c r="G342" s="41">
        <f t="shared" si="37"/>
        <v>4</v>
      </c>
      <c r="H342">
        <v>7</v>
      </c>
      <c r="I342" s="131">
        <f>INDEX('Base de données Mono'!K:K,MATCH(B342,'Base de données Mono'!D:D,0))</f>
        <v>0.25</v>
      </c>
      <c r="J342" s="131">
        <f>INDEX('Base de données Mono'!L:L,MATCH(B342,'Base de données Mono'!D:D,0))</f>
        <v>0.95833333333333337</v>
      </c>
      <c r="K342" s="131" t="str">
        <f>INDEX('Base de données Mono'!M:M,MATCH(B342,'Base de données Mono'!D:D,0))</f>
        <v>-</v>
      </c>
      <c r="L342" s="131" t="str">
        <f>INDEX('Base de données Mono'!N:N,MATCH(B342,'Base de données Mono'!D:D,0))</f>
        <v>-</v>
      </c>
      <c r="M342" s="33" t="s">
        <v>46</v>
      </c>
      <c r="N342" s="33">
        <f>IF(AND(E342="Electricité",M342="Hiver"),INDEX('Base de données Mono'!E:E,MATCH(B342,'Base de données Mono'!D:D,0)),IF(AND(E342="Electricité",M342="Mi-saison"),INDEX('Base de données Mono'!F:F,MATCH(B342,'Base de données Mono'!D:D,0)),IF(AND(E342="Electricité",M342="Eté"),INDEX('Base de données Mono'!G:G,MATCH(B342,'Base de données Mono'!D:D,0)),IF(AND(E342="Gaz",M342="Hiver"),INDEX('Base de données Mono'!J:J,MATCH(B342,'Base de données Mono'!D:D,0)),IF(AND(E342="Gaz",M342="Mi-saison"),INDEX('Base de données Mono'!#REF!,MATCH(B342,'Base de données Mono'!D:D,0)),IF(AND(E342="Gaz",M342="Eté"),INDEX('Base de données Mono'!#REF!,MATCH(B342,'Base de données Mono'!D:D,0)),"-"))))))</f>
        <v>10</v>
      </c>
      <c r="O342" s="123">
        <v>45383</v>
      </c>
      <c r="P342" s="123">
        <v>45384</v>
      </c>
      <c r="Q342" s="34">
        <v>35</v>
      </c>
      <c r="R342" s="33">
        <f t="shared" si="38"/>
        <v>25</v>
      </c>
      <c r="S342" s="34">
        <v>1</v>
      </c>
      <c r="T342" s="34">
        <f t="shared" si="39"/>
        <v>1</v>
      </c>
      <c r="U342" s="33">
        <f t="shared" si="40"/>
        <v>25</v>
      </c>
      <c r="V342" s="38" t="s">
        <v>827</v>
      </c>
      <c r="W342" s="39">
        <f t="shared" si="41"/>
        <v>2.5</v>
      </c>
      <c r="X342" s="40" t="s">
        <v>304</v>
      </c>
      <c r="Y342" s="40" t="s">
        <v>283</v>
      </c>
      <c r="Z342" s="40" t="s">
        <v>749</v>
      </c>
      <c r="AA342" s="33" t="s">
        <v>749</v>
      </c>
      <c r="AB342" s="95"/>
      <c r="AC342" s="95"/>
    </row>
    <row r="343" spans="1:29" ht="14.45" hidden="1" customHeight="1" x14ac:dyDescent="0.25">
      <c r="A343" s="36" t="str">
        <f>INDEX('Base de données Mono'!C:C,MATCH(B343,'Base de données Mono'!D:D,0))</f>
        <v>BOURSE</v>
      </c>
      <c r="B343" t="s">
        <v>332</v>
      </c>
      <c r="C343" s="36" t="str">
        <f>INDEX('Base de données Mono'!B:B,MATCH(B343,'Base de données Mono'!D:D,0))</f>
        <v>Monop</v>
      </c>
      <c r="D343" s="36" t="str">
        <f>INDEX('Base de données Mono'!A:A,MATCH(B343,'Base de données Mono'!D:D,0))</f>
        <v>JG</v>
      </c>
      <c r="E343" s="37" t="s">
        <v>303</v>
      </c>
      <c r="F343" s="41">
        <f t="shared" si="36"/>
        <v>14</v>
      </c>
      <c r="G343" s="41">
        <f t="shared" si="37"/>
        <v>4</v>
      </c>
      <c r="H343">
        <v>7</v>
      </c>
      <c r="I343" s="131">
        <f>INDEX('Base de données Mono'!K:K,MATCH(B343,'Base de données Mono'!D:D,0))</f>
        <v>0.25</v>
      </c>
      <c r="J343" s="131">
        <f>INDEX('Base de données Mono'!L:L,MATCH(B343,'Base de données Mono'!D:D,0))</f>
        <v>0.95833333333333337</v>
      </c>
      <c r="K343" s="131" t="str">
        <f>INDEX('Base de données Mono'!M:M,MATCH(B343,'Base de données Mono'!D:D,0))</f>
        <v>-</v>
      </c>
      <c r="L343" s="131" t="str">
        <f>INDEX('Base de données Mono'!N:N,MATCH(B343,'Base de données Mono'!D:D,0))</f>
        <v>-</v>
      </c>
      <c r="M343" s="33" t="s">
        <v>46</v>
      </c>
      <c r="N343" s="33">
        <f>IF(AND(E343="Electricité",M343="Hiver"),INDEX('Base de données Mono'!E:E,MATCH(B343,'Base de données Mono'!D:D,0)),IF(AND(E343="Electricité",M343="Mi-saison"),INDEX('Base de données Mono'!F:F,MATCH(B343,'Base de données Mono'!D:D,0)),IF(AND(E343="Electricité",M343="Eté"),INDEX('Base de données Mono'!G:G,MATCH(B343,'Base de données Mono'!D:D,0)),IF(AND(E343="Gaz",M343="Hiver"),INDEX('Base de données Mono'!J:J,MATCH(B343,'Base de données Mono'!D:D,0)),IF(AND(E343="Gaz",M343="Mi-saison"),INDEX('Base de données Mono'!#REF!,MATCH(B343,'Base de données Mono'!D:D,0)),IF(AND(E343="Gaz",M343="Eté"),INDEX('Base de données Mono'!#REF!,MATCH(B343,'Base de données Mono'!D:D,0)),"-"))))))</f>
        <v>10</v>
      </c>
      <c r="O343" s="123">
        <v>45384</v>
      </c>
      <c r="P343" s="123">
        <v>45385</v>
      </c>
      <c r="Q343" s="34">
        <v>15</v>
      </c>
      <c r="R343" s="33">
        <f t="shared" si="38"/>
        <v>5</v>
      </c>
      <c r="S343" s="34">
        <v>5</v>
      </c>
      <c r="T343" s="34">
        <f t="shared" si="39"/>
        <v>1</v>
      </c>
      <c r="U343" s="33">
        <f t="shared" si="40"/>
        <v>25</v>
      </c>
      <c r="V343" s="38" t="s">
        <v>827</v>
      </c>
      <c r="W343" s="39">
        <f t="shared" si="41"/>
        <v>0.5</v>
      </c>
      <c r="X343" s="40" t="s">
        <v>304</v>
      </c>
      <c r="Y343" s="40" t="s">
        <v>283</v>
      </c>
      <c r="Z343" s="40" t="s">
        <v>749</v>
      </c>
      <c r="AA343" s="33" t="s">
        <v>749</v>
      </c>
      <c r="AB343" s="95"/>
      <c r="AC343" s="95"/>
    </row>
    <row r="344" spans="1:29" ht="14.45" hidden="1" customHeight="1" x14ac:dyDescent="0.25">
      <c r="A344" s="36" t="str">
        <f>INDEX('Base de données Mono'!C:C,MATCH(B344,'Base de données Mono'!D:D,0))</f>
        <v>BOURSE</v>
      </c>
      <c r="B344" t="s">
        <v>332</v>
      </c>
      <c r="C344" s="36" t="str">
        <f>INDEX('Base de données Mono'!B:B,MATCH(B344,'Base de données Mono'!D:D,0))</f>
        <v>Monop</v>
      </c>
      <c r="D344" s="36" t="str">
        <f>INDEX('Base de données Mono'!A:A,MATCH(B344,'Base de données Mono'!D:D,0))</f>
        <v>JG</v>
      </c>
      <c r="E344" s="37" t="s">
        <v>303</v>
      </c>
      <c r="F344" s="41">
        <f t="shared" si="36"/>
        <v>14</v>
      </c>
      <c r="G344" s="41">
        <f t="shared" si="37"/>
        <v>4</v>
      </c>
      <c r="H344">
        <v>7</v>
      </c>
      <c r="I344" s="131">
        <f>INDEX('Base de données Mono'!K:K,MATCH(B344,'Base de données Mono'!D:D,0))</f>
        <v>0.25</v>
      </c>
      <c r="J344" s="131">
        <f>INDEX('Base de données Mono'!L:L,MATCH(B344,'Base de données Mono'!D:D,0))</f>
        <v>0.95833333333333337</v>
      </c>
      <c r="K344" s="131" t="str">
        <f>INDEX('Base de données Mono'!M:M,MATCH(B344,'Base de données Mono'!D:D,0))</f>
        <v>-</v>
      </c>
      <c r="L344" s="131" t="str">
        <f>INDEX('Base de données Mono'!N:N,MATCH(B344,'Base de données Mono'!D:D,0))</f>
        <v>-</v>
      </c>
      <c r="M344" s="33" t="s">
        <v>46</v>
      </c>
      <c r="N344" s="33">
        <f>IF(AND(E344="Electricité",M344="Hiver"),INDEX('Base de données Mono'!E:E,MATCH(B344,'Base de données Mono'!D:D,0)),IF(AND(E344="Electricité",M344="Mi-saison"),INDEX('Base de données Mono'!F:F,MATCH(B344,'Base de données Mono'!D:D,0)),IF(AND(E344="Electricité",M344="Eté"),INDEX('Base de données Mono'!G:G,MATCH(B344,'Base de données Mono'!D:D,0)),IF(AND(E344="Gaz",M344="Hiver"),INDEX('Base de données Mono'!J:J,MATCH(B344,'Base de données Mono'!D:D,0)),IF(AND(E344="Gaz",M344="Mi-saison"),INDEX('Base de données Mono'!#REF!,MATCH(B344,'Base de données Mono'!D:D,0)),IF(AND(E344="Gaz",M344="Eté"),INDEX('Base de données Mono'!#REF!,MATCH(B344,'Base de données Mono'!D:D,0)),"-"))))))</f>
        <v>10</v>
      </c>
      <c r="O344" s="123">
        <v>45384</v>
      </c>
      <c r="P344" s="123">
        <v>45385</v>
      </c>
      <c r="Q344" s="34">
        <v>25</v>
      </c>
      <c r="R344" s="33">
        <f t="shared" si="38"/>
        <v>15</v>
      </c>
      <c r="S344" s="34">
        <v>1</v>
      </c>
      <c r="T344" s="34">
        <f t="shared" si="39"/>
        <v>1</v>
      </c>
      <c r="U344" s="33">
        <f t="shared" si="40"/>
        <v>15</v>
      </c>
      <c r="V344" s="38" t="s">
        <v>827</v>
      </c>
      <c r="W344" s="39">
        <f t="shared" si="41"/>
        <v>1.5</v>
      </c>
      <c r="X344" s="40" t="s">
        <v>304</v>
      </c>
      <c r="Y344" s="40" t="s">
        <v>283</v>
      </c>
      <c r="Z344" s="40" t="s">
        <v>749</v>
      </c>
      <c r="AA344" s="33" t="s">
        <v>749</v>
      </c>
      <c r="AB344" s="95"/>
      <c r="AC344" s="95"/>
    </row>
    <row r="345" spans="1:29" ht="14.45" hidden="1" customHeight="1" x14ac:dyDescent="0.25">
      <c r="A345" s="36" t="str">
        <f>INDEX('Base de données Mono'!C:C,MATCH(B345,'Base de données Mono'!D:D,0))</f>
        <v>BOURSE</v>
      </c>
      <c r="B345" t="s">
        <v>332</v>
      </c>
      <c r="C345" s="36" t="str">
        <f>INDEX('Base de données Mono'!B:B,MATCH(B345,'Base de données Mono'!D:D,0))</f>
        <v>Monop</v>
      </c>
      <c r="D345" s="36" t="str">
        <f>INDEX('Base de données Mono'!A:A,MATCH(B345,'Base de données Mono'!D:D,0))</f>
        <v>JG</v>
      </c>
      <c r="E345" s="37" t="s">
        <v>303</v>
      </c>
      <c r="F345" s="41">
        <f t="shared" si="36"/>
        <v>14</v>
      </c>
      <c r="G345" s="41">
        <f t="shared" si="37"/>
        <v>4</v>
      </c>
      <c r="H345">
        <v>7</v>
      </c>
      <c r="I345" s="131">
        <f>INDEX('Base de données Mono'!K:K,MATCH(B345,'Base de données Mono'!D:D,0))</f>
        <v>0.25</v>
      </c>
      <c r="J345" s="131">
        <f>INDEX('Base de données Mono'!L:L,MATCH(B345,'Base de données Mono'!D:D,0))</f>
        <v>0.95833333333333337</v>
      </c>
      <c r="K345" s="131" t="str">
        <f>INDEX('Base de données Mono'!M:M,MATCH(B345,'Base de données Mono'!D:D,0))</f>
        <v>-</v>
      </c>
      <c r="L345" s="131" t="str">
        <f>INDEX('Base de données Mono'!N:N,MATCH(B345,'Base de données Mono'!D:D,0))</f>
        <v>-</v>
      </c>
      <c r="M345" s="33" t="s">
        <v>46</v>
      </c>
      <c r="N345" s="33">
        <f>IF(AND(E345="Electricité",M345="Hiver"),INDEX('Base de données Mono'!E:E,MATCH(B345,'Base de données Mono'!D:D,0)),IF(AND(E345="Electricité",M345="Mi-saison"),INDEX('Base de données Mono'!F:F,MATCH(B345,'Base de données Mono'!D:D,0)),IF(AND(E345="Electricité",M345="Eté"),INDEX('Base de données Mono'!G:G,MATCH(B345,'Base de données Mono'!D:D,0)),IF(AND(E345="Gaz",M345="Hiver"),INDEX('Base de données Mono'!J:J,MATCH(B345,'Base de données Mono'!D:D,0)),IF(AND(E345="Gaz",M345="Mi-saison"),INDEX('Base de données Mono'!#REF!,MATCH(B345,'Base de données Mono'!D:D,0)),IF(AND(E345="Gaz",M345="Eté"),INDEX('Base de données Mono'!#REF!,MATCH(B345,'Base de données Mono'!D:D,0)),"-"))))))</f>
        <v>10</v>
      </c>
      <c r="O345" s="123">
        <v>45384</v>
      </c>
      <c r="P345" s="123">
        <v>45385</v>
      </c>
      <c r="Q345" s="34">
        <v>35</v>
      </c>
      <c r="R345" s="33">
        <f t="shared" si="38"/>
        <v>25</v>
      </c>
      <c r="S345" s="34">
        <v>1</v>
      </c>
      <c r="T345" s="34">
        <f t="shared" si="39"/>
        <v>1</v>
      </c>
      <c r="U345" s="33">
        <f t="shared" si="40"/>
        <v>25</v>
      </c>
      <c r="V345" s="38" t="s">
        <v>827</v>
      </c>
      <c r="W345" s="39">
        <f t="shared" si="41"/>
        <v>2.5</v>
      </c>
      <c r="X345" s="40" t="s">
        <v>304</v>
      </c>
      <c r="Y345" s="40" t="s">
        <v>283</v>
      </c>
      <c r="Z345" s="40" t="s">
        <v>749</v>
      </c>
      <c r="AA345" s="33" t="s">
        <v>749</v>
      </c>
      <c r="AB345" s="95"/>
      <c r="AC345" s="95"/>
    </row>
    <row r="346" spans="1:29" ht="14.45" hidden="1" customHeight="1" x14ac:dyDescent="0.25">
      <c r="A346" s="36" t="str">
        <f>INDEX('Base de données Mono'!C:C,MATCH(B346,'Base de données Mono'!D:D,0))</f>
        <v>BOURSE</v>
      </c>
      <c r="B346" t="s">
        <v>332</v>
      </c>
      <c r="C346" s="36" t="str">
        <f>INDEX('Base de données Mono'!B:B,MATCH(B346,'Base de données Mono'!D:D,0))</f>
        <v>Monop</v>
      </c>
      <c r="D346" s="36" t="str">
        <f>INDEX('Base de données Mono'!A:A,MATCH(B346,'Base de données Mono'!D:D,0))</f>
        <v>JG</v>
      </c>
      <c r="E346" s="37" t="s">
        <v>303</v>
      </c>
      <c r="F346" s="41">
        <f t="shared" si="36"/>
        <v>14</v>
      </c>
      <c r="G346" s="41">
        <f t="shared" si="37"/>
        <v>4</v>
      </c>
      <c r="H346">
        <v>7</v>
      </c>
      <c r="I346" s="131">
        <f>INDEX('Base de données Mono'!K:K,MATCH(B346,'Base de données Mono'!D:D,0))</f>
        <v>0.25</v>
      </c>
      <c r="J346" s="131">
        <f>INDEX('Base de données Mono'!L:L,MATCH(B346,'Base de données Mono'!D:D,0))</f>
        <v>0.95833333333333337</v>
      </c>
      <c r="K346" s="131" t="str">
        <f>INDEX('Base de données Mono'!M:M,MATCH(B346,'Base de données Mono'!D:D,0))</f>
        <v>-</v>
      </c>
      <c r="L346" s="131" t="str">
        <f>INDEX('Base de données Mono'!N:N,MATCH(B346,'Base de données Mono'!D:D,0))</f>
        <v>-</v>
      </c>
      <c r="M346" s="33" t="s">
        <v>46</v>
      </c>
      <c r="N346" s="33">
        <f>IF(AND(E346="Electricité",M346="Hiver"),INDEX('Base de données Mono'!E:E,MATCH(B346,'Base de données Mono'!D:D,0)),IF(AND(E346="Electricité",M346="Mi-saison"),INDEX('Base de données Mono'!F:F,MATCH(B346,'Base de données Mono'!D:D,0)),IF(AND(E346="Electricité",M346="Eté"),INDEX('Base de données Mono'!G:G,MATCH(B346,'Base de données Mono'!D:D,0)),IF(AND(E346="Gaz",M346="Hiver"),INDEX('Base de données Mono'!J:J,MATCH(B346,'Base de données Mono'!D:D,0)),IF(AND(E346="Gaz",M346="Mi-saison"),INDEX('Base de données Mono'!#REF!,MATCH(B346,'Base de données Mono'!D:D,0)),IF(AND(E346="Gaz",M346="Eté"),INDEX('Base de données Mono'!#REF!,MATCH(B346,'Base de données Mono'!D:D,0)),"-"))))))</f>
        <v>10</v>
      </c>
      <c r="O346" s="123">
        <v>45385</v>
      </c>
      <c r="P346" s="123">
        <v>45386</v>
      </c>
      <c r="Q346" s="34">
        <v>15</v>
      </c>
      <c r="R346" s="33">
        <f t="shared" si="38"/>
        <v>5</v>
      </c>
      <c r="S346" s="34">
        <v>5</v>
      </c>
      <c r="T346" s="34">
        <f t="shared" si="39"/>
        <v>1</v>
      </c>
      <c r="U346" s="33">
        <f t="shared" si="40"/>
        <v>25</v>
      </c>
      <c r="V346" s="38" t="s">
        <v>827</v>
      </c>
      <c r="W346" s="39">
        <f t="shared" si="41"/>
        <v>0.5</v>
      </c>
      <c r="X346" s="40" t="s">
        <v>304</v>
      </c>
      <c r="Y346" s="40" t="s">
        <v>283</v>
      </c>
      <c r="Z346" s="40" t="s">
        <v>749</v>
      </c>
      <c r="AA346" s="33" t="s">
        <v>749</v>
      </c>
      <c r="AB346" s="95"/>
      <c r="AC346" s="95"/>
    </row>
    <row r="347" spans="1:29" ht="14.45" hidden="1" customHeight="1" x14ac:dyDescent="0.25">
      <c r="A347" s="36" t="str">
        <f>INDEX('Base de données Mono'!C:C,MATCH(B347,'Base de données Mono'!D:D,0))</f>
        <v>BOURSE</v>
      </c>
      <c r="B347" t="s">
        <v>332</v>
      </c>
      <c r="C347" s="36" t="str">
        <f>INDEX('Base de données Mono'!B:B,MATCH(B347,'Base de données Mono'!D:D,0))</f>
        <v>Monop</v>
      </c>
      <c r="D347" s="36" t="str">
        <f>INDEX('Base de données Mono'!A:A,MATCH(B347,'Base de données Mono'!D:D,0))</f>
        <v>JG</v>
      </c>
      <c r="E347" s="37" t="s">
        <v>303</v>
      </c>
      <c r="F347" s="41">
        <f t="shared" si="36"/>
        <v>14</v>
      </c>
      <c r="G347" s="41">
        <f t="shared" si="37"/>
        <v>4</v>
      </c>
      <c r="H347">
        <v>7</v>
      </c>
      <c r="I347" s="131">
        <f>INDEX('Base de données Mono'!K:K,MATCH(B347,'Base de données Mono'!D:D,0))</f>
        <v>0.25</v>
      </c>
      <c r="J347" s="131">
        <f>INDEX('Base de données Mono'!L:L,MATCH(B347,'Base de données Mono'!D:D,0))</f>
        <v>0.95833333333333337</v>
      </c>
      <c r="K347" s="131" t="str">
        <f>INDEX('Base de données Mono'!M:M,MATCH(B347,'Base de données Mono'!D:D,0))</f>
        <v>-</v>
      </c>
      <c r="L347" s="131" t="str">
        <f>INDEX('Base de données Mono'!N:N,MATCH(B347,'Base de données Mono'!D:D,0))</f>
        <v>-</v>
      </c>
      <c r="M347" s="33" t="s">
        <v>46</v>
      </c>
      <c r="N347" s="33">
        <f>IF(AND(E347="Electricité",M347="Hiver"),INDEX('Base de données Mono'!E:E,MATCH(B347,'Base de données Mono'!D:D,0)),IF(AND(E347="Electricité",M347="Mi-saison"),INDEX('Base de données Mono'!F:F,MATCH(B347,'Base de données Mono'!D:D,0)),IF(AND(E347="Electricité",M347="Eté"),INDEX('Base de données Mono'!G:G,MATCH(B347,'Base de données Mono'!D:D,0)),IF(AND(E347="Gaz",M347="Hiver"),INDEX('Base de données Mono'!J:J,MATCH(B347,'Base de données Mono'!D:D,0)),IF(AND(E347="Gaz",M347="Mi-saison"),INDEX('Base de données Mono'!#REF!,MATCH(B347,'Base de données Mono'!D:D,0)),IF(AND(E347="Gaz",M347="Eté"),INDEX('Base de données Mono'!#REF!,MATCH(B347,'Base de données Mono'!D:D,0)),"-"))))))</f>
        <v>10</v>
      </c>
      <c r="O347" s="123">
        <v>45385</v>
      </c>
      <c r="P347" s="123">
        <v>45386</v>
      </c>
      <c r="Q347" s="34">
        <v>25</v>
      </c>
      <c r="R347" s="33">
        <f t="shared" si="38"/>
        <v>15</v>
      </c>
      <c r="S347" s="34">
        <v>1</v>
      </c>
      <c r="T347" s="34">
        <f t="shared" si="39"/>
        <v>1</v>
      </c>
      <c r="U347" s="33">
        <f t="shared" si="40"/>
        <v>15</v>
      </c>
      <c r="V347" s="38" t="s">
        <v>827</v>
      </c>
      <c r="W347" s="39">
        <f t="shared" si="41"/>
        <v>1.5</v>
      </c>
      <c r="X347" s="40" t="s">
        <v>304</v>
      </c>
      <c r="Y347" s="40" t="s">
        <v>283</v>
      </c>
      <c r="Z347" s="40" t="s">
        <v>749</v>
      </c>
      <c r="AA347" s="33" t="s">
        <v>749</v>
      </c>
      <c r="AB347" s="95"/>
      <c r="AC347" s="95"/>
    </row>
    <row r="348" spans="1:29" ht="14.45" hidden="1" customHeight="1" x14ac:dyDescent="0.25">
      <c r="A348" s="36" t="str">
        <f>INDEX('Base de données Mono'!C:C,MATCH(B348,'Base de données Mono'!D:D,0))</f>
        <v>BOURSE</v>
      </c>
      <c r="B348" t="s">
        <v>332</v>
      </c>
      <c r="C348" s="36" t="str">
        <f>INDEX('Base de données Mono'!B:B,MATCH(B348,'Base de données Mono'!D:D,0))</f>
        <v>Monop</v>
      </c>
      <c r="D348" s="36" t="str">
        <f>INDEX('Base de données Mono'!A:A,MATCH(B348,'Base de données Mono'!D:D,0))</f>
        <v>JG</v>
      </c>
      <c r="E348" s="37" t="s">
        <v>303</v>
      </c>
      <c r="F348" s="41">
        <f t="shared" si="36"/>
        <v>14</v>
      </c>
      <c r="G348" s="41">
        <f t="shared" si="37"/>
        <v>4</v>
      </c>
      <c r="H348">
        <v>7</v>
      </c>
      <c r="I348" s="131">
        <f>INDEX('Base de données Mono'!K:K,MATCH(B348,'Base de données Mono'!D:D,0))</f>
        <v>0.25</v>
      </c>
      <c r="J348" s="131">
        <f>INDEX('Base de données Mono'!L:L,MATCH(B348,'Base de données Mono'!D:D,0))</f>
        <v>0.95833333333333337</v>
      </c>
      <c r="K348" s="131" t="str">
        <f>INDEX('Base de données Mono'!M:M,MATCH(B348,'Base de données Mono'!D:D,0))</f>
        <v>-</v>
      </c>
      <c r="L348" s="131" t="str">
        <f>INDEX('Base de données Mono'!N:N,MATCH(B348,'Base de données Mono'!D:D,0))</f>
        <v>-</v>
      </c>
      <c r="M348" s="33" t="s">
        <v>46</v>
      </c>
      <c r="N348" s="33">
        <f>IF(AND(E348="Electricité",M348="Hiver"),INDEX('Base de données Mono'!E:E,MATCH(B348,'Base de données Mono'!D:D,0)),IF(AND(E348="Electricité",M348="Mi-saison"),INDEX('Base de données Mono'!F:F,MATCH(B348,'Base de données Mono'!D:D,0)),IF(AND(E348="Electricité",M348="Eté"),INDEX('Base de données Mono'!G:G,MATCH(B348,'Base de données Mono'!D:D,0)),IF(AND(E348="Gaz",M348="Hiver"),INDEX('Base de données Mono'!J:J,MATCH(B348,'Base de données Mono'!D:D,0)),IF(AND(E348="Gaz",M348="Mi-saison"),INDEX('Base de données Mono'!#REF!,MATCH(B348,'Base de données Mono'!D:D,0)),IF(AND(E348="Gaz",M348="Eté"),INDEX('Base de données Mono'!#REF!,MATCH(B348,'Base de données Mono'!D:D,0)),"-"))))))</f>
        <v>10</v>
      </c>
      <c r="O348" s="123">
        <v>45385</v>
      </c>
      <c r="P348" s="123">
        <v>45386</v>
      </c>
      <c r="Q348" s="34">
        <v>35</v>
      </c>
      <c r="R348" s="33">
        <f t="shared" si="38"/>
        <v>25</v>
      </c>
      <c r="S348" s="34">
        <v>1</v>
      </c>
      <c r="T348" s="34">
        <f t="shared" si="39"/>
        <v>1</v>
      </c>
      <c r="U348" s="33">
        <f t="shared" si="40"/>
        <v>25</v>
      </c>
      <c r="V348" s="38" t="s">
        <v>827</v>
      </c>
      <c r="W348" s="39">
        <f t="shared" si="41"/>
        <v>2.5</v>
      </c>
      <c r="X348" s="40" t="s">
        <v>304</v>
      </c>
      <c r="Y348" s="40" t="s">
        <v>283</v>
      </c>
      <c r="Z348" s="40" t="s">
        <v>749</v>
      </c>
      <c r="AA348" s="33" t="s">
        <v>749</v>
      </c>
      <c r="AB348" s="95"/>
      <c r="AC348" s="95"/>
    </row>
    <row r="349" spans="1:29" ht="14.45" hidden="1" customHeight="1" x14ac:dyDescent="0.25">
      <c r="A349" s="36" t="str">
        <f>INDEX('Base de données Mono'!C:C,MATCH(B349,'Base de données Mono'!D:D,0))</f>
        <v>BOURSE</v>
      </c>
      <c r="B349" t="s">
        <v>332</v>
      </c>
      <c r="C349" s="36" t="str">
        <f>INDEX('Base de données Mono'!B:B,MATCH(B349,'Base de données Mono'!D:D,0))</f>
        <v>Monop</v>
      </c>
      <c r="D349" s="36" t="str">
        <f>INDEX('Base de données Mono'!A:A,MATCH(B349,'Base de données Mono'!D:D,0))</f>
        <v>JG</v>
      </c>
      <c r="E349" s="37" t="s">
        <v>303</v>
      </c>
      <c r="F349" s="41">
        <f t="shared" si="36"/>
        <v>14</v>
      </c>
      <c r="G349" s="41">
        <f t="shared" si="37"/>
        <v>4</v>
      </c>
      <c r="H349">
        <v>7</v>
      </c>
      <c r="I349" s="131">
        <f>INDEX('Base de données Mono'!K:K,MATCH(B349,'Base de données Mono'!D:D,0))</f>
        <v>0.25</v>
      </c>
      <c r="J349" s="131">
        <f>INDEX('Base de données Mono'!L:L,MATCH(B349,'Base de données Mono'!D:D,0))</f>
        <v>0.95833333333333337</v>
      </c>
      <c r="K349" s="131" t="str">
        <f>INDEX('Base de données Mono'!M:M,MATCH(B349,'Base de données Mono'!D:D,0))</f>
        <v>-</v>
      </c>
      <c r="L349" s="131" t="str">
        <f>INDEX('Base de données Mono'!N:N,MATCH(B349,'Base de données Mono'!D:D,0))</f>
        <v>-</v>
      </c>
      <c r="M349" s="33" t="s">
        <v>46</v>
      </c>
      <c r="N349" s="33">
        <f>IF(AND(E349="Electricité",M349="Hiver"),INDEX('Base de données Mono'!E:E,MATCH(B349,'Base de données Mono'!D:D,0)),IF(AND(E349="Electricité",M349="Mi-saison"),INDEX('Base de données Mono'!F:F,MATCH(B349,'Base de données Mono'!D:D,0)),IF(AND(E349="Electricité",M349="Eté"),INDEX('Base de données Mono'!G:G,MATCH(B349,'Base de données Mono'!D:D,0)),IF(AND(E349="Gaz",M349="Hiver"),INDEX('Base de données Mono'!J:J,MATCH(B349,'Base de données Mono'!D:D,0)),IF(AND(E349="Gaz",M349="Mi-saison"),INDEX('Base de données Mono'!#REF!,MATCH(B349,'Base de données Mono'!D:D,0)),IF(AND(E349="Gaz",M349="Eté"),INDEX('Base de données Mono'!#REF!,MATCH(B349,'Base de données Mono'!D:D,0)),"-"))))))</f>
        <v>10</v>
      </c>
      <c r="O349" s="123">
        <v>45386</v>
      </c>
      <c r="P349" s="123">
        <v>45387</v>
      </c>
      <c r="Q349" s="34">
        <v>15</v>
      </c>
      <c r="R349" s="33">
        <f t="shared" si="38"/>
        <v>5</v>
      </c>
      <c r="S349" s="34">
        <v>5</v>
      </c>
      <c r="T349" s="34">
        <f t="shared" si="39"/>
        <v>1</v>
      </c>
      <c r="U349" s="33">
        <f t="shared" si="40"/>
        <v>25</v>
      </c>
      <c r="V349" s="38" t="s">
        <v>827</v>
      </c>
      <c r="W349" s="39">
        <f t="shared" si="41"/>
        <v>0.5</v>
      </c>
      <c r="X349" s="40" t="s">
        <v>304</v>
      </c>
      <c r="Y349" s="40" t="s">
        <v>283</v>
      </c>
      <c r="Z349" s="40" t="s">
        <v>749</v>
      </c>
      <c r="AA349" s="33" t="s">
        <v>749</v>
      </c>
      <c r="AB349" s="95"/>
      <c r="AC349" s="95"/>
    </row>
    <row r="350" spans="1:29" ht="14.45" hidden="1" customHeight="1" x14ac:dyDescent="0.25">
      <c r="A350" s="36" t="str">
        <f>INDEX('Base de données Mono'!C:C,MATCH(B350,'Base de données Mono'!D:D,0))</f>
        <v>BOURSE</v>
      </c>
      <c r="B350" t="s">
        <v>332</v>
      </c>
      <c r="C350" s="36" t="str">
        <f>INDEX('Base de données Mono'!B:B,MATCH(B350,'Base de données Mono'!D:D,0))</f>
        <v>Monop</v>
      </c>
      <c r="D350" s="36" t="str">
        <f>INDEX('Base de données Mono'!A:A,MATCH(B350,'Base de données Mono'!D:D,0))</f>
        <v>JG</v>
      </c>
      <c r="E350" s="37" t="s">
        <v>303</v>
      </c>
      <c r="F350" s="41">
        <f t="shared" si="36"/>
        <v>14</v>
      </c>
      <c r="G350" s="41">
        <f t="shared" si="37"/>
        <v>4</v>
      </c>
      <c r="H350">
        <v>7</v>
      </c>
      <c r="I350" s="131">
        <f>INDEX('Base de données Mono'!K:K,MATCH(B350,'Base de données Mono'!D:D,0))</f>
        <v>0.25</v>
      </c>
      <c r="J350" s="131">
        <f>INDEX('Base de données Mono'!L:L,MATCH(B350,'Base de données Mono'!D:D,0))</f>
        <v>0.95833333333333337</v>
      </c>
      <c r="K350" s="131" t="str">
        <f>INDEX('Base de données Mono'!M:M,MATCH(B350,'Base de données Mono'!D:D,0))</f>
        <v>-</v>
      </c>
      <c r="L350" s="131" t="str">
        <f>INDEX('Base de données Mono'!N:N,MATCH(B350,'Base de données Mono'!D:D,0))</f>
        <v>-</v>
      </c>
      <c r="M350" s="33" t="s">
        <v>46</v>
      </c>
      <c r="N350" s="33">
        <f>IF(AND(E350="Electricité",M350="Hiver"),INDEX('Base de données Mono'!E:E,MATCH(B350,'Base de données Mono'!D:D,0)),IF(AND(E350="Electricité",M350="Mi-saison"),INDEX('Base de données Mono'!F:F,MATCH(B350,'Base de données Mono'!D:D,0)),IF(AND(E350="Electricité",M350="Eté"),INDEX('Base de données Mono'!G:G,MATCH(B350,'Base de données Mono'!D:D,0)),IF(AND(E350="Gaz",M350="Hiver"),INDEX('Base de données Mono'!J:J,MATCH(B350,'Base de données Mono'!D:D,0)),IF(AND(E350="Gaz",M350="Mi-saison"),INDEX('Base de données Mono'!#REF!,MATCH(B350,'Base de données Mono'!D:D,0)),IF(AND(E350="Gaz",M350="Eté"),INDEX('Base de données Mono'!#REF!,MATCH(B350,'Base de données Mono'!D:D,0)),"-"))))))</f>
        <v>10</v>
      </c>
      <c r="O350" s="123">
        <v>45386</v>
      </c>
      <c r="P350" s="123">
        <v>45387</v>
      </c>
      <c r="Q350" s="34">
        <v>25</v>
      </c>
      <c r="R350" s="33">
        <f t="shared" si="38"/>
        <v>15</v>
      </c>
      <c r="S350" s="34">
        <v>1</v>
      </c>
      <c r="T350" s="34">
        <f t="shared" si="39"/>
        <v>1</v>
      </c>
      <c r="U350" s="33">
        <f t="shared" si="40"/>
        <v>15</v>
      </c>
      <c r="V350" s="38" t="s">
        <v>827</v>
      </c>
      <c r="W350" s="39">
        <f t="shared" si="41"/>
        <v>1.5</v>
      </c>
      <c r="X350" s="40" t="s">
        <v>304</v>
      </c>
      <c r="Y350" s="40" t="s">
        <v>283</v>
      </c>
      <c r="Z350" s="40" t="s">
        <v>749</v>
      </c>
      <c r="AA350" s="33" t="s">
        <v>749</v>
      </c>
      <c r="AB350" s="95"/>
      <c r="AC350" s="95"/>
    </row>
    <row r="351" spans="1:29" ht="14.45" hidden="1" customHeight="1" x14ac:dyDescent="0.25">
      <c r="A351" s="36" t="str">
        <f>INDEX('Base de données Mono'!C:C,MATCH(B351,'Base de données Mono'!D:D,0))</f>
        <v>BOURSE</v>
      </c>
      <c r="B351" t="s">
        <v>332</v>
      </c>
      <c r="C351" s="36" t="str">
        <f>INDEX('Base de données Mono'!B:B,MATCH(B351,'Base de données Mono'!D:D,0))</f>
        <v>Monop</v>
      </c>
      <c r="D351" s="36" t="str">
        <f>INDEX('Base de données Mono'!A:A,MATCH(B351,'Base de données Mono'!D:D,0))</f>
        <v>JG</v>
      </c>
      <c r="E351" s="37" t="s">
        <v>303</v>
      </c>
      <c r="F351" s="41">
        <f t="shared" si="36"/>
        <v>14</v>
      </c>
      <c r="G351" s="41">
        <f t="shared" si="37"/>
        <v>4</v>
      </c>
      <c r="H351">
        <v>7</v>
      </c>
      <c r="I351" s="131">
        <f>INDEX('Base de données Mono'!K:K,MATCH(B351,'Base de données Mono'!D:D,0))</f>
        <v>0.25</v>
      </c>
      <c r="J351" s="131">
        <f>INDEX('Base de données Mono'!L:L,MATCH(B351,'Base de données Mono'!D:D,0))</f>
        <v>0.95833333333333337</v>
      </c>
      <c r="K351" s="131" t="str">
        <f>INDEX('Base de données Mono'!M:M,MATCH(B351,'Base de données Mono'!D:D,0))</f>
        <v>-</v>
      </c>
      <c r="L351" s="131" t="str">
        <f>INDEX('Base de données Mono'!N:N,MATCH(B351,'Base de données Mono'!D:D,0))</f>
        <v>-</v>
      </c>
      <c r="M351" s="33" t="s">
        <v>46</v>
      </c>
      <c r="N351" s="33">
        <f>IF(AND(E351="Electricité",M351="Hiver"),INDEX('Base de données Mono'!E:E,MATCH(B351,'Base de données Mono'!D:D,0)),IF(AND(E351="Electricité",M351="Mi-saison"),INDEX('Base de données Mono'!F:F,MATCH(B351,'Base de données Mono'!D:D,0)),IF(AND(E351="Electricité",M351="Eté"),INDEX('Base de données Mono'!G:G,MATCH(B351,'Base de données Mono'!D:D,0)),IF(AND(E351="Gaz",M351="Hiver"),INDEX('Base de données Mono'!J:J,MATCH(B351,'Base de données Mono'!D:D,0)),IF(AND(E351="Gaz",M351="Mi-saison"),INDEX('Base de données Mono'!#REF!,MATCH(B351,'Base de données Mono'!D:D,0)),IF(AND(E351="Gaz",M351="Eté"),INDEX('Base de données Mono'!#REF!,MATCH(B351,'Base de données Mono'!D:D,0)),"-"))))))</f>
        <v>10</v>
      </c>
      <c r="O351" s="123">
        <v>45386</v>
      </c>
      <c r="P351" s="123">
        <v>45387</v>
      </c>
      <c r="Q351" s="34">
        <v>35</v>
      </c>
      <c r="R351" s="33">
        <f t="shared" si="38"/>
        <v>25</v>
      </c>
      <c r="S351" s="34">
        <v>1</v>
      </c>
      <c r="T351" s="34">
        <f t="shared" si="39"/>
        <v>1</v>
      </c>
      <c r="U351" s="33">
        <f t="shared" si="40"/>
        <v>25</v>
      </c>
      <c r="V351" s="38" t="s">
        <v>827</v>
      </c>
      <c r="W351" s="39">
        <f t="shared" si="41"/>
        <v>2.5</v>
      </c>
      <c r="X351" s="40" t="s">
        <v>304</v>
      </c>
      <c r="Y351" s="40" t="s">
        <v>283</v>
      </c>
      <c r="Z351" s="40" t="s">
        <v>749</v>
      </c>
      <c r="AA351" s="33" t="s">
        <v>749</v>
      </c>
      <c r="AB351" s="95"/>
      <c r="AC351" s="95"/>
    </row>
    <row r="352" spans="1:29" ht="14.45" hidden="1" customHeight="1" x14ac:dyDescent="0.25">
      <c r="A352" s="36" t="str">
        <f>INDEX('Base de données Mono'!C:C,MATCH(B352,'Base de données Mono'!D:D,0))</f>
        <v>BOURSE</v>
      </c>
      <c r="B352" t="s">
        <v>332</v>
      </c>
      <c r="C352" s="36" t="str">
        <f>INDEX('Base de données Mono'!B:B,MATCH(B352,'Base de données Mono'!D:D,0))</f>
        <v>Monop</v>
      </c>
      <c r="D352" s="36" t="str">
        <f>INDEX('Base de données Mono'!A:A,MATCH(B352,'Base de données Mono'!D:D,0))</f>
        <v>JG</v>
      </c>
      <c r="E352" s="37" t="s">
        <v>303</v>
      </c>
      <c r="F352" s="41">
        <f t="shared" si="36"/>
        <v>14</v>
      </c>
      <c r="G352" s="41">
        <f t="shared" si="37"/>
        <v>4</v>
      </c>
      <c r="H352">
        <v>7</v>
      </c>
      <c r="I352" s="131">
        <f>INDEX('Base de données Mono'!K:K,MATCH(B352,'Base de données Mono'!D:D,0))</f>
        <v>0.25</v>
      </c>
      <c r="J352" s="131">
        <f>INDEX('Base de données Mono'!L:L,MATCH(B352,'Base de données Mono'!D:D,0))</f>
        <v>0.95833333333333337</v>
      </c>
      <c r="K352" s="131" t="str">
        <f>INDEX('Base de données Mono'!M:M,MATCH(B352,'Base de données Mono'!D:D,0))</f>
        <v>-</v>
      </c>
      <c r="L352" s="131" t="str">
        <f>INDEX('Base de données Mono'!N:N,MATCH(B352,'Base de données Mono'!D:D,0))</f>
        <v>-</v>
      </c>
      <c r="M352" s="33" t="s">
        <v>46</v>
      </c>
      <c r="N352" s="33">
        <f>IF(AND(E352="Electricité",M352="Hiver"),INDEX('Base de données Mono'!E:E,MATCH(B352,'Base de données Mono'!D:D,0)),IF(AND(E352="Electricité",M352="Mi-saison"),INDEX('Base de données Mono'!F:F,MATCH(B352,'Base de données Mono'!D:D,0)),IF(AND(E352="Electricité",M352="Eté"),INDEX('Base de données Mono'!G:G,MATCH(B352,'Base de données Mono'!D:D,0)),IF(AND(E352="Gaz",M352="Hiver"),INDEX('Base de données Mono'!J:J,MATCH(B352,'Base de données Mono'!D:D,0)),IF(AND(E352="Gaz",M352="Mi-saison"),INDEX('Base de données Mono'!#REF!,MATCH(B352,'Base de données Mono'!D:D,0)),IF(AND(E352="Gaz",M352="Eté"),INDEX('Base de données Mono'!#REF!,MATCH(B352,'Base de données Mono'!D:D,0)),"-"))))))</f>
        <v>10</v>
      </c>
      <c r="O352" s="123">
        <v>45387</v>
      </c>
      <c r="P352" s="123">
        <v>45388</v>
      </c>
      <c r="Q352" s="34">
        <v>15</v>
      </c>
      <c r="R352" s="33">
        <f t="shared" si="38"/>
        <v>5</v>
      </c>
      <c r="S352" s="34">
        <v>5</v>
      </c>
      <c r="T352" s="34">
        <f t="shared" si="39"/>
        <v>1</v>
      </c>
      <c r="U352" s="33">
        <f t="shared" si="40"/>
        <v>25</v>
      </c>
      <c r="V352" s="38" t="s">
        <v>827</v>
      </c>
      <c r="W352" s="39">
        <f t="shared" si="41"/>
        <v>0.5</v>
      </c>
      <c r="X352" s="40" t="s">
        <v>304</v>
      </c>
      <c r="Y352" s="40" t="s">
        <v>283</v>
      </c>
      <c r="Z352" s="40" t="s">
        <v>749</v>
      </c>
      <c r="AA352" s="33" t="s">
        <v>749</v>
      </c>
      <c r="AB352" s="95"/>
      <c r="AC352" s="95"/>
    </row>
    <row r="353" spans="1:29" ht="14.45" hidden="1" customHeight="1" x14ac:dyDescent="0.25">
      <c r="A353" s="36" t="str">
        <f>INDEX('Base de données Mono'!C:C,MATCH(B353,'Base de données Mono'!D:D,0))</f>
        <v>BOURSE</v>
      </c>
      <c r="B353" t="s">
        <v>332</v>
      </c>
      <c r="C353" s="36" t="str">
        <f>INDEX('Base de données Mono'!B:B,MATCH(B353,'Base de données Mono'!D:D,0))</f>
        <v>Monop</v>
      </c>
      <c r="D353" s="36" t="str">
        <f>INDEX('Base de données Mono'!A:A,MATCH(B353,'Base de données Mono'!D:D,0))</f>
        <v>JG</v>
      </c>
      <c r="E353" s="37" t="s">
        <v>303</v>
      </c>
      <c r="F353" s="41">
        <f t="shared" si="36"/>
        <v>14</v>
      </c>
      <c r="G353" s="41">
        <f t="shared" si="37"/>
        <v>4</v>
      </c>
      <c r="H353">
        <v>7</v>
      </c>
      <c r="I353" s="131">
        <f>INDEX('Base de données Mono'!K:K,MATCH(B353,'Base de données Mono'!D:D,0))</f>
        <v>0.25</v>
      </c>
      <c r="J353" s="131">
        <f>INDEX('Base de données Mono'!L:L,MATCH(B353,'Base de données Mono'!D:D,0))</f>
        <v>0.95833333333333337</v>
      </c>
      <c r="K353" s="131" t="str">
        <f>INDEX('Base de données Mono'!M:M,MATCH(B353,'Base de données Mono'!D:D,0))</f>
        <v>-</v>
      </c>
      <c r="L353" s="131" t="str">
        <f>INDEX('Base de données Mono'!N:N,MATCH(B353,'Base de données Mono'!D:D,0))</f>
        <v>-</v>
      </c>
      <c r="M353" s="33" t="s">
        <v>46</v>
      </c>
      <c r="N353" s="33">
        <f>IF(AND(E353="Electricité",M353="Hiver"),INDEX('Base de données Mono'!E:E,MATCH(B353,'Base de données Mono'!D:D,0)),IF(AND(E353="Electricité",M353="Mi-saison"),INDEX('Base de données Mono'!F:F,MATCH(B353,'Base de données Mono'!D:D,0)),IF(AND(E353="Electricité",M353="Eté"),INDEX('Base de données Mono'!G:G,MATCH(B353,'Base de données Mono'!D:D,0)),IF(AND(E353="Gaz",M353="Hiver"),INDEX('Base de données Mono'!J:J,MATCH(B353,'Base de données Mono'!D:D,0)),IF(AND(E353="Gaz",M353="Mi-saison"),INDEX('Base de données Mono'!#REF!,MATCH(B353,'Base de données Mono'!D:D,0)),IF(AND(E353="Gaz",M353="Eté"),INDEX('Base de données Mono'!#REF!,MATCH(B353,'Base de données Mono'!D:D,0)),"-"))))))</f>
        <v>10</v>
      </c>
      <c r="O353" s="123">
        <v>45387</v>
      </c>
      <c r="P353" s="123">
        <v>45388</v>
      </c>
      <c r="Q353" s="34">
        <v>25</v>
      </c>
      <c r="R353" s="33">
        <f t="shared" si="38"/>
        <v>15</v>
      </c>
      <c r="S353" s="34">
        <v>1</v>
      </c>
      <c r="T353" s="34">
        <f t="shared" si="39"/>
        <v>1</v>
      </c>
      <c r="U353" s="33">
        <f t="shared" si="40"/>
        <v>15</v>
      </c>
      <c r="V353" s="38" t="s">
        <v>827</v>
      </c>
      <c r="W353" s="39">
        <f t="shared" si="41"/>
        <v>1.5</v>
      </c>
      <c r="X353" s="40" t="s">
        <v>304</v>
      </c>
      <c r="Y353" s="40" t="s">
        <v>283</v>
      </c>
      <c r="Z353" s="40" t="s">
        <v>749</v>
      </c>
      <c r="AA353" s="33" t="s">
        <v>749</v>
      </c>
      <c r="AB353" s="95"/>
      <c r="AC353" s="95"/>
    </row>
    <row r="354" spans="1:29" ht="14.45" hidden="1" customHeight="1" x14ac:dyDescent="0.25">
      <c r="A354" s="36" t="str">
        <f>INDEX('Base de données Mono'!C:C,MATCH(B354,'Base de données Mono'!D:D,0))</f>
        <v>BOURSE</v>
      </c>
      <c r="B354" t="s">
        <v>332</v>
      </c>
      <c r="C354" s="36" t="str">
        <f>INDEX('Base de données Mono'!B:B,MATCH(B354,'Base de données Mono'!D:D,0))</f>
        <v>Monop</v>
      </c>
      <c r="D354" s="36" t="str">
        <f>INDEX('Base de données Mono'!A:A,MATCH(B354,'Base de données Mono'!D:D,0))</f>
        <v>JG</v>
      </c>
      <c r="E354" s="37" t="s">
        <v>303</v>
      </c>
      <c r="F354" s="41">
        <f t="shared" si="36"/>
        <v>14</v>
      </c>
      <c r="G354" s="41">
        <f t="shared" si="37"/>
        <v>4</v>
      </c>
      <c r="H354">
        <v>7</v>
      </c>
      <c r="I354" s="131">
        <f>INDEX('Base de données Mono'!K:K,MATCH(B354,'Base de données Mono'!D:D,0))</f>
        <v>0.25</v>
      </c>
      <c r="J354" s="131">
        <f>INDEX('Base de données Mono'!L:L,MATCH(B354,'Base de données Mono'!D:D,0))</f>
        <v>0.95833333333333337</v>
      </c>
      <c r="K354" s="131" t="str">
        <f>INDEX('Base de données Mono'!M:M,MATCH(B354,'Base de données Mono'!D:D,0))</f>
        <v>-</v>
      </c>
      <c r="L354" s="131" t="str">
        <f>INDEX('Base de données Mono'!N:N,MATCH(B354,'Base de données Mono'!D:D,0))</f>
        <v>-</v>
      </c>
      <c r="M354" s="33" t="s">
        <v>46</v>
      </c>
      <c r="N354" s="33">
        <f>IF(AND(E354="Electricité",M354="Hiver"),INDEX('Base de données Mono'!E:E,MATCH(B354,'Base de données Mono'!D:D,0)),IF(AND(E354="Electricité",M354="Mi-saison"),INDEX('Base de données Mono'!F:F,MATCH(B354,'Base de données Mono'!D:D,0)),IF(AND(E354="Electricité",M354="Eté"),INDEX('Base de données Mono'!G:G,MATCH(B354,'Base de données Mono'!D:D,0)),IF(AND(E354="Gaz",M354="Hiver"),INDEX('Base de données Mono'!J:J,MATCH(B354,'Base de données Mono'!D:D,0)),IF(AND(E354="Gaz",M354="Mi-saison"),INDEX('Base de données Mono'!#REF!,MATCH(B354,'Base de données Mono'!D:D,0)),IF(AND(E354="Gaz",M354="Eté"),INDEX('Base de données Mono'!#REF!,MATCH(B354,'Base de données Mono'!D:D,0)),"-"))))))</f>
        <v>10</v>
      </c>
      <c r="O354" s="123">
        <v>45387</v>
      </c>
      <c r="P354" s="123">
        <v>45388</v>
      </c>
      <c r="Q354" s="34">
        <v>35</v>
      </c>
      <c r="R354" s="33">
        <f t="shared" si="38"/>
        <v>25</v>
      </c>
      <c r="S354" s="34">
        <v>1</v>
      </c>
      <c r="T354" s="34">
        <f t="shared" si="39"/>
        <v>1</v>
      </c>
      <c r="U354" s="33">
        <f t="shared" si="40"/>
        <v>25</v>
      </c>
      <c r="V354" s="38" t="s">
        <v>827</v>
      </c>
      <c r="W354" s="39">
        <f t="shared" si="41"/>
        <v>2.5</v>
      </c>
      <c r="X354" s="40" t="s">
        <v>304</v>
      </c>
      <c r="Y354" s="40" t="s">
        <v>283</v>
      </c>
      <c r="Z354" s="40" t="s">
        <v>749</v>
      </c>
      <c r="AA354" s="33" t="s">
        <v>749</v>
      </c>
      <c r="AB354" s="95"/>
      <c r="AC354" s="95"/>
    </row>
    <row r="355" spans="1:29" ht="14.45" hidden="1" customHeight="1" x14ac:dyDescent="0.25">
      <c r="A355" s="36" t="str">
        <f>INDEX('Base de données Mono'!C:C,MATCH(B355,'Base de données Mono'!D:D,0))</f>
        <v>BOURSE</v>
      </c>
      <c r="B355" t="s">
        <v>332</v>
      </c>
      <c r="C355" s="36" t="str">
        <f>INDEX('Base de données Mono'!B:B,MATCH(B355,'Base de données Mono'!D:D,0))</f>
        <v>Monop</v>
      </c>
      <c r="D355" s="36" t="str">
        <f>INDEX('Base de données Mono'!A:A,MATCH(B355,'Base de données Mono'!D:D,0))</f>
        <v>JG</v>
      </c>
      <c r="E355" s="37" t="s">
        <v>303</v>
      </c>
      <c r="F355" s="41">
        <f t="shared" si="36"/>
        <v>14</v>
      </c>
      <c r="G355" s="41">
        <f t="shared" si="37"/>
        <v>4</v>
      </c>
      <c r="H355">
        <v>7</v>
      </c>
      <c r="I355" s="131">
        <f>INDEX('Base de données Mono'!K:K,MATCH(B355,'Base de données Mono'!D:D,0))</f>
        <v>0.25</v>
      </c>
      <c r="J355" s="131">
        <f>INDEX('Base de données Mono'!L:L,MATCH(B355,'Base de données Mono'!D:D,0))</f>
        <v>0.95833333333333337</v>
      </c>
      <c r="K355" s="131" t="str">
        <f>INDEX('Base de données Mono'!M:M,MATCH(B355,'Base de données Mono'!D:D,0))</f>
        <v>-</v>
      </c>
      <c r="L355" s="131" t="str">
        <f>INDEX('Base de données Mono'!N:N,MATCH(B355,'Base de données Mono'!D:D,0))</f>
        <v>-</v>
      </c>
      <c r="M355" s="33" t="s">
        <v>46</v>
      </c>
      <c r="N355" s="33">
        <f>IF(AND(E355="Electricité",M355="Hiver"),INDEX('Base de données Mono'!E:E,MATCH(B355,'Base de données Mono'!D:D,0)),IF(AND(E355="Electricité",M355="Mi-saison"),INDEX('Base de données Mono'!F:F,MATCH(B355,'Base de données Mono'!D:D,0)),IF(AND(E355="Electricité",M355="Eté"),INDEX('Base de données Mono'!G:G,MATCH(B355,'Base de données Mono'!D:D,0)),IF(AND(E355="Gaz",M355="Hiver"),INDEX('Base de données Mono'!J:J,MATCH(B355,'Base de données Mono'!D:D,0)),IF(AND(E355="Gaz",M355="Mi-saison"),INDEX('Base de données Mono'!#REF!,MATCH(B355,'Base de données Mono'!D:D,0)),IF(AND(E355="Gaz",M355="Eté"),INDEX('Base de données Mono'!#REF!,MATCH(B355,'Base de données Mono'!D:D,0)),"-"))))))</f>
        <v>10</v>
      </c>
      <c r="O355" s="123">
        <v>45388</v>
      </c>
      <c r="P355" s="123">
        <v>45389</v>
      </c>
      <c r="Q355" s="34">
        <v>15</v>
      </c>
      <c r="R355" s="33">
        <f t="shared" si="38"/>
        <v>5</v>
      </c>
      <c r="S355" s="34">
        <v>7</v>
      </c>
      <c r="T355" s="34">
        <f t="shared" si="39"/>
        <v>1</v>
      </c>
      <c r="U355" s="33">
        <f t="shared" si="40"/>
        <v>35</v>
      </c>
      <c r="V355" s="38" t="s">
        <v>827</v>
      </c>
      <c r="W355" s="39">
        <f t="shared" si="41"/>
        <v>0.5</v>
      </c>
      <c r="X355" s="40" t="s">
        <v>304</v>
      </c>
      <c r="Y355" s="40" t="s">
        <v>283</v>
      </c>
      <c r="Z355" s="40" t="s">
        <v>749</v>
      </c>
      <c r="AA355" s="33" t="s">
        <v>749</v>
      </c>
      <c r="AB355" s="95"/>
      <c r="AC355" s="95"/>
    </row>
    <row r="356" spans="1:29" ht="14.45" hidden="1" customHeight="1" x14ac:dyDescent="0.25">
      <c r="A356" s="36" t="str">
        <f>INDEX('Base de données Mono'!C:C,MATCH(B356,'Base de données Mono'!D:D,0))</f>
        <v>GRASSE</v>
      </c>
      <c r="B356" t="s">
        <v>16</v>
      </c>
      <c r="C356" s="36" t="str">
        <f>INDEX('Base de données Mono'!B:B,MATCH(B356,'Base de données Mono'!D:D,0))</f>
        <v>SES8</v>
      </c>
      <c r="D356" s="36" t="str">
        <f>INDEX('Base de données Mono'!A:A,MATCH(B356,'Base de données Mono'!D:D,0))</f>
        <v>JG</v>
      </c>
      <c r="E356" s="37" t="s">
        <v>303</v>
      </c>
      <c r="F356" s="41">
        <f t="shared" si="36"/>
        <v>14</v>
      </c>
      <c r="G356" s="41">
        <f t="shared" si="37"/>
        <v>4</v>
      </c>
      <c r="H356">
        <v>9</v>
      </c>
      <c r="I356" s="131">
        <f>INDEX('Base de données Mono'!K:K,MATCH(B356,'Base de données Mono'!D:D,0))</f>
        <v>0.20833333333333334</v>
      </c>
      <c r="J356" s="131">
        <f>INDEX('Base de données Mono'!L:L,MATCH(B356,'Base de données Mono'!D:D,0))</f>
        <v>0.83333333333333337</v>
      </c>
      <c r="K356" s="131" t="str">
        <f>INDEX('Base de données Mono'!M:M,MATCH(B356,'Base de données Mono'!D:D,0))</f>
        <v>-</v>
      </c>
      <c r="L356" s="131" t="str">
        <f>INDEX('Base de données Mono'!N:N,MATCH(B356,'Base de données Mono'!D:D,0))</f>
        <v>-</v>
      </c>
      <c r="M356" s="33" t="s">
        <v>46</v>
      </c>
      <c r="N356" s="33">
        <f>IF(AND(E356="Electricité",M356="Hiver"),INDEX('Base de données Mono'!E:E,MATCH(B356,'Base de données Mono'!D:D,0)),IF(AND(E356="Electricité",M356="Mi-saison"),INDEX('Base de données Mono'!F:F,MATCH(B356,'Base de données Mono'!D:D,0)),IF(AND(E356="Electricité",M356="Eté"),INDEX('Base de données Mono'!G:G,MATCH(B356,'Base de données Mono'!D:D,0)),IF(AND(E356="Gaz",M356="Hiver"),INDEX('Base de données Mono'!J:J,MATCH(B356,'Base de données Mono'!D:D,0)),IF(AND(E356="Gaz",M356="Mi-saison"),INDEX('Base de données Mono'!#REF!,MATCH(B356,'Base de données Mono'!D:D,0)),IF(AND(E356="Gaz",M356="Eté"),INDEX('Base de données Mono'!#REF!,MATCH(B356,'Base de données Mono'!D:D,0)),"-"))))))</f>
        <v>55</v>
      </c>
      <c r="O356" s="123">
        <v>45383</v>
      </c>
      <c r="P356" s="123">
        <v>45389</v>
      </c>
      <c r="Q356" s="34">
        <v>60</v>
      </c>
      <c r="R356" s="33">
        <f t="shared" si="38"/>
        <v>5</v>
      </c>
      <c r="S356" s="34">
        <v>9</v>
      </c>
      <c r="T356" s="34">
        <f t="shared" si="39"/>
        <v>6</v>
      </c>
      <c r="U356" s="33">
        <f t="shared" si="40"/>
        <v>270</v>
      </c>
      <c r="V356" s="38" t="s">
        <v>827</v>
      </c>
      <c r="W356" s="39">
        <f t="shared" si="41"/>
        <v>9.0909090909090912E-2</v>
      </c>
      <c r="X356" s="40" t="s">
        <v>304</v>
      </c>
      <c r="Y356" s="40" t="s">
        <v>284</v>
      </c>
      <c r="Z356" s="40" t="s">
        <v>305</v>
      </c>
      <c r="AA356" s="33" t="s">
        <v>771</v>
      </c>
      <c r="AB356" s="95"/>
      <c r="AC356" s="95"/>
    </row>
    <row r="357" spans="1:29" ht="14.45" hidden="1" customHeight="1" x14ac:dyDescent="0.25">
      <c r="A357" s="36" t="str">
        <f>INDEX('Base de données Mono'!C:C,MATCH(B357,'Base de données Mono'!D:D,0))</f>
        <v>GRASSE</v>
      </c>
      <c r="B357" t="s">
        <v>16</v>
      </c>
      <c r="C357" s="36" t="str">
        <f>INDEX('Base de données Mono'!B:B,MATCH(B357,'Base de données Mono'!D:D,0))</f>
        <v>SES8</v>
      </c>
      <c r="D357" s="36" t="str">
        <f>INDEX('Base de données Mono'!A:A,MATCH(B357,'Base de données Mono'!D:D,0))</f>
        <v>JG</v>
      </c>
      <c r="E357" s="37" t="s">
        <v>303</v>
      </c>
      <c r="F357" s="41">
        <f>IF(O357="","-",IF(AND(X357="Nuit",WEEKDAY(O357,2)=7,O357&lt;&gt;P357),WEEKNUM(O357,2),WEEKNUM(O357,2)-1))+1</f>
        <v>14</v>
      </c>
      <c r="G357" s="41">
        <f>IF(O357="","-",MONTH(O357))</f>
        <v>4</v>
      </c>
      <c r="H357">
        <v>9</v>
      </c>
      <c r="I357" s="131">
        <f>INDEX('Base de données Mono'!K:K,MATCH(B357,'Base de données Mono'!D:D,0))</f>
        <v>0.20833333333333334</v>
      </c>
      <c r="J357" s="131">
        <f>INDEX('Base de données Mono'!L:L,MATCH(B357,'Base de données Mono'!D:D,0))</f>
        <v>0.83333333333333337</v>
      </c>
      <c r="K357" s="131" t="str">
        <f>INDEX('Base de données Mono'!M:M,MATCH(B357,'Base de données Mono'!D:D,0))</f>
        <v>-</v>
      </c>
      <c r="L357" s="131" t="str">
        <f>INDEX('Base de données Mono'!N:N,MATCH(B357,'Base de données Mono'!D:D,0))</f>
        <v>-</v>
      </c>
      <c r="M357" s="33" t="s">
        <v>46</v>
      </c>
      <c r="N357" s="33">
        <f>IF(AND(E357="Electricité",M357="Hiver"),INDEX('Base de données Mono'!E:E,MATCH(B357,'Base de données Mono'!D:D,0)),IF(AND(E357="Electricité",M357="Mi-saison"),INDEX('Base de données Mono'!F:F,MATCH(B357,'Base de données Mono'!D:D,0)),IF(AND(E357="Electricité",M357="Eté"),INDEX('Base de données Mono'!G:G,MATCH(B357,'Base de données Mono'!D:D,0)),IF(AND(E357="Gaz",M357="Hiver"),INDEX('Base de données Mono'!J:J,MATCH(B357,'Base de données Mono'!D:D,0)),IF(AND(E357="Gaz",M357="Mi-saison"),INDEX('Base de données Mono'!#REF!,MATCH(B357,'Base de données Mono'!D:D,0)),IF(AND(E357="Gaz",M357="Eté"),INDEX('Base de données Mono'!#REF!,MATCH(B357,'Base de données Mono'!D:D,0)),"-"))))))</f>
        <v>55</v>
      </c>
      <c r="O357" s="123">
        <v>45389</v>
      </c>
      <c r="P357" s="123">
        <v>45389</v>
      </c>
      <c r="Q357" s="34">
        <v>95</v>
      </c>
      <c r="R357" s="33">
        <f>IF(Q357="","",Q357-N357)</f>
        <v>40</v>
      </c>
      <c r="S357" s="34">
        <v>7.5</v>
      </c>
      <c r="T357" s="34">
        <v>1</v>
      </c>
      <c r="U357" s="33">
        <f>R357*S357*T357</f>
        <v>300</v>
      </c>
      <c r="V357" s="38" t="s">
        <v>827</v>
      </c>
      <c r="W357" s="39">
        <f>IFERROR(IF(E357="Gaz","-",R357/N357),"-")</f>
        <v>0.72727272727272729</v>
      </c>
      <c r="X357" s="40" t="s">
        <v>730</v>
      </c>
      <c r="Y357" s="40" t="s">
        <v>283</v>
      </c>
      <c r="Z357" s="40"/>
      <c r="AA357" s="33"/>
      <c r="AB357" s="95"/>
      <c r="AC357" s="95"/>
    </row>
    <row r="358" spans="1:29" ht="14.45" hidden="1" customHeight="1" x14ac:dyDescent="0.25">
      <c r="A358" s="36" t="str">
        <f>INDEX('Base de données Mono'!C:C,MATCH(B358,'Base de données Mono'!D:D,0))</f>
        <v>GRASSE</v>
      </c>
      <c r="B358" t="s">
        <v>16</v>
      </c>
      <c r="C358" s="36" t="str">
        <f>INDEX('Base de données Mono'!B:B,MATCH(B358,'Base de données Mono'!D:D,0))</f>
        <v>SES8</v>
      </c>
      <c r="D358" s="36" t="str">
        <f>INDEX('Base de données Mono'!A:A,MATCH(B358,'Base de données Mono'!D:D,0))</f>
        <v>JG</v>
      </c>
      <c r="E358" s="37" t="s">
        <v>303</v>
      </c>
      <c r="F358" s="41">
        <f t="shared" si="36"/>
        <v>14</v>
      </c>
      <c r="G358" s="41">
        <f t="shared" si="37"/>
        <v>4</v>
      </c>
      <c r="H358">
        <v>9</v>
      </c>
      <c r="I358" s="131">
        <f>INDEX('Base de données Mono'!K:K,MATCH(B358,'Base de données Mono'!D:D,0))</f>
        <v>0.20833333333333334</v>
      </c>
      <c r="J358" s="131">
        <f>INDEX('Base de données Mono'!L:L,MATCH(B358,'Base de données Mono'!D:D,0))</f>
        <v>0.83333333333333337</v>
      </c>
      <c r="K358" s="131" t="str">
        <f>INDEX('Base de données Mono'!M:M,MATCH(B358,'Base de données Mono'!D:D,0))</f>
        <v>-</v>
      </c>
      <c r="L358" s="131" t="str">
        <f>INDEX('Base de données Mono'!N:N,MATCH(B358,'Base de données Mono'!D:D,0))</f>
        <v>-</v>
      </c>
      <c r="M358" s="33" t="s">
        <v>46</v>
      </c>
      <c r="N358" s="33">
        <f>IF(AND(E358="Electricité",M358="Hiver"),INDEX('Base de données Mono'!E:E,MATCH(B358,'Base de données Mono'!D:D,0)),IF(AND(E358="Electricité",M358="Mi-saison"),INDEX('Base de données Mono'!F:F,MATCH(B358,'Base de données Mono'!D:D,0)),IF(AND(E358="Electricité",M358="Eté"),INDEX('Base de données Mono'!G:G,MATCH(B358,'Base de données Mono'!D:D,0)),IF(AND(E358="Gaz",M358="Hiver"),INDEX('Base de données Mono'!J:J,MATCH(B358,'Base de données Mono'!D:D,0)),IF(AND(E358="Gaz",M358="Mi-saison"),INDEX('Base de données Mono'!#REF!,MATCH(B358,'Base de données Mono'!D:D,0)),IF(AND(E358="Gaz",M358="Eté"),INDEX('Base de données Mono'!#REF!,MATCH(B358,'Base de données Mono'!D:D,0)),"-"))))))</f>
        <v>55</v>
      </c>
      <c r="O358" s="123">
        <v>45389</v>
      </c>
      <c r="P358" s="123">
        <v>45389</v>
      </c>
      <c r="Q358" s="34">
        <v>60</v>
      </c>
      <c r="R358" s="33">
        <f t="shared" si="38"/>
        <v>5</v>
      </c>
      <c r="S358" s="34">
        <v>7.5</v>
      </c>
      <c r="T358" s="34">
        <v>1</v>
      </c>
      <c r="U358" s="33">
        <f t="shared" si="40"/>
        <v>37.5</v>
      </c>
      <c r="V358" s="38" t="s">
        <v>827</v>
      </c>
      <c r="W358" s="39">
        <f t="shared" si="41"/>
        <v>9.0909090909090912E-2</v>
      </c>
      <c r="X358" s="40" t="s">
        <v>730</v>
      </c>
      <c r="Y358" s="40" t="s">
        <v>284</v>
      </c>
      <c r="Z358" s="40" t="s">
        <v>305</v>
      </c>
      <c r="AA358" s="33" t="s">
        <v>771</v>
      </c>
      <c r="AB358" s="95"/>
      <c r="AC358" s="95"/>
    </row>
    <row r="359" spans="1:29" ht="14.45" hidden="1" customHeight="1" x14ac:dyDescent="0.25">
      <c r="A359" s="36" t="str">
        <f>INDEX('Base de données Mono'!C:C,MATCH(B359,'Base de données Mono'!D:D,0))</f>
        <v>ARCUEIL</v>
      </c>
      <c r="B359" t="s">
        <v>63</v>
      </c>
      <c r="C359" s="36" t="str">
        <f>INDEX('Base de données Mono'!B:B,MATCH(B359,'Base de données Mono'!D:D,0))</f>
        <v>SES8</v>
      </c>
      <c r="D359" s="36" t="str">
        <f>INDEX('Base de données Mono'!A:A,MATCH(B359,'Base de données Mono'!D:D,0))</f>
        <v>JG</v>
      </c>
      <c r="E359" s="37" t="s">
        <v>303</v>
      </c>
      <c r="F359" s="41">
        <f>IF(O359="","-",IF(AND(X359="Nuit",WEEKDAY(O359,2)=7,O359&lt;&gt;P359),WEEKNUM(O359,2),WEEKNUM(O359,2)-1))+1</f>
        <v>14</v>
      </c>
      <c r="G359" s="41">
        <f>IF(O359="","-",MONTH(O359))</f>
        <v>4</v>
      </c>
      <c r="H359">
        <v>8.5</v>
      </c>
      <c r="I359" s="131">
        <f>INDEX('Base de données Mono'!K:K,MATCH(B359,'Base de données Mono'!D:D,0))</f>
        <v>0.1875</v>
      </c>
      <c r="J359" s="131">
        <f>INDEX('Base de données Mono'!L:L,MATCH(B359,'Base de données Mono'!D:D,0))</f>
        <v>0.83333333333333337</v>
      </c>
      <c r="K359" s="131">
        <f>INDEX('Base de données Mono'!M:M,MATCH(B359,'Base de données Mono'!D:D,0))</f>
        <v>0.24305555555555555</v>
      </c>
      <c r="L359" s="131">
        <f>INDEX('Base de données Mono'!N:N,MATCH(B359,'Base de données Mono'!D:D,0))</f>
        <v>0.54166666666666696</v>
      </c>
      <c r="M359" s="33" t="s">
        <v>46</v>
      </c>
      <c r="N359" s="33">
        <f>IF(AND(E359="Electricité",M359="Hiver"),INDEX('Base de données Mono'!E:E,MATCH(B359,'Base de données Mono'!D:D,0)),IF(AND(E359="Electricité",M359="Mi-saison"),INDEX('Base de données Mono'!F:F,MATCH(B359,'Base de données Mono'!D:D,0)),IF(AND(E359="Electricité",M359="Eté"),INDEX('Base de données Mono'!G:G,MATCH(B359,'Base de données Mono'!D:D,0)),IF(AND(E359="Gaz",M359="Hiver"),INDEX('Base de données Mono'!J:J,MATCH(B359,'Base de données Mono'!D:D,0)),IF(AND(E359="Gaz",M359="Mi-saison"),INDEX('Base de données Mono'!#REF!,MATCH(B359,'Base de données Mono'!D:D,0)),IF(AND(E359="Gaz",M359="Eté"),INDEX('Base de données Mono'!#REF!,MATCH(B359,'Base de données Mono'!D:D,0)),"-"))))))</f>
        <v>80</v>
      </c>
      <c r="O359" s="123">
        <v>45383</v>
      </c>
      <c r="P359" s="123">
        <v>45389</v>
      </c>
      <c r="Q359" s="34">
        <v>120</v>
      </c>
      <c r="R359" s="33">
        <f>IF(Q359="","",Q359-N359)</f>
        <v>40</v>
      </c>
      <c r="S359" s="34">
        <v>0.6</v>
      </c>
      <c r="T359" s="34">
        <f t="shared" si="39"/>
        <v>6</v>
      </c>
      <c r="U359" s="33">
        <f>R359*S359*T359</f>
        <v>144</v>
      </c>
      <c r="V359" s="38" t="s">
        <v>827</v>
      </c>
      <c r="W359" s="39">
        <f>IFERROR(IF(E359="Gaz","-",R359/N359),"-")</f>
        <v>0.5</v>
      </c>
      <c r="X359" s="40" t="s">
        <v>304</v>
      </c>
      <c r="Y359" s="40" t="s">
        <v>284</v>
      </c>
      <c r="Z359" s="40" t="s">
        <v>307</v>
      </c>
      <c r="AA359" s="33" t="s">
        <v>313</v>
      </c>
      <c r="AB359" s="95"/>
      <c r="AC359" s="95"/>
    </row>
    <row r="360" spans="1:29" ht="14.45" hidden="1" customHeight="1" x14ac:dyDescent="0.25">
      <c r="A360" s="36" t="str">
        <f>INDEX('Base de données Mono'!C:C,MATCH(B360,'Base de données Mono'!D:D,0))</f>
        <v>ARCUEIL</v>
      </c>
      <c r="B360" t="s">
        <v>63</v>
      </c>
      <c r="C360" s="36" t="str">
        <f>INDEX('Base de données Mono'!B:B,MATCH(B360,'Base de données Mono'!D:D,0))</f>
        <v>SES8</v>
      </c>
      <c r="D360" s="36" t="str">
        <f>INDEX('Base de données Mono'!A:A,MATCH(B360,'Base de données Mono'!D:D,0))</f>
        <v>JG</v>
      </c>
      <c r="E360" s="37" t="s">
        <v>303</v>
      </c>
      <c r="F360" s="41">
        <f t="shared" si="36"/>
        <v>14</v>
      </c>
      <c r="G360" s="41">
        <f t="shared" si="37"/>
        <v>4</v>
      </c>
      <c r="H360">
        <v>8.5</v>
      </c>
      <c r="I360" s="131">
        <f>INDEX('Base de données Mono'!K:K,MATCH(B360,'Base de données Mono'!D:D,0))</f>
        <v>0.1875</v>
      </c>
      <c r="J360" s="131">
        <f>INDEX('Base de données Mono'!L:L,MATCH(B360,'Base de données Mono'!D:D,0))</f>
        <v>0.83333333333333337</v>
      </c>
      <c r="K360" s="131">
        <f>INDEX('Base de données Mono'!M:M,MATCH(B360,'Base de données Mono'!D:D,0))</f>
        <v>0.24305555555555555</v>
      </c>
      <c r="L360" s="131">
        <f>INDEX('Base de données Mono'!N:N,MATCH(B360,'Base de données Mono'!D:D,0))</f>
        <v>0.54166666666666696</v>
      </c>
      <c r="M360" s="33" t="s">
        <v>46</v>
      </c>
      <c r="N360" s="33">
        <f>IF(AND(E360="Electricité",M360="Hiver"),INDEX('Base de données Mono'!E:E,MATCH(B360,'Base de données Mono'!D:D,0)),IF(AND(E360="Electricité",M360="Mi-saison"),INDEX('Base de données Mono'!F:F,MATCH(B360,'Base de données Mono'!D:D,0)),IF(AND(E360="Electricité",M360="Eté"),INDEX('Base de données Mono'!G:G,MATCH(B360,'Base de données Mono'!D:D,0)),IF(AND(E360="Gaz",M360="Hiver"),INDEX('Base de données Mono'!J:J,MATCH(B360,'Base de données Mono'!D:D,0)),IF(AND(E360="Gaz",M360="Mi-saison"),INDEX('Base de données Mono'!#REF!,MATCH(B360,'Base de données Mono'!D:D,0)),IF(AND(E360="Gaz",M360="Eté"),INDEX('Base de données Mono'!#REF!,MATCH(B360,'Base de données Mono'!D:D,0)),"-"))))))</f>
        <v>80</v>
      </c>
      <c r="O360" s="123">
        <v>45388</v>
      </c>
      <c r="P360" s="123">
        <v>45389</v>
      </c>
      <c r="Q360" s="34">
        <v>90</v>
      </c>
      <c r="R360" s="33">
        <f t="shared" si="38"/>
        <v>10</v>
      </c>
      <c r="S360" s="34">
        <v>10</v>
      </c>
      <c r="T360" s="34">
        <f t="shared" si="39"/>
        <v>1</v>
      </c>
      <c r="U360" s="33">
        <f t="shared" si="40"/>
        <v>100</v>
      </c>
      <c r="V360" s="38" t="s">
        <v>827</v>
      </c>
      <c r="W360" s="39">
        <f t="shared" si="41"/>
        <v>0.125</v>
      </c>
      <c r="X360" s="40" t="s">
        <v>304</v>
      </c>
      <c r="Y360" s="40" t="s">
        <v>284</v>
      </c>
      <c r="Z360" s="40" t="s">
        <v>305</v>
      </c>
      <c r="AA360" s="33" t="s">
        <v>771</v>
      </c>
      <c r="AB360" s="95"/>
      <c r="AC360" s="95"/>
    </row>
    <row r="361" spans="1:29" ht="14.45" hidden="1" customHeight="1" x14ac:dyDescent="0.25">
      <c r="A361" s="36" t="str">
        <f>INDEX('Base de données Mono'!C:C,MATCH(B361,'Base de données Mono'!D:D,0))</f>
        <v>TOURS NATIONALE</v>
      </c>
      <c r="B361" t="s">
        <v>37</v>
      </c>
      <c r="C361" s="36" t="str">
        <f>INDEX('Base de données Mono'!B:B,MATCH(B361,'Base de données Mono'!D:D,0))</f>
        <v>SES8</v>
      </c>
      <c r="D361" s="36" t="str">
        <f>INDEX('Base de données Mono'!A:A,MATCH(B361,'Base de données Mono'!D:D,0))</f>
        <v>AD</v>
      </c>
      <c r="E361" s="37" t="s">
        <v>303</v>
      </c>
      <c r="F361" s="41">
        <f t="shared" si="36"/>
        <v>14</v>
      </c>
      <c r="G361" s="41">
        <f t="shared" si="37"/>
        <v>4</v>
      </c>
      <c r="H361">
        <v>8.25</v>
      </c>
      <c r="I361" s="131">
        <f>INDEX('Base de données Mono'!K:K,MATCH(B361,'Base de données Mono'!D:D,0))</f>
        <v>0.22916666666666666</v>
      </c>
      <c r="J361" s="131">
        <f>INDEX('Base de données Mono'!L:L,MATCH(B361,'Base de données Mono'!D:D,0))</f>
        <v>0.88541666666666663</v>
      </c>
      <c r="K361" s="131">
        <f>INDEX('Base de données Mono'!M:M,MATCH(B361,'Base de données Mono'!D:D,0))</f>
        <v>0.31944444444444448</v>
      </c>
      <c r="L361" s="131">
        <f>INDEX('Base de données Mono'!N:N,MATCH(B361,'Base de données Mono'!D:D,0))</f>
        <v>0.55208333333333337</v>
      </c>
      <c r="M361" s="33" t="s">
        <v>46</v>
      </c>
      <c r="N361" s="33">
        <f>IF(AND(E361="Electricité",M361="Hiver"),INDEX('Base de données Mono'!E:E,MATCH(B361,'Base de données Mono'!D:D,0)),IF(AND(E361="Electricité",M361="Mi-saison"),INDEX('Base de données Mono'!F:F,MATCH(B361,'Base de données Mono'!D:D,0)),IF(AND(E361="Electricité",M361="Eté"),INDEX('Base de données Mono'!G:G,MATCH(B361,'Base de données Mono'!D:D,0)),IF(AND(E361="Gaz",M361="Hiver"),INDEX('Base de données Mono'!J:J,MATCH(B361,'Base de données Mono'!D:D,0)),IF(AND(E361="Gaz",M361="Mi-saison"),INDEX('Base de données Mono'!#REF!,MATCH(B361,'Base de données Mono'!D:D,0)),IF(AND(E361="Gaz",M361="Eté"),INDEX('Base de données Mono'!#REF!,MATCH(B361,'Base de données Mono'!D:D,0)),"-"))))))</f>
        <v>50</v>
      </c>
      <c r="O361" s="123">
        <v>45383</v>
      </c>
      <c r="P361" s="123">
        <v>45389</v>
      </c>
      <c r="Q361" s="34">
        <v>60</v>
      </c>
      <c r="R361" s="33">
        <f t="shared" si="38"/>
        <v>10</v>
      </c>
      <c r="S361" s="34">
        <v>7.2</v>
      </c>
      <c r="T361" s="34">
        <f t="shared" si="39"/>
        <v>6</v>
      </c>
      <c r="U361" s="33">
        <f t="shared" si="40"/>
        <v>432</v>
      </c>
      <c r="V361" s="38" t="s">
        <v>827</v>
      </c>
      <c r="W361" s="39">
        <f t="shared" si="41"/>
        <v>0.2</v>
      </c>
      <c r="X361" s="40" t="s">
        <v>304</v>
      </c>
      <c r="Y361" s="40" t="s">
        <v>284</v>
      </c>
      <c r="Z361" s="40" t="s">
        <v>305</v>
      </c>
      <c r="AA361" s="33" t="s">
        <v>771</v>
      </c>
      <c r="AB361" s="95"/>
      <c r="AC361" s="95"/>
    </row>
    <row r="362" spans="1:29" ht="14.45" hidden="1" customHeight="1" x14ac:dyDescent="0.25">
      <c r="A362" s="36" t="str">
        <f>INDEX('Base de données Mono'!C:C,MATCH(B362,'Base de données Mono'!D:D,0))</f>
        <v>TOURS NATIONALE</v>
      </c>
      <c r="B362" t="s">
        <v>37</v>
      </c>
      <c r="C362" s="36" t="str">
        <f>INDEX('Base de données Mono'!B:B,MATCH(B362,'Base de données Mono'!D:D,0))</f>
        <v>SES8</v>
      </c>
      <c r="D362" s="36" t="str">
        <f>INDEX('Base de données Mono'!A:A,MATCH(B362,'Base de données Mono'!D:D,0))</f>
        <v>AD</v>
      </c>
      <c r="E362" s="37" t="s">
        <v>303</v>
      </c>
      <c r="F362" s="41">
        <f t="shared" si="36"/>
        <v>14</v>
      </c>
      <c r="G362" s="41">
        <f t="shared" si="37"/>
        <v>4</v>
      </c>
      <c r="H362">
        <v>8.25</v>
      </c>
      <c r="I362" s="131">
        <f>INDEX('Base de données Mono'!K:K,MATCH(B362,'Base de données Mono'!D:D,0))</f>
        <v>0.22916666666666666</v>
      </c>
      <c r="J362" s="131">
        <f>INDEX('Base de données Mono'!L:L,MATCH(B362,'Base de données Mono'!D:D,0))</f>
        <v>0.88541666666666663</v>
      </c>
      <c r="K362" s="131">
        <f>INDEX('Base de données Mono'!M:M,MATCH(B362,'Base de données Mono'!D:D,0))</f>
        <v>0.31944444444444448</v>
      </c>
      <c r="L362" s="131">
        <f>INDEX('Base de données Mono'!N:N,MATCH(B362,'Base de données Mono'!D:D,0))</f>
        <v>0.55208333333333337</v>
      </c>
      <c r="M362" s="33" t="s">
        <v>46</v>
      </c>
      <c r="N362" s="33">
        <f>IF(AND(E362="Electricité",M362="Hiver"),INDEX('Base de données Mono'!E:E,MATCH(B362,'Base de données Mono'!D:D,0)),IF(AND(E362="Electricité",M362="Mi-saison"),INDEX('Base de données Mono'!F:F,MATCH(B362,'Base de données Mono'!D:D,0)),IF(AND(E362="Electricité",M362="Eté"),INDEX('Base de données Mono'!G:G,MATCH(B362,'Base de données Mono'!D:D,0)),IF(AND(E362="Gaz",M362="Hiver"),INDEX('Base de données Mono'!J:J,MATCH(B362,'Base de données Mono'!D:D,0)),IF(AND(E362="Gaz",M362="Mi-saison"),INDEX('Base de données Mono'!#REF!,MATCH(B362,'Base de données Mono'!D:D,0)),IF(AND(E362="Gaz",M362="Eté"),INDEX('Base de données Mono'!#REF!,MATCH(B362,'Base de données Mono'!D:D,0)),"-"))))))</f>
        <v>50</v>
      </c>
      <c r="O362" s="123">
        <v>45383</v>
      </c>
      <c r="P362" s="123">
        <v>45388</v>
      </c>
      <c r="Q362" s="34">
        <v>75</v>
      </c>
      <c r="R362" s="33">
        <f t="shared" si="38"/>
        <v>25</v>
      </c>
      <c r="S362" s="34">
        <v>1</v>
      </c>
      <c r="T362" s="34">
        <f t="shared" si="39"/>
        <v>5</v>
      </c>
      <c r="U362" s="33">
        <f t="shared" si="40"/>
        <v>125</v>
      </c>
      <c r="V362" s="38" t="s">
        <v>827</v>
      </c>
      <c r="W362" s="39">
        <f t="shared" si="41"/>
        <v>0.5</v>
      </c>
      <c r="X362" s="40" t="s">
        <v>304</v>
      </c>
      <c r="Y362" s="40" t="s">
        <v>284</v>
      </c>
      <c r="Z362" s="40" t="s">
        <v>305</v>
      </c>
      <c r="AA362" s="33" t="s">
        <v>771</v>
      </c>
      <c r="AB362" s="95"/>
      <c r="AC362" s="95" t="s">
        <v>845</v>
      </c>
    </row>
    <row r="363" spans="1:29" ht="14.45" hidden="1" customHeight="1" x14ac:dyDescent="0.25">
      <c r="A363" s="36" t="str">
        <f>INDEX('Base de données Mono'!C:C,MATCH(B363,'Base de données Mono'!D:D,0))</f>
        <v>TOURS NATIONALE</v>
      </c>
      <c r="B363" t="s">
        <v>37</v>
      </c>
      <c r="C363" s="36" t="str">
        <f>INDEX('Base de données Mono'!B:B,MATCH(B363,'Base de données Mono'!D:D,0))</f>
        <v>SES8</v>
      </c>
      <c r="D363" s="36" t="str">
        <f>INDEX('Base de données Mono'!A:A,MATCH(B363,'Base de données Mono'!D:D,0))</f>
        <v>AD</v>
      </c>
      <c r="E363" s="37" t="s">
        <v>303</v>
      </c>
      <c r="F363" s="41">
        <f t="shared" si="36"/>
        <v>14</v>
      </c>
      <c r="G363" s="41">
        <f t="shared" si="37"/>
        <v>4</v>
      </c>
      <c r="H363">
        <v>8.25</v>
      </c>
      <c r="I363" s="131">
        <f>INDEX('Base de données Mono'!K:K,MATCH(B363,'Base de données Mono'!D:D,0))</f>
        <v>0.22916666666666666</v>
      </c>
      <c r="J363" s="131">
        <f>INDEX('Base de données Mono'!L:L,MATCH(B363,'Base de données Mono'!D:D,0))</f>
        <v>0.88541666666666663</v>
      </c>
      <c r="K363" s="131">
        <f>INDEX('Base de données Mono'!M:M,MATCH(B363,'Base de données Mono'!D:D,0))</f>
        <v>0.31944444444444448</v>
      </c>
      <c r="L363" s="131">
        <f>INDEX('Base de données Mono'!N:N,MATCH(B363,'Base de données Mono'!D:D,0))</f>
        <v>0.55208333333333337</v>
      </c>
      <c r="M363" s="33" t="s">
        <v>46</v>
      </c>
      <c r="N363" s="33">
        <f>IF(AND(E363="Electricité",M363="Hiver"),INDEX('Base de données Mono'!E:E,MATCH(B363,'Base de données Mono'!D:D,0)),IF(AND(E363="Electricité",M363="Mi-saison"),INDEX('Base de données Mono'!F:F,MATCH(B363,'Base de données Mono'!D:D,0)),IF(AND(E363="Electricité",M363="Eté"),INDEX('Base de données Mono'!G:G,MATCH(B363,'Base de données Mono'!D:D,0)),IF(AND(E363="Gaz",M363="Hiver"),INDEX('Base de données Mono'!J:J,MATCH(B363,'Base de données Mono'!D:D,0)),IF(AND(E363="Gaz",M363="Mi-saison"),INDEX('Base de données Mono'!#REF!,MATCH(B363,'Base de données Mono'!D:D,0)),IF(AND(E363="Gaz",M363="Eté"),INDEX('Base de données Mono'!#REF!,MATCH(B363,'Base de données Mono'!D:D,0)),"-"))))))</f>
        <v>50</v>
      </c>
      <c r="O363" s="123">
        <v>45388</v>
      </c>
      <c r="P363" s="123">
        <v>45389</v>
      </c>
      <c r="Q363" s="34">
        <v>70</v>
      </c>
      <c r="R363" s="33">
        <f t="shared" si="38"/>
        <v>20</v>
      </c>
      <c r="S363" s="34">
        <v>3</v>
      </c>
      <c r="T363" s="34">
        <f t="shared" si="39"/>
        <v>1</v>
      </c>
      <c r="U363" s="33">
        <f t="shared" si="40"/>
        <v>60</v>
      </c>
      <c r="V363" s="38" t="s">
        <v>827</v>
      </c>
      <c r="W363" s="39">
        <f t="shared" si="41"/>
        <v>0.4</v>
      </c>
      <c r="X363" s="40" t="s">
        <v>304</v>
      </c>
      <c r="Y363" s="40" t="s">
        <v>284</v>
      </c>
      <c r="Z363" s="40" t="s">
        <v>305</v>
      </c>
      <c r="AA363" s="33" t="s">
        <v>771</v>
      </c>
      <c r="AB363" s="95"/>
      <c r="AC363" s="95"/>
    </row>
    <row r="364" spans="1:29" ht="14.45" hidden="1" customHeight="1" x14ac:dyDescent="0.25">
      <c r="A364" s="36" t="str">
        <f>INDEX('Base de données Mono'!C:C,MATCH(B364,'Base de données Mono'!D:D,0))</f>
        <v>TOURS NATIONALE</v>
      </c>
      <c r="B364" t="s">
        <v>37</v>
      </c>
      <c r="C364" s="36" t="str">
        <f>INDEX('Base de données Mono'!B:B,MATCH(B364,'Base de données Mono'!D:D,0))</f>
        <v>SES8</v>
      </c>
      <c r="D364" s="36" t="str">
        <f>INDEX('Base de données Mono'!A:A,MATCH(B364,'Base de données Mono'!D:D,0))</f>
        <v>AD</v>
      </c>
      <c r="E364" s="37" t="s">
        <v>303</v>
      </c>
      <c r="F364" s="41">
        <f t="shared" si="36"/>
        <v>14</v>
      </c>
      <c r="G364" s="41">
        <f t="shared" si="37"/>
        <v>4</v>
      </c>
      <c r="H364">
        <v>8.25</v>
      </c>
      <c r="I364" s="131">
        <f>INDEX('Base de données Mono'!K:K,MATCH(B364,'Base de données Mono'!D:D,0))</f>
        <v>0.22916666666666666</v>
      </c>
      <c r="J364" s="131">
        <f>INDEX('Base de données Mono'!L:L,MATCH(B364,'Base de données Mono'!D:D,0))</f>
        <v>0.88541666666666663</v>
      </c>
      <c r="K364" s="131">
        <f>INDEX('Base de données Mono'!M:M,MATCH(B364,'Base de données Mono'!D:D,0))</f>
        <v>0.31944444444444448</v>
      </c>
      <c r="L364" s="131">
        <f>INDEX('Base de données Mono'!N:N,MATCH(B364,'Base de données Mono'!D:D,0))</f>
        <v>0.55208333333333337</v>
      </c>
      <c r="M364" s="33" t="s">
        <v>46</v>
      </c>
      <c r="N364" s="33">
        <f>IF(AND(E364="Electricité",M364="Hiver"),INDEX('Base de données Mono'!E:E,MATCH(B364,'Base de données Mono'!D:D,0)),IF(AND(E364="Electricité",M364="Mi-saison"),INDEX('Base de données Mono'!F:F,MATCH(B364,'Base de données Mono'!D:D,0)),IF(AND(E364="Electricité",M364="Eté"),INDEX('Base de données Mono'!G:G,MATCH(B364,'Base de données Mono'!D:D,0)),IF(AND(E364="Gaz",M364="Hiver"),INDEX('Base de données Mono'!J:J,MATCH(B364,'Base de données Mono'!D:D,0)),IF(AND(E364="Gaz",M364="Mi-saison"),INDEX('Base de données Mono'!#REF!,MATCH(B364,'Base de données Mono'!D:D,0)),IF(AND(E364="Gaz",M364="Eté"),INDEX('Base de données Mono'!#REF!,MATCH(B364,'Base de données Mono'!D:D,0)),"-"))))))</f>
        <v>50</v>
      </c>
      <c r="O364" s="123">
        <v>45389</v>
      </c>
      <c r="P364" s="123">
        <v>45389</v>
      </c>
      <c r="Q364" s="34">
        <v>95</v>
      </c>
      <c r="R364" s="33">
        <f t="shared" si="38"/>
        <v>45</v>
      </c>
      <c r="S364" s="34">
        <v>5.7</v>
      </c>
      <c r="T364" s="34">
        <v>1</v>
      </c>
      <c r="U364" s="33">
        <f t="shared" si="40"/>
        <v>256.5</v>
      </c>
      <c r="V364" s="38" t="s">
        <v>827</v>
      </c>
      <c r="W364" s="39">
        <f t="shared" si="41"/>
        <v>0.9</v>
      </c>
      <c r="X364" s="40" t="s">
        <v>730</v>
      </c>
      <c r="Y364" s="40" t="s">
        <v>284</v>
      </c>
      <c r="Z364" s="40" t="s">
        <v>307</v>
      </c>
      <c r="AA364" s="33" t="s">
        <v>308</v>
      </c>
      <c r="AB364" s="95"/>
      <c r="AC364" s="95"/>
    </row>
    <row r="365" spans="1:29" ht="14.45" hidden="1" customHeight="1" x14ac:dyDescent="0.25">
      <c r="A365" s="36" t="str">
        <f>INDEX('Base de données Mono'!C:C,MATCH(B365,'Base de données Mono'!D:D,0))</f>
        <v>ISSY GAMBETTA</v>
      </c>
      <c r="B365" t="s">
        <v>17</v>
      </c>
      <c r="C365" s="36" t="str">
        <f>INDEX('Base de données Mono'!B:B,MATCH(B365,'Base de données Mono'!D:D,0))</f>
        <v>SES8</v>
      </c>
      <c r="D365" s="36" t="str">
        <f>INDEX('Base de données Mono'!A:A,MATCH(B365,'Base de données Mono'!D:D,0))</f>
        <v>AD</v>
      </c>
      <c r="E365" s="37" t="s">
        <v>303</v>
      </c>
      <c r="F365" s="41">
        <f t="shared" si="36"/>
        <v>14</v>
      </c>
      <c r="G365" s="41">
        <f t="shared" si="37"/>
        <v>4</v>
      </c>
      <c r="H365">
        <v>8.25</v>
      </c>
      <c r="I365" s="131">
        <f>INDEX('Base de données Mono'!K:K,MATCH(B365,'Base de données Mono'!D:D,0))</f>
        <v>0.25</v>
      </c>
      <c r="J365" s="131">
        <f>INDEX('Base de données Mono'!L:L,MATCH(B365,'Base de données Mono'!D:D,0))</f>
        <v>0.90625</v>
      </c>
      <c r="K365" s="131">
        <f>INDEX('Base de données Mono'!M:M,MATCH(B365,'Base de données Mono'!D:D,0))</f>
        <v>0.3263888888888889</v>
      </c>
      <c r="L365" s="131">
        <f>INDEX('Base de données Mono'!N:N,MATCH(B365,'Base de données Mono'!D:D,0))</f>
        <v>0.54166666666666663</v>
      </c>
      <c r="M365" s="33" t="s">
        <v>46</v>
      </c>
      <c r="N365" s="33">
        <f>IF(AND(E365="Electricité",M365="Hiver"),INDEX('Base de données Mono'!E:E,MATCH(B365,'Base de données Mono'!D:D,0)),IF(AND(E365="Electricité",M365="Mi-saison"),INDEX('Base de données Mono'!F:F,MATCH(B365,'Base de données Mono'!D:D,0)),IF(AND(E365="Electricité",M365="Eté"),INDEX('Base de données Mono'!G:G,MATCH(B365,'Base de données Mono'!D:D,0)),IF(AND(E365="Gaz",M365="Hiver"),INDEX('Base de données Mono'!J:J,MATCH(B365,'Base de données Mono'!D:D,0)),IF(AND(E365="Gaz",M365="Mi-saison"),INDEX('Base de données Mono'!#REF!,MATCH(B365,'Base de données Mono'!D:D,0)),IF(AND(E365="Gaz",M365="Eté"),INDEX('Base de données Mono'!#REF!,MATCH(B365,'Base de données Mono'!D:D,0)),"-"))))))</f>
        <v>35</v>
      </c>
      <c r="O365" s="123">
        <v>45383</v>
      </c>
      <c r="P365" s="123">
        <v>45388</v>
      </c>
      <c r="Q365" s="34">
        <v>40</v>
      </c>
      <c r="R365" s="33">
        <f t="shared" si="38"/>
        <v>5</v>
      </c>
      <c r="S365" s="34">
        <v>8.1999999999999993</v>
      </c>
      <c r="T365" s="34">
        <f t="shared" si="39"/>
        <v>5</v>
      </c>
      <c r="U365" s="33">
        <f t="shared" si="40"/>
        <v>205</v>
      </c>
      <c r="V365" s="38" t="s">
        <v>827</v>
      </c>
      <c r="W365" s="39">
        <f t="shared" si="41"/>
        <v>0.14285714285714285</v>
      </c>
      <c r="X365" s="40" t="s">
        <v>304</v>
      </c>
      <c r="Y365" s="40" t="s">
        <v>284</v>
      </c>
      <c r="Z365" s="40" t="s">
        <v>305</v>
      </c>
      <c r="AA365" s="33" t="s">
        <v>771</v>
      </c>
      <c r="AB365" s="95"/>
      <c r="AC365" s="95"/>
    </row>
    <row r="366" spans="1:29" ht="14.45" hidden="1" customHeight="1" x14ac:dyDescent="0.25">
      <c r="A366" s="36" t="str">
        <f>INDEX('Base de données Mono'!C:C,MATCH(B366,'Base de données Mono'!D:D,0))</f>
        <v>ISSY GAMBETTA</v>
      </c>
      <c r="B366" t="s">
        <v>17</v>
      </c>
      <c r="C366" s="36" t="str">
        <f>INDEX('Base de données Mono'!B:B,MATCH(B366,'Base de données Mono'!D:D,0))</f>
        <v>SES8</v>
      </c>
      <c r="D366" s="36" t="str">
        <f>INDEX('Base de données Mono'!A:A,MATCH(B366,'Base de données Mono'!D:D,0))</f>
        <v>AD</v>
      </c>
      <c r="E366" s="37" t="s">
        <v>303</v>
      </c>
      <c r="F366" s="41">
        <f t="shared" si="36"/>
        <v>14</v>
      </c>
      <c r="G366" s="41">
        <f t="shared" si="37"/>
        <v>4</v>
      </c>
      <c r="H366">
        <v>8.25</v>
      </c>
      <c r="I366" s="131">
        <f>INDEX('Base de données Mono'!K:K,MATCH(B366,'Base de données Mono'!D:D,0))</f>
        <v>0.25</v>
      </c>
      <c r="J366" s="131">
        <f>INDEX('Base de données Mono'!L:L,MATCH(B366,'Base de données Mono'!D:D,0))</f>
        <v>0.90625</v>
      </c>
      <c r="K366" s="131">
        <f>INDEX('Base de données Mono'!M:M,MATCH(B366,'Base de données Mono'!D:D,0))</f>
        <v>0.3263888888888889</v>
      </c>
      <c r="L366" s="131">
        <f>INDEX('Base de données Mono'!N:N,MATCH(B366,'Base de données Mono'!D:D,0))</f>
        <v>0.54166666666666663</v>
      </c>
      <c r="M366" s="33" t="s">
        <v>46</v>
      </c>
      <c r="N366" s="33">
        <f>IF(AND(E366="Electricité",M366="Hiver"),INDEX('Base de données Mono'!E:E,MATCH(B366,'Base de données Mono'!D:D,0)),IF(AND(E366="Electricité",M366="Mi-saison"),INDEX('Base de données Mono'!F:F,MATCH(B366,'Base de données Mono'!D:D,0)),IF(AND(E366="Electricité",M366="Eté"),INDEX('Base de données Mono'!G:G,MATCH(B366,'Base de données Mono'!D:D,0)),IF(AND(E366="Gaz",M366="Hiver"),INDEX('Base de données Mono'!J:J,MATCH(B366,'Base de données Mono'!D:D,0)),IF(AND(E366="Gaz",M366="Mi-saison"),INDEX('Base de données Mono'!#REF!,MATCH(B366,'Base de données Mono'!D:D,0)),IF(AND(E366="Gaz",M366="Eté"),INDEX('Base de données Mono'!#REF!,MATCH(B366,'Base de données Mono'!D:D,0)),"-"))))))</f>
        <v>35</v>
      </c>
      <c r="O366" s="123">
        <v>45388</v>
      </c>
      <c r="P366" s="123">
        <v>45389</v>
      </c>
      <c r="Q366" s="34">
        <v>40</v>
      </c>
      <c r="R366" s="33">
        <f t="shared" si="38"/>
        <v>5</v>
      </c>
      <c r="S366" s="34">
        <v>8</v>
      </c>
      <c r="T366" s="34">
        <f t="shared" si="39"/>
        <v>1</v>
      </c>
      <c r="U366" s="33">
        <f t="shared" si="40"/>
        <v>40</v>
      </c>
      <c r="V366" s="38" t="s">
        <v>827</v>
      </c>
      <c r="W366" s="39">
        <f t="shared" si="41"/>
        <v>0.14285714285714285</v>
      </c>
      <c r="X366" s="40" t="s">
        <v>304</v>
      </c>
      <c r="Y366" s="40" t="s">
        <v>284</v>
      </c>
      <c r="Z366" s="40" t="s">
        <v>305</v>
      </c>
      <c r="AA366" s="33" t="s">
        <v>771</v>
      </c>
      <c r="AB366" s="95"/>
      <c r="AC366" s="95"/>
    </row>
    <row r="367" spans="1:29" ht="14.45" hidden="1" customHeight="1" x14ac:dyDescent="0.25">
      <c r="A367" s="36" t="str">
        <f>INDEX('Base de données Mono'!C:C,MATCH(B367,'Base de données Mono'!D:D,0))</f>
        <v>ISSY GAMBETTA</v>
      </c>
      <c r="B367" t="s">
        <v>17</v>
      </c>
      <c r="C367" s="36" t="str">
        <f>INDEX('Base de données Mono'!B:B,MATCH(B367,'Base de données Mono'!D:D,0))</f>
        <v>SES8</v>
      </c>
      <c r="D367" s="36" t="str">
        <f>INDEX('Base de données Mono'!A:A,MATCH(B367,'Base de données Mono'!D:D,0))</f>
        <v>AD</v>
      </c>
      <c r="E367" s="37" t="s">
        <v>303</v>
      </c>
      <c r="F367" s="41">
        <f t="shared" si="36"/>
        <v>14</v>
      </c>
      <c r="G367" s="41">
        <f t="shared" si="37"/>
        <v>4</v>
      </c>
      <c r="H367">
        <v>8.25</v>
      </c>
      <c r="I367" s="131">
        <f>INDEX('Base de données Mono'!K:K,MATCH(B367,'Base de données Mono'!D:D,0))</f>
        <v>0.25</v>
      </c>
      <c r="J367" s="131">
        <f>INDEX('Base de données Mono'!L:L,MATCH(B367,'Base de données Mono'!D:D,0))</f>
        <v>0.90625</v>
      </c>
      <c r="K367" s="131">
        <f>INDEX('Base de données Mono'!M:M,MATCH(B367,'Base de données Mono'!D:D,0))</f>
        <v>0.3263888888888889</v>
      </c>
      <c r="L367" s="131">
        <f>INDEX('Base de données Mono'!N:N,MATCH(B367,'Base de données Mono'!D:D,0))</f>
        <v>0.54166666666666663</v>
      </c>
      <c r="M367" s="33" t="s">
        <v>46</v>
      </c>
      <c r="N367" s="33">
        <f>IF(AND(E367="Electricité",M367="Hiver"),INDEX('Base de données Mono'!E:E,MATCH(B367,'Base de données Mono'!D:D,0)),IF(AND(E367="Electricité",M367="Mi-saison"),INDEX('Base de données Mono'!F:F,MATCH(B367,'Base de données Mono'!D:D,0)),IF(AND(E367="Electricité",M367="Eté"),INDEX('Base de données Mono'!G:G,MATCH(B367,'Base de données Mono'!D:D,0)),IF(AND(E367="Gaz",M367="Hiver"),INDEX('Base de données Mono'!J:J,MATCH(B367,'Base de données Mono'!D:D,0)),IF(AND(E367="Gaz",M367="Mi-saison"),INDEX('Base de données Mono'!#REF!,MATCH(B367,'Base de données Mono'!D:D,0)),IF(AND(E367="Gaz",M367="Eté"),INDEX('Base de données Mono'!#REF!,MATCH(B367,'Base de données Mono'!D:D,0)),"-"))))))</f>
        <v>35</v>
      </c>
      <c r="O367" s="123">
        <v>45388</v>
      </c>
      <c r="P367" s="123">
        <v>45389</v>
      </c>
      <c r="Q367" s="34">
        <v>55</v>
      </c>
      <c r="R367" s="33">
        <f t="shared" si="38"/>
        <v>20</v>
      </c>
      <c r="S367" s="34">
        <v>2</v>
      </c>
      <c r="T367" s="34">
        <f t="shared" si="39"/>
        <v>1</v>
      </c>
      <c r="U367" s="33">
        <f t="shared" si="40"/>
        <v>40</v>
      </c>
      <c r="V367" s="38" t="s">
        <v>827</v>
      </c>
      <c r="W367" s="39">
        <f t="shared" si="41"/>
        <v>0.5714285714285714</v>
      </c>
      <c r="X367" s="40" t="s">
        <v>304</v>
      </c>
      <c r="Y367" s="40" t="s">
        <v>284</v>
      </c>
      <c r="Z367" s="40" t="s">
        <v>311</v>
      </c>
      <c r="AA367" s="33" t="s">
        <v>775</v>
      </c>
      <c r="AB367" s="95"/>
      <c r="AC367" s="95" t="s">
        <v>834</v>
      </c>
    </row>
    <row r="368" spans="1:29" ht="14.45" hidden="1" customHeight="1" x14ac:dyDescent="0.25">
      <c r="A368" s="36" t="str">
        <f>INDEX('Base de données Mono'!C:C,MATCH(B368,'Base de données Mono'!D:D,0))</f>
        <v>ISSY GAMBETTA</v>
      </c>
      <c r="B368" t="s">
        <v>17</v>
      </c>
      <c r="C368" s="36" t="str">
        <f>INDEX('Base de données Mono'!B:B,MATCH(B368,'Base de données Mono'!D:D,0))</f>
        <v>SES8</v>
      </c>
      <c r="D368" s="36" t="str">
        <f>INDEX('Base de données Mono'!A:A,MATCH(B368,'Base de données Mono'!D:D,0))</f>
        <v>AD</v>
      </c>
      <c r="E368" s="37" t="s">
        <v>303</v>
      </c>
      <c r="F368" s="41">
        <f t="shared" si="36"/>
        <v>14</v>
      </c>
      <c r="G368" s="41">
        <f t="shared" si="37"/>
        <v>4</v>
      </c>
      <c r="H368">
        <v>8.25</v>
      </c>
      <c r="I368" s="131">
        <f>INDEX('Base de données Mono'!K:K,MATCH(B368,'Base de données Mono'!D:D,0))</f>
        <v>0.25</v>
      </c>
      <c r="J368" s="131">
        <f>INDEX('Base de données Mono'!L:L,MATCH(B368,'Base de données Mono'!D:D,0))</f>
        <v>0.90625</v>
      </c>
      <c r="K368" s="131">
        <f>INDEX('Base de données Mono'!M:M,MATCH(B368,'Base de données Mono'!D:D,0))</f>
        <v>0.3263888888888889</v>
      </c>
      <c r="L368" s="131">
        <f>INDEX('Base de données Mono'!N:N,MATCH(B368,'Base de données Mono'!D:D,0))</f>
        <v>0.54166666666666663</v>
      </c>
      <c r="M368" s="33" t="s">
        <v>46</v>
      </c>
      <c r="N368" s="33">
        <f>IF(AND(E368="Electricité",M368="Hiver"),INDEX('Base de données Mono'!E:E,MATCH(B368,'Base de données Mono'!D:D,0)),IF(AND(E368="Electricité",M368="Mi-saison"),INDEX('Base de données Mono'!F:F,MATCH(B368,'Base de données Mono'!D:D,0)),IF(AND(E368="Electricité",M368="Eté"),INDEX('Base de données Mono'!G:G,MATCH(B368,'Base de données Mono'!D:D,0)),IF(AND(E368="Gaz",M368="Hiver"),INDEX('Base de données Mono'!J:J,MATCH(B368,'Base de données Mono'!D:D,0)),IF(AND(E368="Gaz",M368="Mi-saison"),INDEX('Base de données Mono'!#REF!,MATCH(B368,'Base de données Mono'!D:D,0)),IF(AND(E368="Gaz",M368="Eté"),INDEX('Base de données Mono'!#REF!,MATCH(B368,'Base de données Mono'!D:D,0)),"-"))))))</f>
        <v>35</v>
      </c>
      <c r="O368" s="123">
        <v>45389</v>
      </c>
      <c r="P368" s="123">
        <v>45389</v>
      </c>
      <c r="Q368" s="34">
        <v>55</v>
      </c>
      <c r="R368" s="33">
        <f t="shared" si="38"/>
        <v>20</v>
      </c>
      <c r="S368" s="34">
        <v>7</v>
      </c>
      <c r="T368" s="34">
        <v>1</v>
      </c>
      <c r="U368" s="33">
        <f t="shared" si="40"/>
        <v>140</v>
      </c>
      <c r="V368" s="38" t="s">
        <v>827</v>
      </c>
      <c r="W368" s="39">
        <f t="shared" si="41"/>
        <v>0.5714285714285714</v>
      </c>
      <c r="X368" s="40" t="s">
        <v>730</v>
      </c>
      <c r="Y368" s="40" t="s">
        <v>284</v>
      </c>
      <c r="Z368" s="40" t="s">
        <v>307</v>
      </c>
      <c r="AA368" s="33" t="s">
        <v>308</v>
      </c>
      <c r="AB368" s="95"/>
      <c r="AC368" s="95"/>
    </row>
    <row r="369" spans="1:29" ht="14.45" hidden="1" customHeight="1" x14ac:dyDescent="0.25">
      <c r="A369" s="36" t="str">
        <f>INDEX('Base de données Mono'!C:C,MATCH(B369,'Base de données Mono'!D:D,0))</f>
        <v>ANGERS LES HALLES</v>
      </c>
      <c r="B369" t="s">
        <v>4</v>
      </c>
      <c r="C369" s="36" t="str">
        <f>INDEX('Base de données Mono'!B:B,MATCH(B369,'Base de données Mono'!D:D,0))</f>
        <v>SES8</v>
      </c>
      <c r="D369" s="36" t="str">
        <f>INDEX('Base de données Mono'!A:A,MATCH(B369,'Base de données Mono'!D:D,0))</f>
        <v>AD</v>
      </c>
      <c r="E369" s="37" t="s">
        <v>303</v>
      </c>
      <c r="F369" s="41">
        <f t="shared" si="36"/>
        <v>14</v>
      </c>
      <c r="G369" s="41">
        <f t="shared" si="37"/>
        <v>4</v>
      </c>
      <c r="H369">
        <v>8</v>
      </c>
      <c r="I369" s="131">
        <f>INDEX('Base de données Mono'!K:K,MATCH(B369,'Base de données Mono'!D:D,0))</f>
        <v>0.20833333333333334</v>
      </c>
      <c r="J369" s="131">
        <f>INDEX('Base de données Mono'!L:L,MATCH(B369,'Base de données Mono'!D:D,0))</f>
        <v>0.875</v>
      </c>
      <c r="K369" s="131" t="str">
        <f>INDEX('Base de données Mono'!M:M,MATCH(B369,'Base de données Mono'!D:D,0))</f>
        <v>-</v>
      </c>
      <c r="L369" s="131" t="str">
        <f>INDEX('Base de données Mono'!N:N,MATCH(B369,'Base de données Mono'!D:D,0))</f>
        <v>-</v>
      </c>
      <c r="M369" s="33" t="s">
        <v>46</v>
      </c>
      <c r="N369" s="33">
        <f>IF(AND(E369="Electricité",M369="Hiver"),INDEX('Base de données Mono'!E:E,MATCH(B369,'Base de données Mono'!D:D,0)),IF(AND(E369="Electricité",M369="Mi-saison"),INDEX('Base de données Mono'!F:F,MATCH(B369,'Base de données Mono'!D:D,0)),IF(AND(E369="Electricité",M369="Eté"),INDEX('Base de données Mono'!G:G,MATCH(B369,'Base de données Mono'!D:D,0)),IF(AND(E369="Gaz",M369="Hiver"),INDEX('Base de données Mono'!J:J,MATCH(B369,'Base de données Mono'!D:D,0)),IF(AND(E369="Gaz",M369="Mi-saison"),INDEX('Base de données Mono'!#REF!,MATCH(B369,'Base de données Mono'!D:D,0)),IF(AND(E369="Gaz",M369="Eté"),INDEX('Base de données Mono'!#REF!,MATCH(B369,'Base de données Mono'!D:D,0)),"-"))))))</f>
        <v>60</v>
      </c>
      <c r="O369" s="123">
        <v>45383</v>
      </c>
      <c r="P369" s="123">
        <v>45386</v>
      </c>
      <c r="Q369" s="34">
        <v>70</v>
      </c>
      <c r="R369" s="33">
        <f t="shared" si="38"/>
        <v>10</v>
      </c>
      <c r="S369" s="34">
        <v>8</v>
      </c>
      <c r="T369" s="34">
        <f t="shared" si="39"/>
        <v>3</v>
      </c>
      <c r="U369" s="33">
        <f t="shared" si="40"/>
        <v>240</v>
      </c>
      <c r="V369" s="38" t="s">
        <v>827</v>
      </c>
      <c r="W369" s="39">
        <f t="shared" si="41"/>
        <v>0.16666666666666666</v>
      </c>
      <c r="X369" s="40" t="s">
        <v>304</v>
      </c>
      <c r="Y369" s="40" t="s">
        <v>284</v>
      </c>
      <c r="Z369" s="40" t="s">
        <v>305</v>
      </c>
      <c r="AA369" s="33" t="s">
        <v>771</v>
      </c>
      <c r="AB369" s="95"/>
      <c r="AC369" s="95"/>
    </row>
    <row r="370" spans="1:29" ht="14.45" hidden="1" customHeight="1" x14ac:dyDescent="0.25">
      <c r="A370" s="36" t="str">
        <f>INDEX('Base de données Mono'!C:C,MATCH(B370,'Base de données Mono'!D:D,0))</f>
        <v>ANGERS LES HALLES</v>
      </c>
      <c r="B370" t="s">
        <v>4</v>
      </c>
      <c r="C370" s="36" t="str">
        <f>INDEX('Base de données Mono'!B:B,MATCH(B370,'Base de données Mono'!D:D,0))</f>
        <v>SES8</v>
      </c>
      <c r="D370" s="36" t="str">
        <f>INDEX('Base de données Mono'!A:A,MATCH(B370,'Base de données Mono'!D:D,0))</f>
        <v>AD</v>
      </c>
      <c r="E370" s="37" t="s">
        <v>303</v>
      </c>
      <c r="F370" s="41">
        <f t="shared" si="36"/>
        <v>14</v>
      </c>
      <c r="G370" s="41">
        <f t="shared" si="37"/>
        <v>4</v>
      </c>
      <c r="H370">
        <v>8</v>
      </c>
      <c r="I370" s="131">
        <f>INDEX('Base de données Mono'!K:K,MATCH(B370,'Base de données Mono'!D:D,0))</f>
        <v>0.20833333333333334</v>
      </c>
      <c r="J370" s="131">
        <f>INDEX('Base de données Mono'!L:L,MATCH(B370,'Base de données Mono'!D:D,0))</f>
        <v>0.875</v>
      </c>
      <c r="K370" s="131" t="str">
        <f>INDEX('Base de données Mono'!M:M,MATCH(B370,'Base de données Mono'!D:D,0))</f>
        <v>-</v>
      </c>
      <c r="L370" s="131" t="str">
        <f>INDEX('Base de données Mono'!N:N,MATCH(B370,'Base de données Mono'!D:D,0))</f>
        <v>-</v>
      </c>
      <c r="M370" s="33" t="s">
        <v>46</v>
      </c>
      <c r="N370" s="33">
        <f>IF(AND(E370="Electricité",M370="Hiver"),INDEX('Base de données Mono'!E:E,MATCH(B370,'Base de données Mono'!D:D,0)),IF(AND(E370="Electricité",M370="Mi-saison"),INDEX('Base de données Mono'!F:F,MATCH(B370,'Base de données Mono'!D:D,0)),IF(AND(E370="Electricité",M370="Eté"),INDEX('Base de données Mono'!G:G,MATCH(B370,'Base de données Mono'!D:D,0)),IF(AND(E370="Gaz",M370="Hiver"),INDEX('Base de données Mono'!J:J,MATCH(B370,'Base de données Mono'!D:D,0)),IF(AND(E370="Gaz",M370="Mi-saison"),INDEX('Base de données Mono'!#REF!,MATCH(B370,'Base de données Mono'!D:D,0)),IF(AND(E370="Gaz",M370="Eté"),INDEX('Base de données Mono'!#REF!,MATCH(B370,'Base de données Mono'!D:D,0)),"-"))))))</f>
        <v>60</v>
      </c>
      <c r="O370" s="123">
        <v>45386</v>
      </c>
      <c r="P370" s="123">
        <v>45387</v>
      </c>
      <c r="Q370" s="34">
        <v>105</v>
      </c>
      <c r="R370" s="33">
        <f t="shared" si="38"/>
        <v>45</v>
      </c>
      <c r="S370" s="34">
        <v>0.6</v>
      </c>
      <c r="T370" s="34">
        <f t="shared" si="39"/>
        <v>1</v>
      </c>
      <c r="U370" s="33">
        <f t="shared" si="40"/>
        <v>27</v>
      </c>
      <c r="V370" s="38" t="s">
        <v>827</v>
      </c>
      <c r="W370" s="39">
        <f t="shared" si="41"/>
        <v>0.75</v>
      </c>
      <c r="X370" s="40" t="s">
        <v>304</v>
      </c>
      <c r="Y370" s="40" t="s">
        <v>283</v>
      </c>
      <c r="Z370" s="40" t="s">
        <v>749</v>
      </c>
      <c r="AA370" s="33" t="s">
        <v>749</v>
      </c>
      <c r="AB370" s="95"/>
      <c r="AC370" s="95" t="s">
        <v>830</v>
      </c>
    </row>
    <row r="371" spans="1:29" ht="14.45" hidden="1" customHeight="1" x14ac:dyDescent="0.25">
      <c r="A371" s="36" t="str">
        <f>INDEX('Base de données Mono'!C:C,MATCH(B371,'Base de données Mono'!D:D,0))</f>
        <v>ANGERS LES HALLES</v>
      </c>
      <c r="B371" t="s">
        <v>4</v>
      </c>
      <c r="C371" s="36" t="str">
        <f>INDEX('Base de données Mono'!B:B,MATCH(B371,'Base de données Mono'!D:D,0))</f>
        <v>SES8</v>
      </c>
      <c r="D371" s="36" t="str">
        <f>INDEX('Base de données Mono'!A:A,MATCH(B371,'Base de données Mono'!D:D,0))</f>
        <v>AD</v>
      </c>
      <c r="E371" s="37" t="s">
        <v>303</v>
      </c>
      <c r="F371" s="41">
        <f t="shared" si="36"/>
        <v>14</v>
      </c>
      <c r="G371" s="41">
        <f t="shared" si="37"/>
        <v>4</v>
      </c>
      <c r="H371">
        <v>8</v>
      </c>
      <c r="I371" s="131">
        <f>INDEX('Base de données Mono'!K:K,MATCH(B371,'Base de données Mono'!D:D,0))</f>
        <v>0.20833333333333334</v>
      </c>
      <c r="J371" s="131">
        <f>INDEX('Base de données Mono'!L:L,MATCH(B371,'Base de données Mono'!D:D,0))</f>
        <v>0.875</v>
      </c>
      <c r="K371" s="131" t="str">
        <f>INDEX('Base de données Mono'!M:M,MATCH(B371,'Base de données Mono'!D:D,0))</f>
        <v>-</v>
      </c>
      <c r="L371" s="131" t="str">
        <f>INDEX('Base de données Mono'!N:N,MATCH(B371,'Base de données Mono'!D:D,0))</f>
        <v>-</v>
      </c>
      <c r="M371" s="33" t="s">
        <v>46</v>
      </c>
      <c r="N371" s="33">
        <f>IF(AND(E371="Electricité",M371="Hiver"),INDEX('Base de données Mono'!E:E,MATCH(B371,'Base de données Mono'!D:D,0)),IF(AND(E371="Electricité",M371="Mi-saison"),INDEX('Base de données Mono'!F:F,MATCH(B371,'Base de données Mono'!D:D,0)),IF(AND(E371="Electricité",M371="Eté"),INDEX('Base de données Mono'!G:G,MATCH(B371,'Base de données Mono'!D:D,0)),IF(AND(E371="Gaz",M371="Hiver"),INDEX('Base de données Mono'!J:J,MATCH(B371,'Base de données Mono'!D:D,0)),IF(AND(E371="Gaz",M371="Mi-saison"),INDEX('Base de données Mono'!#REF!,MATCH(B371,'Base de données Mono'!D:D,0)),IF(AND(E371="Gaz",M371="Eté"),INDEX('Base de données Mono'!#REF!,MATCH(B371,'Base de données Mono'!D:D,0)),"-"))))))</f>
        <v>60</v>
      </c>
      <c r="O371" s="123">
        <v>45386</v>
      </c>
      <c r="P371" s="123">
        <v>45387</v>
      </c>
      <c r="Q371" s="34">
        <v>70</v>
      </c>
      <c r="R371" s="33">
        <f t="shared" si="38"/>
        <v>10</v>
      </c>
      <c r="S371" s="34">
        <v>7.4</v>
      </c>
      <c r="T371" s="34">
        <f t="shared" si="39"/>
        <v>1</v>
      </c>
      <c r="U371" s="33">
        <f t="shared" si="40"/>
        <v>74</v>
      </c>
      <c r="V371" s="38" t="s">
        <v>827</v>
      </c>
      <c r="W371" s="39">
        <f t="shared" si="41"/>
        <v>0.16666666666666666</v>
      </c>
      <c r="X371" s="40" t="s">
        <v>304</v>
      </c>
      <c r="Y371" s="40" t="s">
        <v>284</v>
      </c>
      <c r="Z371" s="40" t="s">
        <v>305</v>
      </c>
      <c r="AA371" s="33" t="s">
        <v>771</v>
      </c>
      <c r="AB371" s="95"/>
      <c r="AC371" s="95"/>
    </row>
    <row r="372" spans="1:29" ht="14.45" hidden="1" customHeight="1" x14ac:dyDescent="0.25">
      <c r="A372" s="36" t="str">
        <f>INDEX('Base de données Mono'!C:C,MATCH(B372,'Base de données Mono'!D:D,0))</f>
        <v>ANGERS LES HALLES</v>
      </c>
      <c r="B372" t="s">
        <v>4</v>
      </c>
      <c r="C372" s="36" t="str">
        <f>INDEX('Base de données Mono'!B:B,MATCH(B372,'Base de données Mono'!D:D,0))</f>
        <v>SES8</v>
      </c>
      <c r="D372" s="36" t="str">
        <f>INDEX('Base de données Mono'!A:A,MATCH(B372,'Base de données Mono'!D:D,0))</f>
        <v>AD</v>
      </c>
      <c r="E372" s="37" t="s">
        <v>303</v>
      </c>
      <c r="F372" s="41">
        <f t="shared" si="36"/>
        <v>14</v>
      </c>
      <c r="G372" s="41">
        <f t="shared" si="37"/>
        <v>4</v>
      </c>
      <c r="H372">
        <v>8</v>
      </c>
      <c r="I372" s="131">
        <f>INDEX('Base de données Mono'!K:K,MATCH(B372,'Base de données Mono'!D:D,0))</f>
        <v>0.20833333333333334</v>
      </c>
      <c r="J372" s="131">
        <f>INDEX('Base de données Mono'!L:L,MATCH(B372,'Base de données Mono'!D:D,0))</f>
        <v>0.875</v>
      </c>
      <c r="K372" s="131" t="str">
        <f>INDEX('Base de données Mono'!M:M,MATCH(B372,'Base de données Mono'!D:D,0))</f>
        <v>-</v>
      </c>
      <c r="L372" s="131" t="str">
        <f>INDEX('Base de données Mono'!N:N,MATCH(B372,'Base de données Mono'!D:D,0))</f>
        <v>-</v>
      </c>
      <c r="M372" s="33" t="s">
        <v>46</v>
      </c>
      <c r="N372" s="33">
        <f>IF(AND(E372="Electricité",M372="Hiver"),INDEX('Base de données Mono'!E:E,MATCH(B372,'Base de données Mono'!D:D,0)),IF(AND(E372="Electricité",M372="Mi-saison"),INDEX('Base de données Mono'!F:F,MATCH(B372,'Base de données Mono'!D:D,0)),IF(AND(E372="Electricité",M372="Eté"),INDEX('Base de données Mono'!G:G,MATCH(B372,'Base de données Mono'!D:D,0)),IF(AND(E372="Gaz",M372="Hiver"),INDEX('Base de données Mono'!J:J,MATCH(B372,'Base de données Mono'!D:D,0)),IF(AND(E372="Gaz",M372="Mi-saison"),INDEX('Base de données Mono'!#REF!,MATCH(B372,'Base de données Mono'!D:D,0)),IF(AND(E372="Gaz",M372="Eté"),INDEX('Base de données Mono'!#REF!,MATCH(B372,'Base de données Mono'!D:D,0)),"-"))))))</f>
        <v>60</v>
      </c>
      <c r="O372" s="123">
        <v>45387</v>
      </c>
      <c r="P372" s="123">
        <v>45389</v>
      </c>
      <c r="Q372" s="34">
        <v>70</v>
      </c>
      <c r="R372" s="33">
        <f>IF(Q372="","",Q372-N372)</f>
        <v>10</v>
      </c>
      <c r="S372" s="34">
        <v>8</v>
      </c>
      <c r="T372" s="34">
        <f t="shared" si="39"/>
        <v>2</v>
      </c>
      <c r="U372" s="33">
        <f>R372*S372*T372</f>
        <v>160</v>
      </c>
      <c r="V372" s="38" t="s">
        <v>827</v>
      </c>
      <c r="W372" s="39">
        <f>IFERROR(IF(E372="Gaz","-",R372/N372),"-")</f>
        <v>0.16666666666666666</v>
      </c>
      <c r="X372" s="40" t="s">
        <v>304</v>
      </c>
      <c r="Y372" s="40" t="s">
        <v>284</v>
      </c>
      <c r="Z372" s="40" t="s">
        <v>305</v>
      </c>
      <c r="AA372" s="33" t="s">
        <v>771</v>
      </c>
      <c r="AB372" s="95"/>
      <c r="AC372" s="95"/>
    </row>
    <row r="373" spans="1:29" ht="14.45" hidden="1" customHeight="1" x14ac:dyDescent="0.25">
      <c r="A373" s="36" t="str">
        <f>INDEX('Base de données Mono'!C:C,MATCH(B373,'Base de données Mono'!D:D,0))</f>
        <v>ANGERS LES HALLES</v>
      </c>
      <c r="B373" t="s">
        <v>4</v>
      </c>
      <c r="C373" s="36" t="str">
        <f>INDEX('Base de données Mono'!B:B,MATCH(B373,'Base de données Mono'!D:D,0))</f>
        <v>SES8</v>
      </c>
      <c r="D373" s="36" t="str">
        <f>INDEX('Base de données Mono'!A:A,MATCH(B373,'Base de données Mono'!D:D,0))</f>
        <v>AD</v>
      </c>
      <c r="E373" s="37" t="s">
        <v>303</v>
      </c>
      <c r="F373" s="41">
        <f t="shared" si="36"/>
        <v>14</v>
      </c>
      <c r="G373" s="41">
        <f t="shared" si="37"/>
        <v>4</v>
      </c>
      <c r="H373">
        <v>8</v>
      </c>
      <c r="I373" s="131">
        <f>INDEX('Base de données Mono'!K:K,MATCH(B373,'Base de données Mono'!D:D,0))</f>
        <v>0.20833333333333334</v>
      </c>
      <c r="J373" s="131">
        <f>INDEX('Base de données Mono'!L:L,MATCH(B373,'Base de données Mono'!D:D,0))</f>
        <v>0.875</v>
      </c>
      <c r="K373" s="131" t="str">
        <f>INDEX('Base de données Mono'!M:M,MATCH(B373,'Base de données Mono'!D:D,0))</f>
        <v>-</v>
      </c>
      <c r="L373" s="131" t="str">
        <f>INDEX('Base de données Mono'!N:N,MATCH(B373,'Base de données Mono'!D:D,0))</f>
        <v>-</v>
      </c>
      <c r="M373" s="33" t="s">
        <v>46</v>
      </c>
      <c r="N373" s="33">
        <f>IF(AND(E373="Electricité",M373="Hiver"),INDEX('Base de données Mono'!E:E,MATCH(B373,'Base de données Mono'!D:D,0)),IF(AND(E373="Electricité",M373="Mi-saison"),INDEX('Base de données Mono'!F:F,MATCH(B373,'Base de données Mono'!D:D,0)),IF(AND(E373="Electricité",M373="Eté"),INDEX('Base de données Mono'!G:G,MATCH(B373,'Base de données Mono'!D:D,0)),IF(AND(E373="Gaz",M373="Hiver"),INDEX('Base de données Mono'!J:J,MATCH(B373,'Base de données Mono'!D:D,0)),IF(AND(E373="Gaz",M373="Mi-saison"),INDEX('Base de données Mono'!#REF!,MATCH(B373,'Base de données Mono'!D:D,0)),IF(AND(E373="Gaz",M373="Eté"),INDEX('Base de données Mono'!#REF!,MATCH(B373,'Base de données Mono'!D:D,0)),"-"))))))</f>
        <v>60</v>
      </c>
      <c r="O373" s="123">
        <v>45389</v>
      </c>
      <c r="P373" s="123">
        <v>45389</v>
      </c>
      <c r="Q373" s="34">
        <v>105</v>
      </c>
      <c r="R373" s="33">
        <f>IF(Q373="","",Q373-N373)</f>
        <v>45</v>
      </c>
      <c r="S373" s="34">
        <v>6</v>
      </c>
      <c r="T373" s="34">
        <v>1</v>
      </c>
      <c r="U373" s="33">
        <f>R373*S373*T373</f>
        <v>270</v>
      </c>
      <c r="V373" s="38" t="s">
        <v>827</v>
      </c>
      <c r="W373" s="39">
        <f>IFERROR(IF(E373="Gaz","-",R373/N373),"-")</f>
        <v>0.75</v>
      </c>
      <c r="X373" s="40" t="s">
        <v>730</v>
      </c>
      <c r="Y373" s="40" t="s">
        <v>284</v>
      </c>
      <c r="Z373" s="40" t="s">
        <v>307</v>
      </c>
      <c r="AA373" s="33" t="s">
        <v>308</v>
      </c>
      <c r="AB373" s="95"/>
      <c r="AC373" s="95"/>
    </row>
    <row r="374" spans="1:29" ht="14.45" hidden="1" customHeight="1" x14ac:dyDescent="0.25">
      <c r="A374" s="36" t="str">
        <f>INDEX('Base de données Mono'!C:C,MATCH(B374,'Base de données Mono'!D:D,0))</f>
        <v>ANGERS LES HALLES</v>
      </c>
      <c r="B374" t="s">
        <v>4</v>
      </c>
      <c r="C374" s="36" t="str">
        <f>INDEX('Base de données Mono'!B:B,MATCH(B374,'Base de données Mono'!D:D,0))</f>
        <v>SES8</v>
      </c>
      <c r="D374" s="36" t="str">
        <f>INDEX('Base de données Mono'!A:A,MATCH(B374,'Base de données Mono'!D:D,0))</f>
        <v>AD</v>
      </c>
      <c r="E374" s="37" t="s">
        <v>303</v>
      </c>
      <c r="F374" s="41">
        <f t="shared" si="36"/>
        <v>14</v>
      </c>
      <c r="G374" s="41">
        <f t="shared" si="37"/>
        <v>4</v>
      </c>
      <c r="H374">
        <v>8</v>
      </c>
      <c r="I374" s="131">
        <f>INDEX('Base de données Mono'!K:K,MATCH(B374,'Base de données Mono'!D:D,0))</f>
        <v>0.20833333333333334</v>
      </c>
      <c r="J374" s="131">
        <f>INDEX('Base de données Mono'!L:L,MATCH(B374,'Base de données Mono'!D:D,0))</f>
        <v>0.875</v>
      </c>
      <c r="K374" s="131" t="str">
        <f>INDEX('Base de données Mono'!M:M,MATCH(B374,'Base de données Mono'!D:D,0))</f>
        <v>-</v>
      </c>
      <c r="L374" s="131" t="str">
        <f>INDEX('Base de données Mono'!N:N,MATCH(B374,'Base de données Mono'!D:D,0))</f>
        <v>-</v>
      </c>
      <c r="M374" s="33" t="s">
        <v>46</v>
      </c>
      <c r="N374" s="33">
        <f>IF(AND(E374="Electricité",M374="Hiver"),INDEX('Base de données Mono'!E:E,MATCH(B374,'Base de données Mono'!D:D,0)),IF(AND(E374="Electricité",M374="Mi-saison"),INDEX('Base de données Mono'!F:F,MATCH(B374,'Base de données Mono'!D:D,0)),IF(AND(E374="Electricité",M374="Eté"),INDEX('Base de données Mono'!G:G,MATCH(B374,'Base de données Mono'!D:D,0)),IF(AND(E374="Gaz",M374="Hiver"),INDEX('Base de données Mono'!J:J,MATCH(B374,'Base de données Mono'!D:D,0)),IF(AND(E374="Gaz",M374="Mi-saison"),INDEX('Base de données Mono'!#REF!,MATCH(B374,'Base de données Mono'!D:D,0)),IF(AND(E374="Gaz",M374="Eté"),INDEX('Base de données Mono'!#REF!,MATCH(B374,'Base de données Mono'!D:D,0)),"-"))))))</f>
        <v>60</v>
      </c>
      <c r="O374" s="123">
        <v>45389</v>
      </c>
      <c r="P374" s="123">
        <v>45389</v>
      </c>
      <c r="Q374" s="34">
        <v>70</v>
      </c>
      <c r="R374" s="33">
        <f t="shared" si="38"/>
        <v>10</v>
      </c>
      <c r="S374" s="34">
        <v>10</v>
      </c>
      <c r="T374" s="34">
        <v>1</v>
      </c>
      <c r="U374" s="33">
        <f t="shared" si="40"/>
        <v>100</v>
      </c>
      <c r="V374" s="38" t="s">
        <v>827</v>
      </c>
      <c r="W374" s="39">
        <f t="shared" si="41"/>
        <v>0.16666666666666666</v>
      </c>
      <c r="X374" s="40" t="s">
        <v>730</v>
      </c>
      <c r="Y374" s="40" t="s">
        <v>284</v>
      </c>
      <c r="Z374" s="40" t="s">
        <v>305</v>
      </c>
      <c r="AA374" s="33" t="s">
        <v>771</v>
      </c>
      <c r="AB374" s="95"/>
      <c r="AC374" s="95"/>
    </row>
    <row r="375" spans="1:29" ht="14.45" hidden="1" customHeight="1" x14ac:dyDescent="0.25">
      <c r="A375" s="36" t="str">
        <f>INDEX('Base de données Mono'!C:C,MATCH(B375,'Base de données Mono'!D:D,0))</f>
        <v>NANCY ST SEBASTIEN</v>
      </c>
      <c r="B375" t="s">
        <v>186</v>
      </c>
      <c r="C375" s="36" t="str">
        <f>INDEX('Base de données Mono'!B:B,MATCH(B375,'Base de données Mono'!D:D,0))</f>
        <v>SES8</v>
      </c>
      <c r="D375" s="36" t="str">
        <f>INDEX('Base de données Mono'!A:A,MATCH(B375,'Base de données Mono'!D:D,0))</f>
        <v>JG</v>
      </c>
      <c r="E375" s="37" t="s">
        <v>303</v>
      </c>
      <c r="F375" s="41">
        <f>IF(O375="","-",IF(AND(X375="Nuit",WEEKDAY(O375,2)=7,O375&lt;&gt;P375),WEEKNUM(O375,2),WEEKNUM(O375,2)-1))+1</f>
        <v>14</v>
      </c>
      <c r="G375" s="41">
        <f>IF(O375="","-",MONTH(O375))</f>
        <v>4</v>
      </c>
      <c r="H375">
        <v>8.92</v>
      </c>
      <c r="I375" s="131">
        <f>INDEX('Base de données Mono'!K:K,MATCH(B375,'Base de données Mono'!D:D,0))</f>
        <v>0.23611111111111113</v>
      </c>
      <c r="J375" s="131">
        <f>INDEX('Base de données Mono'!L:L,MATCH(B375,'Base de données Mono'!D:D,0))</f>
        <v>0.86458333333333337</v>
      </c>
      <c r="K375" s="131" t="str">
        <f>INDEX('Base de données Mono'!M:M,MATCH(B375,'Base de données Mono'!D:D,0))</f>
        <v>-</v>
      </c>
      <c r="L375" s="131" t="str">
        <f>INDEX('Base de données Mono'!N:N,MATCH(B375,'Base de données Mono'!D:D,0))</f>
        <v>-</v>
      </c>
      <c r="M375" s="33" t="s">
        <v>46</v>
      </c>
      <c r="N375" s="33">
        <f>IF(AND(E375="Electricité",M375="Hiver"),INDEX('Base de données Mono'!E:E,MATCH(B375,'Base de données Mono'!D:D,0)),IF(AND(E375="Electricité",M375="Mi-saison"),INDEX('Base de données Mono'!F:F,MATCH(B375,'Base de données Mono'!D:D,0)),IF(AND(E375="Electricité",M375="Eté"),INDEX('Base de données Mono'!G:G,MATCH(B375,'Base de données Mono'!D:D,0)),IF(AND(E375="Gaz",M375="Hiver"),INDEX('Base de données Mono'!J:J,MATCH(B375,'Base de données Mono'!D:D,0)),IF(AND(E375="Gaz",M375="Mi-saison"),INDEX('Base de données Mono'!#REF!,MATCH(B375,'Base de données Mono'!D:D,0)),IF(AND(E375="Gaz",M375="Eté"),INDEX('Base de données Mono'!#REF!,MATCH(B375,'Base de données Mono'!D:D,0)),"-"))))))</f>
        <v>85</v>
      </c>
      <c r="O375" s="123">
        <v>45383</v>
      </c>
      <c r="P375" s="123">
        <v>45389</v>
      </c>
      <c r="Q375" s="34">
        <v>105</v>
      </c>
      <c r="R375" s="33">
        <f>IF(Q375="","",Q375-N375)</f>
        <v>20</v>
      </c>
      <c r="S375" s="34">
        <v>8.9</v>
      </c>
      <c r="T375" s="34">
        <f>P375-O375</f>
        <v>6</v>
      </c>
      <c r="U375" s="33">
        <f>R375*S375*T375</f>
        <v>1068</v>
      </c>
      <c r="V375" s="38" t="s">
        <v>827</v>
      </c>
      <c r="W375" s="39">
        <f>IFERROR(IF(E375="Gaz","-",R375/N375),"-")</f>
        <v>0.23529411764705882</v>
      </c>
      <c r="X375" s="40" t="s">
        <v>304</v>
      </c>
      <c r="Y375" s="40" t="s">
        <v>284</v>
      </c>
      <c r="Z375" s="40" t="s">
        <v>305</v>
      </c>
      <c r="AA375" s="33" t="s">
        <v>771</v>
      </c>
      <c r="AB375" s="95"/>
      <c r="AC375" s="95"/>
    </row>
    <row r="376" spans="1:29" ht="14.45" hidden="1" customHeight="1" x14ac:dyDescent="0.25">
      <c r="A376" s="36" t="str">
        <f>INDEX('Base de données Mono'!C:C,MATCH(B376,'Base de données Mono'!D:D,0))</f>
        <v>NANCY ST SEBASTIEN</v>
      </c>
      <c r="B376" t="s">
        <v>186</v>
      </c>
      <c r="C376" s="36" t="str">
        <f>INDEX('Base de données Mono'!B:B,MATCH(B376,'Base de données Mono'!D:D,0))</f>
        <v>SES8</v>
      </c>
      <c r="D376" s="36" t="str">
        <f>INDEX('Base de données Mono'!A:A,MATCH(B376,'Base de données Mono'!D:D,0))</f>
        <v>JG</v>
      </c>
      <c r="E376" s="37" t="s">
        <v>303</v>
      </c>
      <c r="F376" s="41">
        <f t="shared" si="36"/>
        <v>14</v>
      </c>
      <c r="G376" s="41">
        <f t="shared" si="37"/>
        <v>4</v>
      </c>
      <c r="H376">
        <v>8.92</v>
      </c>
      <c r="I376" s="131">
        <f>INDEX('Base de données Mono'!K:K,MATCH(B376,'Base de données Mono'!D:D,0))</f>
        <v>0.23611111111111113</v>
      </c>
      <c r="J376" s="131">
        <f>INDEX('Base de données Mono'!L:L,MATCH(B376,'Base de données Mono'!D:D,0))</f>
        <v>0.86458333333333337</v>
      </c>
      <c r="K376" s="131" t="str">
        <f>INDEX('Base de données Mono'!M:M,MATCH(B376,'Base de données Mono'!D:D,0))</f>
        <v>-</v>
      </c>
      <c r="L376" s="131" t="str">
        <f>INDEX('Base de données Mono'!N:N,MATCH(B376,'Base de données Mono'!D:D,0))</f>
        <v>-</v>
      </c>
      <c r="M376" s="33" t="s">
        <v>46</v>
      </c>
      <c r="N376" s="33">
        <f>IF(AND(E376="Electricité",M376="Hiver"),INDEX('Base de données Mono'!E:E,MATCH(B376,'Base de données Mono'!D:D,0)),IF(AND(E376="Electricité",M376="Mi-saison"),INDEX('Base de données Mono'!F:F,MATCH(B376,'Base de données Mono'!D:D,0)),IF(AND(E376="Electricité",M376="Eté"),INDEX('Base de données Mono'!G:G,MATCH(B376,'Base de données Mono'!D:D,0)),IF(AND(E376="Gaz",M376="Hiver"),INDEX('Base de données Mono'!J:J,MATCH(B376,'Base de données Mono'!D:D,0)),IF(AND(E376="Gaz",M376="Mi-saison"),INDEX('Base de données Mono'!#REF!,MATCH(B376,'Base de données Mono'!D:D,0)),IF(AND(E376="Gaz",M376="Eté"),INDEX('Base de données Mono'!#REF!,MATCH(B376,'Base de données Mono'!D:D,0)),"-"))))))</f>
        <v>85</v>
      </c>
      <c r="O376" s="123">
        <v>45389</v>
      </c>
      <c r="P376" s="123">
        <v>45389</v>
      </c>
      <c r="Q376" s="34">
        <v>105</v>
      </c>
      <c r="R376" s="33">
        <f>IF(Q376="","",Q376-N376)</f>
        <v>20</v>
      </c>
      <c r="S376" s="34">
        <v>15</v>
      </c>
      <c r="T376" s="34">
        <v>1</v>
      </c>
      <c r="U376" s="33">
        <f>R376*S376*T376</f>
        <v>300</v>
      </c>
      <c r="V376" s="38" t="s">
        <v>827</v>
      </c>
      <c r="W376" s="39">
        <f>IFERROR(IF(E376="Gaz","-",R376/N376),"-")</f>
        <v>0.23529411764705882</v>
      </c>
      <c r="X376" s="40" t="s">
        <v>730</v>
      </c>
      <c r="Y376" s="40" t="s">
        <v>284</v>
      </c>
      <c r="Z376" s="40" t="s">
        <v>305</v>
      </c>
      <c r="AA376" s="33" t="s">
        <v>771</v>
      </c>
      <c r="AB376" s="95"/>
      <c r="AC376" s="95"/>
    </row>
    <row r="377" spans="1:29" ht="14.45" hidden="1" customHeight="1" x14ac:dyDescent="0.25">
      <c r="A377" s="36" t="str">
        <f>INDEX('Base de données Mono'!C:C,MATCH(B377,'Base de données Mono'!D:D,0))</f>
        <v>MONTPARNASSE</v>
      </c>
      <c r="B377" t="s">
        <v>177</v>
      </c>
      <c r="C377" s="36" t="str">
        <f>INDEX('Base de données Mono'!B:B,MATCH(B377,'Base de données Mono'!D:D,0))</f>
        <v>SES8</v>
      </c>
      <c r="D377" s="36" t="str">
        <f>INDEX('Base de données Mono'!A:A,MATCH(B377,'Base de données Mono'!D:D,0))</f>
        <v>AD</v>
      </c>
      <c r="E377" s="37" t="s">
        <v>303</v>
      </c>
      <c r="F377" s="41">
        <f t="shared" si="36"/>
        <v>14</v>
      </c>
      <c r="G377" s="41">
        <f t="shared" si="37"/>
        <v>4</v>
      </c>
      <c r="H377">
        <v>8.67</v>
      </c>
      <c r="I377" s="131">
        <f>INDEX('Base de données Mono'!K:K,MATCH(B377,'Base de données Mono'!D:D,0))</f>
        <v>0.23611111111111113</v>
      </c>
      <c r="J377" s="131">
        <f>INDEX('Base de données Mono'!L:L,MATCH(B377,'Base de données Mono'!D:D,0))</f>
        <v>0.875</v>
      </c>
      <c r="K377" s="131">
        <f>INDEX('Base de données Mono'!M:M,MATCH(B377,'Base de données Mono'!D:D,0))</f>
        <v>0.25</v>
      </c>
      <c r="L377" s="131">
        <f>INDEX('Base de données Mono'!N:N,MATCH(B377,'Base de données Mono'!D:D,0))</f>
        <v>0.85416666666666663</v>
      </c>
      <c r="M377" s="33" t="s">
        <v>46</v>
      </c>
      <c r="N377" s="33">
        <f>IF(AND(E377="Electricité",M377="Hiver"),INDEX('Base de données Mono'!E:E,MATCH(B377,'Base de données Mono'!D:D,0)),IF(AND(E377="Electricité",M377="Mi-saison"),INDEX('Base de données Mono'!F:F,MATCH(B377,'Base de données Mono'!D:D,0)),IF(AND(E377="Electricité",M377="Eté"),INDEX('Base de données Mono'!G:G,MATCH(B377,'Base de données Mono'!D:D,0)),IF(AND(E377="Gaz",M377="Hiver"),INDEX('Base de données Mono'!J:J,MATCH(B377,'Base de données Mono'!D:D,0)),IF(AND(E377="Gaz",M377="Mi-saison"),INDEX('Base de données Mono'!#REF!,MATCH(B377,'Base de données Mono'!D:D,0)),IF(AND(E377="Gaz",M377="Eté"),INDEX('Base de données Mono'!#REF!,MATCH(B377,'Base de données Mono'!D:D,0)),"-"))))))</f>
        <v>130</v>
      </c>
      <c r="O377" s="123">
        <v>45383</v>
      </c>
      <c r="P377" s="123">
        <v>45389</v>
      </c>
      <c r="Q377" s="34">
        <v>215</v>
      </c>
      <c r="R377" s="33">
        <f t="shared" si="38"/>
        <v>85</v>
      </c>
      <c r="S377" s="34">
        <v>3</v>
      </c>
      <c r="T377" s="34">
        <f t="shared" ref="T377:T384" si="42">P377-O377</f>
        <v>6</v>
      </c>
      <c r="U377" s="33">
        <f t="shared" si="40"/>
        <v>1530</v>
      </c>
      <c r="V377" s="38" t="s">
        <v>827</v>
      </c>
      <c r="W377" s="39">
        <f t="shared" si="41"/>
        <v>0.65384615384615385</v>
      </c>
      <c r="X377" s="40" t="s">
        <v>304</v>
      </c>
      <c r="Y377" s="40" t="s">
        <v>284</v>
      </c>
      <c r="Z377" s="40" t="s">
        <v>307</v>
      </c>
      <c r="AA377" s="33" t="s">
        <v>313</v>
      </c>
      <c r="AB377" s="95"/>
      <c r="AC377" s="95"/>
    </row>
    <row r="378" spans="1:29" ht="14.45" hidden="1" customHeight="1" x14ac:dyDescent="0.25">
      <c r="A378" s="36" t="str">
        <f>INDEX('Base de données Mono'!C:C,MATCH(B378,'Base de données Mono'!D:D,0))</f>
        <v>MONTPARNASSE</v>
      </c>
      <c r="B378" t="s">
        <v>177</v>
      </c>
      <c r="C378" s="36" t="str">
        <f>INDEX('Base de données Mono'!B:B,MATCH(B378,'Base de données Mono'!D:D,0))</f>
        <v>SES8</v>
      </c>
      <c r="D378" s="36" t="str">
        <f>INDEX('Base de données Mono'!A:A,MATCH(B378,'Base de données Mono'!D:D,0))</f>
        <v>AD</v>
      </c>
      <c r="E378" s="37" t="s">
        <v>303</v>
      </c>
      <c r="F378" s="41">
        <f>IF(O378="","-",IF(AND(X378="Nuit",WEEKDAY(O378,2)=7,O378&lt;&gt;P378),WEEKNUM(O378,2),WEEKNUM(O378,2)-1))+1</f>
        <v>14</v>
      </c>
      <c r="G378" s="41">
        <f>IF(O378="","-",MONTH(O378))</f>
        <v>4</v>
      </c>
      <c r="H378">
        <v>8.67</v>
      </c>
      <c r="I378" s="131">
        <f>INDEX('Base de données Mono'!K:K,MATCH(B378,'Base de données Mono'!D:D,0))</f>
        <v>0.23611111111111113</v>
      </c>
      <c r="J378" s="131">
        <f>INDEX('Base de données Mono'!L:L,MATCH(B378,'Base de données Mono'!D:D,0))</f>
        <v>0.875</v>
      </c>
      <c r="K378" s="131">
        <f>INDEX('Base de données Mono'!M:M,MATCH(B378,'Base de données Mono'!D:D,0))</f>
        <v>0.25</v>
      </c>
      <c r="L378" s="131">
        <f>INDEX('Base de données Mono'!N:N,MATCH(B378,'Base de données Mono'!D:D,0))</f>
        <v>0.85416666666666663</v>
      </c>
      <c r="M378" s="33" t="s">
        <v>46</v>
      </c>
      <c r="N378" s="33">
        <f>IF(AND(E378="Electricité",M378="Hiver"),INDEX('Base de données Mono'!E:E,MATCH(B378,'Base de données Mono'!D:D,0)),IF(AND(E378="Electricité",M378="Mi-saison"),INDEX('Base de données Mono'!F:F,MATCH(B378,'Base de données Mono'!D:D,0)),IF(AND(E378="Electricité",M378="Eté"),INDEX('Base de données Mono'!G:G,MATCH(B378,'Base de données Mono'!D:D,0)),IF(AND(E378="Gaz",M378="Hiver"),INDEX('Base de données Mono'!J:J,MATCH(B378,'Base de données Mono'!D:D,0)),IF(AND(E378="Gaz",M378="Mi-saison"),INDEX('Base de données Mono'!#REF!,MATCH(B378,'Base de données Mono'!D:D,0)),IF(AND(E378="Gaz",M378="Eté"),INDEX('Base de données Mono'!#REF!,MATCH(B378,'Base de données Mono'!D:D,0)),"-"))))))</f>
        <v>130</v>
      </c>
      <c r="O378" s="123">
        <v>45383</v>
      </c>
      <c r="P378" s="123">
        <v>45388</v>
      </c>
      <c r="Q378" s="34">
        <v>210</v>
      </c>
      <c r="R378" s="33">
        <f>IF(Q378="","",Q378-N378)</f>
        <v>80</v>
      </c>
      <c r="S378" s="34">
        <v>0.6</v>
      </c>
      <c r="T378" s="34">
        <f>P378-O378</f>
        <v>5</v>
      </c>
      <c r="U378" s="33">
        <f>R378*S378*T378</f>
        <v>240</v>
      </c>
      <c r="V378" s="38" t="s">
        <v>827</v>
      </c>
      <c r="W378" s="39">
        <f>IFERROR(IF(E378="Gaz","-",R378/N378),"-")</f>
        <v>0.61538461538461542</v>
      </c>
      <c r="X378" s="40" t="s">
        <v>304</v>
      </c>
      <c r="Y378" s="40" t="s">
        <v>284</v>
      </c>
      <c r="Z378" s="40" t="s">
        <v>307</v>
      </c>
      <c r="AA378" s="33" t="s">
        <v>414</v>
      </c>
      <c r="AB378" s="95"/>
      <c r="AC378" s="95"/>
    </row>
    <row r="379" spans="1:29" ht="14.45" hidden="1" customHeight="1" x14ac:dyDescent="0.25">
      <c r="A379" s="36" t="str">
        <f>INDEX('Base de données Mono'!C:C,MATCH(B379,'Base de données Mono'!D:D,0))</f>
        <v>MONTPARNASSE</v>
      </c>
      <c r="B379" t="s">
        <v>177</v>
      </c>
      <c r="C379" s="36" t="str">
        <f>INDEX('Base de données Mono'!B:B,MATCH(B379,'Base de données Mono'!D:D,0))</f>
        <v>SES8</v>
      </c>
      <c r="D379" s="36" t="str">
        <f>INDEX('Base de données Mono'!A:A,MATCH(B379,'Base de données Mono'!D:D,0))</f>
        <v>AD</v>
      </c>
      <c r="E379" s="37" t="s">
        <v>303</v>
      </c>
      <c r="F379" s="41">
        <f>IF(O379="","-",IF(AND(X379="Nuit",WEEKDAY(O379,2)=7,O379&lt;&gt;P379),WEEKNUM(O379,2),WEEKNUM(O379,2)-1))+1</f>
        <v>14</v>
      </c>
      <c r="G379" s="41">
        <f>IF(O379="","-",MONTH(O379))</f>
        <v>4</v>
      </c>
      <c r="H379">
        <v>8.67</v>
      </c>
      <c r="I379" s="131">
        <f>INDEX('Base de données Mono'!K:K,MATCH(B379,'Base de données Mono'!D:D,0))</f>
        <v>0.23611111111111113</v>
      </c>
      <c r="J379" s="131">
        <f>INDEX('Base de données Mono'!L:L,MATCH(B379,'Base de données Mono'!D:D,0))</f>
        <v>0.875</v>
      </c>
      <c r="K379" s="131">
        <f>INDEX('Base de données Mono'!M:M,MATCH(B379,'Base de données Mono'!D:D,0))</f>
        <v>0.25</v>
      </c>
      <c r="L379" s="131">
        <f>INDEX('Base de données Mono'!N:N,MATCH(B379,'Base de données Mono'!D:D,0))</f>
        <v>0.85416666666666663</v>
      </c>
      <c r="M379" s="33" t="s">
        <v>46</v>
      </c>
      <c r="N379" s="33">
        <f>IF(AND(E379="Electricité",M379="Hiver"),INDEX('Base de données Mono'!E:E,MATCH(B379,'Base de données Mono'!D:D,0)),IF(AND(E379="Electricité",M379="Mi-saison"),INDEX('Base de données Mono'!F:F,MATCH(B379,'Base de données Mono'!D:D,0)),IF(AND(E379="Electricité",M379="Eté"),INDEX('Base de données Mono'!G:G,MATCH(B379,'Base de données Mono'!D:D,0)),IF(AND(E379="Gaz",M379="Hiver"),INDEX('Base de données Mono'!J:J,MATCH(B379,'Base de données Mono'!D:D,0)),IF(AND(E379="Gaz",M379="Mi-saison"),INDEX('Base de données Mono'!#REF!,MATCH(B379,'Base de données Mono'!D:D,0)),IF(AND(E379="Gaz",M379="Eté"),INDEX('Base de données Mono'!#REF!,MATCH(B379,'Base de données Mono'!D:D,0)),"-"))))))</f>
        <v>130</v>
      </c>
      <c r="O379" s="123">
        <v>45385</v>
      </c>
      <c r="P379" s="123">
        <v>45387</v>
      </c>
      <c r="Q379" s="34">
        <v>140</v>
      </c>
      <c r="R379" s="33">
        <f>IF(Q379="","",Q379-N379)</f>
        <v>10</v>
      </c>
      <c r="S379" s="34">
        <v>5</v>
      </c>
      <c r="T379" s="34">
        <f>P379-O379</f>
        <v>2</v>
      </c>
      <c r="U379" s="33">
        <f>R379*S379*T379</f>
        <v>100</v>
      </c>
      <c r="V379" s="38" t="s">
        <v>827</v>
      </c>
      <c r="W379" s="39">
        <f>IFERROR(IF(E379="Gaz","-",R379/N379),"-")</f>
        <v>7.6923076923076927E-2</v>
      </c>
      <c r="X379" s="40" t="s">
        <v>304</v>
      </c>
      <c r="Y379" s="40" t="s">
        <v>284</v>
      </c>
      <c r="Z379" s="95" t="s">
        <v>305</v>
      </c>
      <c r="AA379" s="95" t="s">
        <v>771</v>
      </c>
      <c r="AB379" s="95"/>
      <c r="AC379" s="95"/>
    </row>
    <row r="380" spans="1:29" ht="14.45" hidden="1" customHeight="1" x14ac:dyDescent="0.25">
      <c r="A380" s="36" t="str">
        <f>INDEX('Base de données Mono'!C:C,MATCH(B380,'Base de données Mono'!D:D,0))</f>
        <v>MONTPARNASSE</v>
      </c>
      <c r="B380" t="s">
        <v>177</v>
      </c>
      <c r="C380" s="36" t="str">
        <f>INDEX('Base de données Mono'!B:B,MATCH(B380,'Base de données Mono'!D:D,0))</f>
        <v>SES8</v>
      </c>
      <c r="D380" s="36" t="str">
        <f>INDEX('Base de données Mono'!A:A,MATCH(B380,'Base de données Mono'!D:D,0))</f>
        <v>AD</v>
      </c>
      <c r="E380" s="37" t="s">
        <v>303</v>
      </c>
      <c r="F380" s="41">
        <f t="shared" si="36"/>
        <v>14</v>
      </c>
      <c r="G380" s="41">
        <f t="shared" si="37"/>
        <v>4</v>
      </c>
      <c r="H380">
        <v>8.67</v>
      </c>
      <c r="I380" s="131">
        <f>INDEX('Base de données Mono'!K:K,MATCH(B380,'Base de données Mono'!D:D,0))</f>
        <v>0.23611111111111113</v>
      </c>
      <c r="J380" s="131">
        <f>INDEX('Base de données Mono'!L:L,MATCH(B380,'Base de données Mono'!D:D,0))</f>
        <v>0.875</v>
      </c>
      <c r="K380" s="131">
        <f>INDEX('Base de données Mono'!M:M,MATCH(B380,'Base de données Mono'!D:D,0))</f>
        <v>0.25</v>
      </c>
      <c r="L380" s="131">
        <f>INDEX('Base de données Mono'!N:N,MATCH(B380,'Base de données Mono'!D:D,0))</f>
        <v>0.85416666666666663</v>
      </c>
      <c r="M380" s="33" t="s">
        <v>46</v>
      </c>
      <c r="N380" s="33">
        <f>IF(AND(E380="Electricité",M380="Hiver"),INDEX('Base de données Mono'!E:E,MATCH(B380,'Base de données Mono'!D:D,0)),IF(AND(E380="Electricité",M380="Mi-saison"),INDEX('Base de données Mono'!F:F,MATCH(B380,'Base de données Mono'!D:D,0)),IF(AND(E380="Electricité",M380="Eté"),INDEX('Base de données Mono'!G:G,MATCH(B380,'Base de données Mono'!D:D,0)),IF(AND(E380="Gaz",M380="Hiver"),INDEX('Base de données Mono'!J:J,MATCH(B380,'Base de données Mono'!D:D,0)),IF(AND(E380="Gaz",M380="Mi-saison"),INDEX('Base de données Mono'!#REF!,MATCH(B380,'Base de données Mono'!D:D,0)),IF(AND(E380="Gaz",M380="Eté"),INDEX('Base de données Mono'!#REF!,MATCH(B380,'Base de données Mono'!D:D,0)),"-"))))))</f>
        <v>130</v>
      </c>
      <c r="O380" s="123">
        <v>45387</v>
      </c>
      <c r="P380" s="123">
        <v>45388</v>
      </c>
      <c r="Q380" s="34">
        <v>160</v>
      </c>
      <c r="R380" s="33">
        <f t="shared" si="38"/>
        <v>30</v>
      </c>
      <c r="S380" s="34">
        <v>5</v>
      </c>
      <c r="T380" s="34">
        <f t="shared" si="42"/>
        <v>1</v>
      </c>
      <c r="U380" s="33">
        <f t="shared" si="40"/>
        <v>150</v>
      </c>
      <c r="V380" s="38" t="s">
        <v>827</v>
      </c>
      <c r="W380" s="39">
        <f t="shared" si="41"/>
        <v>0.23076923076923078</v>
      </c>
      <c r="X380" s="40" t="s">
        <v>304</v>
      </c>
      <c r="Y380" s="40" t="s">
        <v>284</v>
      </c>
      <c r="Z380" s="95" t="s">
        <v>305</v>
      </c>
      <c r="AA380" s="95" t="s">
        <v>771</v>
      </c>
      <c r="AB380" s="95"/>
      <c r="AC380" s="95"/>
    </row>
    <row r="381" spans="1:29" ht="14.45" hidden="1" customHeight="1" x14ac:dyDescent="0.25">
      <c r="A381" s="36" t="str">
        <f>INDEX('Base de données Mono'!C:C,MATCH(B381,'Base de données Mono'!D:D,0))</f>
        <v>TOLBIAC</v>
      </c>
      <c r="B381" t="s">
        <v>253</v>
      </c>
      <c r="C381" s="36" t="str">
        <f>INDEX('Base de données Mono'!B:B,MATCH(B381,'Base de données Mono'!D:D,0))</f>
        <v>SES8</v>
      </c>
      <c r="D381" s="36" t="str">
        <f>INDEX('Base de données Mono'!A:A,MATCH(B381,'Base de données Mono'!D:D,0))</f>
        <v>JG</v>
      </c>
      <c r="E381" s="37" t="s">
        <v>303</v>
      </c>
      <c r="F381" s="41">
        <f t="shared" si="36"/>
        <v>14</v>
      </c>
      <c r="G381" s="41">
        <f t="shared" si="37"/>
        <v>4</v>
      </c>
      <c r="H381">
        <v>7.58</v>
      </c>
      <c r="I381" s="131">
        <f>INDEX('Base de données Mono'!K:K,MATCH(B381,'Base de données Mono'!D:D,0))</f>
        <v>0.24305555555555555</v>
      </c>
      <c r="J381" s="131">
        <f>INDEX('Base de données Mono'!L:L,MATCH(B381,'Base de données Mono'!D:D,0))</f>
        <v>0.92708333333333337</v>
      </c>
      <c r="K381" s="131" t="str">
        <f>INDEX('Base de données Mono'!M:M,MATCH(B381,'Base de données Mono'!D:D,0))</f>
        <v>-</v>
      </c>
      <c r="L381" s="131" t="str">
        <f>INDEX('Base de données Mono'!N:N,MATCH(B381,'Base de données Mono'!D:D,0))</f>
        <v>-</v>
      </c>
      <c r="M381" s="33" t="s">
        <v>46</v>
      </c>
      <c r="N381" s="33">
        <f>IF(AND(E381="Electricité",M381="Hiver"),INDEX('Base de données Mono'!E:E,MATCH(B381,'Base de données Mono'!D:D,0)),IF(AND(E381="Electricité",M381="Mi-saison"),INDEX('Base de données Mono'!F:F,MATCH(B381,'Base de données Mono'!D:D,0)),IF(AND(E381="Electricité",M381="Eté"),INDEX('Base de données Mono'!G:G,MATCH(B381,'Base de données Mono'!D:D,0)),IF(AND(E381="Gaz",M381="Hiver"),INDEX('Base de données Mono'!J:J,MATCH(B381,'Base de données Mono'!D:D,0)),IF(AND(E381="Gaz",M381="Mi-saison"),INDEX('Base de données Mono'!#REF!,MATCH(B381,'Base de données Mono'!D:D,0)),IF(AND(E381="Gaz",M381="Eté"),INDEX('Base de données Mono'!#REF!,MATCH(B381,'Base de données Mono'!D:D,0)),"-"))))))</f>
        <v>55</v>
      </c>
      <c r="O381" s="123">
        <v>45383</v>
      </c>
      <c r="P381" s="123">
        <v>45388</v>
      </c>
      <c r="Q381" s="34">
        <v>85</v>
      </c>
      <c r="R381" s="33">
        <f t="shared" si="38"/>
        <v>30</v>
      </c>
      <c r="S381" s="34">
        <v>0.5</v>
      </c>
      <c r="T381" s="34">
        <f t="shared" si="42"/>
        <v>5</v>
      </c>
      <c r="U381" s="33">
        <f t="shared" si="40"/>
        <v>75</v>
      </c>
      <c r="V381" s="38" t="s">
        <v>827</v>
      </c>
      <c r="W381" s="39">
        <f t="shared" si="41"/>
        <v>0.54545454545454541</v>
      </c>
      <c r="X381" s="40" t="s">
        <v>304</v>
      </c>
      <c r="Y381" s="40" t="s">
        <v>284</v>
      </c>
      <c r="Z381" s="40" t="s">
        <v>307</v>
      </c>
      <c r="AA381" s="33" t="s">
        <v>414</v>
      </c>
      <c r="AB381" s="95"/>
      <c r="AC381" s="95"/>
    </row>
    <row r="382" spans="1:29" ht="14.45" hidden="1" customHeight="1" x14ac:dyDescent="0.25">
      <c r="A382" s="36" t="str">
        <f>INDEX('Base de données Mono'!C:C,MATCH(B382,'Base de données Mono'!D:D,0))</f>
        <v>TOLBIAC</v>
      </c>
      <c r="B382" t="s">
        <v>253</v>
      </c>
      <c r="C382" s="36" t="str">
        <f>INDEX('Base de données Mono'!B:B,MATCH(B382,'Base de données Mono'!D:D,0))</f>
        <v>SES8</v>
      </c>
      <c r="D382" s="36" t="str">
        <f>INDEX('Base de données Mono'!A:A,MATCH(B382,'Base de données Mono'!D:D,0))</f>
        <v>JG</v>
      </c>
      <c r="E382" s="37" t="s">
        <v>303</v>
      </c>
      <c r="F382" s="41">
        <f t="shared" si="36"/>
        <v>14</v>
      </c>
      <c r="G382" s="41">
        <f t="shared" si="37"/>
        <v>4</v>
      </c>
      <c r="H382">
        <v>7.58</v>
      </c>
      <c r="I382" s="131">
        <f>INDEX('Base de données Mono'!K:K,MATCH(B382,'Base de données Mono'!D:D,0))</f>
        <v>0.24305555555555555</v>
      </c>
      <c r="J382" s="131">
        <f>INDEX('Base de données Mono'!L:L,MATCH(B382,'Base de données Mono'!D:D,0))</f>
        <v>0.92708333333333337</v>
      </c>
      <c r="K382" s="131" t="str">
        <f>INDEX('Base de données Mono'!M:M,MATCH(B382,'Base de données Mono'!D:D,0))</f>
        <v>-</v>
      </c>
      <c r="L382" s="131" t="str">
        <f>INDEX('Base de données Mono'!N:N,MATCH(B382,'Base de données Mono'!D:D,0))</f>
        <v>-</v>
      </c>
      <c r="M382" s="33" t="s">
        <v>46</v>
      </c>
      <c r="N382" s="33">
        <f>IF(AND(E382="Electricité",M382="Hiver"),INDEX('Base de données Mono'!E:E,MATCH(B382,'Base de données Mono'!D:D,0)),IF(AND(E382="Electricité",M382="Mi-saison"),INDEX('Base de données Mono'!F:F,MATCH(B382,'Base de données Mono'!D:D,0)),IF(AND(E382="Electricité",M382="Eté"),INDEX('Base de données Mono'!G:G,MATCH(B382,'Base de données Mono'!D:D,0)),IF(AND(E382="Gaz",M382="Hiver"),INDEX('Base de données Mono'!J:J,MATCH(B382,'Base de données Mono'!D:D,0)),IF(AND(E382="Gaz",M382="Mi-saison"),INDEX('Base de données Mono'!#REF!,MATCH(B382,'Base de données Mono'!D:D,0)),IF(AND(E382="Gaz",M382="Eté"),INDEX('Base de données Mono'!#REF!,MATCH(B382,'Base de données Mono'!D:D,0)),"-"))))))</f>
        <v>55</v>
      </c>
      <c r="O382" s="123">
        <v>45383</v>
      </c>
      <c r="P382" s="123">
        <v>45384</v>
      </c>
      <c r="Q382" s="34">
        <v>60</v>
      </c>
      <c r="R382" s="33">
        <f t="shared" si="38"/>
        <v>5</v>
      </c>
      <c r="S382" s="34">
        <v>7</v>
      </c>
      <c r="T382" s="34">
        <f t="shared" si="42"/>
        <v>1</v>
      </c>
      <c r="U382" s="33">
        <f t="shared" si="40"/>
        <v>35</v>
      </c>
      <c r="V382" s="38" t="s">
        <v>827</v>
      </c>
      <c r="W382" s="39">
        <f t="shared" si="41"/>
        <v>9.0909090909090912E-2</v>
      </c>
      <c r="X382" s="40" t="s">
        <v>304</v>
      </c>
      <c r="Y382" s="40" t="s">
        <v>284</v>
      </c>
      <c r="Z382" s="40" t="s">
        <v>305</v>
      </c>
      <c r="AA382" s="33" t="s">
        <v>771</v>
      </c>
      <c r="AB382" s="95"/>
      <c r="AC382" s="95"/>
    </row>
    <row r="383" spans="1:29" ht="14.45" hidden="1" customHeight="1" x14ac:dyDescent="0.25">
      <c r="A383" s="36" t="str">
        <f>INDEX('Base de données Mono'!C:C,MATCH(B383,'Base de données Mono'!D:D,0))</f>
        <v>TOLBIAC</v>
      </c>
      <c r="B383" t="s">
        <v>253</v>
      </c>
      <c r="C383" s="36" t="str">
        <f>INDEX('Base de données Mono'!B:B,MATCH(B383,'Base de données Mono'!D:D,0))</f>
        <v>SES8</v>
      </c>
      <c r="D383" s="36" t="str">
        <f>INDEX('Base de données Mono'!A:A,MATCH(B383,'Base de données Mono'!D:D,0))</f>
        <v>JG</v>
      </c>
      <c r="E383" s="37" t="s">
        <v>303</v>
      </c>
      <c r="F383" s="41">
        <f t="shared" si="36"/>
        <v>14</v>
      </c>
      <c r="G383" s="41">
        <f t="shared" si="37"/>
        <v>4</v>
      </c>
      <c r="H383">
        <v>7.58</v>
      </c>
      <c r="I383" s="131">
        <f>INDEX('Base de données Mono'!K:K,MATCH(B383,'Base de données Mono'!D:D,0))</f>
        <v>0.24305555555555555</v>
      </c>
      <c r="J383" s="131">
        <f>INDEX('Base de données Mono'!L:L,MATCH(B383,'Base de données Mono'!D:D,0))</f>
        <v>0.92708333333333337</v>
      </c>
      <c r="K383" s="131" t="str">
        <f>INDEX('Base de données Mono'!M:M,MATCH(B383,'Base de données Mono'!D:D,0))</f>
        <v>-</v>
      </c>
      <c r="L383" s="131" t="str">
        <f>INDEX('Base de données Mono'!N:N,MATCH(B383,'Base de données Mono'!D:D,0))</f>
        <v>-</v>
      </c>
      <c r="M383" s="33" t="s">
        <v>46</v>
      </c>
      <c r="N383" s="33">
        <f>IF(AND(E383="Electricité",M383="Hiver"),INDEX('Base de données Mono'!E:E,MATCH(B383,'Base de données Mono'!D:D,0)),IF(AND(E383="Electricité",M383="Mi-saison"),INDEX('Base de données Mono'!F:F,MATCH(B383,'Base de données Mono'!D:D,0)),IF(AND(E383="Electricité",M383="Eté"),INDEX('Base de données Mono'!G:G,MATCH(B383,'Base de données Mono'!D:D,0)),IF(AND(E383="Gaz",M383="Hiver"),INDEX('Base de données Mono'!J:J,MATCH(B383,'Base de données Mono'!D:D,0)),IF(AND(E383="Gaz",M383="Mi-saison"),INDEX('Base de données Mono'!#REF!,MATCH(B383,'Base de données Mono'!D:D,0)),IF(AND(E383="Gaz",M383="Eté"),INDEX('Base de données Mono'!#REF!,MATCH(B383,'Base de données Mono'!D:D,0)),"-"))))))</f>
        <v>55</v>
      </c>
      <c r="O383" s="123">
        <v>45384</v>
      </c>
      <c r="P383" s="123">
        <v>45385</v>
      </c>
      <c r="Q383" s="34">
        <v>70</v>
      </c>
      <c r="R383" s="33">
        <f t="shared" si="38"/>
        <v>15</v>
      </c>
      <c r="S383" s="34">
        <v>7</v>
      </c>
      <c r="T383" s="34">
        <f t="shared" si="42"/>
        <v>1</v>
      </c>
      <c r="U383" s="33">
        <f t="shared" si="40"/>
        <v>105</v>
      </c>
      <c r="V383" s="38" t="s">
        <v>827</v>
      </c>
      <c r="W383" s="39">
        <f t="shared" si="41"/>
        <v>0.27272727272727271</v>
      </c>
      <c r="X383" s="40" t="s">
        <v>304</v>
      </c>
      <c r="Y383" s="40" t="s">
        <v>284</v>
      </c>
      <c r="Z383" s="40" t="s">
        <v>305</v>
      </c>
      <c r="AA383" s="33" t="s">
        <v>771</v>
      </c>
      <c r="AB383" s="95"/>
      <c r="AC383" s="95"/>
    </row>
    <row r="384" spans="1:29" ht="14.45" hidden="1" customHeight="1" x14ac:dyDescent="0.25">
      <c r="A384" s="36" t="str">
        <f>INDEX('Base de données Mono'!C:C,MATCH(B384,'Base de données Mono'!D:D,0))</f>
        <v>TOLBIAC</v>
      </c>
      <c r="B384" t="s">
        <v>253</v>
      </c>
      <c r="C384" s="36" t="str">
        <f>INDEX('Base de données Mono'!B:B,MATCH(B384,'Base de données Mono'!D:D,0))</f>
        <v>SES8</v>
      </c>
      <c r="D384" s="36" t="str">
        <f>INDEX('Base de données Mono'!A:A,MATCH(B384,'Base de données Mono'!D:D,0))</f>
        <v>JG</v>
      </c>
      <c r="E384" s="37" t="s">
        <v>303</v>
      </c>
      <c r="F384" s="41">
        <f t="shared" si="36"/>
        <v>14</v>
      </c>
      <c r="G384" s="41">
        <f t="shared" si="37"/>
        <v>4</v>
      </c>
      <c r="H384">
        <v>7.58</v>
      </c>
      <c r="I384" s="131">
        <f>INDEX('Base de données Mono'!K:K,MATCH(B384,'Base de données Mono'!D:D,0))</f>
        <v>0.24305555555555555</v>
      </c>
      <c r="J384" s="131">
        <f>INDEX('Base de données Mono'!L:L,MATCH(B384,'Base de données Mono'!D:D,0))</f>
        <v>0.92708333333333337</v>
      </c>
      <c r="K384" s="131" t="str">
        <f>INDEX('Base de données Mono'!M:M,MATCH(B384,'Base de données Mono'!D:D,0))</f>
        <v>-</v>
      </c>
      <c r="L384" s="131" t="str">
        <f>INDEX('Base de données Mono'!N:N,MATCH(B384,'Base de données Mono'!D:D,0))</f>
        <v>-</v>
      </c>
      <c r="M384" s="33" t="s">
        <v>46</v>
      </c>
      <c r="N384" s="33">
        <f>IF(AND(E384="Electricité",M384="Hiver"),INDEX('Base de données Mono'!E:E,MATCH(B384,'Base de données Mono'!D:D,0)),IF(AND(E384="Electricité",M384="Mi-saison"),INDEX('Base de données Mono'!F:F,MATCH(B384,'Base de données Mono'!D:D,0)),IF(AND(E384="Electricité",M384="Eté"),INDEX('Base de données Mono'!G:G,MATCH(B384,'Base de données Mono'!D:D,0)),IF(AND(E384="Gaz",M384="Hiver"),INDEX('Base de données Mono'!J:J,MATCH(B384,'Base de données Mono'!D:D,0)),IF(AND(E384="Gaz",M384="Mi-saison"),INDEX('Base de données Mono'!#REF!,MATCH(B384,'Base de données Mono'!D:D,0)),IF(AND(E384="Gaz",M384="Eté"),INDEX('Base de données Mono'!#REF!,MATCH(B384,'Base de données Mono'!D:D,0)),"-"))))))</f>
        <v>55</v>
      </c>
      <c r="O384" s="123">
        <v>45385</v>
      </c>
      <c r="P384" s="123">
        <v>45389</v>
      </c>
      <c r="Q384" s="34">
        <v>65</v>
      </c>
      <c r="R384" s="33">
        <f t="shared" si="38"/>
        <v>10</v>
      </c>
      <c r="S384" s="34">
        <v>7</v>
      </c>
      <c r="T384" s="34">
        <f t="shared" si="42"/>
        <v>4</v>
      </c>
      <c r="U384" s="33">
        <f t="shared" si="40"/>
        <v>280</v>
      </c>
      <c r="V384" s="38" t="s">
        <v>827</v>
      </c>
      <c r="W384" s="39">
        <f t="shared" si="41"/>
        <v>0.18181818181818182</v>
      </c>
      <c r="X384" s="40" t="s">
        <v>304</v>
      </c>
      <c r="Y384" s="40" t="s">
        <v>284</v>
      </c>
      <c r="Z384" s="40" t="s">
        <v>305</v>
      </c>
      <c r="AA384" s="33" t="s">
        <v>771</v>
      </c>
      <c r="AB384" s="95"/>
      <c r="AC384" s="95"/>
    </row>
    <row r="385" spans="1:29" ht="14.45" hidden="1" customHeight="1" x14ac:dyDescent="0.25">
      <c r="A385" s="36" t="str">
        <f>INDEX('Base de données Mono'!C:C,MATCH(B385,'Base de données Mono'!D:D,0))</f>
        <v>SAINT QUENTIN</v>
      </c>
      <c r="B385" t="s">
        <v>237</v>
      </c>
      <c r="C385" s="36" t="str">
        <f>INDEX('Base de données Mono'!B:B,MATCH(B385,'Base de données Mono'!D:D,0))</f>
        <v>Monoprix</v>
      </c>
      <c r="D385" s="36" t="str">
        <f>INDEX('Base de données Mono'!A:A,MATCH(B385,'Base de données Mono'!D:D,0))</f>
        <v>JG</v>
      </c>
      <c r="E385" s="37" t="s">
        <v>303</v>
      </c>
      <c r="F385" s="41">
        <f t="shared" si="36"/>
        <v>14</v>
      </c>
      <c r="G385" s="41">
        <f t="shared" si="37"/>
        <v>4</v>
      </c>
      <c r="H385">
        <v>9.17</v>
      </c>
      <c r="I385" s="131">
        <f>INDEX('Base de données Mono'!K:K,MATCH(B385,'Base de données Mono'!D:D,0))</f>
        <v>0.25694444444444448</v>
      </c>
      <c r="J385" s="131">
        <f>INDEX('Base de données Mono'!L:L,MATCH(B385,'Base de données Mono'!D:D,0))</f>
        <v>0.875</v>
      </c>
      <c r="K385" s="131">
        <f>INDEX('Base de données Mono'!M:M,MATCH(B385,'Base de données Mono'!D:D,0))</f>
        <v>0.35416666666666669</v>
      </c>
      <c r="L385" s="131">
        <f>INDEX('Base de données Mono'!N:N,MATCH(B385,'Base de données Mono'!D:D,0))</f>
        <v>0.55208333333333337</v>
      </c>
      <c r="M385" s="33" t="s">
        <v>46</v>
      </c>
      <c r="N385" s="33">
        <f>IF(AND(E385="Electricité",M385="Hiver"),INDEX('Base de données Mono'!E:E,MATCH(B385,'Base de données Mono'!D:D,0)),IF(AND(E385="Electricité",M385="Mi-saison"),INDEX('Base de données Mono'!F:F,MATCH(B385,'Base de données Mono'!D:D,0)),IF(AND(E385="Electricité",M385="Eté"),INDEX('Base de données Mono'!G:G,MATCH(B385,'Base de données Mono'!D:D,0)),IF(AND(E385="Gaz",M385="Hiver"),INDEX('Base de données Mono'!J:J,MATCH(B385,'Base de données Mono'!D:D,0)),IF(AND(E385="Gaz",M385="Mi-saison"),INDEX('Base de données Mono'!#REF!,MATCH(B385,'Base de données Mono'!D:D,0)),IF(AND(E385="Gaz",M385="Eté"),INDEX('Base de données Mono'!#REF!,MATCH(B385,'Base de données Mono'!D:D,0)),"-"))))))</f>
        <v>50</v>
      </c>
      <c r="O385" s="123">
        <v>45383</v>
      </c>
      <c r="P385" s="123">
        <v>45388</v>
      </c>
      <c r="Q385" s="34">
        <v>60</v>
      </c>
      <c r="R385" s="33">
        <f t="shared" si="38"/>
        <v>10</v>
      </c>
      <c r="S385" s="34">
        <v>1</v>
      </c>
      <c r="T385" s="34">
        <f t="shared" si="39"/>
        <v>5</v>
      </c>
      <c r="U385" s="33">
        <f t="shared" si="40"/>
        <v>50</v>
      </c>
      <c r="V385" s="38" t="s">
        <v>827</v>
      </c>
      <c r="W385" s="39">
        <f t="shared" si="41"/>
        <v>0.2</v>
      </c>
      <c r="X385" s="40" t="s">
        <v>304</v>
      </c>
      <c r="Y385" s="40" t="s">
        <v>283</v>
      </c>
      <c r="Z385" s="40" t="s">
        <v>749</v>
      </c>
      <c r="AA385" s="33" t="s">
        <v>749</v>
      </c>
      <c r="AB385" s="95"/>
      <c r="AC385" s="95"/>
    </row>
    <row r="386" spans="1:29" ht="14.45" hidden="1" customHeight="1" x14ac:dyDescent="0.25">
      <c r="A386" s="36" t="str">
        <f>INDEX('Base de données Mono'!C:C,MATCH(B386,'Base de données Mono'!D:D,0))</f>
        <v>SAINT QUENTIN</v>
      </c>
      <c r="B386" t="s">
        <v>237</v>
      </c>
      <c r="C386" s="36" t="str">
        <f>INDEX('Base de données Mono'!B:B,MATCH(B386,'Base de données Mono'!D:D,0))</f>
        <v>Monoprix</v>
      </c>
      <c r="D386" s="36" t="str">
        <f>INDEX('Base de données Mono'!A:A,MATCH(B386,'Base de données Mono'!D:D,0))</f>
        <v>JG</v>
      </c>
      <c r="E386" s="37" t="s">
        <v>303</v>
      </c>
      <c r="F386" s="41">
        <f t="shared" si="36"/>
        <v>14</v>
      </c>
      <c r="G386" s="41">
        <f t="shared" si="37"/>
        <v>4</v>
      </c>
      <c r="H386">
        <v>9.17</v>
      </c>
      <c r="I386" s="131">
        <f>INDEX('Base de données Mono'!K:K,MATCH(B386,'Base de données Mono'!D:D,0))</f>
        <v>0.25694444444444448</v>
      </c>
      <c r="J386" s="131">
        <f>INDEX('Base de données Mono'!L:L,MATCH(B386,'Base de données Mono'!D:D,0))</f>
        <v>0.875</v>
      </c>
      <c r="K386" s="131">
        <f>INDEX('Base de données Mono'!M:M,MATCH(B386,'Base de données Mono'!D:D,0))</f>
        <v>0.35416666666666669</v>
      </c>
      <c r="L386" s="131">
        <f>INDEX('Base de données Mono'!N:N,MATCH(B386,'Base de données Mono'!D:D,0))</f>
        <v>0.55208333333333337</v>
      </c>
      <c r="M386" s="33" t="s">
        <v>46</v>
      </c>
      <c r="N386" s="33">
        <f>IF(AND(E386="Electricité",M386="Hiver"),INDEX('Base de données Mono'!E:E,MATCH(B386,'Base de données Mono'!D:D,0)),IF(AND(E386="Electricité",M386="Mi-saison"),INDEX('Base de données Mono'!F:F,MATCH(B386,'Base de données Mono'!D:D,0)),IF(AND(E386="Electricité",M386="Eté"),INDEX('Base de données Mono'!G:G,MATCH(B386,'Base de données Mono'!D:D,0)),IF(AND(E386="Gaz",M386="Hiver"),INDEX('Base de données Mono'!J:J,MATCH(B386,'Base de données Mono'!D:D,0)),IF(AND(E386="Gaz",M386="Mi-saison"),INDEX('Base de données Mono'!#REF!,MATCH(B386,'Base de données Mono'!D:D,0)),IF(AND(E386="Gaz",M386="Eté"),INDEX('Base de données Mono'!#REF!,MATCH(B386,'Base de données Mono'!D:D,0)),"-"))))))</f>
        <v>50</v>
      </c>
      <c r="O386" s="123">
        <v>45387</v>
      </c>
      <c r="P386" s="123">
        <v>45388</v>
      </c>
      <c r="Q386" s="34">
        <v>60</v>
      </c>
      <c r="R386" s="33">
        <f t="shared" si="38"/>
        <v>10</v>
      </c>
      <c r="S386" s="34">
        <v>1</v>
      </c>
      <c r="T386" s="34">
        <f t="shared" si="39"/>
        <v>1</v>
      </c>
      <c r="U386" s="33">
        <f t="shared" si="40"/>
        <v>10</v>
      </c>
      <c r="V386" s="38" t="s">
        <v>827</v>
      </c>
      <c r="W386" s="39">
        <f t="shared" si="41"/>
        <v>0.2</v>
      </c>
      <c r="X386" s="40" t="s">
        <v>304</v>
      </c>
      <c r="Y386" s="40" t="s">
        <v>283</v>
      </c>
      <c r="Z386" s="40" t="s">
        <v>749</v>
      </c>
      <c r="AA386" s="33" t="s">
        <v>749</v>
      </c>
      <c r="AB386" s="95"/>
      <c r="AC386" s="95"/>
    </row>
    <row r="387" spans="1:29" ht="14.45" hidden="1" customHeight="1" x14ac:dyDescent="0.25">
      <c r="A387" s="36" t="str">
        <f>INDEX('Base de données Mono'!C:C,MATCH(B387,'Base de données Mono'!D:D,0))</f>
        <v>TOLBIAC</v>
      </c>
      <c r="B387" t="s">
        <v>253</v>
      </c>
      <c r="C387" s="36" t="str">
        <f>INDEX('Base de données Mono'!B:B,MATCH(B387,'Base de données Mono'!D:D,0))</f>
        <v>SES8</v>
      </c>
      <c r="D387" s="36" t="str">
        <f>INDEX('Base de données Mono'!A:A,MATCH(B387,'Base de données Mono'!D:D,0))</f>
        <v>JG</v>
      </c>
      <c r="E387" s="37" t="s">
        <v>303</v>
      </c>
      <c r="F387" s="41">
        <f>IF(O387="","-",IF(AND(X387="Nuit",WEEKDAY(O387,2)=7,O387&lt;&gt;P387),WEEKNUM(O387,2),WEEKNUM(O387,2)-1))+1</f>
        <v>14</v>
      </c>
      <c r="G387" s="41">
        <f>IF(O387="","-",MONTH(O387))</f>
        <v>4</v>
      </c>
      <c r="H387">
        <v>7.58</v>
      </c>
      <c r="I387" s="131">
        <f>INDEX('Base de données Mono'!K:K,MATCH(B387,'Base de données Mono'!D:D,0))</f>
        <v>0.24305555555555555</v>
      </c>
      <c r="J387" s="131">
        <f>INDEX('Base de données Mono'!L:L,MATCH(B387,'Base de données Mono'!D:D,0))</f>
        <v>0.92708333333333337</v>
      </c>
      <c r="K387" s="131" t="str">
        <f>INDEX('Base de données Mono'!M:M,MATCH(B387,'Base de données Mono'!D:D,0))</f>
        <v>-</v>
      </c>
      <c r="L387" s="131" t="str">
        <f>INDEX('Base de données Mono'!N:N,MATCH(B387,'Base de données Mono'!D:D,0))</f>
        <v>-</v>
      </c>
      <c r="M387" s="33" t="s">
        <v>46</v>
      </c>
      <c r="N387" s="33">
        <f>IF(AND(E387="Electricité",M387="Hiver"),INDEX('Base de données Mono'!E:E,MATCH(B387,'Base de données Mono'!D:D,0)),IF(AND(E387="Electricité",M387="Mi-saison"),INDEX('Base de données Mono'!F:F,MATCH(B387,'Base de données Mono'!D:D,0)),IF(AND(E387="Electricité",M387="Eté"),INDEX('Base de données Mono'!G:G,MATCH(B387,'Base de données Mono'!D:D,0)),IF(AND(E387="Gaz",M387="Hiver"),INDEX('Base de données Mono'!J:J,MATCH(B387,'Base de données Mono'!D:D,0)),IF(AND(E387="Gaz",M387="Mi-saison"),INDEX('Base de données Mono'!#REF!,MATCH(B387,'Base de données Mono'!D:D,0)),IF(AND(E387="Gaz",M387="Eté"),INDEX('Base de données Mono'!#REF!,MATCH(B387,'Base de données Mono'!D:D,0)),"-"))))))</f>
        <v>55</v>
      </c>
      <c r="O387" s="123">
        <v>45389</v>
      </c>
      <c r="P387" s="123">
        <v>45389</v>
      </c>
      <c r="Q387" s="34">
        <v>70</v>
      </c>
      <c r="R387" s="33">
        <f>IF(Q387="","",Q387-N387)</f>
        <v>15</v>
      </c>
      <c r="S387" s="34">
        <v>2</v>
      </c>
      <c r="T387" s="34">
        <v>1</v>
      </c>
      <c r="U387" s="33">
        <f>R387*S387*T387</f>
        <v>30</v>
      </c>
      <c r="V387" s="38" t="s">
        <v>148</v>
      </c>
      <c r="W387" s="39">
        <f>IFERROR(IF(E387="Gaz","-",R387/N387),"-")</f>
        <v>0.27272727272727271</v>
      </c>
      <c r="X387" s="40" t="s">
        <v>730</v>
      </c>
      <c r="Y387" s="40" t="s">
        <v>284</v>
      </c>
      <c r="Z387" s="40" t="s">
        <v>305</v>
      </c>
      <c r="AA387" s="33" t="s">
        <v>771</v>
      </c>
      <c r="AB387" s="95"/>
      <c r="AC387" s="95"/>
    </row>
    <row r="388" spans="1:29" ht="14.45" hidden="1" customHeight="1" x14ac:dyDescent="0.25">
      <c r="A388" s="36" t="str">
        <f>INDEX('Base de données Mono'!C:C,MATCH(B388,'Base de données Mono'!D:D,0))</f>
        <v>TOLBIAC</v>
      </c>
      <c r="B388" t="s">
        <v>253</v>
      </c>
      <c r="C388" s="36" t="str">
        <f>INDEX('Base de données Mono'!B:B,MATCH(B388,'Base de données Mono'!D:D,0))</f>
        <v>SES8</v>
      </c>
      <c r="D388" s="36" t="str">
        <f>INDEX('Base de données Mono'!A:A,MATCH(B388,'Base de données Mono'!D:D,0))</f>
        <v>JG</v>
      </c>
      <c r="E388" s="37" t="s">
        <v>303</v>
      </c>
      <c r="F388" s="41">
        <f t="shared" si="36"/>
        <v>14</v>
      </c>
      <c r="G388" s="41">
        <f t="shared" si="37"/>
        <v>4</v>
      </c>
      <c r="H388">
        <v>7.58</v>
      </c>
      <c r="I388" s="131">
        <f>INDEX('Base de données Mono'!K:K,MATCH(B388,'Base de données Mono'!D:D,0))</f>
        <v>0.24305555555555555</v>
      </c>
      <c r="J388" s="131">
        <f>INDEX('Base de données Mono'!L:L,MATCH(B388,'Base de données Mono'!D:D,0))</f>
        <v>0.92708333333333337</v>
      </c>
      <c r="K388" s="131" t="str">
        <f>INDEX('Base de données Mono'!M:M,MATCH(B388,'Base de données Mono'!D:D,0))</f>
        <v>-</v>
      </c>
      <c r="L388" s="131" t="str">
        <f>INDEX('Base de données Mono'!N:N,MATCH(B388,'Base de données Mono'!D:D,0))</f>
        <v>-</v>
      </c>
      <c r="M388" s="33" t="s">
        <v>46</v>
      </c>
      <c r="N388" s="33">
        <f>IF(AND(E388="Electricité",M388="Hiver"),INDEX('Base de données Mono'!E:E,MATCH(B388,'Base de données Mono'!D:D,0)),IF(AND(E388="Electricité",M388="Mi-saison"),INDEX('Base de données Mono'!F:F,MATCH(B388,'Base de données Mono'!D:D,0)),IF(AND(E388="Electricité",M388="Eté"),INDEX('Base de données Mono'!G:G,MATCH(B388,'Base de données Mono'!D:D,0)),IF(AND(E388="Gaz",M388="Hiver"),INDEX('Base de données Mono'!J:J,MATCH(B388,'Base de données Mono'!D:D,0)),IF(AND(E388="Gaz",M388="Mi-saison"),INDEX('Base de données Mono'!#REF!,MATCH(B388,'Base de données Mono'!D:D,0)),IF(AND(E388="Gaz",M388="Eté"),INDEX('Base de données Mono'!#REF!,MATCH(B388,'Base de données Mono'!D:D,0)),"-"))))))</f>
        <v>55</v>
      </c>
      <c r="O388" s="123">
        <v>45389</v>
      </c>
      <c r="P388" s="123">
        <v>45389</v>
      </c>
      <c r="Q388" s="34">
        <v>95</v>
      </c>
      <c r="R388" s="33">
        <f t="shared" si="38"/>
        <v>40</v>
      </c>
      <c r="S388" s="34">
        <v>14</v>
      </c>
      <c r="T388" s="34">
        <v>1</v>
      </c>
      <c r="U388" s="33">
        <f t="shared" si="40"/>
        <v>560</v>
      </c>
      <c r="V388" s="38" t="s">
        <v>148</v>
      </c>
      <c r="W388" s="39">
        <f t="shared" si="41"/>
        <v>0.72727272727272729</v>
      </c>
      <c r="X388" s="40" t="s">
        <v>730</v>
      </c>
      <c r="Y388" s="40" t="s">
        <v>284</v>
      </c>
      <c r="Z388" s="40" t="s">
        <v>307</v>
      </c>
      <c r="AA388" s="33" t="s">
        <v>308</v>
      </c>
      <c r="AB388" s="95"/>
      <c r="AC388" s="95"/>
    </row>
    <row r="389" spans="1:29" ht="14.45" hidden="1" customHeight="1" x14ac:dyDescent="0.25">
      <c r="A389" s="36" t="str">
        <f>INDEX('Base de données Mono'!C:C,MATCH(B389,'Base de données Mono'!D:D,0))</f>
        <v>BORDEAUX ST CHRISTOLY</v>
      </c>
      <c r="B389" t="s">
        <v>6</v>
      </c>
      <c r="C389" s="36" t="str">
        <f>INDEX('Base de données Mono'!B:B,MATCH(B389,'Base de données Mono'!D:D,0))</f>
        <v>SES8</v>
      </c>
      <c r="D389" s="36" t="str">
        <f>INDEX('Base de données Mono'!A:A,MATCH(B389,'Base de données Mono'!D:D,0))</f>
        <v>AD</v>
      </c>
      <c r="E389" s="37" t="s">
        <v>303</v>
      </c>
      <c r="F389" s="41">
        <f>IF(O389="","-",IF(AND(X389="Nuit",WEEKDAY(O389,2)=7,O389&lt;&gt;P389),WEEKNUM(O389,2),WEEKNUM(O389,2)-1))+1</f>
        <v>14</v>
      </c>
      <c r="G389" s="41">
        <f>IF(O389="","-",MONTH(O389))</f>
        <v>4</v>
      </c>
      <c r="H389">
        <v>7</v>
      </c>
      <c r="I389" s="131">
        <f>INDEX('Base de données Mono'!K:K,MATCH(B389,'Base de données Mono'!D:D,0))</f>
        <v>0.16666666666666666</v>
      </c>
      <c r="J389" s="131">
        <f>INDEX('Base de données Mono'!L:L,MATCH(B389,'Base de données Mono'!D:D,0))</f>
        <v>0.875</v>
      </c>
      <c r="K389" s="131">
        <f>INDEX('Base de données Mono'!M:M,MATCH(B389,'Base de données Mono'!D:D,0))</f>
        <v>0.20833333333333334</v>
      </c>
      <c r="L389" s="131">
        <f>INDEX('Base de données Mono'!N:N,MATCH(B389,'Base de données Mono'!D:D,0))</f>
        <v>0.54166666666666696</v>
      </c>
      <c r="M389" s="33" t="s">
        <v>46</v>
      </c>
      <c r="N389" s="33">
        <f>IF(AND(E389="Electricité",M389="Hiver"),INDEX('Base de données Mono'!E:E,MATCH(B389,'Base de données Mono'!D:D,0)),IF(AND(E389="Electricité",M389="Mi-saison"),INDEX('Base de données Mono'!F:F,MATCH(B389,'Base de données Mono'!D:D,0)),IF(AND(E389="Electricité",M389="Eté"),INDEX('Base de données Mono'!G:G,MATCH(B389,'Base de données Mono'!D:D,0)),IF(AND(E389="Gaz",M389="Hiver"),INDEX('Base de données Mono'!J:J,MATCH(B389,'Base de données Mono'!D:D,0)),IF(AND(E389="Gaz",M389="Mi-saison"),INDEX('Base de données Mono'!#REF!,MATCH(B389,'Base de données Mono'!D:D,0)),IF(AND(E389="Gaz",M389="Eté"),INDEX('Base de données Mono'!#REF!,MATCH(B389,'Base de données Mono'!D:D,0)),"-"))))))</f>
        <v>75</v>
      </c>
      <c r="O389" s="123">
        <v>45383</v>
      </c>
      <c r="P389" s="123">
        <v>45385</v>
      </c>
      <c r="Q389" s="34">
        <v>90</v>
      </c>
      <c r="R389" s="33">
        <f>IF(Q389="","",Q389-N389)</f>
        <v>15</v>
      </c>
      <c r="S389" s="34">
        <v>7</v>
      </c>
      <c r="T389" s="34">
        <f>P389-O389</f>
        <v>2</v>
      </c>
      <c r="U389" s="33">
        <f>R389*S389*T389</f>
        <v>210</v>
      </c>
      <c r="V389" s="38" t="s">
        <v>827</v>
      </c>
      <c r="W389" s="39">
        <f>IFERROR(IF(E389="Gaz","-",R389/N389),"-")</f>
        <v>0.2</v>
      </c>
      <c r="X389" s="40" t="s">
        <v>304</v>
      </c>
      <c r="Y389" s="40" t="s">
        <v>284</v>
      </c>
      <c r="Z389" s="40" t="s">
        <v>305</v>
      </c>
      <c r="AA389" s="33" t="s">
        <v>771</v>
      </c>
      <c r="AB389" s="95"/>
      <c r="AC389" s="95"/>
    </row>
    <row r="390" spans="1:29" ht="14.45" hidden="1" customHeight="1" x14ac:dyDescent="0.25">
      <c r="A390" s="36" t="str">
        <f>INDEX('Base de données Mono'!C:C,MATCH(B390,'Base de données Mono'!D:D,0))</f>
        <v>BORDEAUX ST CHRISTOLY</v>
      </c>
      <c r="B390" t="s">
        <v>6</v>
      </c>
      <c r="C390" s="36" t="str">
        <f>INDEX('Base de données Mono'!B:B,MATCH(B390,'Base de données Mono'!D:D,0))</f>
        <v>SES8</v>
      </c>
      <c r="D390" s="36" t="str">
        <f>INDEX('Base de données Mono'!A:A,MATCH(B390,'Base de données Mono'!D:D,0))</f>
        <v>AD</v>
      </c>
      <c r="E390" s="37" t="s">
        <v>303</v>
      </c>
      <c r="F390" s="41">
        <f>IF(O390="","-",IF(AND(X390="Nuit",WEEKDAY(O390,2)=7,O390&lt;&gt;P390),WEEKNUM(O390,2),WEEKNUM(O390,2)-1))+1</f>
        <v>14</v>
      </c>
      <c r="G390" s="41">
        <f>IF(O390="","-",MONTH(O390))</f>
        <v>4</v>
      </c>
      <c r="H390">
        <v>7</v>
      </c>
      <c r="I390" s="131">
        <f>INDEX('Base de données Mono'!K:K,MATCH(B390,'Base de données Mono'!D:D,0))</f>
        <v>0.16666666666666666</v>
      </c>
      <c r="J390" s="131">
        <f>INDEX('Base de données Mono'!L:L,MATCH(B390,'Base de données Mono'!D:D,0))</f>
        <v>0.875</v>
      </c>
      <c r="K390" s="131">
        <f>INDEX('Base de données Mono'!M:M,MATCH(B390,'Base de données Mono'!D:D,0))</f>
        <v>0.20833333333333334</v>
      </c>
      <c r="L390" s="131">
        <f>INDEX('Base de données Mono'!N:N,MATCH(B390,'Base de données Mono'!D:D,0))</f>
        <v>0.54166666666666696</v>
      </c>
      <c r="M390" s="33" t="s">
        <v>46</v>
      </c>
      <c r="N390" s="33">
        <f>IF(AND(E390="Electricité",M390="Hiver"),INDEX('Base de données Mono'!E:E,MATCH(B390,'Base de données Mono'!D:D,0)),IF(AND(E390="Electricité",M390="Mi-saison"),INDEX('Base de données Mono'!F:F,MATCH(B390,'Base de données Mono'!D:D,0)),IF(AND(E390="Electricité",M390="Eté"),INDEX('Base de données Mono'!G:G,MATCH(B390,'Base de données Mono'!D:D,0)),IF(AND(E390="Gaz",M390="Hiver"),INDEX('Base de données Mono'!J:J,MATCH(B390,'Base de données Mono'!D:D,0)),IF(AND(E390="Gaz",M390="Mi-saison"),INDEX('Base de données Mono'!#REF!,MATCH(B390,'Base de données Mono'!D:D,0)),IF(AND(E390="Gaz",M390="Eté"),INDEX('Base de données Mono'!#REF!,MATCH(B390,'Base de données Mono'!D:D,0)),"-"))))))</f>
        <v>75</v>
      </c>
      <c r="O390" s="123">
        <v>45385</v>
      </c>
      <c r="P390" s="123">
        <v>45389</v>
      </c>
      <c r="Q390" s="34">
        <v>95</v>
      </c>
      <c r="R390" s="33">
        <f>IF(Q390="","",Q390-N390)</f>
        <v>20</v>
      </c>
      <c r="S390" s="34">
        <v>7</v>
      </c>
      <c r="T390" s="34">
        <f>P390-O390</f>
        <v>4</v>
      </c>
      <c r="U390" s="33">
        <f>R390*S390*T390</f>
        <v>560</v>
      </c>
      <c r="V390" s="38" t="s">
        <v>827</v>
      </c>
      <c r="W390" s="39">
        <f>IFERROR(IF(E390="Gaz","-",R390/N390),"-")</f>
        <v>0.26666666666666666</v>
      </c>
      <c r="X390" s="40" t="s">
        <v>304</v>
      </c>
      <c r="Y390" s="40" t="s">
        <v>284</v>
      </c>
      <c r="Z390" s="40" t="s">
        <v>305</v>
      </c>
      <c r="AA390" s="33" t="s">
        <v>771</v>
      </c>
      <c r="AB390" s="95"/>
      <c r="AC390" s="95"/>
    </row>
    <row r="391" spans="1:29" ht="14.45" hidden="1" customHeight="1" x14ac:dyDescent="0.25">
      <c r="A391" s="36" t="str">
        <f>INDEX('Base de données Mono'!C:C,MATCH(B391,'Base de données Mono'!D:D,0))</f>
        <v>BORDEAUX ST CHRISTOLY</v>
      </c>
      <c r="B391" t="s">
        <v>6</v>
      </c>
      <c r="C391" s="36" t="str">
        <f>INDEX('Base de données Mono'!B:B,MATCH(B391,'Base de données Mono'!D:D,0))</f>
        <v>SES8</v>
      </c>
      <c r="D391" s="36" t="str">
        <f>INDEX('Base de données Mono'!A:A,MATCH(B391,'Base de données Mono'!D:D,0))</f>
        <v>AD</v>
      </c>
      <c r="E391" s="37" t="s">
        <v>303</v>
      </c>
      <c r="F391" s="41">
        <f t="shared" si="36"/>
        <v>14</v>
      </c>
      <c r="G391" s="41">
        <f t="shared" si="37"/>
        <v>4</v>
      </c>
      <c r="H391">
        <v>7</v>
      </c>
      <c r="I391" s="131">
        <f>INDEX('Base de données Mono'!K:K,MATCH(B391,'Base de données Mono'!D:D,0))</f>
        <v>0.16666666666666666</v>
      </c>
      <c r="J391" s="131">
        <f>INDEX('Base de données Mono'!L:L,MATCH(B391,'Base de données Mono'!D:D,0))</f>
        <v>0.875</v>
      </c>
      <c r="K391" s="131">
        <f>INDEX('Base de données Mono'!M:M,MATCH(B391,'Base de données Mono'!D:D,0))</f>
        <v>0.20833333333333334</v>
      </c>
      <c r="L391" s="131">
        <f>INDEX('Base de données Mono'!N:N,MATCH(B391,'Base de données Mono'!D:D,0))</f>
        <v>0.54166666666666696</v>
      </c>
      <c r="M391" s="33" t="s">
        <v>46</v>
      </c>
      <c r="N391" s="33">
        <f>IF(AND(E391="Electricité",M391="Hiver"),INDEX('Base de données Mono'!E:E,MATCH(B391,'Base de données Mono'!D:D,0)),IF(AND(E391="Electricité",M391="Mi-saison"),INDEX('Base de données Mono'!F:F,MATCH(B391,'Base de données Mono'!D:D,0)),IF(AND(E391="Electricité",M391="Eté"),INDEX('Base de données Mono'!G:G,MATCH(B391,'Base de données Mono'!D:D,0)),IF(AND(E391="Gaz",M391="Hiver"),INDEX('Base de données Mono'!J:J,MATCH(B391,'Base de données Mono'!D:D,0)),IF(AND(E391="Gaz",M391="Mi-saison"),INDEX('Base de données Mono'!#REF!,MATCH(B391,'Base de données Mono'!D:D,0)),IF(AND(E391="Gaz",M391="Eté"),INDEX('Base de données Mono'!#REF!,MATCH(B391,'Base de données Mono'!D:D,0)),"-"))))))</f>
        <v>75</v>
      </c>
      <c r="O391" s="123">
        <v>45389</v>
      </c>
      <c r="P391" s="123">
        <v>45389</v>
      </c>
      <c r="Q391" s="34">
        <v>135</v>
      </c>
      <c r="R391" s="33">
        <f t="shared" si="38"/>
        <v>60</v>
      </c>
      <c r="S391" s="34">
        <v>7</v>
      </c>
      <c r="T391" s="34">
        <v>1</v>
      </c>
      <c r="U391" s="33">
        <f t="shared" si="40"/>
        <v>420</v>
      </c>
      <c r="V391" s="38" t="s">
        <v>827</v>
      </c>
      <c r="W391" s="39">
        <f t="shared" si="41"/>
        <v>0.8</v>
      </c>
      <c r="X391" s="40" t="s">
        <v>730</v>
      </c>
      <c r="Y391" s="40" t="s">
        <v>284</v>
      </c>
      <c r="Z391" s="40" t="s">
        <v>307</v>
      </c>
      <c r="AA391" s="33" t="s">
        <v>308</v>
      </c>
      <c r="AB391" s="95"/>
      <c r="AC391" s="95"/>
    </row>
    <row r="392" spans="1:29" ht="14.45" hidden="1" customHeight="1" x14ac:dyDescent="0.25">
      <c r="A392" s="36" t="str">
        <f>INDEX('Base de données Mono'!C:C,MATCH(B392,'Base de données Mono'!D:D,0))</f>
        <v>REIMS</v>
      </c>
      <c r="B392" t="s">
        <v>218</v>
      </c>
      <c r="C392" s="36" t="str">
        <f>INDEX('Base de données Mono'!B:B,MATCH(B392,'Base de données Mono'!D:D,0))</f>
        <v>SES8</v>
      </c>
      <c r="D392" s="36" t="str">
        <f>INDEX('Base de données Mono'!A:A,MATCH(B392,'Base de données Mono'!D:D,0))</f>
        <v>JG</v>
      </c>
      <c r="E392" s="37" t="s">
        <v>303</v>
      </c>
      <c r="F392" s="41">
        <f t="shared" si="36"/>
        <v>14</v>
      </c>
      <c r="G392" s="41">
        <f t="shared" si="37"/>
        <v>4</v>
      </c>
      <c r="H392">
        <v>9</v>
      </c>
      <c r="I392" s="131">
        <f>INDEX('Base de données Mono'!K:K,MATCH(B392,'Base de données Mono'!D:D,0))</f>
        <v>0.22916666666666666</v>
      </c>
      <c r="J392" s="131">
        <f>INDEX('Base de données Mono'!L:L,MATCH(B392,'Base de données Mono'!D:D,0))</f>
        <v>0.85416666666666663</v>
      </c>
      <c r="K392" s="131">
        <f>INDEX('Base de données Mono'!M:M,MATCH(B392,'Base de données Mono'!D:D,0))</f>
        <v>0.3125</v>
      </c>
      <c r="L392" s="131">
        <f>INDEX('Base de données Mono'!N:N,MATCH(B392,'Base de données Mono'!D:D,0))</f>
        <v>0.5625</v>
      </c>
      <c r="M392" s="33" t="s">
        <v>46</v>
      </c>
      <c r="N392" s="33">
        <f>IF(AND(E392="Electricité",M392="Hiver"),INDEX('Base de données Mono'!E:E,MATCH(B392,'Base de données Mono'!D:D,0)),IF(AND(E392="Electricité",M392="Mi-saison"),INDEX('Base de données Mono'!F:F,MATCH(B392,'Base de données Mono'!D:D,0)),IF(AND(E392="Electricité",M392="Eté"),INDEX('Base de données Mono'!G:G,MATCH(B392,'Base de données Mono'!D:D,0)),IF(AND(E392="Gaz",M392="Hiver"),INDEX('Base de données Mono'!J:J,MATCH(B392,'Base de données Mono'!D:D,0)),IF(AND(E392="Gaz",M392="Mi-saison"),INDEX('Base de données Mono'!#REF!,MATCH(B392,'Base de données Mono'!D:D,0)),IF(AND(E392="Gaz",M392="Eté"),INDEX('Base de données Mono'!#REF!,MATCH(B392,'Base de données Mono'!D:D,0)),"-"))))))</f>
        <v>40</v>
      </c>
      <c r="O392" s="123">
        <v>45383</v>
      </c>
      <c r="P392" s="123">
        <v>45388</v>
      </c>
      <c r="Q392" s="34">
        <v>80</v>
      </c>
      <c r="R392" s="33">
        <f>IF(Q392="","",Q392-N392)</f>
        <v>40</v>
      </c>
      <c r="S392" s="34">
        <v>9</v>
      </c>
      <c r="T392" s="34">
        <f>P392-O392</f>
        <v>5</v>
      </c>
      <c r="U392" s="33">
        <f t="shared" si="40"/>
        <v>1800</v>
      </c>
      <c r="V392" s="38" t="s">
        <v>827</v>
      </c>
      <c r="W392" s="39">
        <f t="shared" si="41"/>
        <v>1</v>
      </c>
      <c r="X392" s="40" t="s">
        <v>304</v>
      </c>
      <c r="Y392" s="40" t="s">
        <v>284</v>
      </c>
      <c r="Z392" s="40" t="s">
        <v>311</v>
      </c>
      <c r="AA392" s="33" t="s">
        <v>775</v>
      </c>
      <c r="AB392" s="95"/>
      <c r="AC392" s="95"/>
    </row>
    <row r="393" spans="1:29" ht="14.45" hidden="1" customHeight="1" x14ac:dyDescent="0.25">
      <c r="A393" s="36" t="str">
        <f>INDEX('Base de données Mono'!C:C,MATCH(B393,'Base de données Mono'!D:D,0))</f>
        <v>REIMS</v>
      </c>
      <c r="B393" t="s">
        <v>218</v>
      </c>
      <c r="C393" s="36" t="str">
        <f>INDEX('Base de données Mono'!B:B,MATCH(B393,'Base de données Mono'!D:D,0))</f>
        <v>SES8</v>
      </c>
      <c r="D393" s="36" t="str">
        <f>INDEX('Base de données Mono'!A:A,MATCH(B393,'Base de données Mono'!D:D,0))</f>
        <v>JG</v>
      </c>
      <c r="E393" s="37" t="s">
        <v>303</v>
      </c>
      <c r="F393" s="41">
        <f t="shared" ref="F393:F436" si="43">IF(O393="","-",IF(AND(X393="Nuit",WEEKDAY(O393,2)=7,O393&lt;&gt;P393),WEEKNUM(O393,2),WEEKNUM(O393,2)-1))+1</f>
        <v>14</v>
      </c>
      <c r="G393" s="41">
        <f t="shared" ref="G393:G436" si="44">IF(O393="","-",MONTH(O393))</f>
        <v>4</v>
      </c>
      <c r="H393">
        <v>9</v>
      </c>
      <c r="I393" s="131">
        <f>INDEX('Base de données Mono'!K:K,MATCH(B393,'Base de données Mono'!D:D,0))</f>
        <v>0.22916666666666666</v>
      </c>
      <c r="J393" s="131">
        <f>INDEX('Base de données Mono'!L:L,MATCH(B393,'Base de données Mono'!D:D,0))</f>
        <v>0.85416666666666663</v>
      </c>
      <c r="K393" s="131">
        <f>INDEX('Base de données Mono'!M:M,MATCH(B393,'Base de données Mono'!D:D,0))</f>
        <v>0.3125</v>
      </c>
      <c r="L393" s="131">
        <f>INDEX('Base de données Mono'!N:N,MATCH(B393,'Base de données Mono'!D:D,0))</f>
        <v>0.5625</v>
      </c>
      <c r="M393" s="33" t="s">
        <v>46</v>
      </c>
      <c r="N393" s="33">
        <f>IF(AND(E393="Electricité",M393="Hiver"),INDEX('Base de données Mono'!E:E,MATCH(B393,'Base de données Mono'!D:D,0)),IF(AND(E393="Electricité",M393="Mi-saison"),INDEX('Base de données Mono'!F:F,MATCH(B393,'Base de données Mono'!D:D,0)),IF(AND(E393="Electricité",M393="Eté"),INDEX('Base de données Mono'!G:G,MATCH(B393,'Base de données Mono'!D:D,0)),IF(AND(E393="Gaz",M393="Hiver"),INDEX('Base de données Mono'!J:J,MATCH(B393,'Base de données Mono'!D:D,0)),IF(AND(E393="Gaz",M393="Mi-saison"),INDEX('Base de données Mono'!#REF!,MATCH(B393,'Base de données Mono'!D:D,0)),IF(AND(E393="Gaz",M393="Eté"),INDEX('Base de données Mono'!#REF!,MATCH(B393,'Base de données Mono'!D:D,0)),"-"))))))</f>
        <v>40</v>
      </c>
      <c r="O393" s="123">
        <v>45389</v>
      </c>
      <c r="P393" s="123">
        <v>45389</v>
      </c>
      <c r="Q393" s="34">
        <v>90</v>
      </c>
      <c r="R393" s="33">
        <f>IF(Q393="","",Q393-N393)</f>
        <v>50</v>
      </c>
      <c r="S393" s="34">
        <v>6</v>
      </c>
      <c r="T393" s="34">
        <v>1</v>
      </c>
      <c r="U393" s="33">
        <f t="shared" si="40"/>
        <v>300</v>
      </c>
      <c r="V393" s="38" t="s">
        <v>827</v>
      </c>
      <c r="W393" s="39">
        <f t="shared" si="41"/>
        <v>1.25</v>
      </c>
      <c r="X393" s="40" t="s">
        <v>730</v>
      </c>
      <c r="Y393" s="40" t="s">
        <v>284</v>
      </c>
      <c r="Z393" s="40" t="s">
        <v>307</v>
      </c>
      <c r="AA393" s="33" t="s">
        <v>308</v>
      </c>
      <c r="AB393" s="95"/>
      <c r="AC393" s="95"/>
    </row>
    <row r="394" spans="1:29" ht="14.45" hidden="1" customHeight="1" x14ac:dyDescent="0.25">
      <c r="A394" s="36" t="str">
        <f>INDEX('Base de données Mono'!C:C,MATCH(B394,'Base de données Mono'!D:D,0))</f>
        <v>ROUEN</v>
      </c>
      <c r="B394" t="s">
        <v>227</v>
      </c>
      <c r="C394" s="36" t="str">
        <f>INDEX('Base de données Mono'!B:B,MATCH(B394,'Base de données Mono'!D:D,0))</f>
        <v>Monoprix</v>
      </c>
      <c r="D394" s="36" t="str">
        <f>INDEX('Base de données Mono'!A:A,MATCH(B394,'Base de données Mono'!D:D,0))</f>
        <v>AD</v>
      </c>
      <c r="E394" s="37" t="s">
        <v>303</v>
      </c>
      <c r="F394" s="41">
        <f t="shared" si="43"/>
        <v>14</v>
      </c>
      <c r="G394" s="41">
        <f t="shared" si="44"/>
        <v>4</v>
      </c>
      <c r="H394">
        <v>8.67</v>
      </c>
      <c r="I394" s="131">
        <f>INDEX('Base de données Mono'!K:K,MATCH(B394,'Base de données Mono'!D:D,0))</f>
        <v>0.23611111111111113</v>
      </c>
      <c r="J394" s="131">
        <f>INDEX('Base de données Mono'!L:L,MATCH(B394,'Base de données Mono'!D:D,0))</f>
        <v>0.875</v>
      </c>
      <c r="K394" s="131">
        <f>INDEX('Base de données Mono'!M:M,MATCH(B394,'Base de données Mono'!D:D,0))</f>
        <v>0.28472222222222221</v>
      </c>
      <c r="L394" s="131">
        <f>INDEX('Base de données Mono'!N:N,MATCH(B394,'Base de données Mono'!D:D,0))</f>
        <v>0.55208333333333337</v>
      </c>
      <c r="M394" s="33" t="s">
        <v>46</v>
      </c>
      <c r="N394" s="33">
        <f>IF(AND(E394="Electricité",M394="Hiver"),INDEX('Base de données Mono'!E:E,MATCH(B394,'Base de données Mono'!D:D,0)),IF(AND(E394="Electricité",M394="Mi-saison"),INDEX('Base de données Mono'!F:F,MATCH(B394,'Base de données Mono'!D:D,0)),IF(AND(E394="Electricité",M394="Eté"),INDEX('Base de données Mono'!G:G,MATCH(B394,'Base de données Mono'!D:D,0)),IF(AND(E394="Gaz",M394="Hiver"),INDEX('Base de données Mono'!J:J,MATCH(B394,'Base de données Mono'!D:D,0)),IF(AND(E394="Gaz",M394="Mi-saison"),INDEX('Base de données Mono'!#REF!,MATCH(B394,'Base de données Mono'!D:D,0)),IF(AND(E394="Gaz",M394="Eté"),INDEX('Base de données Mono'!#REF!,MATCH(B394,'Base de données Mono'!D:D,0)),"-"))))))</f>
        <v>65</v>
      </c>
      <c r="O394" s="123">
        <v>45383</v>
      </c>
      <c r="P394" s="123">
        <v>45387</v>
      </c>
      <c r="Q394" s="34">
        <v>75</v>
      </c>
      <c r="R394" s="33">
        <f t="shared" ref="R394:R436" si="45">IF(Q394="","",Q394-N394)</f>
        <v>10</v>
      </c>
      <c r="S394" s="34">
        <v>8</v>
      </c>
      <c r="T394" s="34">
        <f t="shared" ref="T394:T436" si="46">P394-O394</f>
        <v>4</v>
      </c>
      <c r="U394" s="33">
        <f t="shared" ref="U394:U436" si="47">R394*S394*T394</f>
        <v>320</v>
      </c>
      <c r="V394" s="38" t="s">
        <v>827</v>
      </c>
      <c r="W394" s="39">
        <f t="shared" ref="W394:W436" si="48">IFERROR(IF(E394="Gaz","-",R394/N394),"-")</f>
        <v>0.15384615384615385</v>
      </c>
      <c r="X394" s="40" t="s">
        <v>304</v>
      </c>
      <c r="Y394" s="40" t="s">
        <v>283</v>
      </c>
      <c r="Z394" s="40" t="s">
        <v>749</v>
      </c>
      <c r="AA394" s="33" t="s">
        <v>749</v>
      </c>
      <c r="AB394" s="95"/>
      <c r="AC394" s="95"/>
    </row>
    <row r="395" spans="1:29" ht="14.45" hidden="1" customHeight="1" x14ac:dyDescent="0.25">
      <c r="A395" s="36" t="str">
        <f>INDEX('Base de données Mono'!C:C,MATCH(B395,'Base de données Mono'!D:D,0))</f>
        <v>ROUEN</v>
      </c>
      <c r="B395" t="s">
        <v>227</v>
      </c>
      <c r="C395" s="36" t="str">
        <f>INDEX('Base de données Mono'!B:B,MATCH(B395,'Base de données Mono'!D:D,0))</f>
        <v>Monoprix</v>
      </c>
      <c r="D395" s="36" t="str">
        <f>INDEX('Base de données Mono'!A:A,MATCH(B395,'Base de données Mono'!D:D,0))</f>
        <v>AD</v>
      </c>
      <c r="E395" s="37" t="s">
        <v>303</v>
      </c>
      <c r="F395" s="41">
        <f t="shared" si="43"/>
        <v>14</v>
      </c>
      <c r="G395" s="41">
        <f t="shared" si="44"/>
        <v>4</v>
      </c>
      <c r="H395">
        <v>8.67</v>
      </c>
      <c r="I395" s="131">
        <f>INDEX('Base de données Mono'!K:K,MATCH(B395,'Base de données Mono'!D:D,0))</f>
        <v>0.23611111111111113</v>
      </c>
      <c r="J395" s="131">
        <f>INDEX('Base de données Mono'!L:L,MATCH(B395,'Base de données Mono'!D:D,0))</f>
        <v>0.875</v>
      </c>
      <c r="K395" s="131">
        <f>INDEX('Base de données Mono'!M:M,MATCH(B395,'Base de données Mono'!D:D,0))</f>
        <v>0.28472222222222221</v>
      </c>
      <c r="L395" s="131">
        <f>INDEX('Base de données Mono'!N:N,MATCH(B395,'Base de données Mono'!D:D,0))</f>
        <v>0.55208333333333337</v>
      </c>
      <c r="M395" s="33" t="s">
        <v>46</v>
      </c>
      <c r="N395" s="33">
        <f>IF(AND(E395="Electricité",M395="Hiver"),INDEX('Base de données Mono'!E:E,MATCH(B395,'Base de données Mono'!D:D,0)),IF(AND(E395="Electricité",M395="Mi-saison"),INDEX('Base de données Mono'!F:F,MATCH(B395,'Base de données Mono'!D:D,0)),IF(AND(E395="Electricité",M395="Eté"),INDEX('Base de données Mono'!G:G,MATCH(B395,'Base de données Mono'!D:D,0)),IF(AND(E395="Gaz",M395="Hiver"),INDEX('Base de données Mono'!J:J,MATCH(B395,'Base de données Mono'!D:D,0)),IF(AND(E395="Gaz",M395="Mi-saison"),INDEX('Base de données Mono'!#REF!,MATCH(B395,'Base de données Mono'!D:D,0)),IF(AND(E395="Gaz",M395="Eté"),INDEX('Base de données Mono'!#REF!,MATCH(B395,'Base de données Mono'!D:D,0)),"-"))))))</f>
        <v>65</v>
      </c>
      <c r="O395" s="123">
        <v>45386</v>
      </c>
      <c r="P395" s="123">
        <v>45387</v>
      </c>
      <c r="Q395" s="34">
        <v>85</v>
      </c>
      <c r="R395" s="33">
        <f t="shared" si="45"/>
        <v>20</v>
      </c>
      <c r="S395" s="34">
        <v>1</v>
      </c>
      <c r="T395" s="34">
        <f t="shared" si="46"/>
        <v>1</v>
      </c>
      <c r="U395" s="33">
        <f t="shared" si="47"/>
        <v>20</v>
      </c>
      <c r="V395" s="38" t="s">
        <v>827</v>
      </c>
      <c r="W395" s="39">
        <f t="shared" si="48"/>
        <v>0.30769230769230771</v>
      </c>
      <c r="X395" s="40" t="s">
        <v>304</v>
      </c>
      <c r="Y395" s="40" t="s">
        <v>283</v>
      </c>
      <c r="Z395" s="40" t="s">
        <v>749</v>
      </c>
      <c r="AA395" s="33" t="s">
        <v>749</v>
      </c>
      <c r="AB395" s="95"/>
      <c r="AC395" s="95"/>
    </row>
    <row r="396" spans="1:29" ht="14.45" hidden="1" customHeight="1" x14ac:dyDescent="0.25">
      <c r="A396" s="36" t="str">
        <f>INDEX('Base de données Mono'!C:C,MATCH(B396,'Base de données Mono'!D:D,0))</f>
        <v>ROUEN</v>
      </c>
      <c r="B396" t="s">
        <v>227</v>
      </c>
      <c r="C396" s="36" t="str">
        <f>INDEX('Base de données Mono'!B:B,MATCH(B396,'Base de données Mono'!D:D,0))</f>
        <v>Monoprix</v>
      </c>
      <c r="D396" s="36" t="str">
        <f>INDEX('Base de données Mono'!A:A,MATCH(B396,'Base de données Mono'!D:D,0))</f>
        <v>AD</v>
      </c>
      <c r="E396" s="37" t="s">
        <v>303</v>
      </c>
      <c r="F396" s="41">
        <f t="shared" si="43"/>
        <v>14</v>
      </c>
      <c r="G396" s="41">
        <f t="shared" si="44"/>
        <v>4</v>
      </c>
      <c r="H396">
        <v>8.67</v>
      </c>
      <c r="I396" s="131">
        <f>INDEX('Base de données Mono'!K:K,MATCH(B396,'Base de données Mono'!D:D,0))</f>
        <v>0.23611111111111113</v>
      </c>
      <c r="J396" s="131">
        <f>INDEX('Base de données Mono'!L:L,MATCH(B396,'Base de données Mono'!D:D,0))</f>
        <v>0.875</v>
      </c>
      <c r="K396" s="131">
        <f>INDEX('Base de données Mono'!M:M,MATCH(B396,'Base de données Mono'!D:D,0))</f>
        <v>0.28472222222222221</v>
      </c>
      <c r="L396" s="131">
        <f>INDEX('Base de données Mono'!N:N,MATCH(B396,'Base de données Mono'!D:D,0))</f>
        <v>0.55208333333333337</v>
      </c>
      <c r="M396" s="33" t="s">
        <v>46</v>
      </c>
      <c r="N396" s="33">
        <f>IF(AND(E396="Electricité",M396="Hiver"),INDEX('Base de données Mono'!E:E,MATCH(B396,'Base de données Mono'!D:D,0)),IF(AND(E396="Electricité",M396="Mi-saison"),INDEX('Base de données Mono'!F:F,MATCH(B396,'Base de données Mono'!D:D,0)),IF(AND(E396="Electricité",M396="Eté"),INDEX('Base de données Mono'!G:G,MATCH(B396,'Base de données Mono'!D:D,0)),IF(AND(E396="Gaz",M396="Hiver"),INDEX('Base de données Mono'!J:J,MATCH(B396,'Base de données Mono'!D:D,0)),IF(AND(E396="Gaz",M396="Mi-saison"),INDEX('Base de données Mono'!#REF!,MATCH(B396,'Base de données Mono'!D:D,0)),IF(AND(E396="Gaz",M396="Eté"),INDEX('Base de données Mono'!#REF!,MATCH(B396,'Base de données Mono'!D:D,0)),"-"))))))</f>
        <v>65</v>
      </c>
      <c r="O396" s="123">
        <v>45387</v>
      </c>
      <c r="P396" s="123">
        <v>45389</v>
      </c>
      <c r="Q396" s="34">
        <v>70</v>
      </c>
      <c r="R396" s="33">
        <f t="shared" si="45"/>
        <v>5</v>
      </c>
      <c r="S396" s="34">
        <v>8</v>
      </c>
      <c r="T396" s="34">
        <f t="shared" si="46"/>
        <v>2</v>
      </c>
      <c r="U396" s="33">
        <f t="shared" si="47"/>
        <v>80</v>
      </c>
      <c r="V396" s="38" t="s">
        <v>827</v>
      </c>
      <c r="W396" s="39">
        <f t="shared" si="48"/>
        <v>7.6923076923076927E-2</v>
      </c>
      <c r="X396" s="40" t="s">
        <v>304</v>
      </c>
      <c r="Y396" s="40" t="s">
        <v>283</v>
      </c>
      <c r="Z396" s="40" t="s">
        <v>749</v>
      </c>
      <c r="AA396" s="33" t="s">
        <v>749</v>
      </c>
      <c r="AB396" s="95"/>
      <c r="AC396" s="95"/>
    </row>
    <row r="397" spans="1:29" ht="14.45" hidden="1" customHeight="1" x14ac:dyDescent="0.25">
      <c r="A397" s="36" t="str">
        <f>INDEX('Base de données Mono'!C:C,MATCH(B397,'Base de données Mono'!D:D,0))</f>
        <v>REPUBLIQUE</v>
      </c>
      <c r="B397" t="s">
        <v>221</v>
      </c>
      <c r="C397" s="36" t="str">
        <f>INDEX('Base de données Mono'!B:B,MATCH(B397,'Base de données Mono'!D:D,0))</f>
        <v>SES8</v>
      </c>
      <c r="D397" s="36" t="str">
        <f>INDEX('Base de données Mono'!A:A,MATCH(B397,'Base de données Mono'!D:D,0))</f>
        <v>JG</v>
      </c>
      <c r="E397" s="37" t="s">
        <v>303</v>
      </c>
      <c r="F397" s="41">
        <f>IF(O397="","-",IF(AND(X397="Nuit",WEEKDAY(O397,2)=7,O397&lt;&gt;P397),WEEKNUM(O397,2),WEEKNUM(O397,2)-1))+1</f>
        <v>14</v>
      </c>
      <c r="G397" s="41">
        <f>IF(O397="","-",MONTH(O397))</f>
        <v>4</v>
      </c>
      <c r="H397">
        <v>7.08</v>
      </c>
      <c r="I397" s="131">
        <f>INDEX('Base de données Mono'!K:K,MATCH(B397,'Base de données Mono'!D:D,0))</f>
        <v>0.24305555555555555</v>
      </c>
      <c r="J397" s="131">
        <f>INDEX('Base de données Mono'!L:L,MATCH(B397,'Base de données Mono'!D:D,0))</f>
        <v>0.94791666666666663</v>
      </c>
      <c r="K397" s="131">
        <f>INDEX('Base de données Mono'!M:M,MATCH(B397,'Base de données Mono'!D:D,0))</f>
        <v>0.25</v>
      </c>
      <c r="L397" s="131">
        <f>INDEX('Base de données Mono'!N:N,MATCH(B397,'Base de données Mono'!D:D,0))</f>
        <v>0.54166666666666663</v>
      </c>
      <c r="M397" s="33" t="s">
        <v>46</v>
      </c>
      <c r="N397" s="33">
        <f>IF(AND(E397="Electricité",M397="Hiver"),INDEX('Base de données Mono'!E:E,MATCH(B397,'Base de données Mono'!D:D,0)),IF(AND(E397="Electricité",M397="Mi-saison"),INDEX('Base de données Mono'!F:F,MATCH(B397,'Base de données Mono'!D:D,0)),IF(AND(E397="Electricité",M397="Eté"),INDEX('Base de données Mono'!G:G,MATCH(B397,'Base de données Mono'!D:D,0)),IF(AND(E397="Gaz",M397="Hiver"),INDEX('Base de données Mono'!J:J,MATCH(B397,'Base de données Mono'!D:D,0)),IF(AND(E397="Gaz",M397="Mi-saison"),INDEX('Base de données Mono'!#REF!,MATCH(B397,'Base de données Mono'!D:D,0)),IF(AND(E397="Gaz",M397="Eté"),INDEX('Base de données Mono'!#REF!,MATCH(B397,'Base de données Mono'!D:D,0)),"-"))))))</f>
        <v>75</v>
      </c>
      <c r="O397" s="123">
        <v>45386</v>
      </c>
      <c r="P397" s="123">
        <v>45389</v>
      </c>
      <c r="Q397" s="34">
        <v>85</v>
      </c>
      <c r="R397" s="33">
        <f>IF(Q397="","",Q397-N397)</f>
        <v>10</v>
      </c>
      <c r="S397" s="34">
        <v>7</v>
      </c>
      <c r="T397" s="34">
        <f>P397-O397</f>
        <v>3</v>
      </c>
      <c r="U397" s="33">
        <f>R397*S397*T397</f>
        <v>210</v>
      </c>
      <c r="V397" s="38" t="s">
        <v>827</v>
      </c>
      <c r="W397" s="39">
        <f>IFERROR(IF(E397="Gaz","-",R397/N397),"-")</f>
        <v>0.13333333333333333</v>
      </c>
      <c r="X397" s="40" t="s">
        <v>304</v>
      </c>
      <c r="Y397" s="40" t="s">
        <v>283</v>
      </c>
      <c r="Z397" s="40" t="s">
        <v>749</v>
      </c>
      <c r="AA397" s="33" t="s">
        <v>749</v>
      </c>
      <c r="AB397" s="95"/>
      <c r="AC397" s="95"/>
    </row>
    <row r="398" spans="1:29" ht="14.45" hidden="1" customHeight="1" x14ac:dyDescent="0.25">
      <c r="A398" s="36" t="str">
        <f>INDEX('Base de données Mono'!C:C,MATCH(B398,'Base de données Mono'!D:D,0))</f>
        <v>REPUBLIQUE</v>
      </c>
      <c r="B398" t="s">
        <v>221</v>
      </c>
      <c r="C398" s="36" t="str">
        <f>INDEX('Base de données Mono'!B:B,MATCH(B398,'Base de données Mono'!D:D,0))</f>
        <v>SES8</v>
      </c>
      <c r="D398" s="36" t="str">
        <f>INDEX('Base de données Mono'!A:A,MATCH(B398,'Base de données Mono'!D:D,0))</f>
        <v>JG</v>
      </c>
      <c r="E398" s="37" t="s">
        <v>303</v>
      </c>
      <c r="F398" s="41">
        <f t="shared" si="43"/>
        <v>14</v>
      </c>
      <c r="G398" s="41">
        <f t="shared" si="44"/>
        <v>4</v>
      </c>
      <c r="H398">
        <v>7.08</v>
      </c>
      <c r="I398" s="131">
        <f>INDEX('Base de données Mono'!K:K,MATCH(B398,'Base de données Mono'!D:D,0))</f>
        <v>0.24305555555555555</v>
      </c>
      <c r="J398" s="131">
        <f>INDEX('Base de données Mono'!L:L,MATCH(B398,'Base de données Mono'!D:D,0))</f>
        <v>0.94791666666666663</v>
      </c>
      <c r="K398" s="131">
        <f>INDEX('Base de données Mono'!M:M,MATCH(B398,'Base de données Mono'!D:D,0))</f>
        <v>0.25</v>
      </c>
      <c r="L398" s="131">
        <f>INDEX('Base de données Mono'!N:N,MATCH(B398,'Base de données Mono'!D:D,0))</f>
        <v>0.54166666666666663</v>
      </c>
      <c r="M398" s="33" t="s">
        <v>46</v>
      </c>
      <c r="N398" s="33">
        <f>IF(AND(E398="Electricité",M398="Hiver"),INDEX('Base de données Mono'!E:E,MATCH(B398,'Base de données Mono'!D:D,0)),IF(AND(E398="Electricité",M398="Mi-saison"),INDEX('Base de données Mono'!F:F,MATCH(B398,'Base de données Mono'!D:D,0)),IF(AND(E398="Electricité",M398="Eté"),INDEX('Base de données Mono'!G:G,MATCH(B398,'Base de données Mono'!D:D,0)),IF(AND(E398="Gaz",M398="Hiver"),INDEX('Base de données Mono'!J:J,MATCH(B398,'Base de données Mono'!D:D,0)),IF(AND(E398="Gaz",M398="Mi-saison"),INDEX('Base de données Mono'!#REF!,MATCH(B398,'Base de données Mono'!D:D,0)),IF(AND(E398="Gaz",M398="Eté"),INDEX('Base de données Mono'!#REF!,MATCH(B398,'Base de données Mono'!D:D,0)),"-"))))))</f>
        <v>75</v>
      </c>
      <c r="O398" s="123">
        <v>45389</v>
      </c>
      <c r="P398" s="123">
        <v>45389</v>
      </c>
      <c r="Q398" s="34">
        <v>130</v>
      </c>
      <c r="R398" s="33">
        <f t="shared" si="45"/>
        <v>55</v>
      </c>
      <c r="S398" s="34">
        <v>7</v>
      </c>
      <c r="T398" s="34">
        <v>1</v>
      </c>
      <c r="U398" s="33">
        <f t="shared" si="47"/>
        <v>385</v>
      </c>
      <c r="V398" s="38" t="s">
        <v>827</v>
      </c>
      <c r="W398" s="39">
        <f t="shared" si="48"/>
        <v>0.73333333333333328</v>
      </c>
      <c r="X398" s="40" t="s">
        <v>730</v>
      </c>
      <c r="Y398" s="40" t="s">
        <v>284</v>
      </c>
      <c r="Z398" s="40" t="s">
        <v>307</v>
      </c>
      <c r="AA398" s="33" t="s">
        <v>308</v>
      </c>
      <c r="AB398" s="95"/>
      <c r="AC398" s="95"/>
    </row>
    <row r="399" spans="1:29" ht="14.45" hidden="1" customHeight="1" x14ac:dyDescent="0.25">
      <c r="A399" s="36" t="str">
        <f>INDEX('Base de données Mono'!C:C,MATCH(B399,'Base de données Mono'!D:D,0))</f>
        <v>MARSEILLE BLANCARDE</v>
      </c>
      <c r="B399" t="s">
        <v>172</v>
      </c>
      <c r="C399" s="36" t="str">
        <f>INDEX('Base de données Mono'!B:B,MATCH(B399,'Base de données Mono'!D:D,0))</f>
        <v>Monoprix</v>
      </c>
      <c r="D399" s="36" t="str">
        <f>INDEX('Base de données Mono'!A:A,MATCH(B399,'Base de données Mono'!D:D,0))</f>
        <v>JG</v>
      </c>
      <c r="E399" s="37" t="s">
        <v>303</v>
      </c>
      <c r="F399" s="41">
        <f t="shared" si="43"/>
        <v>14</v>
      </c>
      <c r="G399" s="41">
        <f t="shared" si="44"/>
        <v>4</v>
      </c>
      <c r="H399">
        <v>8.67</v>
      </c>
      <c r="I399" s="131">
        <f>INDEX('Base de données Mono'!K:K,MATCH(B399,'Base de données Mono'!D:D,0))</f>
        <v>0.23611111111111113</v>
      </c>
      <c r="J399" s="131">
        <f>INDEX('Base de données Mono'!L:L,MATCH(B399,'Base de données Mono'!D:D,0))</f>
        <v>0.875</v>
      </c>
      <c r="K399" s="131">
        <f>INDEX('Base de données Mono'!M:M,MATCH(B399,'Base de données Mono'!D:D,0))</f>
        <v>0.3125</v>
      </c>
      <c r="L399" s="131">
        <f>INDEX('Base de données Mono'!N:N,MATCH(B399,'Base de données Mono'!D:D,0))</f>
        <v>0.54166666666666663</v>
      </c>
      <c r="M399" s="33" t="s">
        <v>46</v>
      </c>
      <c r="N399" s="33">
        <f>IF(AND(E399="Electricité",M399="Hiver"),INDEX('Base de données Mono'!E:E,MATCH(B399,'Base de données Mono'!D:D,0)),IF(AND(E399="Electricité",M399="Mi-saison"),INDEX('Base de données Mono'!F:F,MATCH(B399,'Base de données Mono'!D:D,0)),IF(AND(E399="Electricité",M399="Eté"),INDEX('Base de données Mono'!G:G,MATCH(B399,'Base de données Mono'!D:D,0)),IF(AND(E399="Gaz",M399="Hiver"),INDEX('Base de données Mono'!J:J,MATCH(B399,'Base de données Mono'!D:D,0)),IF(AND(E399="Gaz",M399="Mi-saison"),INDEX('Base de données Mono'!#REF!,MATCH(B399,'Base de données Mono'!D:D,0)),IF(AND(E399="Gaz",M399="Eté"),INDEX('Base de données Mono'!#REF!,MATCH(B399,'Base de données Mono'!D:D,0)),"-"))))))</f>
        <v>30</v>
      </c>
      <c r="O399" s="123">
        <v>45383</v>
      </c>
      <c r="P399" s="123">
        <v>45388</v>
      </c>
      <c r="Q399" s="34">
        <v>55</v>
      </c>
      <c r="R399" s="33">
        <f t="shared" si="45"/>
        <v>25</v>
      </c>
      <c r="S399" s="34">
        <v>9</v>
      </c>
      <c r="T399" s="34">
        <f t="shared" si="46"/>
        <v>5</v>
      </c>
      <c r="U399" s="33">
        <f t="shared" si="47"/>
        <v>1125</v>
      </c>
      <c r="V399" s="38" t="s">
        <v>827</v>
      </c>
      <c r="W399" s="39">
        <f t="shared" si="48"/>
        <v>0.83333333333333337</v>
      </c>
      <c r="X399" s="40" t="s">
        <v>304</v>
      </c>
      <c r="Y399" s="40" t="s">
        <v>283</v>
      </c>
      <c r="Z399" s="40" t="s">
        <v>749</v>
      </c>
      <c r="AA399" s="33" t="s">
        <v>749</v>
      </c>
      <c r="AB399" s="95"/>
      <c r="AC399" s="95"/>
    </row>
    <row r="400" spans="1:29" ht="14.45" hidden="1" customHeight="1" x14ac:dyDescent="0.25">
      <c r="A400" s="36" t="str">
        <f>INDEX('Base de données Mono'!C:C,MATCH(B400,'Base de données Mono'!D:D,0))</f>
        <v>MARSEILLE BLANCARDE</v>
      </c>
      <c r="B400" t="s">
        <v>172</v>
      </c>
      <c r="C400" s="36" t="str">
        <f>INDEX('Base de données Mono'!B:B,MATCH(B400,'Base de données Mono'!D:D,0))</f>
        <v>Monoprix</v>
      </c>
      <c r="D400" s="36" t="str">
        <f>INDEX('Base de données Mono'!A:A,MATCH(B400,'Base de données Mono'!D:D,0))</f>
        <v>JG</v>
      </c>
      <c r="E400" s="37" t="s">
        <v>303</v>
      </c>
      <c r="F400" s="41">
        <f t="shared" si="43"/>
        <v>14</v>
      </c>
      <c r="G400" s="41">
        <f t="shared" si="44"/>
        <v>4</v>
      </c>
      <c r="H400">
        <v>8.67</v>
      </c>
      <c r="I400" s="131">
        <f>INDEX('Base de données Mono'!K:K,MATCH(B400,'Base de données Mono'!D:D,0))</f>
        <v>0.23611111111111113</v>
      </c>
      <c r="J400" s="131">
        <f>INDEX('Base de données Mono'!L:L,MATCH(B400,'Base de données Mono'!D:D,0))</f>
        <v>0.875</v>
      </c>
      <c r="K400" s="131">
        <f>INDEX('Base de données Mono'!M:M,MATCH(B400,'Base de données Mono'!D:D,0))</f>
        <v>0.3125</v>
      </c>
      <c r="L400" s="131">
        <f>INDEX('Base de données Mono'!N:N,MATCH(B400,'Base de données Mono'!D:D,0))</f>
        <v>0.54166666666666663</v>
      </c>
      <c r="M400" s="33" t="s">
        <v>46</v>
      </c>
      <c r="N400" s="33">
        <f>IF(AND(E400="Electricité",M400="Hiver"),INDEX('Base de données Mono'!E:E,MATCH(B400,'Base de données Mono'!D:D,0)),IF(AND(E400="Electricité",M400="Mi-saison"),INDEX('Base de données Mono'!F:F,MATCH(B400,'Base de données Mono'!D:D,0)),IF(AND(E400="Electricité",M400="Eté"),INDEX('Base de données Mono'!G:G,MATCH(B400,'Base de données Mono'!D:D,0)),IF(AND(E400="Gaz",M400="Hiver"),INDEX('Base de données Mono'!J:J,MATCH(B400,'Base de données Mono'!D:D,0)),IF(AND(E400="Gaz",M400="Mi-saison"),INDEX('Base de données Mono'!#REF!,MATCH(B400,'Base de données Mono'!D:D,0)),IF(AND(E400="Gaz",M400="Eté"),INDEX('Base de données Mono'!#REF!,MATCH(B400,'Base de données Mono'!D:D,0)),"-"))))))</f>
        <v>30</v>
      </c>
      <c r="O400" s="123">
        <v>45388</v>
      </c>
      <c r="P400" s="123">
        <v>45389</v>
      </c>
      <c r="Q400" s="34">
        <v>52.5</v>
      </c>
      <c r="R400" s="33">
        <f t="shared" si="45"/>
        <v>22.5</v>
      </c>
      <c r="S400" s="34">
        <v>6</v>
      </c>
      <c r="T400" s="34">
        <f t="shared" si="46"/>
        <v>1</v>
      </c>
      <c r="U400" s="33">
        <f t="shared" si="47"/>
        <v>135</v>
      </c>
      <c r="V400" s="38" t="s">
        <v>827</v>
      </c>
      <c r="W400" s="39">
        <f t="shared" si="48"/>
        <v>0.75</v>
      </c>
      <c r="X400" s="40" t="s">
        <v>304</v>
      </c>
      <c r="Y400" s="40" t="s">
        <v>283</v>
      </c>
      <c r="Z400" s="40" t="s">
        <v>749</v>
      </c>
      <c r="AA400" s="33" t="s">
        <v>749</v>
      </c>
      <c r="AB400" s="95"/>
      <c r="AC400" s="95"/>
    </row>
    <row r="401" spans="1:29" ht="14.45" hidden="1" customHeight="1" x14ac:dyDescent="0.25">
      <c r="A401" s="36" t="str">
        <f>INDEX('Base de données Mono'!C:C,MATCH(B401,'Base de données Mono'!D:D,0))</f>
        <v>MULHOUSE</v>
      </c>
      <c r="B401" t="s">
        <v>184</v>
      </c>
      <c r="C401" s="36" t="str">
        <f>INDEX('Base de données Mono'!B:B,MATCH(B401,'Base de données Mono'!D:D,0))</f>
        <v>SES8</v>
      </c>
      <c r="D401" s="36" t="str">
        <f>INDEX('Base de données Mono'!A:A,MATCH(B401,'Base de données Mono'!D:D,0))</f>
        <v>JG</v>
      </c>
      <c r="E401" s="37" t="s">
        <v>303</v>
      </c>
      <c r="F401" s="41">
        <f t="shared" si="43"/>
        <v>14</v>
      </c>
      <c r="G401" s="41">
        <f t="shared" si="44"/>
        <v>4</v>
      </c>
      <c r="H401">
        <v>9.58</v>
      </c>
      <c r="I401" s="131">
        <f>INDEX('Base de données Mono'!K:K,MATCH(B401,'Base de données Mono'!D:D,0))</f>
        <v>0.24305555555555555</v>
      </c>
      <c r="J401" s="131">
        <f>INDEX('Base de données Mono'!L:L,MATCH(B401,'Base de données Mono'!D:D,0))</f>
        <v>0.84375</v>
      </c>
      <c r="K401" s="131" t="str">
        <f>INDEX('Base de données Mono'!M:M,MATCH(B401,'Base de données Mono'!D:D,0))</f>
        <v>-</v>
      </c>
      <c r="L401" s="131" t="str">
        <f>INDEX('Base de données Mono'!N:N,MATCH(B401,'Base de données Mono'!D:D,0))</f>
        <v>-</v>
      </c>
      <c r="M401" s="33" t="s">
        <v>46</v>
      </c>
      <c r="N401" s="33">
        <f>IF(AND(E401="Electricité",M401="Hiver"),INDEX('Base de données Mono'!E:E,MATCH(B401,'Base de données Mono'!D:D,0)),IF(AND(E401="Electricité",M401="Mi-saison"),INDEX('Base de données Mono'!F:F,MATCH(B401,'Base de données Mono'!D:D,0)),IF(AND(E401="Electricité",M401="Eté"),INDEX('Base de données Mono'!G:G,MATCH(B401,'Base de données Mono'!D:D,0)),IF(AND(E401="Gaz",M401="Hiver"),INDEX('Base de données Mono'!J:J,MATCH(B401,'Base de données Mono'!D:D,0)),IF(AND(E401="Gaz",M401="Mi-saison"),INDEX('Base de données Mono'!#REF!,MATCH(B401,'Base de données Mono'!D:D,0)),IF(AND(E401="Gaz",M401="Eté"),INDEX('Base de données Mono'!#REF!,MATCH(B401,'Base de données Mono'!D:D,0)),"-"))))))</f>
        <v>45</v>
      </c>
      <c r="O401" s="123">
        <v>45383</v>
      </c>
      <c r="P401" s="123">
        <v>45389</v>
      </c>
      <c r="Q401" s="34">
        <v>65</v>
      </c>
      <c r="R401" s="33">
        <f t="shared" si="45"/>
        <v>20</v>
      </c>
      <c r="S401" s="34">
        <v>1</v>
      </c>
      <c r="T401" s="34">
        <f t="shared" si="46"/>
        <v>6</v>
      </c>
      <c r="U401" s="33">
        <f t="shared" si="47"/>
        <v>120</v>
      </c>
      <c r="V401" s="38" t="s">
        <v>827</v>
      </c>
      <c r="W401" s="39">
        <f t="shared" si="48"/>
        <v>0.44444444444444442</v>
      </c>
      <c r="X401" s="40" t="s">
        <v>304</v>
      </c>
      <c r="Y401" s="40" t="s">
        <v>284</v>
      </c>
      <c r="Z401" s="40" t="s">
        <v>307</v>
      </c>
      <c r="AA401" s="33" t="s">
        <v>313</v>
      </c>
      <c r="AB401" s="95"/>
      <c r="AC401" s="95"/>
    </row>
    <row r="402" spans="1:29" ht="14.45" hidden="1" customHeight="1" x14ac:dyDescent="0.25">
      <c r="A402" s="36" t="str">
        <f>INDEX('Base de données Mono'!C:C,MATCH(B402,'Base de données Mono'!D:D,0))</f>
        <v>MULHOUSE</v>
      </c>
      <c r="B402" t="s">
        <v>184</v>
      </c>
      <c r="C402" s="36" t="str">
        <f>INDEX('Base de données Mono'!B:B,MATCH(B402,'Base de données Mono'!D:D,0))</f>
        <v>SES8</v>
      </c>
      <c r="D402" s="36" t="str">
        <f>INDEX('Base de données Mono'!A:A,MATCH(B402,'Base de données Mono'!D:D,0))</f>
        <v>JG</v>
      </c>
      <c r="E402" s="37" t="s">
        <v>303</v>
      </c>
      <c r="F402" s="41">
        <f t="shared" si="43"/>
        <v>14</v>
      </c>
      <c r="G402" s="41">
        <f t="shared" si="44"/>
        <v>4</v>
      </c>
      <c r="H402">
        <v>9.58</v>
      </c>
      <c r="I402" s="131">
        <f>INDEX('Base de données Mono'!K:K,MATCH(B402,'Base de données Mono'!D:D,0))</f>
        <v>0.24305555555555555</v>
      </c>
      <c r="J402" s="131">
        <f>INDEX('Base de données Mono'!L:L,MATCH(B402,'Base de données Mono'!D:D,0))</f>
        <v>0.84375</v>
      </c>
      <c r="K402" s="131" t="str">
        <f>INDEX('Base de données Mono'!M:M,MATCH(B402,'Base de données Mono'!D:D,0))</f>
        <v>-</v>
      </c>
      <c r="L402" s="131" t="str">
        <f>INDEX('Base de données Mono'!N:N,MATCH(B402,'Base de données Mono'!D:D,0))</f>
        <v>-</v>
      </c>
      <c r="M402" s="33" t="s">
        <v>46</v>
      </c>
      <c r="N402" s="33">
        <f>IF(AND(E402="Electricité",M402="Hiver"),INDEX('Base de données Mono'!E:E,MATCH(B402,'Base de données Mono'!D:D,0)),IF(AND(E402="Electricité",M402="Mi-saison"),INDEX('Base de données Mono'!F:F,MATCH(B402,'Base de données Mono'!D:D,0)),IF(AND(E402="Electricité",M402="Eté"),INDEX('Base de données Mono'!G:G,MATCH(B402,'Base de données Mono'!D:D,0)),IF(AND(E402="Gaz",M402="Hiver"),INDEX('Base de données Mono'!J:J,MATCH(B402,'Base de données Mono'!D:D,0)),IF(AND(E402="Gaz",M402="Mi-saison"),INDEX('Base de données Mono'!#REF!,MATCH(B402,'Base de données Mono'!D:D,0)),IF(AND(E402="Gaz",M402="Eté"),INDEX('Base de données Mono'!#REF!,MATCH(B402,'Base de données Mono'!D:D,0)),"-"))))))</f>
        <v>45</v>
      </c>
      <c r="O402" s="123">
        <v>45383</v>
      </c>
      <c r="P402" s="123">
        <v>45389</v>
      </c>
      <c r="Q402" s="34">
        <v>50</v>
      </c>
      <c r="R402" s="33">
        <f t="shared" si="45"/>
        <v>5</v>
      </c>
      <c r="S402" s="34">
        <v>8</v>
      </c>
      <c r="T402" s="34">
        <f t="shared" si="46"/>
        <v>6</v>
      </c>
      <c r="U402" s="33">
        <f t="shared" si="47"/>
        <v>240</v>
      </c>
      <c r="V402" s="38" t="s">
        <v>827</v>
      </c>
      <c r="W402" s="39">
        <f t="shared" si="48"/>
        <v>0.1111111111111111</v>
      </c>
      <c r="X402" s="40" t="s">
        <v>304</v>
      </c>
      <c r="Y402" s="40" t="s">
        <v>284</v>
      </c>
      <c r="Z402" s="40" t="s">
        <v>305</v>
      </c>
      <c r="AA402" s="33" t="s">
        <v>771</v>
      </c>
      <c r="AB402" s="95"/>
      <c r="AC402" s="95"/>
    </row>
    <row r="403" spans="1:29" ht="14.45" hidden="1" customHeight="1" x14ac:dyDescent="0.25">
      <c r="A403" s="36" t="str">
        <f>INDEX('Base de données Mono'!C:C,MATCH(B403,'Base de données Mono'!D:D,0))</f>
        <v>MULHOUSE</v>
      </c>
      <c r="B403" t="s">
        <v>184</v>
      </c>
      <c r="C403" s="36" t="str">
        <f>INDEX('Base de données Mono'!B:B,MATCH(B403,'Base de données Mono'!D:D,0))</f>
        <v>SES8</v>
      </c>
      <c r="D403" s="36" t="str">
        <f>INDEX('Base de données Mono'!A:A,MATCH(B403,'Base de données Mono'!D:D,0))</f>
        <v>JG</v>
      </c>
      <c r="E403" s="37" t="s">
        <v>303</v>
      </c>
      <c r="F403" s="41">
        <f t="shared" si="43"/>
        <v>14</v>
      </c>
      <c r="G403" s="41">
        <f t="shared" si="44"/>
        <v>4</v>
      </c>
      <c r="H403">
        <v>9.58</v>
      </c>
      <c r="I403" s="131">
        <f>INDEX('Base de données Mono'!K:K,MATCH(B403,'Base de données Mono'!D:D,0))</f>
        <v>0.24305555555555555</v>
      </c>
      <c r="J403" s="131">
        <f>INDEX('Base de données Mono'!L:L,MATCH(B403,'Base de données Mono'!D:D,0))</f>
        <v>0.84375</v>
      </c>
      <c r="K403" s="131" t="str">
        <f>INDEX('Base de données Mono'!M:M,MATCH(B403,'Base de données Mono'!D:D,0))</f>
        <v>-</v>
      </c>
      <c r="L403" s="131" t="str">
        <f>INDEX('Base de données Mono'!N:N,MATCH(B403,'Base de données Mono'!D:D,0))</f>
        <v>-</v>
      </c>
      <c r="M403" s="33" t="s">
        <v>46</v>
      </c>
      <c r="N403" s="33">
        <f>IF(AND(E403="Electricité",M403="Hiver"),INDEX('Base de données Mono'!E:E,MATCH(B403,'Base de données Mono'!D:D,0)),IF(AND(E403="Electricité",M403="Mi-saison"),INDEX('Base de données Mono'!F:F,MATCH(B403,'Base de données Mono'!D:D,0)),IF(AND(E403="Electricité",M403="Eté"),INDEX('Base de données Mono'!G:G,MATCH(B403,'Base de données Mono'!D:D,0)),IF(AND(E403="Gaz",M403="Hiver"),INDEX('Base de données Mono'!J:J,MATCH(B403,'Base de données Mono'!D:D,0)),IF(AND(E403="Gaz",M403="Mi-saison"),INDEX('Base de données Mono'!#REF!,MATCH(B403,'Base de données Mono'!D:D,0)),IF(AND(E403="Gaz",M403="Eté"),INDEX('Base de données Mono'!#REF!,MATCH(B403,'Base de données Mono'!D:D,0)),"-"))))))</f>
        <v>45</v>
      </c>
      <c r="O403" s="123">
        <v>45389</v>
      </c>
      <c r="P403" s="123">
        <v>45389</v>
      </c>
      <c r="Q403" s="34">
        <v>75</v>
      </c>
      <c r="R403" s="33">
        <f t="shared" si="45"/>
        <v>30</v>
      </c>
      <c r="S403" s="34">
        <v>14.3</v>
      </c>
      <c r="T403" s="34">
        <v>1</v>
      </c>
      <c r="U403" s="33">
        <f t="shared" si="47"/>
        <v>429</v>
      </c>
      <c r="V403" s="38" t="s">
        <v>827</v>
      </c>
      <c r="W403" s="39">
        <f t="shared" si="48"/>
        <v>0.66666666666666663</v>
      </c>
      <c r="X403" s="40" t="s">
        <v>730</v>
      </c>
      <c r="Y403" s="40" t="s">
        <v>284</v>
      </c>
      <c r="Z403" s="40" t="s">
        <v>307</v>
      </c>
      <c r="AA403" s="33" t="s">
        <v>308</v>
      </c>
      <c r="AB403" s="95"/>
      <c r="AC403" s="95"/>
    </row>
    <row r="404" spans="1:29" ht="14.45" hidden="1" customHeight="1" x14ac:dyDescent="0.25">
      <c r="A404" s="36" t="str">
        <f>INDEX('Base de données Mono'!C:C,MATCH(B404,'Base de données Mono'!D:D,0))</f>
        <v>CREPY</v>
      </c>
      <c r="B404" t="s">
        <v>114</v>
      </c>
      <c r="C404" s="36" t="str">
        <f>INDEX('Base de données Mono'!B:B,MATCH(B404,'Base de données Mono'!D:D,0))</f>
        <v>Monoprix</v>
      </c>
      <c r="D404" s="36" t="str">
        <f>INDEX('Base de données Mono'!A:A,MATCH(B404,'Base de données Mono'!D:D,0))</f>
        <v>JG</v>
      </c>
      <c r="E404" s="37" t="s">
        <v>303</v>
      </c>
      <c r="F404" s="41">
        <f t="shared" si="43"/>
        <v>14</v>
      </c>
      <c r="G404" s="41">
        <f t="shared" si="44"/>
        <v>4</v>
      </c>
      <c r="H404">
        <v>9.5</v>
      </c>
      <c r="I404" s="131">
        <f>INDEX('Base de données Mono'!K:K,MATCH(B404,'Base de données Mono'!D:D,0))</f>
        <v>0.25</v>
      </c>
      <c r="J404" s="131">
        <f>INDEX('Base de données Mono'!L:L,MATCH(B404,'Base de données Mono'!D:D,0))</f>
        <v>0.85416666666666663</v>
      </c>
      <c r="K404" s="131">
        <f>INDEX('Base de données Mono'!M:M,MATCH(B404,'Base de données Mono'!D:D,0))</f>
        <v>0.27083333333333331</v>
      </c>
      <c r="L404" s="131">
        <f>INDEX('Base de données Mono'!N:N,MATCH(B404,'Base de données Mono'!D:D,0))</f>
        <v>0.5625</v>
      </c>
      <c r="M404" s="33" t="s">
        <v>46</v>
      </c>
      <c r="N404" s="33">
        <f>IF(AND(E404="Electricité",M404="Hiver"),INDEX('Base de données Mono'!E:E,MATCH(B404,'Base de données Mono'!D:D,0)),IF(AND(E404="Electricité",M404="Mi-saison"),INDEX('Base de données Mono'!F:F,MATCH(B404,'Base de données Mono'!D:D,0)),IF(AND(E404="Electricité",M404="Eté"),INDEX('Base de données Mono'!G:G,MATCH(B404,'Base de données Mono'!D:D,0)),IF(AND(E404="Gaz",M404="Hiver"),INDEX('Base de données Mono'!J:J,MATCH(B404,'Base de données Mono'!D:D,0)),IF(AND(E404="Gaz",M404="Mi-saison"),INDEX('Base de données Mono'!#REF!,MATCH(B404,'Base de données Mono'!D:D,0)),IF(AND(E404="Gaz",M404="Eté"),INDEX('Base de données Mono'!#REF!,MATCH(B404,'Base de données Mono'!D:D,0)),"-"))))))</f>
        <v>50</v>
      </c>
      <c r="O404" s="123">
        <v>45383</v>
      </c>
      <c r="P404" s="123">
        <v>45385</v>
      </c>
      <c r="Q404" s="34">
        <v>75</v>
      </c>
      <c r="R404" s="33">
        <f t="shared" si="45"/>
        <v>25</v>
      </c>
      <c r="S404" s="34">
        <v>1</v>
      </c>
      <c r="T404" s="34">
        <f t="shared" si="46"/>
        <v>2</v>
      </c>
      <c r="U404" s="33">
        <f t="shared" si="47"/>
        <v>50</v>
      </c>
      <c r="V404" s="38" t="s">
        <v>827</v>
      </c>
      <c r="W404" s="39">
        <f t="shared" si="48"/>
        <v>0.5</v>
      </c>
      <c r="X404" s="40" t="s">
        <v>304</v>
      </c>
      <c r="Y404" s="40" t="s">
        <v>283</v>
      </c>
      <c r="Z404" s="40" t="s">
        <v>749</v>
      </c>
      <c r="AA404" s="33" t="s">
        <v>749</v>
      </c>
      <c r="AB404" s="95"/>
      <c r="AC404" s="95"/>
    </row>
    <row r="405" spans="1:29" ht="14.45" hidden="1" customHeight="1" x14ac:dyDescent="0.25">
      <c r="A405" s="36" t="str">
        <f>INDEX('Base de données Mono'!C:C,MATCH(B405,'Base de données Mono'!D:D,0))</f>
        <v>CREPY</v>
      </c>
      <c r="B405" t="s">
        <v>114</v>
      </c>
      <c r="C405" s="36" t="str">
        <f>INDEX('Base de données Mono'!B:B,MATCH(B405,'Base de données Mono'!D:D,0))</f>
        <v>Monoprix</v>
      </c>
      <c r="D405" s="36" t="str">
        <f>INDEX('Base de données Mono'!A:A,MATCH(B405,'Base de données Mono'!D:D,0))</f>
        <v>JG</v>
      </c>
      <c r="E405" s="37" t="s">
        <v>303</v>
      </c>
      <c r="F405" s="41">
        <f t="shared" si="43"/>
        <v>14</v>
      </c>
      <c r="G405" s="41">
        <f t="shared" si="44"/>
        <v>4</v>
      </c>
      <c r="H405">
        <v>9.5</v>
      </c>
      <c r="I405" s="131">
        <f>INDEX('Base de données Mono'!K:K,MATCH(B405,'Base de données Mono'!D:D,0))</f>
        <v>0.25</v>
      </c>
      <c r="J405" s="131">
        <f>INDEX('Base de données Mono'!L:L,MATCH(B405,'Base de données Mono'!D:D,0))</f>
        <v>0.85416666666666663</v>
      </c>
      <c r="K405" s="131">
        <f>INDEX('Base de données Mono'!M:M,MATCH(B405,'Base de données Mono'!D:D,0))</f>
        <v>0.27083333333333331</v>
      </c>
      <c r="L405" s="131">
        <f>INDEX('Base de données Mono'!N:N,MATCH(B405,'Base de données Mono'!D:D,0))</f>
        <v>0.5625</v>
      </c>
      <c r="M405" s="33" t="s">
        <v>46</v>
      </c>
      <c r="N405" s="33">
        <f>IF(AND(E405="Electricité",M405="Hiver"),INDEX('Base de données Mono'!E:E,MATCH(B405,'Base de données Mono'!D:D,0)),IF(AND(E405="Electricité",M405="Mi-saison"),INDEX('Base de données Mono'!F:F,MATCH(B405,'Base de données Mono'!D:D,0)),IF(AND(E405="Electricité",M405="Eté"),INDEX('Base de données Mono'!G:G,MATCH(B405,'Base de données Mono'!D:D,0)),IF(AND(E405="Gaz",M405="Hiver"),INDEX('Base de données Mono'!J:J,MATCH(B405,'Base de données Mono'!D:D,0)),IF(AND(E405="Gaz",M405="Mi-saison"),INDEX('Base de données Mono'!#REF!,MATCH(B405,'Base de données Mono'!D:D,0)),IF(AND(E405="Gaz",M405="Eté"),INDEX('Base de données Mono'!#REF!,MATCH(B405,'Base de données Mono'!D:D,0)),"-"))))))</f>
        <v>50</v>
      </c>
      <c r="O405" s="123">
        <v>45385</v>
      </c>
      <c r="P405" s="123">
        <v>45388</v>
      </c>
      <c r="Q405" s="34">
        <v>65</v>
      </c>
      <c r="R405" s="33">
        <f t="shared" si="45"/>
        <v>15</v>
      </c>
      <c r="S405" s="34">
        <v>1</v>
      </c>
      <c r="T405" s="34">
        <f t="shared" si="46"/>
        <v>3</v>
      </c>
      <c r="U405" s="33">
        <f t="shared" si="47"/>
        <v>45</v>
      </c>
      <c r="V405" s="38" t="s">
        <v>827</v>
      </c>
      <c r="W405" s="39">
        <f t="shared" si="48"/>
        <v>0.3</v>
      </c>
      <c r="X405" s="40" t="s">
        <v>304</v>
      </c>
      <c r="Y405" s="40" t="s">
        <v>283</v>
      </c>
      <c r="Z405" s="40" t="s">
        <v>749</v>
      </c>
      <c r="AA405" s="33" t="s">
        <v>749</v>
      </c>
      <c r="AB405" s="95"/>
      <c r="AC405" s="95"/>
    </row>
    <row r="406" spans="1:29" ht="14.45" hidden="1" customHeight="1" x14ac:dyDescent="0.25">
      <c r="A406" s="36" t="str">
        <f>INDEX('Base de données Mono'!C:C,MATCH(B406,'Base de données Mono'!D:D,0))</f>
        <v>CREPY</v>
      </c>
      <c r="B406" t="s">
        <v>114</v>
      </c>
      <c r="C406" s="36" t="str">
        <f>INDEX('Base de données Mono'!B:B,MATCH(B406,'Base de données Mono'!D:D,0))</f>
        <v>Monoprix</v>
      </c>
      <c r="D406" s="36" t="str">
        <f>INDEX('Base de données Mono'!A:A,MATCH(B406,'Base de données Mono'!D:D,0))</f>
        <v>JG</v>
      </c>
      <c r="E406" s="37" t="s">
        <v>303</v>
      </c>
      <c r="F406" s="41">
        <f t="shared" si="43"/>
        <v>14</v>
      </c>
      <c r="G406" s="41">
        <f t="shared" si="44"/>
        <v>4</v>
      </c>
      <c r="H406">
        <v>9.5</v>
      </c>
      <c r="I406" s="131">
        <f>INDEX('Base de données Mono'!K:K,MATCH(B406,'Base de données Mono'!D:D,0))</f>
        <v>0.25</v>
      </c>
      <c r="J406" s="131">
        <f>INDEX('Base de données Mono'!L:L,MATCH(B406,'Base de données Mono'!D:D,0))</f>
        <v>0.85416666666666663</v>
      </c>
      <c r="K406" s="131">
        <f>INDEX('Base de données Mono'!M:M,MATCH(B406,'Base de données Mono'!D:D,0))</f>
        <v>0.27083333333333331</v>
      </c>
      <c r="L406" s="131">
        <f>INDEX('Base de données Mono'!N:N,MATCH(B406,'Base de données Mono'!D:D,0))</f>
        <v>0.5625</v>
      </c>
      <c r="M406" s="33" t="s">
        <v>46</v>
      </c>
      <c r="N406" s="33">
        <f>IF(AND(E406="Electricité",M406="Hiver"),INDEX('Base de données Mono'!E:E,MATCH(B406,'Base de données Mono'!D:D,0)),IF(AND(E406="Electricité",M406="Mi-saison"),INDEX('Base de données Mono'!F:F,MATCH(B406,'Base de données Mono'!D:D,0)),IF(AND(E406="Electricité",M406="Eté"),INDEX('Base de données Mono'!G:G,MATCH(B406,'Base de données Mono'!D:D,0)),IF(AND(E406="Gaz",M406="Hiver"),INDEX('Base de données Mono'!J:J,MATCH(B406,'Base de données Mono'!D:D,0)),IF(AND(E406="Gaz",M406="Mi-saison"),INDEX('Base de données Mono'!#REF!,MATCH(B406,'Base de données Mono'!D:D,0)),IF(AND(E406="Gaz",M406="Eté"),INDEX('Base de données Mono'!#REF!,MATCH(B406,'Base de données Mono'!D:D,0)),"-"))))))</f>
        <v>50</v>
      </c>
      <c r="O406" s="123">
        <v>45385</v>
      </c>
      <c r="P406" s="123">
        <v>45386</v>
      </c>
      <c r="Q406" s="34">
        <v>90</v>
      </c>
      <c r="R406" s="33">
        <f t="shared" si="45"/>
        <v>40</v>
      </c>
      <c r="S406" s="34">
        <v>1</v>
      </c>
      <c r="T406" s="34">
        <f t="shared" si="46"/>
        <v>1</v>
      </c>
      <c r="U406" s="33">
        <f t="shared" si="47"/>
        <v>40</v>
      </c>
      <c r="V406" s="38" t="s">
        <v>827</v>
      </c>
      <c r="W406" s="39">
        <f t="shared" si="48"/>
        <v>0.8</v>
      </c>
      <c r="X406" s="40" t="s">
        <v>304</v>
      </c>
      <c r="Y406" s="40" t="s">
        <v>283</v>
      </c>
      <c r="Z406" s="40" t="s">
        <v>749</v>
      </c>
      <c r="AA406" s="33" t="s">
        <v>749</v>
      </c>
      <c r="AB406" s="95"/>
      <c r="AC406" s="95"/>
    </row>
    <row r="407" spans="1:29" ht="14.45" hidden="1" customHeight="1" x14ac:dyDescent="0.25">
      <c r="A407" s="36" t="str">
        <f>INDEX('Base de données Mono'!C:C,MATCH(B407,'Base de données Mono'!D:D,0))</f>
        <v>CREPY</v>
      </c>
      <c r="B407" t="s">
        <v>114</v>
      </c>
      <c r="C407" s="36" t="str">
        <f>INDEX('Base de données Mono'!B:B,MATCH(B407,'Base de données Mono'!D:D,0))</f>
        <v>Monoprix</v>
      </c>
      <c r="D407" s="36" t="str">
        <f>INDEX('Base de données Mono'!A:A,MATCH(B407,'Base de données Mono'!D:D,0))</f>
        <v>JG</v>
      </c>
      <c r="E407" s="37" t="s">
        <v>303</v>
      </c>
      <c r="F407" s="41">
        <f t="shared" si="43"/>
        <v>14</v>
      </c>
      <c r="G407" s="41">
        <f t="shared" si="44"/>
        <v>4</v>
      </c>
      <c r="H407">
        <v>9.5</v>
      </c>
      <c r="I407" s="131">
        <f>INDEX('Base de données Mono'!K:K,MATCH(B407,'Base de données Mono'!D:D,0))</f>
        <v>0.25</v>
      </c>
      <c r="J407" s="131">
        <f>INDEX('Base de données Mono'!L:L,MATCH(B407,'Base de données Mono'!D:D,0))</f>
        <v>0.85416666666666663</v>
      </c>
      <c r="K407" s="131">
        <f>INDEX('Base de données Mono'!M:M,MATCH(B407,'Base de données Mono'!D:D,0))</f>
        <v>0.27083333333333331</v>
      </c>
      <c r="L407" s="131">
        <f>INDEX('Base de données Mono'!N:N,MATCH(B407,'Base de données Mono'!D:D,0))</f>
        <v>0.5625</v>
      </c>
      <c r="M407" s="33" t="s">
        <v>46</v>
      </c>
      <c r="N407" s="33">
        <f>IF(AND(E407="Electricité",M407="Hiver"),INDEX('Base de données Mono'!E:E,MATCH(B407,'Base de données Mono'!D:D,0)),IF(AND(E407="Electricité",M407="Mi-saison"),INDEX('Base de données Mono'!F:F,MATCH(B407,'Base de données Mono'!D:D,0)),IF(AND(E407="Electricité",M407="Eté"),INDEX('Base de données Mono'!G:G,MATCH(B407,'Base de données Mono'!D:D,0)),IF(AND(E407="Gaz",M407="Hiver"),INDEX('Base de données Mono'!J:J,MATCH(B407,'Base de données Mono'!D:D,0)),IF(AND(E407="Gaz",M407="Mi-saison"),INDEX('Base de données Mono'!#REF!,MATCH(B407,'Base de données Mono'!D:D,0)),IF(AND(E407="Gaz",M407="Eté"),INDEX('Base de données Mono'!#REF!,MATCH(B407,'Base de données Mono'!D:D,0)),"-"))))))</f>
        <v>50</v>
      </c>
      <c r="O407" s="123">
        <v>45386</v>
      </c>
      <c r="P407" s="123">
        <v>45387</v>
      </c>
      <c r="Q407" s="34">
        <v>75</v>
      </c>
      <c r="R407" s="33">
        <f t="shared" si="45"/>
        <v>25</v>
      </c>
      <c r="S407" s="34">
        <v>1</v>
      </c>
      <c r="T407" s="34">
        <f t="shared" si="46"/>
        <v>1</v>
      </c>
      <c r="U407" s="33">
        <f t="shared" si="47"/>
        <v>25</v>
      </c>
      <c r="V407" s="38" t="s">
        <v>827</v>
      </c>
      <c r="W407" s="39">
        <f t="shared" si="48"/>
        <v>0.5</v>
      </c>
      <c r="X407" s="40" t="s">
        <v>304</v>
      </c>
      <c r="Y407" s="40" t="s">
        <v>283</v>
      </c>
      <c r="Z407" s="40" t="s">
        <v>749</v>
      </c>
      <c r="AA407" s="33" t="s">
        <v>749</v>
      </c>
      <c r="AB407" s="95"/>
      <c r="AC407" s="95"/>
    </row>
    <row r="408" spans="1:29" ht="14.45" hidden="1" customHeight="1" x14ac:dyDescent="0.25">
      <c r="A408" s="36" t="str">
        <f>INDEX('Base de données Mono'!C:C,MATCH(B408,'Base de données Mono'!D:D,0))</f>
        <v>CREPY</v>
      </c>
      <c r="B408" t="s">
        <v>114</v>
      </c>
      <c r="C408" s="36" t="str">
        <f>INDEX('Base de données Mono'!B:B,MATCH(B408,'Base de données Mono'!D:D,0))</f>
        <v>Monoprix</v>
      </c>
      <c r="D408" s="36" t="str">
        <f>INDEX('Base de données Mono'!A:A,MATCH(B408,'Base de données Mono'!D:D,0))</f>
        <v>JG</v>
      </c>
      <c r="E408" s="37" t="s">
        <v>303</v>
      </c>
      <c r="F408" s="41">
        <f t="shared" si="43"/>
        <v>14</v>
      </c>
      <c r="G408" s="41">
        <f t="shared" si="44"/>
        <v>4</v>
      </c>
      <c r="H408">
        <v>9.5</v>
      </c>
      <c r="I408" s="131">
        <f>INDEX('Base de données Mono'!K:K,MATCH(B408,'Base de données Mono'!D:D,0))</f>
        <v>0.25</v>
      </c>
      <c r="J408" s="131">
        <f>INDEX('Base de données Mono'!L:L,MATCH(B408,'Base de données Mono'!D:D,0))</f>
        <v>0.85416666666666663</v>
      </c>
      <c r="K408" s="131">
        <f>INDEX('Base de données Mono'!M:M,MATCH(B408,'Base de données Mono'!D:D,0))</f>
        <v>0.27083333333333331</v>
      </c>
      <c r="L408" s="131">
        <f>INDEX('Base de données Mono'!N:N,MATCH(B408,'Base de données Mono'!D:D,0))</f>
        <v>0.5625</v>
      </c>
      <c r="M408" s="33" t="s">
        <v>46</v>
      </c>
      <c r="N408" s="33">
        <f>IF(AND(E408="Electricité",M408="Hiver"),INDEX('Base de données Mono'!E:E,MATCH(B408,'Base de données Mono'!D:D,0)),IF(AND(E408="Electricité",M408="Mi-saison"),INDEX('Base de données Mono'!F:F,MATCH(B408,'Base de données Mono'!D:D,0)),IF(AND(E408="Electricité",M408="Eté"),INDEX('Base de données Mono'!G:G,MATCH(B408,'Base de données Mono'!D:D,0)),IF(AND(E408="Gaz",M408="Hiver"),INDEX('Base de données Mono'!J:J,MATCH(B408,'Base de données Mono'!D:D,0)),IF(AND(E408="Gaz",M408="Mi-saison"),INDEX('Base de données Mono'!#REF!,MATCH(B408,'Base de données Mono'!D:D,0)),IF(AND(E408="Gaz",M408="Eté"),INDEX('Base de données Mono'!#REF!,MATCH(B408,'Base de données Mono'!D:D,0)),"-"))))))</f>
        <v>50</v>
      </c>
      <c r="O408" s="123">
        <v>45387</v>
      </c>
      <c r="P408" s="123">
        <v>45389</v>
      </c>
      <c r="Q408" s="34">
        <v>60</v>
      </c>
      <c r="R408" s="33">
        <f t="shared" si="45"/>
        <v>10</v>
      </c>
      <c r="S408" s="34">
        <v>2</v>
      </c>
      <c r="T408" s="34">
        <f t="shared" si="46"/>
        <v>2</v>
      </c>
      <c r="U408" s="33">
        <f t="shared" si="47"/>
        <v>40</v>
      </c>
      <c r="V408" s="38" t="s">
        <v>827</v>
      </c>
      <c r="W408" s="39">
        <f t="shared" si="48"/>
        <v>0.2</v>
      </c>
      <c r="X408" s="40" t="s">
        <v>304</v>
      </c>
      <c r="Y408" s="40" t="s">
        <v>283</v>
      </c>
      <c r="Z408" s="40" t="s">
        <v>749</v>
      </c>
      <c r="AA408" s="33" t="s">
        <v>749</v>
      </c>
      <c r="AB408" s="95"/>
      <c r="AC408" s="95"/>
    </row>
    <row r="409" spans="1:29" ht="14.45" hidden="1" customHeight="1" x14ac:dyDescent="0.25">
      <c r="A409" s="36" t="str">
        <f>INDEX('Base de données Mono'!C:C,MATCH(B409,'Base de données Mono'!D:D,0))</f>
        <v>CREPY</v>
      </c>
      <c r="B409" t="s">
        <v>114</v>
      </c>
      <c r="C409" s="36" t="str">
        <f>INDEX('Base de données Mono'!B:B,MATCH(B409,'Base de données Mono'!D:D,0))</f>
        <v>Monoprix</v>
      </c>
      <c r="D409" s="36" t="str">
        <f>INDEX('Base de données Mono'!A:A,MATCH(B409,'Base de données Mono'!D:D,0))</f>
        <v>JG</v>
      </c>
      <c r="E409" s="37" t="s">
        <v>303</v>
      </c>
      <c r="F409" s="41">
        <f t="shared" si="43"/>
        <v>14</v>
      </c>
      <c r="G409" s="41">
        <f t="shared" si="44"/>
        <v>4</v>
      </c>
      <c r="H409">
        <v>9.5</v>
      </c>
      <c r="I409" s="131">
        <f>INDEX('Base de données Mono'!K:K,MATCH(B409,'Base de données Mono'!D:D,0))</f>
        <v>0.25</v>
      </c>
      <c r="J409" s="131">
        <f>INDEX('Base de données Mono'!L:L,MATCH(B409,'Base de données Mono'!D:D,0))</f>
        <v>0.85416666666666663</v>
      </c>
      <c r="K409" s="131">
        <f>INDEX('Base de données Mono'!M:M,MATCH(B409,'Base de données Mono'!D:D,0))</f>
        <v>0.27083333333333331</v>
      </c>
      <c r="L409" s="131">
        <f>INDEX('Base de données Mono'!N:N,MATCH(B409,'Base de données Mono'!D:D,0))</f>
        <v>0.5625</v>
      </c>
      <c r="M409" s="33" t="s">
        <v>46</v>
      </c>
      <c r="N409" s="33">
        <f>IF(AND(E409="Electricité",M409="Hiver"),INDEX('Base de données Mono'!E:E,MATCH(B409,'Base de données Mono'!D:D,0)),IF(AND(E409="Electricité",M409="Mi-saison"),INDEX('Base de données Mono'!F:F,MATCH(B409,'Base de données Mono'!D:D,0)),IF(AND(E409="Electricité",M409="Eté"),INDEX('Base de données Mono'!G:G,MATCH(B409,'Base de données Mono'!D:D,0)),IF(AND(E409="Gaz",M409="Hiver"),INDEX('Base de données Mono'!J:J,MATCH(B409,'Base de données Mono'!D:D,0)),IF(AND(E409="Gaz",M409="Mi-saison"),INDEX('Base de données Mono'!#REF!,MATCH(B409,'Base de données Mono'!D:D,0)),IF(AND(E409="Gaz",M409="Eté"),INDEX('Base de données Mono'!#REF!,MATCH(B409,'Base de données Mono'!D:D,0)),"-"))))))</f>
        <v>50</v>
      </c>
      <c r="O409" s="123">
        <v>45387</v>
      </c>
      <c r="P409" s="123">
        <v>45388</v>
      </c>
      <c r="Q409" s="34">
        <v>80</v>
      </c>
      <c r="R409" s="33">
        <f t="shared" si="45"/>
        <v>30</v>
      </c>
      <c r="S409" s="34">
        <v>1</v>
      </c>
      <c r="T409" s="34">
        <f t="shared" si="46"/>
        <v>1</v>
      </c>
      <c r="U409" s="33">
        <f t="shared" si="47"/>
        <v>30</v>
      </c>
      <c r="V409" s="38" t="s">
        <v>827</v>
      </c>
      <c r="W409" s="39">
        <f t="shared" si="48"/>
        <v>0.6</v>
      </c>
      <c r="X409" s="40" t="s">
        <v>304</v>
      </c>
      <c r="Y409" s="40" t="s">
        <v>283</v>
      </c>
      <c r="Z409" s="40" t="s">
        <v>749</v>
      </c>
      <c r="AA409" s="33" t="s">
        <v>749</v>
      </c>
      <c r="AB409" s="95"/>
      <c r="AC409" s="95"/>
    </row>
    <row r="410" spans="1:29" ht="14.45" hidden="1" customHeight="1" x14ac:dyDescent="0.25">
      <c r="A410" s="36" t="str">
        <f>INDEX('Base de données Mono'!C:C,MATCH(B410,'Base de données Mono'!D:D,0))</f>
        <v>VILLEURBANNE</v>
      </c>
      <c r="B410" t="s">
        <v>275</v>
      </c>
      <c r="C410" s="36" t="str">
        <f>INDEX('Base de données Mono'!B:B,MATCH(B410,'Base de données Mono'!D:D,0))</f>
        <v>Monoprix</v>
      </c>
      <c r="D410" s="36" t="str">
        <f>INDEX('Base de données Mono'!A:A,MATCH(B410,'Base de données Mono'!D:D,0))</f>
        <v>JG</v>
      </c>
      <c r="E410" s="37" t="s">
        <v>303</v>
      </c>
      <c r="F410" s="41">
        <f t="shared" si="43"/>
        <v>14</v>
      </c>
      <c r="G410" s="41">
        <f t="shared" si="44"/>
        <v>4</v>
      </c>
      <c r="H410">
        <v>8</v>
      </c>
      <c r="I410" s="131">
        <f>INDEX('Base de données Mono'!K:K,MATCH(B410,'Base de données Mono'!D:D,0))</f>
        <v>0.22916666666666666</v>
      </c>
      <c r="J410" s="131">
        <f>INDEX('Base de données Mono'!L:L,MATCH(B410,'Base de données Mono'!D:D,0))</f>
        <v>0.89583333333333337</v>
      </c>
      <c r="K410" s="131">
        <f>INDEX('Base de données Mono'!M:M,MATCH(B410,'Base de données Mono'!D:D,0))</f>
        <v>0.28472222222222221</v>
      </c>
      <c r="L410" s="131">
        <f>INDEX('Base de données Mono'!N:N,MATCH(B410,'Base de données Mono'!D:D,0))</f>
        <v>0.54166666666666663</v>
      </c>
      <c r="M410" s="33" t="s">
        <v>46</v>
      </c>
      <c r="N410" s="33">
        <f>IF(AND(E410="Electricité",M410="Hiver"),INDEX('Base de données Mono'!E:E,MATCH(B410,'Base de données Mono'!D:D,0)),IF(AND(E410="Electricité",M410="Mi-saison"),INDEX('Base de données Mono'!F:F,MATCH(B410,'Base de données Mono'!D:D,0)),IF(AND(E410="Electricité",M410="Eté"),INDEX('Base de données Mono'!G:G,MATCH(B410,'Base de données Mono'!D:D,0)),IF(AND(E410="Gaz",M410="Hiver"),INDEX('Base de données Mono'!J:J,MATCH(B410,'Base de données Mono'!D:D,0)),IF(AND(E410="Gaz",M410="Mi-saison"),INDEX('Base de données Mono'!#REF!,MATCH(B410,'Base de données Mono'!D:D,0)),IF(AND(E410="Gaz",M410="Eté"),INDEX('Base de données Mono'!#REF!,MATCH(B410,'Base de données Mono'!D:D,0)),"-"))))))</f>
        <v>55</v>
      </c>
      <c r="O410" s="123">
        <v>45383</v>
      </c>
      <c r="P410" s="123">
        <v>45384</v>
      </c>
      <c r="Q410" s="34">
        <v>65</v>
      </c>
      <c r="R410" s="33">
        <f t="shared" si="45"/>
        <v>10</v>
      </c>
      <c r="S410" s="34">
        <v>7</v>
      </c>
      <c r="T410" s="34">
        <f t="shared" si="46"/>
        <v>1</v>
      </c>
      <c r="U410" s="33">
        <f t="shared" si="47"/>
        <v>70</v>
      </c>
      <c r="V410" s="38" t="s">
        <v>827</v>
      </c>
      <c r="W410" s="39">
        <f t="shared" si="48"/>
        <v>0.18181818181818182</v>
      </c>
      <c r="X410" s="40" t="s">
        <v>304</v>
      </c>
      <c r="Y410" s="40" t="s">
        <v>283</v>
      </c>
      <c r="Z410" s="40" t="s">
        <v>749</v>
      </c>
      <c r="AA410" s="33" t="s">
        <v>749</v>
      </c>
      <c r="AB410" s="95"/>
      <c r="AC410" s="95"/>
    </row>
    <row r="411" spans="1:29" ht="14.45" hidden="1" customHeight="1" x14ac:dyDescent="0.25">
      <c r="A411" s="36" t="str">
        <f>INDEX('Base de données Mono'!C:C,MATCH(B411,'Base de données Mono'!D:D,0))</f>
        <v>VILLEURBANNE</v>
      </c>
      <c r="B411" t="s">
        <v>275</v>
      </c>
      <c r="C411" s="36" t="str">
        <f>INDEX('Base de données Mono'!B:B,MATCH(B411,'Base de données Mono'!D:D,0))</f>
        <v>Monoprix</v>
      </c>
      <c r="D411" s="36" t="str">
        <f>INDEX('Base de données Mono'!A:A,MATCH(B411,'Base de données Mono'!D:D,0))</f>
        <v>JG</v>
      </c>
      <c r="E411" s="37" t="s">
        <v>303</v>
      </c>
      <c r="F411" s="41">
        <f t="shared" si="43"/>
        <v>14</v>
      </c>
      <c r="G411" s="41">
        <f t="shared" si="44"/>
        <v>4</v>
      </c>
      <c r="H411">
        <v>8</v>
      </c>
      <c r="I411" s="131">
        <f>INDEX('Base de données Mono'!K:K,MATCH(B411,'Base de données Mono'!D:D,0))</f>
        <v>0.22916666666666666</v>
      </c>
      <c r="J411" s="131">
        <f>INDEX('Base de données Mono'!L:L,MATCH(B411,'Base de données Mono'!D:D,0))</f>
        <v>0.89583333333333337</v>
      </c>
      <c r="K411" s="131">
        <f>INDEX('Base de données Mono'!M:M,MATCH(B411,'Base de données Mono'!D:D,0))</f>
        <v>0.28472222222222221</v>
      </c>
      <c r="L411" s="131">
        <f>INDEX('Base de données Mono'!N:N,MATCH(B411,'Base de données Mono'!D:D,0))</f>
        <v>0.54166666666666663</v>
      </c>
      <c r="M411" s="33" t="s">
        <v>46</v>
      </c>
      <c r="N411" s="33">
        <f>IF(AND(E411="Electricité",M411="Hiver"),INDEX('Base de données Mono'!E:E,MATCH(B411,'Base de données Mono'!D:D,0)),IF(AND(E411="Electricité",M411="Mi-saison"),INDEX('Base de données Mono'!F:F,MATCH(B411,'Base de données Mono'!D:D,0)),IF(AND(E411="Electricité",M411="Eté"),INDEX('Base de données Mono'!G:G,MATCH(B411,'Base de données Mono'!D:D,0)),IF(AND(E411="Gaz",M411="Hiver"),INDEX('Base de données Mono'!J:J,MATCH(B411,'Base de données Mono'!D:D,0)),IF(AND(E411="Gaz",M411="Mi-saison"),INDEX('Base de données Mono'!#REF!,MATCH(B411,'Base de données Mono'!D:D,0)),IF(AND(E411="Gaz",M411="Eté"),INDEX('Base de données Mono'!#REF!,MATCH(B411,'Base de données Mono'!D:D,0)),"-"))))))</f>
        <v>55</v>
      </c>
      <c r="O411" s="123">
        <v>45383</v>
      </c>
      <c r="P411" s="123">
        <v>45384</v>
      </c>
      <c r="Q411" s="34">
        <v>80</v>
      </c>
      <c r="R411" s="33">
        <f t="shared" si="45"/>
        <v>25</v>
      </c>
      <c r="S411" s="34">
        <v>1</v>
      </c>
      <c r="T411" s="34">
        <f t="shared" si="46"/>
        <v>1</v>
      </c>
      <c r="U411" s="33">
        <f t="shared" si="47"/>
        <v>25</v>
      </c>
      <c r="V411" s="38" t="s">
        <v>827</v>
      </c>
      <c r="W411" s="39">
        <f t="shared" si="48"/>
        <v>0.45454545454545453</v>
      </c>
      <c r="X411" s="40" t="s">
        <v>304</v>
      </c>
      <c r="Y411" s="40" t="s">
        <v>283</v>
      </c>
      <c r="Z411" s="40" t="s">
        <v>749</v>
      </c>
      <c r="AA411" s="33" t="s">
        <v>749</v>
      </c>
      <c r="AB411" s="95"/>
      <c r="AC411" s="95"/>
    </row>
    <row r="412" spans="1:29" ht="14.45" hidden="1" customHeight="1" x14ac:dyDescent="0.25">
      <c r="A412" s="36" t="str">
        <f>INDEX('Base de données Mono'!C:C,MATCH(B412,'Base de données Mono'!D:D,0))</f>
        <v>VILLEURBANNE</v>
      </c>
      <c r="B412" t="s">
        <v>275</v>
      </c>
      <c r="C412" s="36" t="str">
        <f>INDEX('Base de données Mono'!B:B,MATCH(B412,'Base de données Mono'!D:D,0))</f>
        <v>Monoprix</v>
      </c>
      <c r="D412" s="36" t="str">
        <f>INDEX('Base de données Mono'!A:A,MATCH(B412,'Base de données Mono'!D:D,0))</f>
        <v>JG</v>
      </c>
      <c r="E412" s="37" t="s">
        <v>303</v>
      </c>
      <c r="F412" s="41">
        <f t="shared" si="43"/>
        <v>14</v>
      </c>
      <c r="G412" s="41">
        <f t="shared" si="44"/>
        <v>4</v>
      </c>
      <c r="H412">
        <v>8</v>
      </c>
      <c r="I412" s="131">
        <f>INDEX('Base de données Mono'!K:K,MATCH(B412,'Base de données Mono'!D:D,0))</f>
        <v>0.22916666666666666</v>
      </c>
      <c r="J412" s="131">
        <f>INDEX('Base de données Mono'!L:L,MATCH(B412,'Base de données Mono'!D:D,0))</f>
        <v>0.89583333333333337</v>
      </c>
      <c r="K412" s="131">
        <f>INDEX('Base de données Mono'!M:M,MATCH(B412,'Base de données Mono'!D:D,0))</f>
        <v>0.28472222222222221</v>
      </c>
      <c r="L412" s="131">
        <f>INDEX('Base de données Mono'!N:N,MATCH(B412,'Base de données Mono'!D:D,0))</f>
        <v>0.54166666666666663</v>
      </c>
      <c r="M412" s="33" t="s">
        <v>46</v>
      </c>
      <c r="N412" s="33">
        <f>IF(AND(E412="Electricité",M412="Hiver"),INDEX('Base de données Mono'!E:E,MATCH(B412,'Base de données Mono'!D:D,0)),IF(AND(E412="Electricité",M412="Mi-saison"),INDEX('Base de données Mono'!F:F,MATCH(B412,'Base de données Mono'!D:D,0)),IF(AND(E412="Electricité",M412="Eté"),INDEX('Base de données Mono'!G:G,MATCH(B412,'Base de données Mono'!D:D,0)),IF(AND(E412="Gaz",M412="Hiver"),INDEX('Base de données Mono'!J:J,MATCH(B412,'Base de données Mono'!D:D,0)),IF(AND(E412="Gaz",M412="Mi-saison"),INDEX('Base de données Mono'!#REF!,MATCH(B412,'Base de données Mono'!D:D,0)),IF(AND(E412="Gaz",M412="Eté"),INDEX('Base de données Mono'!#REF!,MATCH(B412,'Base de données Mono'!D:D,0)),"-"))))))</f>
        <v>55</v>
      </c>
      <c r="O412" s="123">
        <v>45384</v>
      </c>
      <c r="P412" s="123">
        <v>45385</v>
      </c>
      <c r="Q412" s="34">
        <v>100</v>
      </c>
      <c r="R412" s="33">
        <f t="shared" si="45"/>
        <v>45</v>
      </c>
      <c r="S412" s="34">
        <v>1</v>
      </c>
      <c r="T412" s="34">
        <f t="shared" si="46"/>
        <v>1</v>
      </c>
      <c r="U412" s="33">
        <f t="shared" si="47"/>
        <v>45</v>
      </c>
      <c r="V412" s="38" t="s">
        <v>827</v>
      </c>
      <c r="W412" s="39">
        <f t="shared" si="48"/>
        <v>0.81818181818181823</v>
      </c>
      <c r="X412" s="40" t="s">
        <v>304</v>
      </c>
      <c r="Y412" s="40" t="s">
        <v>283</v>
      </c>
      <c r="Z412" s="40" t="s">
        <v>749</v>
      </c>
      <c r="AA412" s="33" t="s">
        <v>749</v>
      </c>
      <c r="AB412" s="95"/>
      <c r="AC412" s="95"/>
    </row>
    <row r="413" spans="1:29" ht="14.45" hidden="1" customHeight="1" x14ac:dyDescent="0.25">
      <c r="A413" s="36" t="str">
        <f>INDEX('Base de données Mono'!C:C,MATCH(B413,'Base de données Mono'!D:D,0))</f>
        <v>VILLEURBANNE</v>
      </c>
      <c r="B413" t="s">
        <v>275</v>
      </c>
      <c r="C413" s="36" t="str">
        <f>INDEX('Base de données Mono'!B:B,MATCH(B413,'Base de données Mono'!D:D,0))</f>
        <v>Monoprix</v>
      </c>
      <c r="D413" s="36" t="str">
        <f>INDEX('Base de données Mono'!A:A,MATCH(B413,'Base de données Mono'!D:D,0))</f>
        <v>JG</v>
      </c>
      <c r="E413" s="37" t="s">
        <v>303</v>
      </c>
      <c r="F413" s="41">
        <f t="shared" si="43"/>
        <v>14</v>
      </c>
      <c r="G413" s="41">
        <f t="shared" si="44"/>
        <v>4</v>
      </c>
      <c r="H413">
        <v>8</v>
      </c>
      <c r="I413" s="131">
        <f>INDEX('Base de données Mono'!K:K,MATCH(B413,'Base de données Mono'!D:D,0))</f>
        <v>0.22916666666666666</v>
      </c>
      <c r="J413" s="131">
        <f>INDEX('Base de données Mono'!L:L,MATCH(B413,'Base de données Mono'!D:D,0))</f>
        <v>0.89583333333333337</v>
      </c>
      <c r="K413" s="131">
        <f>INDEX('Base de données Mono'!M:M,MATCH(B413,'Base de données Mono'!D:D,0))</f>
        <v>0.28472222222222221</v>
      </c>
      <c r="L413" s="131">
        <f>INDEX('Base de données Mono'!N:N,MATCH(B413,'Base de données Mono'!D:D,0))</f>
        <v>0.54166666666666663</v>
      </c>
      <c r="M413" s="33" t="s">
        <v>46</v>
      </c>
      <c r="N413" s="33">
        <f>IF(AND(E413="Electricité",M413="Hiver"),INDEX('Base de données Mono'!E:E,MATCH(B413,'Base de données Mono'!D:D,0)),IF(AND(E413="Electricité",M413="Mi-saison"),INDEX('Base de données Mono'!F:F,MATCH(B413,'Base de données Mono'!D:D,0)),IF(AND(E413="Electricité",M413="Eté"),INDEX('Base de données Mono'!G:G,MATCH(B413,'Base de données Mono'!D:D,0)),IF(AND(E413="Gaz",M413="Hiver"),INDEX('Base de données Mono'!J:J,MATCH(B413,'Base de données Mono'!D:D,0)),IF(AND(E413="Gaz",M413="Mi-saison"),INDEX('Base de données Mono'!#REF!,MATCH(B413,'Base de données Mono'!D:D,0)),IF(AND(E413="Gaz",M413="Eté"),INDEX('Base de données Mono'!#REF!,MATCH(B413,'Base de données Mono'!D:D,0)),"-"))))))</f>
        <v>55</v>
      </c>
      <c r="O413" s="123">
        <v>45384</v>
      </c>
      <c r="P413" s="123">
        <v>45389</v>
      </c>
      <c r="Q413" s="34">
        <v>70</v>
      </c>
      <c r="R413" s="33">
        <f t="shared" si="45"/>
        <v>15</v>
      </c>
      <c r="S413" s="34">
        <v>8</v>
      </c>
      <c r="T413" s="34">
        <f t="shared" si="46"/>
        <v>5</v>
      </c>
      <c r="U413" s="33">
        <f t="shared" si="47"/>
        <v>600</v>
      </c>
      <c r="V413" s="38" t="s">
        <v>827</v>
      </c>
      <c r="W413" s="39">
        <f t="shared" si="48"/>
        <v>0.27272727272727271</v>
      </c>
      <c r="X413" s="40" t="s">
        <v>304</v>
      </c>
      <c r="Y413" s="40" t="s">
        <v>283</v>
      </c>
      <c r="Z413" s="40" t="s">
        <v>749</v>
      </c>
      <c r="AA413" s="33" t="s">
        <v>749</v>
      </c>
      <c r="AB413" s="95"/>
      <c r="AC413" s="95"/>
    </row>
    <row r="414" spans="1:29" ht="14.45" hidden="1" customHeight="1" x14ac:dyDescent="0.25">
      <c r="A414" s="36" t="str">
        <f>INDEX('Base de données Mono'!C:C,MATCH(B414,'Base de données Mono'!D:D,0))</f>
        <v>CROIX ROUSSE</v>
      </c>
      <c r="B414" t="s">
        <v>116</v>
      </c>
      <c r="C414" s="36" t="str">
        <f>INDEX('Base de données Mono'!B:B,MATCH(B414,'Base de données Mono'!D:D,0))</f>
        <v>SES8</v>
      </c>
      <c r="D414" s="36" t="str">
        <f>INDEX('Base de données Mono'!A:A,MATCH(B414,'Base de données Mono'!D:D,0))</f>
        <v>JG</v>
      </c>
      <c r="E414" s="37" t="s">
        <v>303</v>
      </c>
      <c r="F414" s="41">
        <f>IF(O414="","-",IF(AND(X414="Nuit",WEEKDAY(O414,2)=7,O414&lt;&gt;P414),WEEKNUM(O414,2),WEEKNUM(O414,2)-1))+1</f>
        <v>14</v>
      </c>
      <c r="G414" s="41">
        <f>IF(O414="","-",MONTH(O414))</f>
        <v>4</v>
      </c>
      <c r="H414">
        <v>7.42</v>
      </c>
      <c r="I414" s="131">
        <f>INDEX('Base de données Mono'!K:K,MATCH(B414,'Base de données Mono'!D:D,0))</f>
        <v>0.20486111111111113</v>
      </c>
      <c r="J414" s="131">
        <f>INDEX('Base de données Mono'!L:L,MATCH(B414,'Base de données Mono'!D:D,0))</f>
        <v>0.89583333333333337</v>
      </c>
      <c r="K414" s="131">
        <f>INDEX('Base de données Mono'!M:M,MATCH(B414,'Base de données Mono'!D:D,0))</f>
        <v>0.29166666666666669</v>
      </c>
      <c r="L414" s="131">
        <f>INDEX('Base de données Mono'!N:N,MATCH(B414,'Base de données Mono'!D:D,0))</f>
        <v>0.5625</v>
      </c>
      <c r="M414" s="33" t="s">
        <v>46</v>
      </c>
      <c r="N414" s="33">
        <f>IF(AND(E414="Electricité",M414="Hiver"),INDEX('Base de données Mono'!E:E,MATCH(B414,'Base de données Mono'!D:D,0)),IF(AND(E414="Electricité",M414="Mi-saison"),INDEX('Base de données Mono'!F:F,MATCH(B414,'Base de données Mono'!D:D,0)),IF(AND(E414="Electricité",M414="Eté"),INDEX('Base de données Mono'!G:G,MATCH(B414,'Base de données Mono'!D:D,0)),IF(AND(E414="Gaz",M414="Hiver"),INDEX('Base de données Mono'!J:J,MATCH(B414,'Base de données Mono'!D:D,0)),IF(AND(E414="Gaz",M414="Mi-saison"),INDEX('Base de données Mono'!#REF!,MATCH(B414,'Base de données Mono'!D:D,0)),IF(AND(E414="Gaz",M414="Eté"),INDEX('Base de données Mono'!#REF!,MATCH(B414,'Base de données Mono'!D:D,0)),"-"))))))</f>
        <v>80</v>
      </c>
      <c r="O414" s="123">
        <v>45383</v>
      </c>
      <c r="P414" s="123">
        <v>45389</v>
      </c>
      <c r="Q414" s="34">
        <v>115</v>
      </c>
      <c r="R414" s="33">
        <f>IF(Q414="","",Q414-N414)</f>
        <v>35</v>
      </c>
      <c r="S414" s="34">
        <v>0.6</v>
      </c>
      <c r="T414" s="34">
        <f>P414-O414</f>
        <v>6</v>
      </c>
      <c r="U414" s="33">
        <f>R414*S414*T414</f>
        <v>126</v>
      </c>
      <c r="V414" s="38" t="s">
        <v>827</v>
      </c>
      <c r="W414" s="39">
        <f>IFERROR(IF(E414="Gaz","-",R414/N414),"-")</f>
        <v>0.4375</v>
      </c>
      <c r="X414" s="40" t="s">
        <v>304</v>
      </c>
      <c r="Y414" s="40" t="s">
        <v>283</v>
      </c>
      <c r="Z414" s="40" t="s">
        <v>749</v>
      </c>
      <c r="AA414" s="33" t="s">
        <v>749</v>
      </c>
      <c r="AB414" s="95"/>
      <c r="AC414" s="95" t="s">
        <v>833</v>
      </c>
    </row>
    <row r="415" spans="1:29" ht="14.45" hidden="1" customHeight="1" x14ac:dyDescent="0.25">
      <c r="A415" s="36" t="str">
        <f>INDEX('Base de données Mono'!C:C,MATCH(B415,'Base de données Mono'!D:D,0))</f>
        <v>CROIX ROUSSE</v>
      </c>
      <c r="B415" t="s">
        <v>116</v>
      </c>
      <c r="C415" s="36" t="str">
        <f>INDEX('Base de données Mono'!B:B,MATCH(B415,'Base de données Mono'!D:D,0))</f>
        <v>SES8</v>
      </c>
      <c r="D415" s="36" t="str">
        <f>INDEX('Base de données Mono'!A:A,MATCH(B415,'Base de données Mono'!D:D,0))</f>
        <v>JG</v>
      </c>
      <c r="E415" s="37" t="s">
        <v>303</v>
      </c>
      <c r="F415" s="41">
        <f t="shared" si="43"/>
        <v>14</v>
      </c>
      <c r="G415" s="41">
        <f t="shared" si="44"/>
        <v>4</v>
      </c>
      <c r="H415">
        <v>7.42</v>
      </c>
      <c r="I415" s="131">
        <f>INDEX('Base de données Mono'!K:K,MATCH(B415,'Base de données Mono'!D:D,0))</f>
        <v>0.20486111111111113</v>
      </c>
      <c r="J415" s="131">
        <f>INDEX('Base de données Mono'!L:L,MATCH(B415,'Base de données Mono'!D:D,0))</f>
        <v>0.89583333333333337</v>
      </c>
      <c r="K415" s="131">
        <f>INDEX('Base de données Mono'!M:M,MATCH(B415,'Base de données Mono'!D:D,0))</f>
        <v>0.29166666666666669</v>
      </c>
      <c r="L415" s="131">
        <f>INDEX('Base de données Mono'!N:N,MATCH(B415,'Base de données Mono'!D:D,0))</f>
        <v>0.5625</v>
      </c>
      <c r="M415" s="33" t="s">
        <v>46</v>
      </c>
      <c r="N415" s="33">
        <f>IF(AND(E415="Electricité",M415="Hiver"),INDEX('Base de données Mono'!E:E,MATCH(B415,'Base de données Mono'!D:D,0)),IF(AND(E415="Electricité",M415="Mi-saison"),INDEX('Base de données Mono'!F:F,MATCH(B415,'Base de données Mono'!D:D,0)),IF(AND(E415="Electricité",M415="Eté"),INDEX('Base de données Mono'!G:G,MATCH(B415,'Base de données Mono'!D:D,0)),IF(AND(E415="Gaz",M415="Hiver"),INDEX('Base de données Mono'!J:J,MATCH(B415,'Base de données Mono'!D:D,0)),IF(AND(E415="Gaz",M415="Mi-saison"),INDEX('Base de données Mono'!#REF!,MATCH(B415,'Base de données Mono'!D:D,0)),IF(AND(E415="Gaz",M415="Eté"),INDEX('Base de données Mono'!#REF!,MATCH(B415,'Base de données Mono'!D:D,0)),"-"))))))</f>
        <v>80</v>
      </c>
      <c r="O415" s="123">
        <v>45389</v>
      </c>
      <c r="P415" s="123">
        <v>45389</v>
      </c>
      <c r="Q415" s="34">
        <v>160</v>
      </c>
      <c r="R415" s="33">
        <f>IF(Q415="","",Q415-N415)</f>
        <v>80</v>
      </c>
      <c r="S415" s="34">
        <v>7</v>
      </c>
      <c r="T415" s="34">
        <v>1</v>
      </c>
      <c r="U415" s="33">
        <f>R415*S415*T415</f>
        <v>560</v>
      </c>
      <c r="V415" s="38" t="s">
        <v>148</v>
      </c>
      <c r="W415" s="39">
        <f>IFERROR(IF(E415="Gaz","-",R415/N415),"-")</f>
        <v>1</v>
      </c>
      <c r="X415" s="40" t="s">
        <v>730</v>
      </c>
      <c r="Y415" s="40" t="s">
        <v>284</v>
      </c>
      <c r="Z415" s="40" t="s">
        <v>307</v>
      </c>
      <c r="AA415" s="33" t="s">
        <v>308</v>
      </c>
      <c r="AB415" s="95"/>
      <c r="AC415" s="95"/>
    </row>
    <row r="416" spans="1:29" ht="14.45" hidden="1" customHeight="1" x14ac:dyDescent="0.25">
      <c r="A416" s="36" t="str">
        <f>INDEX('Base de données Mono'!C:C,MATCH(B416,'Base de données Mono'!D:D,0))</f>
        <v>MONTPELLIER COMEDIE</v>
      </c>
      <c r="B416" t="s">
        <v>179</v>
      </c>
      <c r="C416" s="36" t="str">
        <f>INDEX('Base de données Mono'!B:B,MATCH(B416,'Base de données Mono'!D:D,0))</f>
        <v>SES8</v>
      </c>
      <c r="D416" s="36" t="str">
        <f>INDEX('Base de données Mono'!A:A,MATCH(B416,'Base de données Mono'!D:D,0))</f>
        <v>AD</v>
      </c>
      <c r="E416" s="37" t="s">
        <v>303</v>
      </c>
      <c r="F416" s="41">
        <f>IF(O416="","-",IF(AND(X416="Nuit",WEEKDAY(O416,2)=7,O416&lt;&gt;P416),WEEKNUM(O416,2),WEEKNUM(O416,2)-1))+1</f>
        <v>14</v>
      </c>
      <c r="G416" s="41">
        <f>IF(O416="","-",MONTH(O416))</f>
        <v>4</v>
      </c>
      <c r="H416">
        <v>6.5</v>
      </c>
      <c r="I416" s="131">
        <f>INDEX('Base de données Mono'!K:K,MATCH(B416,'Base de données Mono'!D:D,0))</f>
        <v>0.1875</v>
      </c>
      <c r="J416" s="131">
        <f>INDEX('Base de données Mono'!L:L,MATCH(B416,'Base de données Mono'!D:D,0))</f>
        <v>0.91666666666666663</v>
      </c>
      <c r="K416" s="131">
        <f>INDEX('Base de données Mono'!M:M,MATCH(B416,'Base de données Mono'!D:D,0))</f>
        <v>0.29166666666666669</v>
      </c>
      <c r="L416" s="131">
        <f>INDEX('Base de données Mono'!N:N,MATCH(B416,'Base de données Mono'!D:D,0))</f>
        <v>0.54166666666666663</v>
      </c>
      <c r="M416" s="33" t="s">
        <v>46</v>
      </c>
      <c r="N416" s="33">
        <f>IF(AND(E416="Electricité",M416="Hiver"),INDEX('Base de données Mono'!E:E,MATCH(B416,'Base de données Mono'!D:D,0)),IF(AND(E416="Electricité",M416="Mi-saison"),INDEX('Base de données Mono'!F:F,MATCH(B416,'Base de données Mono'!D:D,0)),IF(AND(E416="Electricité",M416="Eté"),INDEX('Base de données Mono'!G:G,MATCH(B416,'Base de données Mono'!D:D,0)),IF(AND(E416="Gaz",M416="Hiver"),INDEX('Base de données Mono'!J:J,MATCH(B416,'Base de données Mono'!D:D,0)),IF(AND(E416="Gaz",M416="Mi-saison"),INDEX('Base de données Mono'!#REF!,MATCH(B416,'Base de données Mono'!D:D,0)),IF(AND(E416="Gaz",M416="Eté"),INDEX('Base de données Mono'!#REF!,MATCH(B416,'Base de données Mono'!D:D,0)),"-"))))))</f>
        <v>60</v>
      </c>
      <c r="O416" s="123">
        <v>45383</v>
      </c>
      <c r="P416" s="123">
        <v>45388</v>
      </c>
      <c r="Q416" s="34">
        <v>65</v>
      </c>
      <c r="R416" s="33">
        <f>IF(Q416="","",Q416-N416)</f>
        <v>5</v>
      </c>
      <c r="S416" s="34">
        <v>6.5</v>
      </c>
      <c r="T416" s="34">
        <f>P416-O416</f>
        <v>5</v>
      </c>
      <c r="U416" s="33">
        <f>R416*S416*T416</f>
        <v>162.5</v>
      </c>
      <c r="V416" s="38" t="s">
        <v>827</v>
      </c>
      <c r="W416" s="39">
        <f>IFERROR(IF(E416="Gaz","-",R416/N416),"-")</f>
        <v>8.3333333333333329E-2</v>
      </c>
      <c r="X416" s="40" t="s">
        <v>304</v>
      </c>
      <c r="Y416" s="40" t="s">
        <v>284</v>
      </c>
      <c r="Z416" s="40" t="s">
        <v>305</v>
      </c>
      <c r="AA416" s="33" t="s">
        <v>771</v>
      </c>
      <c r="AB416" s="95"/>
      <c r="AC416" s="95"/>
    </row>
    <row r="417" spans="1:29" ht="14.45" hidden="1" customHeight="1" x14ac:dyDescent="0.25">
      <c r="A417" s="36" t="str">
        <f>INDEX('Base de données Mono'!C:C,MATCH(B417,'Base de données Mono'!D:D,0))</f>
        <v>MONTPELLIER COMEDIE</v>
      </c>
      <c r="B417" t="s">
        <v>179</v>
      </c>
      <c r="C417" s="36" t="str">
        <f>INDEX('Base de données Mono'!B:B,MATCH(B417,'Base de données Mono'!D:D,0))</f>
        <v>SES8</v>
      </c>
      <c r="D417" s="36" t="str">
        <f>INDEX('Base de données Mono'!A:A,MATCH(B417,'Base de données Mono'!D:D,0))</f>
        <v>AD</v>
      </c>
      <c r="E417" s="37" t="s">
        <v>303</v>
      </c>
      <c r="F417" s="41">
        <f t="shared" si="43"/>
        <v>14</v>
      </c>
      <c r="G417" s="41">
        <f t="shared" si="44"/>
        <v>4</v>
      </c>
      <c r="H417">
        <v>6.5</v>
      </c>
      <c r="I417" s="131">
        <f>INDEX('Base de données Mono'!K:K,MATCH(B417,'Base de données Mono'!D:D,0))</f>
        <v>0.1875</v>
      </c>
      <c r="J417" s="131">
        <f>INDEX('Base de données Mono'!L:L,MATCH(B417,'Base de données Mono'!D:D,0))</f>
        <v>0.91666666666666663</v>
      </c>
      <c r="K417" s="131">
        <f>INDEX('Base de données Mono'!M:M,MATCH(B417,'Base de données Mono'!D:D,0))</f>
        <v>0.29166666666666669</v>
      </c>
      <c r="L417" s="131">
        <f>INDEX('Base de données Mono'!N:N,MATCH(B417,'Base de données Mono'!D:D,0))</f>
        <v>0.54166666666666663</v>
      </c>
      <c r="M417" s="33" t="s">
        <v>46</v>
      </c>
      <c r="N417" s="33">
        <f>IF(AND(E417="Electricité",M417="Hiver"),INDEX('Base de données Mono'!E:E,MATCH(B417,'Base de données Mono'!D:D,0)),IF(AND(E417="Electricité",M417="Mi-saison"),INDEX('Base de données Mono'!F:F,MATCH(B417,'Base de données Mono'!D:D,0)),IF(AND(E417="Electricité",M417="Eté"),INDEX('Base de données Mono'!G:G,MATCH(B417,'Base de données Mono'!D:D,0)),IF(AND(E417="Gaz",M417="Hiver"),INDEX('Base de données Mono'!J:J,MATCH(B417,'Base de données Mono'!D:D,0)),IF(AND(E417="Gaz",M417="Mi-saison"),INDEX('Base de données Mono'!#REF!,MATCH(B417,'Base de données Mono'!D:D,0)),IF(AND(E417="Gaz",M417="Eté"),INDEX('Base de données Mono'!#REF!,MATCH(B417,'Base de données Mono'!D:D,0)),"-"))))))</f>
        <v>60</v>
      </c>
      <c r="O417" s="123">
        <v>45388</v>
      </c>
      <c r="P417" s="123">
        <v>45389</v>
      </c>
      <c r="Q417" s="34">
        <v>65</v>
      </c>
      <c r="R417" s="33">
        <f t="shared" si="45"/>
        <v>5</v>
      </c>
      <c r="S417" s="34">
        <v>9</v>
      </c>
      <c r="T417" s="34">
        <f t="shared" si="46"/>
        <v>1</v>
      </c>
      <c r="U417" s="33">
        <f t="shared" si="47"/>
        <v>45</v>
      </c>
      <c r="V417" s="38" t="s">
        <v>827</v>
      </c>
      <c r="W417" s="39">
        <f t="shared" si="48"/>
        <v>8.3333333333333329E-2</v>
      </c>
      <c r="X417" s="40" t="s">
        <v>304</v>
      </c>
      <c r="Y417" s="40" t="s">
        <v>284</v>
      </c>
      <c r="Z417" s="40" t="s">
        <v>305</v>
      </c>
      <c r="AA417" s="33" t="s">
        <v>771</v>
      </c>
      <c r="AB417" s="95"/>
      <c r="AC417" s="95"/>
    </row>
    <row r="418" spans="1:29" ht="14.45" hidden="1" customHeight="1" x14ac:dyDescent="0.25">
      <c r="A418" s="36" t="str">
        <f>INDEX('Base de données Mono'!C:C,MATCH(B418,'Base de données Mono'!D:D,0))</f>
        <v>MONTPELLIER COMEDIE</v>
      </c>
      <c r="B418" t="s">
        <v>179</v>
      </c>
      <c r="C418" s="36" t="str">
        <f>INDEX('Base de données Mono'!B:B,MATCH(B418,'Base de données Mono'!D:D,0))</f>
        <v>SES8</v>
      </c>
      <c r="D418" s="36" t="str">
        <f>INDEX('Base de données Mono'!A:A,MATCH(B418,'Base de données Mono'!D:D,0))</f>
        <v>AD</v>
      </c>
      <c r="E418" s="37" t="s">
        <v>303</v>
      </c>
      <c r="F418" s="41">
        <f t="shared" si="43"/>
        <v>14</v>
      </c>
      <c r="G418" s="41">
        <f t="shared" si="44"/>
        <v>4</v>
      </c>
      <c r="H418">
        <v>6.5</v>
      </c>
      <c r="I418" s="131">
        <f>INDEX('Base de données Mono'!K:K,MATCH(B418,'Base de données Mono'!D:D,0))</f>
        <v>0.1875</v>
      </c>
      <c r="J418" s="131">
        <f>INDEX('Base de données Mono'!L:L,MATCH(B418,'Base de données Mono'!D:D,0))</f>
        <v>0.91666666666666663</v>
      </c>
      <c r="K418" s="131">
        <f>INDEX('Base de données Mono'!M:M,MATCH(B418,'Base de données Mono'!D:D,0))</f>
        <v>0.29166666666666669</v>
      </c>
      <c r="L418" s="131">
        <f>INDEX('Base de données Mono'!N:N,MATCH(B418,'Base de données Mono'!D:D,0))</f>
        <v>0.54166666666666663</v>
      </c>
      <c r="M418" s="33" t="s">
        <v>46</v>
      </c>
      <c r="N418" s="33">
        <f>IF(AND(E418="Electricité",M418="Hiver"),INDEX('Base de données Mono'!E:E,MATCH(B418,'Base de données Mono'!D:D,0)),IF(AND(E418="Electricité",M418="Mi-saison"),INDEX('Base de données Mono'!F:F,MATCH(B418,'Base de données Mono'!D:D,0)),IF(AND(E418="Electricité",M418="Eté"),INDEX('Base de données Mono'!G:G,MATCH(B418,'Base de données Mono'!D:D,0)),IF(AND(E418="Gaz",M418="Hiver"),INDEX('Base de données Mono'!J:J,MATCH(B418,'Base de données Mono'!D:D,0)),IF(AND(E418="Gaz",M418="Mi-saison"),INDEX('Base de données Mono'!#REF!,MATCH(B418,'Base de données Mono'!D:D,0)),IF(AND(E418="Gaz",M418="Eté"),INDEX('Base de données Mono'!#REF!,MATCH(B418,'Base de données Mono'!D:D,0)),"-"))))))</f>
        <v>60</v>
      </c>
      <c r="O418" s="123">
        <v>45389</v>
      </c>
      <c r="P418" s="123">
        <v>45389</v>
      </c>
      <c r="Q418" s="34">
        <v>105</v>
      </c>
      <c r="R418" s="33">
        <f t="shared" si="45"/>
        <v>45</v>
      </c>
      <c r="S418" s="34">
        <v>7.5</v>
      </c>
      <c r="T418" s="34">
        <v>1</v>
      </c>
      <c r="U418" s="33">
        <f t="shared" si="47"/>
        <v>337.5</v>
      </c>
      <c r="V418" s="38" t="s">
        <v>827</v>
      </c>
      <c r="W418" s="39">
        <f t="shared" si="48"/>
        <v>0.75</v>
      </c>
      <c r="X418" s="40" t="s">
        <v>730</v>
      </c>
      <c r="Y418" s="40" t="s">
        <v>284</v>
      </c>
      <c r="Z418" s="40" t="s">
        <v>307</v>
      </c>
      <c r="AA418" s="33" t="s">
        <v>308</v>
      </c>
      <c r="AB418" s="95"/>
      <c r="AC418" s="95"/>
    </row>
    <row r="419" spans="1:29" ht="14.45" hidden="1" customHeight="1" x14ac:dyDescent="0.25">
      <c r="A419" s="36" t="str">
        <f>INDEX('Base de données Mono'!C:C,MATCH(B419,'Base de données Mono'!D:D,0))</f>
        <v>MONTPELLIER COMEDIE</v>
      </c>
      <c r="B419" t="s">
        <v>179</v>
      </c>
      <c r="C419" s="36" t="str">
        <f>INDEX('Base de données Mono'!B:B,MATCH(B419,'Base de données Mono'!D:D,0))</f>
        <v>SES8</v>
      </c>
      <c r="D419" s="36" t="str">
        <f>INDEX('Base de données Mono'!A:A,MATCH(B419,'Base de données Mono'!D:D,0))</f>
        <v>AD</v>
      </c>
      <c r="E419" s="37" t="s">
        <v>303</v>
      </c>
      <c r="F419" s="41">
        <f t="shared" si="43"/>
        <v>14</v>
      </c>
      <c r="G419" s="41">
        <f t="shared" si="44"/>
        <v>4</v>
      </c>
      <c r="H419">
        <v>6.5</v>
      </c>
      <c r="I419" s="131">
        <f>INDEX('Base de données Mono'!K:K,MATCH(B419,'Base de données Mono'!D:D,0))</f>
        <v>0.1875</v>
      </c>
      <c r="J419" s="131">
        <f>INDEX('Base de données Mono'!L:L,MATCH(B419,'Base de données Mono'!D:D,0))</f>
        <v>0.91666666666666663</v>
      </c>
      <c r="K419" s="131">
        <f>INDEX('Base de données Mono'!M:M,MATCH(B419,'Base de données Mono'!D:D,0))</f>
        <v>0.29166666666666669</v>
      </c>
      <c r="L419" s="131">
        <f>INDEX('Base de données Mono'!N:N,MATCH(B419,'Base de données Mono'!D:D,0))</f>
        <v>0.54166666666666663</v>
      </c>
      <c r="M419" s="33" t="s">
        <v>46</v>
      </c>
      <c r="N419" s="33">
        <f>IF(AND(E419="Electricité",M419="Hiver"),INDEX('Base de données Mono'!E:E,MATCH(B419,'Base de données Mono'!D:D,0)),IF(AND(E419="Electricité",M419="Mi-saison"),INDEX('Base de données Mono'!F:F,MATCH(B419,'Base de données Mono'!D:D,0)),IF(AND(E419="Electricité",M419="Eté"),INDEX('Base de données Mono'!G:G,MATCH(B419,'Base de données Mono'!D:D,0)),IF(AND(E419="Gaz",M419="Hiver"),INDEX('Base de données Mono'!J:J,MATCH(B419,'Base de données Mono'!D:D,0)),IF(AND(E419="Gaz",M419="Mi-saison"),INDEX('Base de données Mono'!#REF!,MATCH(B419,'Base de données Mono'!D:D,0)),IF(AND(E419="Gaz",M419="Eté"),INDEX('Base de données Mono'!#REF!,MATCH(B419,'Base de données Mono'!D:D,0)),"-"))))))</f>
        <v>60</v>
      </c>
      <c r="O419" s="123">
        <v>45389</v>
      </c>
      <c r="P419" s="123">
        <v>45389</v>
      </c>
      <c r="Q419" s="34">
        <v>65</v>
      </c>
      <c r="R419" s="33">
        <f t="shared" si="45"/>
        <v>5</v>
      </c>
      <c r="S419" s="34">
        <v>1.5</v>
      </c>
      <c r="T419" s="34">
        <v>1</v>
      </c>
      <c r="U419" s="33">
        <f t="shared" si="47"/>
        <v>7.5</v>
      </c>
      <c r="V419" s="38" t="s">
        <v>827</v>
      </c>
      <c r="W419" s="39">
        <f t="shared" si="48"/>
        <v>8.3333333333333329E-2</v>
      </c>
      <c r="X419" s="40" t="s">
        <v>730</v>
      </c>
      <c r="Y419" s="40" t="s">
        <v>284</v>
      </c>
      <c r="Z419" s="40" t="s">
        <v>305</v>
      </c>
      <c r="AA419" s="33" t="s">
        <v>771</v>
      </c>
      <c r="AB419" s="95"/>
      <c r="AC419" s="95"/>
    </row>
    <row r="420" spans="1:29" ht="14.45" hidden="1" customHeight="1" x14ac:dyDescent="0.25">
      <c r="A420" s="36" t="str">
        <f>INDEX('Base de données Mono'!C:C,MATCH(B420,'Base de données Mono'!D:D,0))</f>
        <v>VILLEJUIF</v>
      </c>
      <c r="B420" t="s">
        <v>273</v>
      </c>
      <c r="C420" s="36" t="str">
        <f>INDEX('Base de données Mono'!B:B,MATCH(B420,'Base de données Mono'!D:D,0))</f>
        <v>SES8</v>
      </c>
      <c r="D420" s="36" t="str">
        <f>INDEX('Base de données Mono'!A:A,MATCH(B420,'Base de données Mono'!D:D,0))</f>
        <v>JG</v>
      </c>
      <c r="E420" s="37" t="s">
        <v>303</v>
      </c>
      <c r="F420" s="41">
        <f t="shared" si="43"/>
        <v>14</v>
      </c>
      <c r="G420" s="41">
        <f t="shared" si="44"/>
        <v>4</v>
      </c>
      <c r="H420">
        <v>9.17</v>
      </c>
      <c r="I420" s="131">
        <f>INDEX('Base de données Mono'!K:K,MATCH(B420,'Base de données Mono'!D:D,0))</f>
        <v>0.23611111111111113</v>
      </c>
      <c r="J420" s="131">
        <f>INDEX('Base de données Mono'!L:L,MATCH(B420,'Base de données Mono'!D:D,0))</f>
        <v>0.85416666666666663</v>
      </c>
      <c r="K420" s="131">
        <f>INDEX('Base de données Mono'!M:M,MATCH(B420,'Base de données Mono'!D:D,0))</f>
        <v>0.31944444444444448</v>
      </c>
      <c r="L420" s="131">
        <f>INDEX('Base de données Mono'!N:N,MATCH(B420,'Base de données Mono'!D:D,0))</f>
        <v>0.55208333333333337</v>
      </c>
      <c r="M420" s="33" t="s">
        <v>46</v>
      </c>
      <c r="N420" s="33">
        <f>IF(AND(E420="Electricité",M420="Hiver"),INDEX('Base de données Mono'!E:E,MATCH(B420,'Base de données Mono'!D:D,0)),IF(AND(E420="Electricité",M420="Mi-saison"),INDEX('Base de données Mono'!F:F,MATCH(B420,'Base de données Mono'!D:D,0)),IF(AND(E420="Electricité",M420="Eté"),INDEX('Base de données Mono'!G:G,MATCH(B420,'Base de données Mono'!D:D,0)),IF(AND(E420="Gaz",M420="Hiver"),INDEX('Base de données Mono'!J:J,MATCH(B420,'Base de données Mono'!D:D,0)),IF(AND(E420="Gaz",M420="Mi-saison"),INDEX('Base de données Mono'!#REF!,MATCH(B420,'Base de données Mono'!D:D,0)),IF(AND(E420="Gaz",M420="Eté"),INDEX('Base de données Mono'!#REF!,MATCH(B420,'Base de données Mono'!D:D,0)),"-"))))))</f>
        <v>45</v>
      </c>
      <c r="O420" s="123">
        <v>45383</v>
      </c>
      <c r="P420" s="123">
        <v>45389</v>
      </c>
      <c r="Q420" s="34">
        <v>50</v>
      </c>
      <c r="R420" s="33">
        <f t="shared" si="45"/>
        <v>5</v>
      </c>
      <c r="S420" s="34">
        <v>9</v>
      </c>
      <c r="T420" s="34">
        <f t="shared" si="46"/>
        <v>6</v>
      </c>
      <c r="U420" s="33">
        <f t="shared" si="47"/>
        <v>270</v>
      </c>
      <c r="V420" s="38" t="s">
        <v>827</v>
      </c>
      <c r="W420" s="39">
        <f t="shared" si="48"/>
        <v>0.1111111111111111</v>
      </c>
      <c r="X420" s="40" t="s">
        <v>304</v>
      </c>
      <c r="Y420" s="40" t="s">
        <v>284</v>
      </c>
      <c r="Z420" s="40" t="s">
        <v>305</v>
      </c>
      <c r="AA420" s="33" t="s">
        <v>771</v>
      </c>
      <c r="AB420" s="95"/>
      <c r="AC420" s="95"/>
    </row>
    <row r="421" spans="1:29" ht="14.45" hidden="1" customHeight="1" x14ac:dyDescent="0.25">
      <c r="A421" s="36" t="str">
        <f>INDEX('Base de données Mono'!C:C,MATCH(B421,'Base de données Mono'!D:D,0))</f>
        <v>VILLEJUIF</v>
      </c>
      <c r="B421" t="s">
        <v>273</v>
      </c>
      <c r="C421" s="36" t="str">
        <f>INDEX('Base de données Mono'!B:B,MATCH(B421,'Base de données Mono'!D:D,0))</f>
        <v>SES8</v>
      </c>
      <c r="D421" s="36" t="str">
        <f>INDEX('Base de données Mono'!A:A,MATCH(B421,'Base de données Mono'!D:D,0))</f>
        <v>JG</v>
      </c>
      <c r="E421" s="37" t="s">
        <v>303</v>
      </c>
      <c r="F421" s="41">
        <f t="shared" si="43"/>
        <v>14</v>
      </c>
      <c r="G421" s="41">
        <f t="shared" si="44"/>
        <v>4</v>
      </c>
      <c r="H421">
        <v>9.17</v>
      </c>
      <c r="I421" s="131">
        <f>INDEX('Base de données Mono'!K:K,MATCH(B421,'Base de données Mono'!D:D,0))</f>
        <v>0.23611111111111113</v>
      </c>
      <c r="J421" s="131">
        <f>INDEX('Base de données Mono'!L:L,MATCH(B421,'Base de données Mono'!D:D,0))</f>
        <v>0.85416666666666663</v>
      </c>
      <c r="K421" s="131">
        <f>INDEX('Base de données Mono'!M:M,MATCH(B421,'Base de données Mono'!D:D,0))</f>
        <v>0.31944444444444448</v>
      </c>
      <c r="L421" s="131">
        <f>INDEX('Base de données Mono'!N:N,MATCH(B421,'Base de données Mono'!D:D,0))</f>
        <v>0.55208333333333337</v>
      </c>
      <c r="M421" s="33" t="s">
        <v>46</v>
      </c>
      <c r="N421" s="33">
        <f>IF(AND(E421="Electricité",M421="Hiver"),INDEX('Base de données Mono'!E:E,MATCH(B421,'Base de données Mono'!D:D,0)),IF(AND(E421="Electricité",M421="Mi-saison"),INDEX('Base de données Mono'!F:F,MATCH(B421,'Base de données Mono'!D:D,0)),IF(AND(E421="Electricité",M421="Eté"),INDEX('Base de données Mono'!G:G,MATCH(B421,'Base de données Mono'!D:D,0)),IF(AND(E421="Gaz",M421="Hiver"),INDEX('Base de données Mono'!J:J,MATCH(B421,'Base de données Mono'!D:D,0)),IF(AND(E421="Gaz",M421="Mi-saison"),INDEX('Base de données Mono'!#REF!,MATCH(B421,'Base de données Mono'!D:D,0)),IF(AND(E421="Gaz",M421="Eté"),INDEX('Base de données Mono'!#REF!,MATCH(B421,'Base de données Mono'!D:D,0)),"-"))))))</f>
        <v>45</v>
      </c>
      <c r="O421" s="123">
        <v>45389</v>
      </c>
      <c r="P421" s="123">
        <v>45389</v>
      </c>
      <c r="Q421" s="34">
        <v>75</v>
      </c>
      <c r="R421" s="33">
        <f t="shared" si="45"/>
        <v>30</v>
      </c>
      <c r="S421" s="34">
        <v>6.5</v>
      </c>
      <c r="T421" s="34">
        <v>1</v>
      </c>
      <c r="U421" s="33">
        <f t="shared" si="47"/>
        <v>195</v>
      </c>
      <c r="V421" s="38" t="s">
        <v>148</v>
      </c>
      <c r="W421" s="39">
        <f t="shared" si="48"/>
        <v>0.66666666666666663</v>
      </c>
      <c r="X421" s="40" t="s">
        <v>730</v>
      </c>
      <c r="Y421" s="40" t="s">
        <v>284</v>
      </c>
      <c r="Z421" s="40" t="s">
        <v>307</v>
      </c>
      <c r="AA421" s="33" t="s">
        <v>308</v>
      </c>
      <c r="AB421" s="95"/>
      <c r="AC421" s="95"/>
    </row>
    <row r="422" spans="1:29" ht="14.45" hidden="1" customHeight="1" x14ac:dyDescent="0.25">
      <c r="A422" s="36" t="str">
        <f>INDEX('Base de données Mono'!C:C,MATCH(B422,'Base de données Mono'!D:D,0))</f>
        <v>BOULOGNE SEMBAT</v>
      </c>
      <c r="B422" t="s">
        <v>8</v>
      </c>
      <c r="C422" s="36" t="str">
        <f>INDEX('Base de données Mono'!B:B,MATCH(B422,'Base de données Mono'!D:D,0))</f>
        <v>SES8</v>
      </c>
      <c r="D422" s="36" t="str">
        <f>INDEX('Base de données Mono'!A:A,MATCH(B422,'Base de données Mono'!D:D,0))</f>
        <v>AD</v>
      </c>
      <c r="E422" s="37" t="s">
        <v>303</v>
      </c>
      <c r="F422" s="41">
        <f t="shared" si="43"/>
        <v>14</v>
      </c>
      <c r="G422" s="41">
        <f t="shared" si="44"/>
        <v>4</v>
      </c>
      <c r="H422">
        <v>5.33</v>
      </c>
      <c r="I422" s="131">
        <f>INDEX('Base de données Mono'!K:K,MATCH(B422,'Base de données Mono'!D:D,0))</f>
        <v>0.20138888888888887</v>
      </c>
      <c r="J422" s="131">
        <f>INDEX('Base de données Mono'!L:L,MATCH(B422,'Base de données Mono'!D:D,0))</f>
        <v>0.97916666666666663</v>
      </c>
      <c r="K422" s="131">
        <f>INDEX('Base de données Mono'!M:M,MATCH(B422,'Base de données Mono'!D:D,0))</f>
        <v>0.2638888888888889</v>
      </c>
      <c r="L422" s="131">
        <f>INDEX('Base de données Mono'!N:N,MATCH(B422,'Base de données Mono'!D:D,0))</f>
        <v>0.85416666666666663</v>
      </c>
      <c r="M422" s="33" t="s">
        <v>46</v>
      </c>
      <c r="N422" s="33">
        <f>IF(AND(E422="Electricité",M422="Hiver"),INDEX('Base de données Mono'!E:E,MATCH(B422,'Base de données Mono'!D:D,0)),IF(AND(E422="Electricité",M422="Mi-saison"),INDEX('Base de données Mono'!F:F,MATCH(B422,'Base de données Mono'!D:D,0)),IF(AND(E422="Electricité",M422="Eté"),INDEX('Base de données Mono'!G:G,MATCH(B422,'Base de données Mono'!D:D,0)),IF(AND(E422="Gaz",M422="Hiver"),INDEX('Base de données Mono'!J:J,MATCH(B422,'Base de données Mono'!D:D,0)),IF(AND(E422="Gaz",M422="Mi-saison"),INDEX('Base de données Mono'!#REF!,MATCH(B422,'Base de données Mono'!D:D,0)),IF(AND(E422="Gaz",M422="Eté"),INDEX('Base de données Mono'!#REF!,MATCH(B422,'Base de données Mono'!D:D,0)),"-"))))))</f>
        <v>85</v>
      </c>
      <c r="O422" s="123">
        <v>45387</v>
      </c>
      <c r="P422" s="123">
        <v>45389</v>
      </c>
      <c r="Q422" s="34">
        <v>95</v>
      </c>
      <c r="R422" s="33">
        <f t="shared" si="45"/>
        <v>10</v>
      </c>
      <c r="S422" s="34">
        <v>4</v>
      </c>
      <c r="T422" s="34">
        <f t="shared" si="46"/>
        <v>2</v>
      </c>
      <c r="U422" s="33">
        <f t="shared" si="47"/>
        <v>80</v>
      </c>
      <c r="V422" s="38" t="s">
        <v>827</v>
      </c>
      <c r="W422" s="39">
        <f t="shared" si="48"/>
        <v>0.11764705882352941</v>
      </c>
      <c r="X422" s="40" t="s">
        <v>304</v>
      </c>
      <c r="Y422" s="40" t="s">
        <v>283</v>
      </c>
      <c r="Z422" s="40" t="s">
        <v>749</v>
      </c>
      <c r="AA422" s="33" t="s">
        <v>749</v>
      </c>
      <c r="AB422" s="95"/>
      <c r="AC422" s="95"/>
    </row>
    <row r="423" spans="1:29" ht="14.45" hidden="1" customHeight="1" x14ac:dyDescent="0.25">
      <c r="A423" s="36" t="str">
        <f>INDEX('Base de données Mono'!C:C,MATCH(B423,'Base de données Mono'!D:D,0))</f>
        <v>BOULOGNE SEMBAT</v>
      </c>
      <c r="B423" t="s">
        <v>8</v>
      </c>
      <c r="C423" s="36" t="str">
        <f>INDEX('Base de données Mono'!B:B,MATCH(B423,'Base de données Mono'!D:D,0))</f>
        <v>SES8</v>
      </c>
      <c r="D423" s="36" t="str">
        <f>INDEX('Base de données Mono'!A:A,MATCH(B423,'Base de données Mono'!D:D,0))</f>
        <v>AD</v>
      </c>
      <c r="E423" s="37" t="s">
        <v>303</v>
      </c>
      <c r="F423" s="41">
        <f t="shared" si="43"/>
        <v>14</v>
      </c>
      <c r="G423" s="41">
        <f t="shared" si="44"/>
        <v>4</v>
      </c>
      <c r="H423">
        <v>5.33</v>
      </c>
      <c r="I423" s="131">
        <f>INDEX('Base de données Mono'!K:K,MATCH(B423,'Base de données Mono'!D:D,0))</f>
        <v>0.20138888888888887</v>
      </c>
      <c r="J423" s="131">
        <f>INDEX('Base de données Mono'!L:L,MATCH(B423,'Base de données Mono'!D:D,0))</f>
        <v>0.97916666666666663</v>
      </c>
      <c r="K423" s="131">
        <f>INDEX('Base de données Mono'!M:M,MATCH(B423,'Base de données Mono'!D:D,0))</f>
        <v>0.2638888888888889</v>
      </c>
      <c r="L423" s="131">
        <f>INDEX('Base de données Mono'!N:N,MATCH(B423,'Base de données Mono'!D:D,0))</f>
        <v>0.85416666666666663</v>
      </c>
      <c r="M423" s="33" t="s">
        <v>46</v>
      </c>
      <c r="N423" s="33">
        <f>IF(AND(E423="Electricité",M423="Hiver"),INDEX('Base de données Mono'!E:E,MATCH(B423,'Base de données Mono'!D:D,0)),IF(AND(E423="Electricité",M423="Mi-saison"),INDEX('Base de données Mono'!F:F,MATCH(B423,'Base de données Mono'!D:D,0)),IF(AND(E423="Electricité",M423="Eté"),INDEX('Base de données Mono'!G:G,MATCH(B423,'Base de données Mono'!D:D,0)),IF(AND(E423="Gaz",M423="Hiver"),INDEX('Base de données Mono'!J:J,MATCH(B423,'Base de données Mono'!D:D,0)),IF(AND(E423="Gaz",M423="Mi-saison"),INDEX('Base de données Mono'!#REF!,MATCH(B423,'Base de données Mono'!D:D,0)),IF(AND(E423="Gaz",M423="Eté"),INDEX('Base de données Mono'!#REF!,MATCH(B423,'Base de données Mono'!D:D,0)),"-"))))))</f>
        <v>85</v>
      </c>
      <c r="O423" s="123">
        <v>45383</v>
      </c>
      <c r="P423" s="123">
        <v>45385</v>
      </c>
      <c r="Q423" s="34">
        <v>130</v>
      </c>
      <c r="R423" s="33">
        <f t="shared" si="45"/>
        <v>45</v>
      </c>
      <c r="S423" s="34">
        <v>1</v>
      </c>
      <c r="T423" s="34">
        <f t="shared" si="46"/>
        <v>2</v>
      </c>
      <c r="U423" s="33">
        <f t="shared" si="47"/>
        <v>90</v>
      </c>
      <c r="V423" s="38" t="s">
        <v>827</v>
      </c>
      <c r="W423" s="39">
        <f t="shared" si="48"/>
        <v>0.52941176470588236</v>
      </c>
      <c r="X423" s="40" t="s">
        <v>304</v>
      </c>
      <c r="Y423" s="40" t="s">
        <v>284</v>
      </c>
      <c r="Z423" s="40" t="s">
        <v>307</v>
      </c>
      <c r="AA423" s="33" t="s">
        <v>414</v>
      </c>
      <c r="AB423" s="95"/>
      <c r="AC423" s="95"/>
    </row>
    <row r="424" spans="1:29" ht="14.45" hidden="1" customHeight="1" x14ac:dyDescent="0.25">
      <c r="A424" s="36" t="str">
        <f>INDEX('Base de données Mono'!C:C,MATCH(B424,'Base de données Mono'!D:D,0))</f>
        <v>BOULOGNE SEMBAT</v>
      </c>
      <c r="B424" t="s">
        <v>8</v>
      </c>
      <c r="C424" s="36" t="str">
        <f>INDEX('Base de données Mono'!B:B,MATCH(B424,'Base de données Mono'!D:D,0))</f>
        <v>SES8</v>
      </c>
      <c r="D424" s="36" t="str">
        <f>INDEX('Base de données Mono'!A:A,MATCH(B424,'Base de données Mono'!D:D,0))</f>
        <v>AD</v>
      </c>
      <c r="E424" s="37" t="s">
        <v>303</v>
      </c>
      <c r="F424" s="41">
        <f t="shared" si="43"/>
        <v>14</v>
      </c>
      <c r="G424" s="41">
        <f t="shared" si="44"/>
        <v>4</v>
      </c>
      <c r="H424">
        <v>5.33</v>
      </c>
      <c r="I424" s="131">
        <f>INDEX('Base de données Mono'!K:K,MATCH(B424,'Base de données Mono'!D:D,0))</f>
        <v>0.20138888888888887</v>
      </c>
      <c r="J424" s="131">
        <f>INDEX('Base de données Mono'!L:L,MATCH(B424,'Base de données Mono'!D:D,0))</f>
        <v>0.97916666666666663</v>
      </c>
      <c r="K424" s="131">
        <f>INDEX('Base de données Mono'!M:M,MATCH(B424,'Base de données Mono'!D:D,0))</f>
        <v>0.2638888888888889</v>
      </c>
      <c r="L424" s="131">
        <f>INDEX('Base de données Mono'!N:N,MATCH(B424,'Base de données Mono'!D:D,0))</f>
        <v>0.85416666666666663</v>
      </c>
      <c r="M424" s="33" t="s">
        <v>46</v>
      </c>
      <c r="N424" s="33">
        <f>IF(AND(E424="Electricité",M424="Hiver"),INDEX('Base de données Mono'!E:E,MATCH(B424,'Base de données Mono'!D:D,0)),IF(AND(E424="Electricité",M424="Mi-saison"),INDEX('Base de données Mono'!F:F,MATCH(B424,'Base de données Mono'!D:D,0)),IF(AND(E424="Electricité",M424="Eté"),INDEX('Base de données Mono'!G:G,MATCH(B424,'Base de données Mono'!D:D,0)),IF(AND(E424="Gaz",M424="Hiver"),INDEX('Base de données Mono'!J:J,MATCH(B424,'Base de données Mono'!D:D,0)),IF(AND(E424="Gaz",M424="Mi-saison"),INDEX('Base de données Mono'!#REF!,MATCH(B424,'Base de données Mono'!D:D,0)),IF(AND(E424="Gaz",M424="Eté"),INDEX('Base de données Mono'!#REF!,MATCH(B424,'Base de données Mono'!D:D,0)),"-"))))))</f>
        <v>85</v>
      </c>
      <c r="O424" s="123">
        <v>45386</v>
      </c>
      <c r="P424" s="123">
        <v>45389</v>
      </c>
      <c r="Q424" s="34">
        <v>140</v>
      </c>
      <c r="R424" s="33">
        <f t="shared" si="45"/>
        <v>55</v>
      </c>
      <c r="S424" s="34">
        <v>1</v>
      </c>
      <c r="T424" s="34">
        <f t="shared" si="46"/>
        <v>3</v>
      </c>
      <c r="U424" s="33">
        <f t="shared" si="47"/>
        <v>165</v>
      </c>
      <c r="V424" s="38" t="s">
        <v>827</v>
      </c>
      <c r="W424" s="39">
        <f t="shared" si="48"/>
        <v>0.6470588235294118</v>
      </c>
      <c r="X424" s="40" t="s">
        <v>304</v>
      </c>
      <c r="Y424" s="40" t="s">
        <v>284</v>
      </c>
      <c r="Z424" s="40" t="s">
        <v>307</v>
      </c>
      <c r="AA424" s="33" t="s">
        <v>414</v>
      </c>
      <c r="AB424" s="95"/>
      <c r="AC424" s="95"/>
    </row>
    <row r="425" spans="1:29" ht="14.45" hidden="1" customHeight="1" x14ac:dyDescent="0.25">
      <c r="A425" s="36" t="str">
        <f>INDEX('Base de données Mono'!C:C,MATCH(B425,'Base de données Mono'!D:D,0))</f>
        <v>BREST</v>
      </c>
      <c r="B425" t="s">
        <v>85</v>
      </c>
      <c r="C425" s="36" t="str">
        <f>INDEX('Base de données Mono'!B:B,MATCH(B425,'Base de données Mono'!D:D,0))</f>
        <v>Monoprix</v>
      </c>
      <c r="D425" s="36" t="str">
        <f>INDEX('Base de données Mono'!A:A,MATCH(B425,'Base de données Mono'!D:D,0))</f>
        <v>AD</v>
      </c>
      <c r="E425" s="37" t="s">
        <v>303</v>
      </c>
      <c r="F425" s="41">
        <f t="shared" si="43"/>
        <v>14</v>
      </c>
      <c r="G425" s="41">
        <f t="shared" si="44"/>
        <v>4</v>
      </c>
      <c r="H425">
        <v>10</v>
      </c>
      <c r="I425" s="131">
        <f>INDEX('Base de données Mono'!K:K,MATCH(B425,'Base de données Mono'!D:D,0))</f>
        <v>0.25</v>
      </c>
      <c r="J425" s="131">
        <f>INDEX('Base de données Mono'!L:L,MATCH(B425,'Base de données Mono'!D:D,0))</f>
        <v>0.83333333333333304</v>
      </c>
      <c r="K425" s="131" t="str">
        <f>INDEX('Base de données Mono'!M:M,MATCH(B425,'Base de données Mono'!D:D,0))</f>
        <v>-</v>
      </c>
      <c r="L425" s="131" t="str">
        <f>INDEX('Base de données Mono'!N:N,MATCH(B425,'Base de données Mono'!D:D,0))</f>
        <v>-</v>
      </c>
      <c r="M425" s="33" t="s">
        <v>46</v>
      </c>
      <c r="N425" s="33">
        <f>IF(AND(E425="Electricité",M425="Hiver"),INDEX('Base de données Mono'!E:E,MATCH(B425,'Base de données Mono'!D:D,0)),IF(AND(E425="Electricité",M425="Mi-saison"),INDEX('Base de données Mono'!F:F,MATCH(B425,'Base de données Mono'!D:D,0)),IF(AND(E425="Electricité",M425="Eté"),INDEX('Base de données Mono'!G:G,MATCH(B425,'Base de données Mono'!D:D,0)),IF(AND(E425="Gaz",M425="Hiver"),INDEX('Base de données Mono'!J:J,MATCH(B425,'Base de données Mono'!D:D,0)),IF(AND(E425="Gaz",M425="Mi-saison"),INDEX('Base de données Mono'!#REF!,MATCH(B425,'Base de données Mono'!D:D,0)),IF(AND(E425="Gaz",M425="Eté"),INDEX('Base de données Mono'!#REF!,MATCH(B425,'Base de données Mono'!D:D,0)),"-"))))))</f>
        <v>45</v>
      </c>
      <c r="O425" s="123">
        <v>45383</v>
      </c>
      <c r="P425" s="123">
        <v>45388</v>
      </c>
      <c r="Q425" s="34">
        <v>55</v>
      </c>
      <c r="R425" s="33">
        <f t="shared" si="45"/>
        <v>10</v>
      </c>
      <c r="S425" s="34">
        <v>1</v>
      </c>
      <c r="T425" s="34">
        <f t="shared" si="46"/>
        <v>5</v>
      </c>
      <c r="U425" s="33">
        <f t="shared" si="47"/>
        <v>50</v>
      </c>
      <c r="V425" s="38" t="s">
        <v>827</v>
      </c>
      <c r="W425" s="39">
        <f t="shared" si="48"/>
        <v>0.22222222222222221</v>
      </c>
      <c r="X425" s="40" t="s">
        <v>304</v>
      </c>
      <c r="Y425" s="40" t="s">
        <v>283</v>
      </c>
      <c r="Z425" s="40" t="s">
        <v>749</v>
      </c>
      <c r="AA425" s="33" t="s">
        <v>749</v>
      </c>
      <c r="AB425" s="95"/>
      <c r="AC425" s="95"/>
    </row>
    <row r="426" spans="1:29" ht="14.45" hidden="1" customHeight="1" x14ac:dyDescent="0.25">
      <c r="A426" s="36" t="str">
        <f>INDEX('Base de données Mono'!C:C,MATCH(B426,'Base de données Mono'!D:D,0))</f>
        <v>CAEN</v>
      </c>
      <c r="B426" t="s">
        <v>10</v>
      </c>
      <c r="C426" s="36" t="str">
        <f>INDEX('Base de données Mono'!B:B,MATCH(B426,'Base de données Mono'!D:D,0))</f>
        <v>SES8</v>
      </c>
      <c r="D426" s="36" t="str">
        <f>INDEX('Base de données Mono'!A:A,MATCH(B426,'Base de données Mono'!D:D,0))</f>
        <v>AD</v>
      </c>
      <c r="E426" s="37" t="s">
        <v>303</v>
      </c>
      <c r="F426" s="41">
        <f t="shared" si="43"/>
        <v>14</v>
      </c>
      <c r="G426" s="41">
        <f t="shared" si="44"/>
        <v>4</v>
      </c>
      <c r="H426">
        <v>8.33</v>
      </c>
      <c r="I426" s="131">
        <f>INDEX('Base de données Mono'!K:K,MATCH(B426,'Base de données Mono'!D:D,0))</f>
        <v>0.22222222222222221</v>
      </c>
      <c r="J426" s="131">
        <f>INDEX('Base de données Mono'!L:L,MATCH(B426,'Base de données Mono'!D:D,0))</f>
        <v>0.875</v>
      </c>
      <c r="K426" s="131">
        <f>INDEX('Base de données Mono'!M:M,MATCH(B426,'Base de données Mono'!D:D,0))</f>
        <v>0.29166666666666702</v>
      </c>
      <c r="L426" s="131">
        <f>INDEX('Base de données Mono'!N:N,MATCH(B426,'Base de données Mono'!D:D,0))</f>
        <v>0.54166666666666663</v>
      </c>
      <c r="M426" s="33" t="s">
        <v>46</v>
      </c>
      <c r="N426" s="33">
        <f>IF(AND(E426="Electricité",M426="Hiver"),INDEX('Base de données Mono'!E:E,MATCH(B426,'Base de données Mono'!D:D,0)),IF(AND(E426="Electricité",M426="Mi-saison"),INDEX('Base de données Mono'!F:F,MATCH(B426,'Base de données Mono'!D:D,0)),IF(AND(E426="Electricité",M426="Eté"),INDEX('Base de données Mono'!G:G,MATCH(B426,'Base de données Mono'!D:D,0)),IF(AND(E426="Gaz",M426="Hiver"),INDEX('Base de données Mono'!J:J,MATCH(B426,'Base de données Mono'!D:D,0)),IF(AND(E426="Gaz",M426="Mi-saison"),INDEX('Base de données Mono'!#REF!,MATCH(B426,'Base de données Mono'!D:D,0)),IF(AND(E426="Gaz",M426="Eté"),INDEX('Base de données Mono'!#REF!,MATCH(B426,'Base de données Mono'!D:D,0)),"-"))))))</f>
        <v>75</v>
      </c>
      <c r="O426" s="123">
        <v>45383</v>
      </c>
      <c r="P426" s="123">
        <v>45388</v>
      </c>
      <c r="Q426" s="34">
        <v>85</v>
      </c>
      <c r="R426" s="33">
        <f t="shared" si="45"/>
        <v>10</v>
      </c>
      <c r="S426" s="34">
        <v>4</v>
      </c>
      <c r="T426" s="34">
        <f t="shared" si="46"/>
        <v>5</v>
      </c>
      <c r="U426" s="33">
        <f t="shared" si="47"/>
        <v>200</v>
      </c>
      <c r="V426" s="38" t="s">
        <v>827</v>
      </c>
      <c r="W426" s="39">
        <f t="shared" si="48"/>
        <v>0.13333333333333333</v>
      </c>
      <c r="X426" s="40" t="s">
        <v>304</v>
      </c>
      <c r="Y426" s="40" t="s">
        <v>284</v>
      </c>
      <c r="Z426" s="40" t="s">
        <v>305</v>
      </c>
      <c r="AA426" s="33" t="s">
        <v>771</v>
      </c>
      <c r="AB426" s="95"/>
      <c r="AC426" s="95"/>
    </row>
    <row r="427" spans="1:29" ht="14.45" hidden="1" customHeight="1" x14ac:dyDescent="0.25">
      <c r="A427" s="36" t="str">
        <f>INDEX('Base de données Mono'!C:C,MATCH(B427,'Base de données Mono'!D:D,0))</f>
        <v>LE HAVRE</v>
      </c>
      <c r="B427" t="s">
        <v>152</v>
      </c>
      <c r="C427" s="36" t="str">
        <f>INDEX('Base de données Mono'!B:B,MATCH(B427,'Base de données Mono'!D:D,0))</f>
        <v>SES8</v>
      </c>
      <c r="D427" s="36" t="str">
        <f>INDEX('Base de données Mono'!A:A,MATCH(B427,'Base de données Mono'!D:D,0))</f>
        <v>AD</v>
      </c>
      <c r="E427" s="37" t="s">
        <v>303</v>
      </c>
      <c r="F427" s="41">
        <f t="shared" si="43"/>
        <v>14</v>
      </c>
      <c r="G427" s="41">
        <f t="shared" si="44"/>
        <v>4</v>
      </c>
      <c r="H427">
        <v>7.25</v>
      </c>
      <c r="I427" s="131">
        <f>INDEX('Base de données Mono'!K:K,MATCH(B427,'Base de données Mono'!D:D,0))</f>
        <v>0.1875</v>
      </c>
      <c r="J427" s="131">
        <f>INDEX('Base de données Mono'!L:L,MATCH(B427,'Base de données Mono'!D:D,0))</f>
        <v>0.88541666666666663</v>
      </c>
      <c r="K427" s="131" t="str">
        <f>INDEX('Base de données Mono'!M:M,MATCH(B427,'Base de données Mono'!D:D,0))</f>
        <v>-</v>
      </c>
      <c r="L427" s="131" t="str">
        <f>INDEX('Base de données Mono'!N:N,MATCH(B427,'Base de données Mono'!D:D,0))</f>
        <v>-</v>
      </c>
      <c r="M427" s="33" t="s">
        <v>46</v>
      </c>
      <c r="N427" s="33">
        <f>IF(AND(E427="Electricité",M427="Hiver"),INDEX('Base de données Mono'!E:E,MATCH(B427,'Base de données Mono'!D:D,0)),IF(AND(E427="Electricité",M427="Mi-saison"),INDEX('Base de données Mono'!F:F,MATCH(B427,'Base de données Mono'!D:D,0)),IF(AND(E427="Electricité",M427="Eté"),INDEX('Base de données Mono'!G:G,MATCH(B427,'Base de données Mono'!D:D,0)),IF(AND(E427="Gaz",M427="Hiver"),INDEX('Base de données Mono'!J:J,MATCH(B427,'Base de données Mono'!D:D,0)),IF(AND(E427="Gaz",M427="Mi-saison"),INDEX('Base de données Mono'!#REF!,MATCH(B427,'Base de données Mono'!D:D,0)),IF(AND(E427="Gaz",M427="Eté"),INDEX('Base de données Mono'!#REF!,MATCH(B427,'Base de données Mono'!D:D,0)),"-"))))))</f>
        <v>60</v>
      </c>
      <c r="O427" s="123">
        <v>45383</v>
      </c>
      <c r="P427" s="123">
        <v>45389</v>
      </c>
      <c r="Q427" s="34">
        <v>65</v>
      </c>
      <c r="R427" s="33">
        <f t="shared" si="45"/>
        <v>5</v>
      </c>
      <c r="S427" s="34">
        <v>7.2</v>
      </c>
      <c r="T427" s="34">
        <f t="shared" si="46"/>
        <v>6</v>
      </c>
      <c r="U427" s="33">
        <f t="shared" si="47"/>
        <v>216</v>
      </c>
      <c r="V427" s="38" t="s">
        <v>827</v>
      </c>
      <c r="W427" s="39">
        <f t="shared" si="48"/>
        <v>8.3333333333333329E-2</v>
      </c>
      <c r="X427" s="40" t="s">
        <v>304</v>
      </c>
      <c r="Y427" s="40" t="s">
        <v>284</v>
      </c>
      <c r="Z427" s="40" t="s">
        <v>305</v>
      </c>
      <c r="AA427" s="33" t="s">
        <v>771</v>
      </c>
      <c r="AB427" s="95"/>
      <c r="AC427" s="95"/>
    </row>
    <row r="428" spans="1:29" ht="14.45" hidden="1" customHeight="1" x14ac:dyDescent="0.25">
      <c r="A428" s="36" t="str">
        <f>INDEX('Base de données Mono'!C:C,MATCH(B428,'Base de données Mono'!D:D,0))</f>
        <v>LE HAVRE</v>
      </c>
      <c r="B428" t="s">
        <v>152</v>
      </c>
      <c r="C428" s="36" t="str">
        <f>INDEX('Base de données Mono'!B:B,MATCH(B428,'Base de données Mono'!D:D,0))</f>
        <v>SES8</v>
      </c>
      <c r="D428" s="36" t="str">
        <f>INDEX('Base de données Mono'!A:A,MATCH(B428,'Base de données Mono'!D:D,0))</f>
        <v>AD</v>
      </c>
      <c r="E428" s="37" t="s">
        <v>303</v>
      </c>
      <c r="F428" s="41">
        <f t="shared" si="43"/>
        <v>14</v>
      </c>
      <c r="G428" s="41">
        <f t="shared" si="44"/>
        <v>4</v>
      </c>
      <c r="H428">
        <v>7.25</v>
      </c>
      <c r="I428" s="131">
        <f>INDEX('Base de données Mono'!K:K,MATCH(B428,'Base de données Mono'!D:D,0))</f>
        <v>0.1875</v>
      </c>
      <c r="J428" s="131">
        <f>INDEX('Base de données Mono'!L:L,MATCH(B428,'Base de données Mono'!D:D,0))</f>
        <v>0.88541666666666663</v>
      </c>
      <c r="K428" s="131" t="str">
        <f>INDEX('Base de données Mono'!M:M,MATCH(B428,'Base de données Mono'!D:D,0))</f>
        <v>-</v>
      </c>
      <c r="L428" s="131" t="str">
        <f>INDEX('Base de données Mono'!N:N,MATCH(B428,'Base de données Mono'!D:D,0))</f>
        <v>-</v>
      </c>
      <c r="M428" s="33" t="s">
        <v>46</v>
      </c>
      <c r="N428" s="33">
        <f>IF(AND(E428="Electricité",M428="Hiver"),INDEX('Base de données Mono'!E:E,MATCH(B428,'Base de données Mono'!D:D,0)),IF(AND(E428="Electricité",M428="Mi-saison"),INDEX('Base de données Mono'!F:F,MATCH(B428,'Base de données Mono'!D:D,0)),IF(AND(E428="Electricité",M428="Eté"),INDEX('Base de données Mono'!G:G,MATCH(B428,'Base de données Mono'!D:D,0)),IF(AND(E428="Gaz",M428="Hiver"),INDEX('Base de données Mono'!J:J,MATCH(B428,'Base de données Mono'!D:D,0)),IF(AND(E428="Gaz",M428="Mi-saison"),INDEX('Base de données Mono'!#REF!,MATCH(B428,'Base de données Mono'!D:D,0)),IF(AND(E428="Gaz",M428="Eté"),INDEX('Base de données Mono'!#REF!,MATCH(B428,'Base de données Mono'!D:D,0)),"-"))))))</f>
        <v>60</v>
      </c>
      <c r="O428" s="123">
        <v>45389</v>
      </c>
      <c r="P428" s="123">
        <v>45389</v>
      </c>
      <c r="Q428" s="34">
        <v>65</v>
      </c>
      <c r="R428" s="33">
        <f t="shared" si="45"/>
        <v>5</v>
      </c>
      <c r="S428" s="34">
        <v>16.5</v>
      </c>
      <c r="T428" s="34">
        <v>1</v>
      </c>
      <c r="U428" s="33">
        <f t="shared" si="47"/>
        <v>82.5</v>
      </c>
      <c r="V428" s="38" t="s">
        <v>827</v>
      </c>
      <c r="W428" s="39">
        <f t="shared" si="48"/>
        <v>8.3333333333333329E-2</v>
      </c>
      <c r="X428" s="40" t="s">
        <v>730</v>
      </c>
      <c r="Y428" s="40" t="s">
        <v>284</v>
      </c>
      <c r="Z428" s="40" t="s">
        <v>305</v>
      </c>
      <c r="AA428" s="33" t="s">
        <v>771</v>
      </c>
      <c r="AB428" s="95"/>
      <c r="AC428" s="95"/>
    </row>
    <row r="429" spans="1:29" ht="14.45" hidden="1" customHeight="1" x14ac:dyDescent="0.25">
      <c r="A429" s="36" t="str">
        <f>INDEX('Base de données Mono'!C:C,MATCH(B429,'Base de données Mono'!D:D,0))</f>
        <v>SABLONS</v>
      </c>
      <c r="B429" t="s">
        <v>32</v>
      </c>
      <c r="C429" s="36" t="str">
        <f>INDEX('Base de données Mono'!B:B,MATCH(B429,'Base de données Mono'!D:D,0))</f>
        <v>SES8</v>
      </c>
      <c r="D429" s="36" t="str">
        <f>INDEX('Base de données Mono'!A:A,MATCH(B429,'Base de données Mono'!D:D,0))</f>
        <v>AD</v>
      </c>
      <c r="E429" s="37" t="s">
        <v>303</v>
      </c>
      <c r="F429" s="41">
        <f>IF(O429="","-",IF(AND(X429="Nuit",WEEKDAY(O429,2)=7,O429&lt;&gt;P429),WEEKNUM(O429,2),WEEKNUM(O429,2)-1))+1</f>
        <v>14</v>
      </c>
      <c r="G429" s="41">
        <f>IF(O429="","-",MONTH(O429))</f>
        <v>4</v>
      </c>
      <c r="H429">
        <v>7.67</v>
      </c>
      <c r="I429" s="131">
        <f>INDEX('Base de données Mono'!K:K,MATCH(B429,'Base de données Mono'!D:D,0))</f>
        <v>0.23611111111111113</v>
      </c>
      <c r="J429" s="131">
        <f>INDEX('Base de données Mono'!L:L,MATCH(B429,'Base de données Mono'!D:D,0))</f>
        <v>0.91666666666666663</v>
      </c>
      <c r="K429" s="131">
        <f>INDEX('Base de données Mono'!M:M,MATCH(B429,'Base de données Mono'!D:D,0))</f>
        <v>0.25694444444444448</v>
      </c>
      <c r="L429" s="131">
        <f>INDEX('Base de données Mono'!N:N,MATCH(B429,'Base de données Mono'!D:D,0))</f>
        <v>0.60069444444444442</v>
      </c>
      <c r="M429" s="33" t="s">
        <v>46</v>
      </c>
      <c r="N429" s="33">
        <f>IF(AND(E429="Electricité",M429="Hiver"),INDEX('Base de données Mono'!E:E,MATCH(B429,'Base de données Mono'!D:D,0)),IF(AND(E429="Electricité",M429="Mi-saison"),INDEX('Base de données Mono'!F:F,MATCH(B429,'Base de données Mono'!D:D,0)),IF(AND(E429="Electricité",M429="Eté"),INDEX('Base de données Mono'!G:G,MATCH(B429,'Base de données Mono'!D:D,0)),IF(AND(E429="Gaz",M429="Hiver"),INDEX('Base de données Mono'!J:J,MATCH(B429,'Base de données Mono'!D:D,0)),IF(AND(E429="Gaz",M429="Mi-saison"),INDEX('Base de données Mono'!#REF!,MATCH(B429,'Base de données Mono'!D:D,0)),IF(AND(E429="Gaz",M429="Eté"),INDEX('Base de données Mono'!#REF!,MATCH(B429,'Base de données Mono'!D:D,0)),"-"))))))</f>
        <v>70</v>
      </c>
      <c r="O429" s="123">
        <v>45383</v>
      </c>
      <c r="P429" s="123">
        <v>45389</v>
      </c>
      <c r="Q429" s="34">
        <v>105</v>
      </c>
      <c r="R429" s="33">
        <f>IF(Q429="","",Q429-N429)</f>
        <v>35</v>
      </c>
      <c r="S429" s="34">
        <v>7.6</v>
      </c>
      <c r="T429" s="34">
        <f>P429-O429</f>
        <v>6</v>
      </c>
      <c r="U429" s="33">
        <f>R429*S429*T429</f>
        <v>1596</v>
      </c>
      <c r="V429" s="38" t="s">
        <v>827</v>
      </c>
      <c r="W429" s="39">
        <f>IFERROR(IF(E429="Gaz","-",R429/N429),"-")</f>
        <v>0.5</v>
      </c>
      <c r="X429" s="40" t="s">
        <v>304</v>
      </c>
      <c r="Y429" s="40" t="s">
        <v>284</v>
      </c>
      <c r="Z429" s="40" t="s">
        <v>305</v>
      </c>
      <c r="AA429" s="33" t="s">
        <v>771</v>
      </c>
      <c r="AB429" s="95"/>
      <c r="AC429" s="95"/>
    </row>
    <row r="430" spans="1:29" ht="14.45" hidden="1" customHeight="1" x14ac:dyDescent="0.25">
      <c r="A430" s="36" t="str">
        <f>INDEX('Base de données Mono'!C:C,MATCH(B430,'Base de données Mono'!D:D,0))</f>
        <v>SABLONS</v>
      </c>
      <c r="B430" t="s">
        <v>32</v>
      </c>
      <c r="C430" s="36" t="str">
        <f>INDEX('Base de données Mono'!B:B,MATCH(B430,'Base de données Mono'!D:D,0))</f>
        <v>SES8</v>
      </c>
      <c r="D430" s="36" t="str">
        <f>INDEX('Base de données Mono'!A:A,MATCH(B430,'Base de données Mono'!D:D,0))</f>
        <v>AD</v>
      </c>
      <c r="E430" s="37" t="s">
        <v>303</v>
      </c>
      <c r="F430" s="41">
        <f t="shared" si="43"/>
        <v>14</v>
      </c>
      <c r="G430" s="41">
        <f t="shared" si="44"/>
        <v>4</v>
      </c>
      <c r="H430">
        <v>7.67</v>
      </c>
      <c r="I430" s="131">
        <f>INDEX('Base de données Mono'!K:K,MATCH(B430,'Base de données Mono'!D:D,0))</f>
        <v>0.23611111111111113</v>
      </c>
      <c r="J430" s="131">
        <f>INDEX('Base de données Mono'!L:L,MATCH(B430,'Base de données Mono'!D:D,0))</f>
        <v>0.91666666666666663</v>
      </c>
      <c r="K430" s="131">
        <f>INDEX('Base de données Mono'!M:M,MATCH(B430,'Base de données Mono'!D:D,0))</f>
        <v>0.25694444444444448</v>
      </c>
      <c r="L430" s="131">
        <f>INDEX('Base de données Mono'!N:N,MATCH(B430,'Base de données Mono'!D:D,0))</f>
        <v>0.60069444444444442</v>
      </c>
      <c r="M430" s="33" t="s">
        <v>46</v>
      </c>
      <c r="N430" s="33">
        <f>IF(AND(E430="Electricité",M430="Hiver"),INDEX('Base de données Mono'!E:E,MATCH(B430,'Base de données Mono'!D:D,0)),IF(AND(E430="Electricité",M430="Mi-saison"),INDEX('Base de données Mono'!F:F,MATCH(B430,'Base de données Mono'!D:D,0)),IF(AND(E430="Electricité",M430="Eté"),INDEX('Base de données Mono'!G:G,MATCH(B430,'Base de données Mono'!D:D,0)),IF(AND(E430="Gaz",M430="Hiver"),INDEX('Base de données Mono'!J:J,MATCH(B430,'Base de données Mono'!D:D,0)),IF(AND(E430="Gaz",M430="Mi-saison"),INDEX('Base de données Mono'!#REF!,MATCH(B430,'Base de données Mono'!D:D,0)),IF(AND(E430="Gaz",M430="Eté"),INDEX('Base de données Mono'!#REF!,MATCH(B430,'Base de données Mono'!D:D,0)),"-"))))))</f>
        <v>70</v>
      </c>
      <c r="O430" s="123">
        <v>45389</v>
      </c>
      <c r="P430" s="123">
        <v>45389</v>
      </c>
      <c r="Q430" s="34">
        <v>160</v>
      </c>
      <c r="R430" s="33">
        <f t="shared" si="45"/>
        <v>90</v>
      </c>
      <c r="S430" s="34">
        <v>5.5</v>
      </c>
      <c r="T430" s="34">
        <v>1</v>
      </c>
      <c r="U430" s="33">
        <f t="shared" si="47"/>
        <v>495</v>
      </c>
      <c r="V430" s="38" t="s">
        <v>827</v>
      </c>
      <c r="W430" s="39">
        <f t="shared" si="48"/>
        <v>1.2857142857142858</v>
      </c>
      <c r="X430" s="40" t="s">
        <v>730</v>
      </c>
      <c r="Y430" s="40" t="s">
        <v>284</v>
      </c>
      <c r="Z430" s="40" t="s">
        <v>307</v>
      </c>
      <c r="AA430" s="33" t="s">
        <v>308</v>
      </c>
      <c r="AB430" s="95"/>
      <c r="AC430" s="95"/>
    </row>
    <row r="431" spans="1:29" ht="14.45" hidden="1" customHeight="1" x14ac:dyDescent="0.25">
      <c r="A431" s="36" t="str">
        <f>INDEX('Base de données Mono'!C:C,MATCH(B431,'Base de données Mono'!D:D,0))</f>
        <v>SAINT RAPHAEL</v>
      </c>
      <c r="B431" t="s">
        <v>36</v>
      </c>
      <c r="C431" s="36" t="str">
        <f>INDEX('Base de données Mono'!B:B,MATCH(B431,'Base de données Mono'!D:D,0))</f>
        <v>SES8</v>
      </c>
      <c r="D431" s="36" t="str">
        <f>INDEX('Base de données Mono'!A:A,MATCH(B431,'Base de données Mono'!D:D,0))</f>
        <v>JG</v>
      </c>
      <c r="E431" s="37" t="s">
        <v>303</v>
      </c>
      <c r="F431" s="41">
        <f t="shared" si="43"/>
        <v>14</v>
      </c>
      <c r="G431" s="41">
        <f t="shared" si="44"/>
        <v>4</v>
      </c>
      <c r="H431">
        <v>8.5</v>
      </c>
      <c r="I431" s="131">
        <f>INDEX('Base de données Mono'!K:K,MATCH(B431,'Base de données Mono'!D:D,0))</f>
        <v>0.20833333333333334</v>
      </c>
      <c r="J431" s="131">
        <f>INDEX('Base de données Mono'!L:L,MATCH(B431,'Base de données Mono'!D:D,0))</f>
        <v>0.85416666666666663</v>
      </c>
      <c r="K431" s="131">
        <f>INDEX('Base de données Mono'!M:M,MATCH(B431,'Base de données Mono'!D:D,0))</f>
        <v>0.3125</v>
      </c>
      <c r="L431" s="131">
        <f>INDEX('Base de données Mono'!N:N,MATCH(B431,'Base de données Mono'!D:D,0))</f>
        <v>0.55902777777777779</v>
      </c>
      <c r="M431" s="33" t="s">
        <v>46</v>
      </c>
      <c r="N431" s="33">
        <f>IF(AND(E431="Electricité",M431="Hiver"),INDEX('Base de données Mono'!E:E,MATCH(B431,'Base de données Mono'!D:D,0)),IF(AND(E431="Electricité",M431="Mi-saison"),INDEX('Base de données Mono'!F:F,MATCH(B431,'Base de données Mono'!D:D,0)),IF(AND(E431="Electricité",M431="Eté"),INDEX('Base de données Mono'!G:G,MATCH(B431,'Base de données Mono'!D:D,0)),IF(AND(E431="Gaz",M431="Hiver"),INDEX('Base de données Mono'!J:J,MATCH(B431,'Base de données Mono'!D:D,0)),IF(AND(E431="Gaz",M431="Mi-saison"),INDEX('Base de données Mono'!#REF!,MATCH(B431,'Base de données Mono'!D:D,0)),IF(AND(E431="Gaz",M431="Eté"),INDEX('Base de données Mono'!#REF!,MATCH(B431,'Base de données Mono'!D:D,0)),"-"))))))</f>
        <v>35</v>
      </c>
      <c r="O431" s="123">
        <v>45383</v>
      </c>
      <c r="P431" s="123">
        <v>45389</v>
      </c>
      <c r="Q431" s="34">
        <v>60</v>
      </c>
      <c r="R431" s="33">
        <f t="shared" si="45"/>
        <v>25</v>
      </c>
      <c r="S431" s="34">
        <v>2.5</v>
      </c>
      <c r="T431" s="34">
        <f t="shared" si="46"/>
        <v>6</v>
      </c>
      <c r="U431" s="33">
        <f t="shared" si="47"/>
        <v>375</v>
      </c>
      <c r="V431" s="38" t="s">
        <v>827</v>
      </c>
      <c r="W431" s="39">
        <f t="shared" si="48"/>
        <v>0.7142857142857143</v>
      </c>
      <c r="X431" s="40" t="s">
        <v>304</v>
      </c>
      <c r="Y431" s="40" t="s">
        <v>284</v>
      </c>
      <c r="Z431" s="40" t="s">
        <v>307</v>
      </c>
      <c r="AA431" s="33" t="s">
        <v>313</v>
      </c>
      <c r="AB431" s="95"/>
      <c r="AC431" s="95"/>
    </row>
    <row r="432" spans="1:29" ht="14.45" hidden="1" customHeight="1" x14ac:dyDescent="0.25">
      <c r="A432" s="36" t="str">
        <f>INDEX('Base de données Mono'!C:C,MATCH(B432,'Base de données Mono'!D:D,0))</f>
        <v>SAINT RAPHAEL</v>
      </c>
      <c r="B432" t="s">
        <v>36</v>
      </c>
      <c r="C432" s="36" t="str">
        <f>INDEX('Base de données Mono'!B:B,MATCH(B432,'Base de données Mono'!D:D,0))</f>
        <v>SES8</v>
      </c>
      <c r="D432" s="36" t="str">
        <f>INDEX('Base de données Mono'!A:A,MATCH(B432,'Base de données Mono'!D:D,0))</f>
        <v>JG</v>
      </c>
      <c r="E432" s="37" t="s">
        <v>303</v>
      </c>
      <c r="F432" s="41">
        <f t="shared" si="43"/>
        <v>14</v>
      </c>
      <c r="G432" s="41">
        <f t="shared" si="44"/>
        <v>4</v>
      </c>
      <c r="H432">
        <v>8.5</v>
      </c>
      <c r="I432" s="131">
        <f>INDEX('Base de données Mono'!K:K,MATCH(B432,'Base de données Mono'!D:D,0))</f>
        <v>0.20833333333333334</v>
      </c>
      <c r="J432" s="131">
        <f>INDEX('Base de données Mono'!L:L,MATCH(B432,'Base de données Mono'!D:D,0))</f>
        <v>0.85416666666666663</v>
      </c>
      <c r="K432" s="131">
        <f>INDEX('Base de données Mono'!M:M,MATCH(B432,'Base de données Mono'!D:D,0))</f>
        <v>0.3125</v>
      </c>
      <c r="L432" s="131">
        <f>INDEX('Base de données Mono'!N:N,MATCH(B432,'Base de données Mono'!D:D,0))</f>
        <v>0.55902777777777779</v>
      </c>
      <c r="M432" s="33" t="s">
        <v>46</v>
      </c>
      <c r="N432" s="33">
        <f>IF(AND(E432="Electricité",M432="Hiver"),INDEX('Base de données Mono'!E:E,MATCH(B432,'Base de données Mono'!D:D,0)),IF(AND(E432="Electricité",M432="Mi-saison"),INDEX('Base de données Mono'!F:F,MATCH(B432,'Base de données Mono'!D:D,0)),IF(AND(E432="Electricité",M432="Eté"),INDEX('Base de données Mono'!G:G,MATCH(B432,'Base de données Mono'!D:D,0)),IF(AND(E432="Gaz",M432="Hiver"),INDEX('Base de données Mono'!J:J,MATCH(B432,'Base de données Mono'!D:D,0)),IF(AND(E432="Gaz",M432="Mi-saison"),INDEX('Base de données Mono'!#REF!,MATCH(B432,'Base de données Mono'!D:D,0)),IF(AND(E432="Gaz",M432="Eté"),INDEX('Base de données Mono'!#REF!,MATCH(B432,'Base de données Mono'!D:D,0)),"-"))))))</f>
        <v>35</v>
      </c>
      <c r="O432" s="123">
        <v>45389</v>
      </c>
      <c r="P432" s="123">
        <v>45389</v>
      </c>
      <c r="Q432" s="34">
        <v>60</v>
      </c>
      <c r="R432" s="33">
        <f t="shared" si="45"/>
        <v>25</v>
      </c>
      <c r="S432" s="34">
        <v>7</v>
      </c>
      <c r="T432" s="34">
        <v>1</v>
      </c>
      <c r="U432" s="33">
        <f t="shared" si="47"/>
        <v>175</v>
      </c>
      <c r="V432" s="38" t="s">
        <v>827</v>
      </c>
      <c r="W432" s="39">
        <f t="shared" si="48"/>
        <v>0.7142857142857143</v>
      </c>
      <c r="X432" s="40" t="s">
        <v>730</v>
      </c>
      <c r="Y432" s="40" t="s">
        <v>284</v>
      </c>
      <c r="Z432" s="40" t="s">
        <v>307</v>
      </c>
      <c r="AA432" s="33" t="s">
        <v>308</v>
      </c>
      <c r="AB432" s="95"/>
      <c r="AC432" s="95"/>
    </row>
    <row r="433" spans="1:29" ht="14.45" hidden="1" customHeight="1" x14ac:dyDescent="0.25">
      <c r="A433" s="36" t="str">
        <f>INDEX('Base de données Mono'!C:C,MATCH(B433,'Base de données Mono'!D:D,0))</f>
        <v>CHAVILLE</v>
      </c>
      <c r="B433" t="s">
        <v>12</v>
      </c>
      <c r="C433" s="36" t="str">
        <f>INDEX('Base de données Mono'!B:B,MATCH(B433,'Base de données Mono'!D:D,0))</f>
        <v>SES8</v>
      </c>
      <c r="D433" s="36" t="str">
        <f>INDEX('Base de données Mono'!A:A,MATCH(B433,'Base de données Mono'!D:D,0))</f>
        <v>AD</v>
      </c>
      <c r="E433" s="37" t="s">
        <v>303</v>
      </c>
      <c r="F433" s="41">
        <f t="shared" si="43"/>
        <v>14</v>
      </c>
      <c r="G433" s="41">
        <f t="shared" si="44"/>
        <v>4</v>
      </c>
      <c r="H433">
        <v>8.5</v>
      </c>
      <c r="I433" s="131">
        <f>INDEX('Base de données Mono'!K:K,MATCH(B433,'Base de données Mono'!D:D,0))</f>
        <v>0.25</v>
      </c>
      <c r="J433" s="131">
        <f>INDEX('Base de données Mono'!L:L,MATCH(B433,'Base de données Mono'!D:D,0))</f>
        <v>0.89583333333333337</v>
      </c>
      <c r="K433" s="131">
        <f>INDEX('Base de données Mono'!M:M,MATCH(B433,'Base de données Mono'!D:D,0))</f>
        <v>0.29166666666666702</v>
      </c>
      <c r="L433" s="131">
        <f>INDEX('Base de données Mono'!N:N,MATCH(B433,'Base de données Mono'!D:D,0))</f>
        <v>0.80208333333333337</v>
      </c>
      <c r="M433" s="33" t="s">
        <v>46</v>
      </c>
      <c r="N433" s="33">
        <f>IF(AND(E433="Electricité",M433="Hiver"),INDEX('Base de données Mono'!E:E,MATCH(B433,'Base de données Mono'!D:D,0)),IF(AND(E433="Electricité",M433="Mi-saison"),INDEX('Base de données Mono'!F:F,MATCH(B433,'Base de données Mono'!D:D,0)),IF(AND(E433="Electricité",M433="Eté"),INDEX('Base de données Mono'!G:G,MATCH(B433,'Base de données Mono'!D:D,0)),IF(AND(E433="Gaz",M433="Hiver"),INDEX('Base de données Mono'!J:J,MATCH(B433,'Base de données Mono'!D:D,0)),IF(AND(E433="Gaz",M433="Mi-saison"),INDEX('Base de données Mono'!#REF!,MATCH(B433,'Base de données Mono'!D:D,0)),IF(AND(E433="Gaz",M433="Eté"),INDEX('Base de données Mono'!#REF!,MATCH(B433,'Base de données Mono'!D:D,0)),"-"))))))</f>
        <v>80</v>
      </c>
      <c r="O433" s="123">
        <v>45383</v>
      </c>
      <c r="P433" s="123">
        <v>45387</v>
      </c>
      <c r="Q433" s="34">
        <v>145</v>
      </c>
      <c r="R433" s="33">
        <f t="shared" si="45"/>
        <v>65</v>
      </c>
      <c r="S433" s="34">
        <v>0.5</v>
      </c>
      <c r="T433" s="34">
        <f t="shared" si="46"/>
        <v>4</v>
      </c>
      <c r="U433" s="33">
        <f t="shared" si="47"/>
        <v>130</v>
      </c>
      <c r="V433" s="38" t="s">
        <v>827</v>
      </c>
      <c r="W433" s="39">
        <f t="shared" si="48"/>
        <v>0.8125</v>
      </c>
      <c r="X433" s="40" t="s">
        <v>304</v>
      </c>
      <c r="Y433" s="40" t="s">
        <v>284</v>
      </c>
      <c r="Z433" s="40" t="s">
        <v>307</v>
      </c>
      <c r="AA433" s="33" t="s">
        <v>414</v>
      </c>
      <c r="AB433" s="95"/>
      <c r="AC433" s="95"/>
    </row>
    <row r="434" spans="1:29" ht="14.45" hidden="1" customHeight="1" x14ac:dyDescent="0.25">
      <c r="A434" s="36" t="str">
        <f>INDEX('Base de données Mono'!C:C,MATCH(B434,'Base de données Mono'!D:D,0))</f>
        <v>CHAVILLE</v>
      </c>
      <c r="B434" t="s">
        <v>12</v>
      </c>
      <c r="C434" s="36" t="str">
        <f>INDEX('Base de données Mono'!B:B,MATCH(B434,'Base de données Mono'!D:D,0))</f>
        <v>SES8</v>
      </c>
      <c r="D434" s="36" t="str">
        <f>INDEX('Base de données Mono'!A:A,MATCH(B434,'Base de données Mono'!D:D,0))</f>
        <v>AD</v>
      </c>
      <c r="E434" s="37" t="s">
        <v>303</v>
      </c>
      <c r="F434" s="41">
        <f t="shared" si="43"/>
        <v>14</v>
      </c>
      <c r="G434" s="41">
        <f t="shared" si="44"/>
        <v>4</v>
      </c>
      <c r="H434">
        <v>8.5</v>
      </c>
      <c r="I434" s="131">
        <f>INDEX('Base de données Mono'!K:K,MATCH(B434,'Base de données Mono'!D:D,0))</f>
        <v>0.25</v>
      </c>
      <c r="J434" s="131">
        <f>INDEX('Base de données Mono'!L:L,MATCH(B434,'Base de données Mono'!D:D,0))</f>
        <v>0.89583333333333337</v>
      </c>
      <c r="K434" s="131">
        <f>INDEX('Base de données Mono'!M:M,MATCH(B434,'Base de données Mono'!D:D,0))</f>
        <v>0.29166666666666702</v>
      </c>
      <c r="L434" s="131">
        <f>INDEX('Base de données Mono'!N:N,MATCH(B434,'Base de données Mono'!D:D,0))</f>
        <v>0.80208333333333337</v>
      </c>
      <c r="M434" s="33" t="s">
        <v>46</v>
      </c>
      <c r="N434" s="33">
        <f>IF(AND(E434="Electricité",M434="Hiver"),INDEX('Base de données Mono'!E:E,MATCH(B434,'Base de données Mono'!D:D,0)),IF(AND(E434="Electricité",M434="Mi-saison"),INDEX('Base de données Mono'!F:F,MATCH(B434,'Base de données Mono'!D:D,0)),IF(AND(E434="Electricité",M434="Eté"),INDEX('Base de données Mono'!G:G,MATCH(B434,'Base de données Mono'!D:D,0)),IF(AND(E434="Gaz",M434="Hiver"),INDEX('Base de données Mono'!J:J,MATCH(B434,'Base de données Mono'!D:D,0)),IF(AND(E434="Gaz",M434="Mi-saison"),INDEX('Base de données Mono'!#REF!,MATCH(B434,'Base de données Mono'!D:D,0)),IF(AND(E434="Gaz",M434="Eté"),INDEX('Base de données Mono'!#REF!,MATCH(B434,'Base de données Mono'!D:D,0)),"-"))))))</f>
        <v>80</v>
      </c>
      <c r="O434" s="123">
        <v>45383</v>
      </c>
      <c r="P434" s="123">
        <v>45384</v>
      </c>
      <c r="Q434" s="34">
        <v>130</v>
      </c>
      <c r="R434" s="33">
        <f t="shared" si="45"/>
        <v>50</v>
      </c>
      <c r="S434" s="34">
        <v>2</v>
      </c>
      <c r="T434" s="34">
        <f t="shared" si="46"/>
        <v>1</v>
      </c>
      <c r="U434" s="33">
        <f t="shared" si="47"/>
        <v>100</v>
      </c>
      <c r="V434" s="38" t="s">
        <v>827</v>
      </c>
      <c r="W434" s="39">
        <f t="shared" si="48"/>
        <v>0.625</v>
      </c>
      <c r="X434" s="40" t="s">
        <v>304</v>
      </c>
      <c r="Y434" s="40" t="s">
        <v>284</v>
      </c>
      <c r="Z434" s="40" t="s">
        <v>311</v>
      </c>
      <c r="AA434" s="33" t="s">
        <v>775</v>
      </c>
      <c r="AB434" s="95"/>
      <c r="AC434" s="95"/>
    </row>
    <row r="435" spans="1:29" ht="14.45" hidden="1" customHeight="1" x14ac:dyDescent="0.25">
      <c r="A435" s="36" t="str">
        <f>INDEX('Base de données Mono'!C:C,MATCH(B435,'Base de données Mono'!D:D,0))</f>
        <v>CHAVILLE</v>
      </c>
      <c r="B435" t="s">
        <v>12</v>
      </c>
      <c r="C435" s="36" t="str">
        <f>INDEX('Base de données Mono'!B:B,MATCH(B435,'Base de données Mono'!D:D,0))</f>
        <v>SES8</v>
      </c>
      <c r="D435" s="36" t="str">
        <f>INDEX('Base de données Mono'!A:A,MATCH(B435,'Base de données Mono'!D:D,0))</f>
        <v>AD</v>
      </c>
      <c r="E435" s="37" t="s">
        <v>303</v>
      </c>
      <c r="F435" s="41">
        <f t="shared" si="43"/>
        <v>14</v>
      </c>
      <c r="G435" s="41">
        <f t="shared" si="44"/>
        <v>4</v>
      </c>
      <c r="H435">
        <v>8.5</v>
      </c>
      <c r="I435" s="131">
        <f>INDEX('Base de données Mono'!K:K,MATCH(B435,'Base de données Mono'!D:D,0))</f>
        <v>0.25</v>
      </c>
      <c r="J435" s="131">
        <f>INDEX('Base de données Mono'!L:L,MATCH(B435,'Base de données Mono'!D:D,0))</f>
        <v>0.89583333333333337</v>
      </c>
      <c r="K435" s="131">
        <f>INDEX('Base de données Mono'!M:M,MATCH(B435,'Base de données Mono'!D:D,0))</f>
        <v>0.29166666666666702</v>
      </c>
      <c r="L435" s="131">
        <f>INDEX('Base de données Mono'!N:N,MATCH(B435,'Base de données Mono'!D:D,0))</f>
        <v>0.80208333333333337</v>
      </c>
      <c r="M435" s="33" t="s">
        <v>46</v>
      </c>
      <c r="N435" s="33">
        <f>IF(AND(E435="Electricité",M435="Hiver"),INDEX('Base de données Mono'!E:E,MATCH(B435,'Base de données Mono'!D:D,0)),IF(AND(E435="Electricité",M435="Mi-saison"),INDEX('Base de données Mono'!F:F,MATCH(B435,'Base de données Mono'!D:D,0)),IF(AND(E435="Electricité",M435="Eté"),INDEX('Base de données Mono'!G:G,MATCH(B435,'Base de données Mono'!D:D,0)),IF(AND(E435="Gaz",M435="Hiver"),INDEX('Base de données Mono'!J:J,MATCH(B435,'Base de données Mono'!D:D,0)),IF(AND(E435="Gaz",M435="Mi-saison"),INDEX('Base de données Mono'!#REF!,MATCH(B435,'Base de données Mono'!D:D,0)),IF(AND(E435="Gaz",M435="Eté"),INDEX('Base de données Mono'!#REF!,MATCH(B435,'Base de données Mono'!D:D,0)),"-"))))))</f>
        <v>80</v>
      </c>
      <c r="O435" s="123">
        <v>45383</v>
      </c>
      <c r="P435" s="123">
        <v>45384</v>
      </c>
      <c r="Q435" s="34">
        <v>90</v>
      </c>
      <c r="R435" s="33">
        <f t="shared" si="45"/>
        <v>10</v>
      </c>
      <c r="S435" s="34">
        <v>6</v>
      </c>
      <c r="T435" s="34">
        <f t="shared" si="46"/>
        <v>1</v>
      </c>
      <c r="U435" s="33">
        <f t="shared" si="47"/>
        <v>60</v>
      </c>
      <c r="V435" s="38" t="s">
        <v>827</v>
      </c>
      <c r="W435" s="39">
        <f t="shared" si="48"/>
        <v>0.125</v>
      </c>
      <c r="X435" s="40" t="s">
        <v>304</v>
      </c>
      <c r="Y435" s="40" t="s">
        <v>284</v>
      </c>
      <c r="Z435" s="40" t="s">
        <v>305</v>
      </c>
      <c r="AA435" s="33" t="s">
        <v>771</v>
      </c>
      <c r="AB435" s="95"/>
      <c r="AC435" s="95"/>
    </row>
    <row r="436" spans="1:29" ht="14.45" hidden="1" customHeight="1" x14ac:dyDescent="0.25">
      <c r="A436" s="36" t="str">
        <f>INDEX('Base de données Mono'!C:C,MATCH(B436,'Base de données Mono'!D:D,0))</f>
        <v>CHAVILLE</v>
      </c>
      <c r="B436" t="s">
        <v>12</v>
      </c>
      <c r="C436" s="36" t="str">
        <f>INDEX('Base de données Mono'!B:B,MATCH(B436,'Base de données Mono'!D:D,0))</f>
        <v>SES8</v>
      </c>
      <c r="D436" s="36" t="str">
        <f>INDEX('Base de données Mono'!A:A,MATCH(B436,'Base de données Mono'!D:D,0))</f>
        <v>AD</v>
      </c>
      <c r="E436" s="37" t="s">
        <v>303</v>
      </c>
      <c r="F436" s="41">
        <f t="shared" si="43"/>
        <v>14</v>
      </c>
      <c r="G436" s="41">
        <f t="shared" si="44"/>
        <v>4</v>
      </c>
      <c r="H436">
        <v>8.5</v>
      </c>
      <c r="I436" s="131">
        <f>INDEX('Base de données Mono'!K:K,MATCH(B436,'Base de données Mono'!D:D,0))</f>
        <v>0.25</v>
      </c>
      <c r="J436" s="131">
        <f>INDEX('Base de données Mono'!L:L,MATCH(B436,'Base de données Mono'!D:D,0))</f>
        <v>0.89583333333333337</v>
      </c>
      <c r="K436" s="131">
        <f>INDEX('Base de données Mono'!M:M,MATCH(B436,'Base de données Mono'!D:D,0))</f>
        <v>0.29166666666666702</v>
      </c>
      <c r="L436" s="131">
        <f>INDEX('Base de données Mono'!N:N,MATCH(B436,'Base de données Mono'!D:D,0))</f>
        <v>0.80208333333333337</v>
      </c>
      <c r="M436" s="33" t="s">
        <v>46</v>
      </c>
      <c r="N436" s="33">
        <f>IF(AND(E436="Electricité",M436="Hiver"),INDEX('Base de données Mono'!E:E,MATCH(B436,'Base de données Mono'!D:D,0)),IF(AND(E436="Electricité",M436="Mi-saison"),INDEX('Base de données Mono'!F:F,MATCH(B436,'Base de données Mono'!D:D,0)),IF(AND(E436="Electricité",M436="Eté"),INDEX('Base de données Mono'!G:G,MATCH(B436,'Base de données Mono'!D:D,0)),IF(AND(E436="Gaz",M436="Hiver"),INDEX('Base de données Mono'!J:J,MATCH(B436,'Base de données Mono'!D:D,0)),IF(AND(E436="Gaz",M436="Mi-saison"),INDEX('Base de données Mono'!#REF!,MATCH(B436,'Base de données Mono'!D:D,0)),IF(AND(E436="Gaz",M436="Eté"),INDEX('Base de données Mono'!#REF!,MATCH(B436,'Base de données Mono'!D:D,0)),"-"))))))</f>
        <v>80</v>
      </c>
      <c r="O436" s="123">
        <v>45384</v>
      </c>
      <c r="P436" s="123">
        <v>45387</v>
      </c>
      <c r="Q436" s="34">
        <v>135</v>
      </c>
      <c r="R436" s="33">
        <f t="shared" si="45"/>
        <v>55</v>
      </c>
      <c r="S436" s="34">
        <v>8</v>
      </c>
      <c r="T436" s="34">
        <f t="shared" si="46"/>
        <v>3</v>
      </c>
      <c r="U436" s="33">
        <f t="shared" si="47"/>
        <v>1320</v>
      </c>
      <c r="V436" s="38" t="s">
        <v>827</v>
      </c>
      <c r="W436" s="39">
        <f t="shared" si="48"/>
        <v>0.6875</v>
      </c>
      <c r="X436" s="40" t="s">
        <v>304</v>
      </c>
      <c r="Y436" s="40" t="s">
        <v>284</v>
      </c>
      <c r="Z436" s="40" t="s">
        <v>311</v>
      </c>
      <c r="AA436" s="33" t="s">
        <v>775</v>
      </c>
      <c r="AB436" s="95"/>
      <c r="AC436" s="95"/>
    </row>
    <row r="437" spans="1:29" ht="14.45" hidden="1" customHeight="1" x14ac:dyDescent="0.25">
      <c r="A437" s="36" t="str">
        <f>INDEX('Base de données Mono'!C:C,MATCH(B437,'Base de données Mono'!D:D,0))</f>
        <v>CHAVILLE</v>
      </c>
      <c r="B437" t="s">
        <v>12</v>
      </c>
      <c r="C437" s="36" t="str">
        <f>INDEX('Base de données Mono'!B:B,MATCH(B437,'Base de données Mono'!D:D,0))</f>
        <v>SES8</v>
      </c>
      <c r="D437" s="36" t="str">
        <f>INDEX('Base de données Mono'!A:A,MATCH(B437,'Base de données Mono'!D:D,0))</f>
        <v>AD</v>
      </c>
      <c r="E437" s="37" t="s">
        <v>303</v>
      </c>
      <c r="F437" s="41">
        <f t="shared" ref="F437:F489" si="49">IF(O437="","-",IF(AND(X437="Nuit",WEEKDAY(O437,2)=7,O437&lt;&gt;P437),WEEKNUM(O437,2),WEEKNUM(O437,2)-1))+1</f>
        <v>14</v>
      </c>
      <c r="G437" s="41">
        <f t="shared" ref="G437:G489" si="50">IF(O437="","-",MONTH(O437))</f>
        <v>4</v>
      </c>
      <c r="H437">
        <v>8.5</v>
      </c>
      <c r="I437" s="131">
        <f>INDEX('Base de données Mono'!K:K,MATCH(B437,'Base de données Mono'!D:D,0))</f>
        <v>0.25</v>
      </c>
      <c r="J437" s="131">
        <f>INDEX('Base de données Mono'!L:L,MATCH(B437,'Base de données Mono'!D:D,0))</f>
        <v>0.89583333333333337</v>
      </c>
      <c r="K437" s="131">
        <f>INDEX('Base de données Mono'!M:M,MATCH(B437,'Base de données Mono'!D:D,0))</f>
        <v>0.29166666666666702</v>
      </c>
      <c r="L437" s="131">
        <f>INDEX('Base de données Mono'!N:N,MATCH(B437,'Base de données Mono'!D:D,0))</f>
        <v>0.80208333333333337</v>
      </c>
      <c r="M437" s="33" t="s">
        <v>46</v>
      </c>
      <c r="N437" s="33">
        <f>IF(AND(E437="Electricité",M437="Hiver"),INDEX('Base de données Mono'!E:E,MATCH(B437,'Base de données Mono'!D:D,0)),IF(AND(E437="Electricité",M437="Mi-saison"),INDEX('Base de données Mono'!F:F,MATCH(B437,'Base de données Mono'!D:D,0)),IF(AND(E437="Electricité",M437="Eté"),INDEX('Base de données Mono'!G:G,MATCH(B437,'Base de données Mono'!D:D,0)),IF(AND(E437="Gaz",M437="Hiver"),INDEX('Base de données Mono'!J:J,MATCH(B437,'Base de données Mono'!D:D,0)),IF(AND(E437="Gaz",M437="Mi-saison"),INDEX('Base de données Mono'!#REF!,MATCH(B437,'Base de données Mono'!D:D,0)),IF(AND(E437="Gaz",M437="Eté"),INDEX('Base de données Mono'!#REF!,MATCH(B437,'Base de données Mono'!D:D,0)),"-"))))))</f>
        <v>80</v>
      </c>
      <c r="O437" s="123">
        <v>45387</v>
      </c>
      <c r="P437" s="123">
        <v>45388</v>
      </c>
      <c r="Q437" s="34">
        <v>95</v>
      </c>
      <c r="R437" s="33">
        <f t="shared" ref="R437:R489" si="51">IF(Q437="","",Q437-N437)</f>
        <v>15</v>
      </c>
      <c r="S437" s="34">
        <v>8.5</v>
      </c>
      <c r="T437" s="34">
        <f>P437-O437</f>
        <v>1</v>
      </c>
      <c r="U437" s="33">
        <f t="shared" ref="U437:U489" si="52">R437*S437*T437</f>
        <v>127.5</v>
      </c>
      <c r="V437" s="38" t="s">
        <v>827</v>
      </c>
      <c r="W437" s="39">
        <f t="shared" ref="W437:W489" si="53">IFERROR(IF(E437="Gaz","-",R437/N437),"-")</f>
        <v>0.1875</v>
      </c>
      <c r="X437" s="40" t="s">
        <v>304</v>
      </c>
      <c r="Y437" s="40" t="s">
        <v>284</v>
      </c>
      <c r="Z437" s="40" t="s">
        <v>305</v>
      </c>
      <c r="AA437" s="33" t="s">
        <v>771</v>
      </c>
      <c r="AB437" s="95"/>
      <c r="AC437" s="95"/>
    </row>
    <row r="438" spans="1:29" ht="14.45" hidden="1" customHeight="1" x14ac:dyDescent="0.25">
      <c r="A438" s="36" t="str">
        <f>INDEX('Base de données Mono'!C:C,MATCH(B438,'Base de données Mono'!D:D,0))</f>
        <v>CHAVILLE</v>
      </c>
      <c r="B438" t="s">
        <v>12</v>
      </c>
      <c r="C438" s="36" t="str">
        <f>INDEX('Base de données Mono'!B:B,MATCH(B438,'Base de données Mono'!D:D,0))</f>
        <v>SES8</v>
      </c>
      <c r="D438" s="36" t="str">
        <f>INDEX('Base de données Mono'!A:A,MATCH(B438,'Base de données Mono'!D:D,0))</f>
        <v>AD</v>
      </c>
      <c r="E438" s="37" t="s">
        <v>303</v>
      </c>
      <c r="F438" s="41">
        <f t="shared" si="49"/>
        <v>14</v>
      </c>
      <c r="G438" s="41">
        <f t="shared" si="50"/>
        <v>4</v>
      </c>
      <c r="H438">
        <v>8.5</v>
      </c>
      <c r="I438" s="131">
        <f>INDEX('Base de données Mono'!K:K,MATCH(B438,'Base de données Mono'!D:D,0))</f>
        <v>0.25</v>
      </c>
      <c r="J438" s="131">
        <f>INDEX('Base de données Mono'!L:L,MATCH(B438,'Base de données Mono'!D:D,0))</f>
        <v>0.89583333333333337</v>
      </c>
      <c r="K438" s="131">
        <f>INDEX('Base de données Mono'!M:M,MATCH(B438,'Base de données Mono'!D:D,0))</f>
        <v>0.29166666666666702</v>
      </c>
      <c r="L438" s="131">
        <f>INDEX('Base de données Mono'!N:N,MATCH(B438,'Base de données Mono'!D:D,0))</f>
        <v>0.80208333333333337</v>
      </c>
      <c r="M438" s="33" t="s">
        <v>46</v>
      </c>
      <c r="N438" s="33">
        <f>IF(AND(E438="Electricité",M438="Hiver"),INDEX('Base de données Mono'!E:E,MATCH(B438,'Base de données Mono'!D:D,0)),IF(AND(E438="Electricité",M438="Mi-saison"),INDEX('Base de données Mono'!F:F,MATCH(B438,'Base de données Mono'!D:D,0)),IF(AND(E438="Electricité",M438="Eté"),INDEX('Base de données Mono'!G:G,MATCH(B438,'Base de données Mono'!D:D,0)),IF(AND(E438="Gaz",M438="Hiver"),INDEX('Base de données Mono'!J:J,MATCH(B438,'Base de données Mono'!D:D,0)),IF(AND(E438="Gaz",M438="Mi-saison"),INDEX('Base de données Mono'!#REF!,MATCH(B438,'Base de données Mono'!D:D,0)),IF(AND(E438="Gaz",M438="Eté"),INDEX('Base de données Mono'!#REF!,MATCH(B438,'Base de données Mono'!D:D,0)),"-"))))))</f>
        <v>80</v>
      </c>
      <c r="O438" s="123">
        <v>45388</v>
      </c>
      <c r="P438" s="123">
        <v>45389</v>
      </c>
      <c r="Q438" s="34">
        <v>95</v>
      </c>
      <c r="R438" s="33">
        <f t="shared" si="51"/>
        <v>15</v>
      </c>
      <c r="S438" s="34">
        <v>9.5</v>
      </c>
      <c r="T438" s="34">
        <f>P438-O438</f>
        <v>1</v>
      </c>
      <c r="U438" s="33">
        <f t="shared" si="52"/>
        <v>142.5</v>
      </c>
      <c r="V438" s="38" t="s">
        <v>827</v>
      </c>
      <c r="W438" s="39">
        <f t="shared" si="53"/>
        <v>0.1875</v>
      </c>
      <c r="X438" s="40" t="s">
        <v>304</v>
      </c>
      <c r="Y438" s="40" t="s">
        <v>284</v>
      </c>
      <c r="Z438" s="40" t="s">
        <v>305</v>
      </c>
      <c r="AA438" s="33" t="s">
        <v>771</v>
      </c>
      <c r="AB438" s="95"/>
      <c r="AC438" s="95"/>
    </row>
    <row r="439" spans="1:29" ht="14.45" hidden="1" customHeight="1" x14ac:dyDescent="0.25">
      <c r="A439" s="36" t="str">
        <f>INDEX('Base de données Mono'!C:C,MATCH(B439,'Base de données Mono'!D:D,0))</f>
        <v>PERPIGNAN</v>
      </c>
      <c r="B439" t="s">
        <v>208</v>
      </c>
      <c r="C439" s="36" t="str">
        <f>INDEX('Base de données Mono'!B:B,MATCH(B439,'Base de données Mono'!D:D,0))</f>
        <v>Monoprix</v>
      </c>
      <c r="D439" s="36" t="str">
        <f>INDEX('Base de données Mono'!A:A,MATCH(B439,'Base de données Mono'!D:D,0))</f>
        <v>AD</v>
      </c>
      <c r="E439" s="37" t="s">
        <v>303</v>
      </c>
      <c r="F439" s="41">
        <f t="shared" si="49"/>
        <v>14</v>
      </c>
      <c r="G439" s="41">
        <f t="shared" si="50"/>
        <v>4</v>
      </c>
      <c r="H439">
        <v>9.75</v>
      </c>
      <c r="I439" s="131">
        <f>INDEX('Base de données Mono'!K:K,MATCH(B439,'Base de données Mono'!D:D,0))</f>
        <v>0.25</v>
      </c>
      <c r="J439" s="131">
        <f>INDEX('Base de données Mono'!L:L,MATCH(B439,'Base de données Mono'!D:D,0))</f>
        <v>0.84375</v>
      </c>
      <c r="K439" s="131">
        <f>INDEX('Base de données Mono'!M:M,MATCH(B439,'Base de données Mono'!D:D,0))</f>
        <v>0.3263888888888889</v>
      </c>
      <c r="L439" s="131">
        <f>INDEX('Base de données Mono'!N:N,MATCH(B439,'Base de données Mono'!D:D,0))</f>
        <v>0.54166666666666663</v>
      </c>
      <c r="M439" s="33" t="s">
        <v>46</v>
      </c>
      <c r="N439" s="33">
        <f>IF(AND(E439="Electricité",M439="Hiver"),INDEX('Base de données Mono'!E:E,MATCH(B439,'Base de données Mono'!D:D,0)),IF(AND(E439="Electricité",M439="Mi-saison"),INDEX('Base de données Mono'!F:F,MATCH(B439,'Base de données Mono'!D:D,0)),IF(AND(E439="Electricité",M439="Eté"),INDEX('Base de données Mono'!G:G,MATCH(B439,'Base de données Mono'!D:D,0)),IF(AND(E439="Gaz",M439="Hiver"),INDEX('Base de données Mono'!J:J,MATCH(B439,'Base de données Mono'!D:D,0)),IF(AND(E439="Gaz",M439="Mi-saison"),INDEX('Base de données Mono'!#REF!,MATCH(B439,'Base de données Mono'!D:D,0)),IF(AND(E439="Gaz",M439="Eté"),INDEX('Base de données Mono'!#REF!,MATCH(B439,'Base de données Mono'!D:D,0)),"-"))))))</f>
        <v>25</v>
      </c>
      <c r="O439" s="123">
        <v>45383</v>
      </c>
      <c r="P439" s="123">
        <v>45385</v>
      </c>
      <c r="Q439" s="34">
        <v>40</v>
      </c>
      <c r="R439" s="33">
        <f t="shared" si="51"/>
        <v>15</v>
      </c>
      <c r="S439" s="34">
        <v>1</v>
      </c>
      <c r="T439" s="34">
        <f t="shared" ref="T439:T489" si="54">P439-O439</f>
        <v>2</v>
      </c>
      <c r="U439" s="33">
        <f t="shared" si="52"/>
        <v>30</v>
      </c>
      <c r="V439" s="38" t="s">
        <v>827</v>
      </c>
      <c r="W439" s="39">
        <f t="shared" si="53"/>
        <v>0.6</v>
      </c>
      <c r="X439" s="40" t="s">
        <v>304</v>
      </c>
      <c r="Y439" s="40" t="s">
        <v>283</v>
      </c>
      <c r="Z439" s="40" t="s">
        <v>749</v>
      </c>
      <c r="AA439" s="33" t="s">
        <v>749</v>
      </c>
      <c r="AB439" s="95"/>
      <c r="AC439" s="95"/>
    </row>
    <row r="440" spans="1:29" ht="14.45" hidden="1" customHeight="1" x14ac:dyDescent="0.25">
      <c r="A440" s="36" t="str">
        <f>INDEX('Base de données Mono'!C:C,MATCH(B440,'Base de données Mono'!D:D,0))</f>
        <v>PERPIGNAN</v>
      </c>
      <c r="B440" t="s">
        <v>208</v>
      </c>
      <c r="C440" s="36" t="str">
        <f>INDEX('Base de données Mono'!B:B,MATCH(B440,'Base de données Mono'!D:D,0))</f>
        <v>Monoprix</v>
      </c>
      <c r="D440" s="36" t="str">
        <f>INDEX('Base de données Mono'!A:A,MATCH(B440,'Base de données Mono'!D:D,0))</f>
        <v>AD</v>
      </c>
      <c r="E440" s="37" t="s">
        <v>303</v>
      </c>
      <c r="F440" s="41">
        <f t="shared" si="49"/>
        <v>14</v>
      </c>
      <c r="G440" s="41">
        <f t="shared" si="50"/>
        <v>4</v>
      </c>
      <c r="H440">
        <v>9.75</v>
      </c>
      <c r="I440" s="131">
        <f>INDEX('Base de données Mono'!K:K,MATCH(B440,'Base de données Mono'!D:D,0))</f>
        <v>0.25</v>
      </c>
      <c r="J440" s="131">
        <f>INDEX('Base de données Mono'!L:L,MATCH(B440,'Base de données Mono'!D:D,0))</f>
        <v>0.84375</v>
      </c>
      <c r="K440" s="131">
        <f>INDEX('Base de données Mono'!M:M,MATCH(B440,'Base de données Mono'!D:D,0))</f>
        <v>0.3263888888888889</v>
      </c>
      <c r="L440" s="131">
        <f>INDEX('Base de données Mono'!N:N,MATCH(B440,'Base de données Mono'!D:D,0))</f>
        <v>0.54166666666666663</v>
      </c>
      <c r="M440" s="33" t="s">
        <v>46</v>
      </c>
      <c r="N440" s="33">
        <f>IF(AND(E440="Electricité",M440="Hiver"),INDEX('Base de données Mono'!E:E,MATCH(B440,'Base de données Mono'!D:D,0)),IF(AND(E440="Electricité",M440="Mi-saison"),INDEX('Base de données Mono'!F:F,MATCH(B440,'Base de données Mono'!D:D,0)),IF(AND(E440="Electricité",M440="Eté"),INDEX('Base de données Mono'!G:G,MATCH(B440,'Base de données Mono'!D:D,0)),IF(AND(E440="Gaz",M440="Hiver"),INDEX('Base de données Mono'!J:J,MATCH(B440,'Base de données Mono'!D:D,0)),IF(AND(E440="Gaz",M440="Mi-saison"),INDEX('Base de données Mono'!#REF!,MATCH(B440,'Base de données Mono'!D:D,0)),IF(AND(E440="Gaz",M440="Eté"),INDEX('Base de données Mono'!#REF!,MATCH(B440,'Base de données Mono'!D:D,0)),"-"))))))</f>
        <v>25</v>
      </c>
      <c r="O440" s="123">
        <v>45385</v>
      </c>
      <c r="P440" s="123">
        <v>45388</v>
      </c>
      <c r="Q440" s="34">
        <v>30</v>
      </c>
      <c r="R440" s="33">
        <f t="shared" si="51"/>
        <v>5</v>
      </c>
      <c r="S440" s="34">
        <v>1</v>
      </c>
      <c r="T440" s="34">
        <f t="shared" si="54"/>
        <v>3</v>
      </c>
      <c r="U440" s="33">
        <f t="shared" si="52"/>
        <v>15</v>
      </c>
      <c r="V440" s="38" t="s">
        <v>827</v>
      </c>
      <c r="W440" s="39">
        <f t="shared" si="53"/>
        <v>0.2</v>
      </c>
      <c r="X440" s="40" t="s">
        <v>304</v>
      </c>
      <c r="Y440" s="40" t="s">
        <v>283</v>
      </c>
      <c r="Z440" s="40" t="s">
        <v>749</v>
      </c>
      <c r="AA440" s="33" t="s">
        <v>749</v>
      </c>
      <c r="AB440" s="95"/>
      <c r="AC440" s="95"/>
    </row>
    <row r="441" spans="1:29" ht="14.45" hidden="1" customHeight="1" x14ac:dyDescent="0.25">
      <c r="A441" s="36" t="str">
        <f>INDEX('Base de données Mono'!C:C,MATCH(B441,'Base de données Mono'!D:D,0))</f>
        <v>PERPIGNAN</v>
      </c>
      <c r="B441" t="s">
        <v>208</v>
      </c>
      <c r="C441" s="36" t="str">
        <f>INDEX('Base de données Mono'!B:B,MATCH(B441,'Base de données Mono'!D:D,0))</f>
        <v>Monoprix</v>
      </c>
      <c r="D441" s="36" t="str">
        <f>INDEX('Base de données Mono'!A:A,MATCH(B441,'Base de données Mono'!D:D,0))</f>
        <v>AD</v>
      </c>
      <c r="E441" s="37" t="s">
        <v>303</v>
      </c>
      <c r="F441" s="41">
        <f t="shared" si="49"/>
        <v>14</v>
      </c>
      <c r="G441" s="41">
        <f t="shared" si="50"/>
        <v>4</v>
      </c>
      <c r="H441">
        <v>9.75</v>
      </c>
      <c r="I441" s="131">
        <f>INDEX('Base de données Mono'!K:K,MATCH(B441,'Base de données Mono'!D:D,0))</f>
        <v>0.25</v>
      </c>
      <c r="J441" s="131">
        <f>INDEX('Base de données Mono'!L:L,MATCH(B441,'Base de données Mono'!D:D,0))</f>
        <v>0.84375</v>
      </c>
      <c r="K441" s="131">
        <f>INDEX('Base de données Mono'!M:M,MATCH(B441,'Base de données Mono'!D:D,0))</f>
        <v>0.3263888888888889</v>
      </c>
      <c r="L441" s="131">
        <f>INDEX('Base de données Mono'!N:N,MATCH(B441,'Base de données Mono'!D:D,0))</f>
        <v>0.54166666666666663</v>
      </c>
      <c r="M441" s="33" t="s">
        <v>46</v>
      </c>
      <c r="N441" s="33">
        <f>IF(AND(E441="Electricité",M441="Hiver"),INDEX('Base de données Mono'!E:E,MATCH(B441,'Base de données Mono'!D:D,0)),IF(AND(E441="Electricité",M441="Mi-saison"),INDEX('Base de données Mono'!F:F,MATCH(B441,'Base de données Mono'!D:D,0)),IF(AND(E441="Electricité",M441="Eté"),INDEX('Base de données Mono'!G:G,MATCH(B441,'Base de données Mono'!D:D,0)),IF(AND(E441="Gaz",M441="Hiver"),INDEX('Base de données Mono'!J:J,MATCH(B441,'Base de données Mono'!D:D,0)),IF(AND(E441="Gaz",M441="Mi-saison"),INDEX('Base de données Mono'!#REF!,MATCH(B441,'Base de données Mono'!D:D,0)),IF(AND(E441="Gaz",M441="Eté"),INDEX('Base de données Mono'!#REF!,MATCH(B441,'Base de données Mono'!D:D,0)),"-"))))))</f>
        <v>25</v>
      </c>
      <c r="O441" s="123">
        <v>45385</v>
      </c>
      <c r="P441" s="123">
        <v>45387</v>
      </c>
      <c r="Q441" s="34">
        <v>45</v>
      </c>
      <c r="R441" s="33">
        <f t="shared" si="51"/>
        <v>20</v>
      </c>
      <c r="S441" s="34">
        <v>1</v>
      </c>
      <c r="T441" s="34">
        <f t="shared" si="54"/>
        <v>2</v>
      </c>
      <c r="U441" s="33">
        <f t="shared" si="52"/>
        <v>40</v>
      </c>
      <c r="V441" s="38" t="s">
        <v>827</v>
      </c>
      <c r="W441" s="39">
        <f t="shared" si="53"/>
        <v>0.8</v>
      </c>
      <c r="X441" s="40" t="s">
        <v>304</v>
      </c>
      <c r="Y441" s="40" t="s">
        <v>283</v>
      </c>
      <c r="Z441" s="40" t="s">
        <v>749</v>
      </c>
      <c r="AA441" s="33" t="s">
        <v>749</v>
      </c>
      <c r="AB441" s="95"/>
      <c r="AC441" s="95"/>
    </row>
    <row r="442" spans="1:29" ht="14.45" hidden="1" customHeight="1" x14ac:dyDescent="0.25">
      <c r="A442" s="36" t="str">
        <f>INDEX('Base de données Mono'!C:C,MATCH(B442,'Base de données Mono'!D:D,0))</f>
        <v>PERPIGNAN</v>
      </c>
      <c r="B442" t="s">
        <v>208</v>
      </c>
      <c r="C442" s="36" t="str">
        <f>INDEX('Base de données Mono'!B:B,MATCH(B442,'Base de données Mono'!D:D,0))</f>
        <v>Monoprix</v>
      </c>
      <c r="D442" s="36" t="str">
        <f>INDEX('Base de données Mono'!A:A,MATCH(B442,'Base de données Mono'!D:D,0))</f>
        <v>AD</v>
      </c>
      <c r="E442" s="37" t="s">
        <v>303</v>
      </c>
      <c r="F442" s="41">
        <f t="shared" si="49"/>
        <v>14</v>
      </c>
      <c r="G442" s="41">
        <f t="shared" si="50"/>
        <v>4</v>
      </c>
      <c r="H442">
        <v>9.75</v>
      </c>
      <c r="I442" s="131">
        <f>INDEX('Base de données Mono'!K:K,MATCH(B442,'Base de données Mono'!D:D,0))</f>
        <v>0.25</v>
      </c>
      <c r="J442" s="131">
        <f>INDEX('Base de données Mono'!L:L,MATCH(B442,'Base de données Mono'!D:D,0))</f>
        <v>0.84375</v>
      </c>
      <c r="K442" s="131">
        <f>INDEX('Base de données Mono'!M:M,MATCH(B442,'Base de données Mono'!D:D,0))</f>
        <v>0.3263888888888889</v>
      </c>
      <c r="L442" s="131">
        <f>INDEX('Base de données Mono'!N:N,MATCH(B442,'Base de données Mono'!D:D,0))</f>
        <v>0.54166666666666663</v>
      </c>
      <c r="M442" s="33" t="s">
        <v>46</v>
      </c>
      <c r="N442" s="33">
        <f>IF(AND(E442="Electricité",M442="Hiver"),INDEX('Base de données Mono'!E:E,MATCH(B442,'Base de données Mono'!D:D,0)),IF(AND(E442="Electricité",M442="Mi-saison"),INDEX('Base de données Mono'!F:F,MATCH(B442,'Base de données Mono'!D:D,0)),IF(AND(E442="Electricité",M442="Eté"),INDEX('Base de données Mono'!G:G,MATCH(B442,'Base de données Mono'!D:D,0)),IF(AND(E442="Gaz",M442="Hiver"),INDEX('Base de données Mono'!J:J,MATCH(B442,'Base de données Mono'!D:D,0)),IF(AND(E442="Gaz",M442="Mi-saison"),INDEX('Base de données Mono'!#REF!,MATCH(B442,'Base de données Mono'!D:D,0)),IF(AND(E442="Gaz",M442="Eté"),INDEX('Base de données Mono'!#REF!,MATCH(B442,'Base de données Mono'!D:D,0)),"-"))))))</f>
        <v>25</v>
      </c>
      <c r="O442" s="123">
        <v>45387</v>
      </c>
      <c r="P442" s="123">
        <v>45388</v>
      </c>
      <c r="Q442" s="34">
        <v>45</v>
      </c>
      <c r="R442" s="33">
        <f t="shared" si="51"/>
        <v>20</v>
      </c>
      <c r="S442" s="34">
        <v>1</v>
      </c>
      <c r="T442" s="34">
        <f t="shared" si="54"/>
        <v>1</v>
      </c>
      <c r="U442" s="33">
        <f t="shared" si="52"/>
        <v>20</v>
      </c>
      <c r="V442" s="38" t="s">
        <v>827</v>
      </c>
      <c r="W442" s="39">
        <f t="shared" si="53"/>
        <v>0.8</v>
      </c>
      <c r="X442" s="40" t="s">
        <v>304</v>
      </c>
      <c r="Y442" s="40" t="s">
        <v>283</v>
      </c>
      <c r="Z442" s="40" t="s">
        <v>749</v>
      </c>
      <c r="AA442" s="33" t="s">
        <v>749</v>
      </c>
      <c r="AB442" s="95"/>
      <c r="AC442" s="95"/>
    </row>
    <row r="443" spans="1:29" ht="14.45" hidden="1" customHeight="1" x14ac:dyDescent="0.25">
      <c r="A443" s="36" t="str">
        <f>INDEX('Base de données Mono'!C:C,MATCH(B443,'Base de données Mono'!D:D,0))</f>
        <v>PERPIGNAN</v>
      </c>
      <c r="B443" t="s">
        <v>208</v>
      </c>
      <c r="C443" s="36" t="str">
        <f>INDEX('Base de données Mono'!B:B,MATCH(B443,'Base de données Mono'!D:D,0))</f>
        <v>Monoprix</v>
      </c>
      <c r="D443" s="36" t="str">
        <f>INDEX('Base de données Mono'!A:A,MATCH(B443,'Base de données Mono'!D:D,0))</f>
        <v>AD</v>
      </c>
      <c r="E443" s="37" t="s">
        <v>303</v>
      </c>
      <c r="F443" s="41">
        <f t="shared" si="49"/>
        <v>14</v>
      </c>
      <c r="G443" s="41">
        <f t="shared" si="50"/>
        <v>4</v>
      </c>
      <c r="H443">
        <v>9.75</v>
      </c>
      <c r="I443" s="131">
        <f>INDEX('Base de données Mono'!K:K,MATCH(B443,'Base de données Mono'!D:D,0))</f>
        <v>0.25</v>
      </c>
      <c r="J443" s="131">
        <f>INDEX('Base de données Mono'!L:L,MATCH(B443,'Base de données Mono'!D:D,0))</f>
        <v>0.84375</v>
      </c>
      <c r="K443" s="131">
        <f>INDEX('Base de données Mono'!M:M,MATCH(B443,'Base de données Mono'!D:D,0))</f>
        <v>0.3263888888888889</v>
      </c>
      <c r="L443" s="131">
        <f>INDEX('Base de données Mono'!N:N,MATCH(B443,'Base de données Mono'!D:D,0))</f>
        <v>0.54166666666666663</v>
      </c>
      <c r="M443" s="33" t="s">
        <v>46</v>
      </c>
      <c r="N443" s="33">
        <f>IF(AND(E443="Electricité",M443="Hiver"),INDEX('Base de données Mono'!E:E,MATCH(B443,'Base de données Mono'!D:D,0)),IF(AND(E443="Electricité",M443="Mi-saison"),INDEX('Base de données Mono'!F:F,MATCH(B443,'Base de données Mono'!D:D,0)),IF(AND(E443="Electricité",M443="Eté"),INDEX('Base de données Mono'!G:G,MATCH(B443,'Base de données Mono'!D:D,0)),IF(AND(E443="Gaz",M443="Hiver"),INDEX('Base de données Mono'!J:J,MATCH(B443,'Base de données Mono'!D:D,0)),IF(AND(E443="Gaz",M443="Mi-saison"),INDEX('Base de données Mono'!#REF!,MATCH(B443,'Base de données Mono'!D:D,0)),IF(AND(E443="Gaz",M443="Eté"),INDEX('Base de données Mono'!#REF!,MATCH(B443,'Base de données Mono'!D:D,0)),"-"))))))</f>
        <v>25</v>
      </c>
      <c r="O443" s="123">
        <v>45388</v>
      </c>
      <c r="P443" s="123">
        <v>45389</v>
      </c>
      <c r="Q443" s="34">
        <v>30</v>
      </c>
      <c r="R443" s="33">
        <f t="shared" si="51"/>
        <v>5</v>
      </c>
      <c r="S443" s="34">
        <v>10</v>
      </c>
      <c r="T443" s="34">
        <f t="shared" si="54"/>
        <v>1</v>
      </c>
      <c r="U443" s="33">
        <f t="shared" si="52"/>
        <v>50</v>
      </c>
      <c r="V443" s="38" t="s">
        <v>827</v>
      </c>
      <c r="W443" s="39">
        <f t="shared" si="53"/>
        <v>0.2</v>
      </c>
      <c r="X443" s="40" t="s">
        <v>304</v>
      </c>
      <c r="Y443" s="40" t="s">
        <v>283</v>
      </c>
      <c r="Z443" s="40" t="s">
        <v>749</v>
      </c>
      <c r="AA443" s="33" t="s">
        <v>749</v>
      </c>
      <c r="AB443" s="95"/>
      <c r="AC443" s="95"/>
    </row>
    <row r="444" spans="1:29" ht="14.45" hidden="1" customHeight="1" x14ac:dyDescent="0.25">
      <c r="A444" s="36" t="str">
        <f>INDEX('Base de données Mono'!C:C,MATCH(B444,'Base de données Mono'!D:D,0))</f>
        <v>VANNES</v>
      </c>
      <c r="B444" t="s">
        <v>260</v>
      </c>
      <c r="C444" s="36" t="str">
        <f>INDEX('Base de données Mono'!B:B,MATCH(B444,'Base de données Mono'!D:D,0))</f>
        <v>SES8</v>
      </c>
      <c r="D444" s="36" t="str">
        <f>INDEX('Base de données Mono'!A:A,MATCH(B444,'Base de données Mono'!D:D,0))</f>
        <v>AD</v>
      </c>
      <c r="E444" s="37" t="s">
        <v>303</v>
      </c>
      <c r="F444" s="41">
        <f t="shared" si="49"/>
        <v>14</v>
      </c>
      <c r="G444" s="41">
        <f t="shared" si="50"/>
        <v>4</v>
      </c>
      <c r="H444">
        <v>9.83</v>
      </c>
      <c r="I444" s="131">
        <f>INDEX('Base de données Mono'!K:K,MATCH(B444,'Base de données Mono'!D:D,0))</f>
        <v>0.24305555555555555</v>
      </c>
      <c r="J444" s="131">
        <f>INDEX('Base de données Mono'!L:L,MATCH(B444,'Base de données Mono'!D:D,0))</f>
        <v>0.83333333333333337</v>
      </c>
      <c r="K444" s="131">
        <f>INDEX('Base de données Mono'!M:M,MATCH(B444,'Base de données Mono'!D:D,0))</f>
        <v>0.34722222222222227</v>
      </c>
      <c r="L444" s="131">
        <f>INDEX('Base de données Mono'!N:N,MATCH(B444,'Base de données Mono'!D:D,0))</f>
        <v>0.57986111111111105</v>
      </c>
      <c r="M444" s="33" t="s">
        <v>46</v>
      </c>
      <c r="N444" s="33">
        <f>IF(AND(E444="Electricité",M444="Hiver"),INDEX('Base de données Mono'!E:E,MATCH(B444,'Base de données Mono'!D:D,0)),IF(AND(E444="Electricité",M444="Mi-saison"),INDEX('Base de données Mono'!F:F,MATCH(B444,'Base de données Mono'!D:D,0)),IF(AND(E444="Electricité",M444="Eté"),INDEX('Base de données Mono'!G:G,MATCH(B444,'Base de données Mono'!D:D,0)),IF(AND(E444="Gaz",M444="Hiver"),INDEX('Base de données Mono'!J:J,MATCH(B444,'Base de données Mono'!D:D,0)),IF(AND(E444="Gaz",M444="Mi-saison"),INDEX('Base de données Mono'!#REF!,MATCH(B444,'Base de données Mono'!D:D,0)),IF(AND(E444="Gaz",M444="Eté"),INDEX('Base de données Mono'!#REF!,MATCH(B444,'Base de données Mono'!D:D,0)),"-"))))))</f>
        <v>45</v>
      </c>
      <c r="O444" s="123">
        <v>45383</v>
      </c>
      <c r="P444" s="123">
        <v>45388</v>
      </c>
      <c r="Q444" s="34">
        <v>55</v>
      </c>
      <c r="R444" s="33">
        <f t="shared" si="51"/>
        <v>10</v>
      </c>
      <c r="S444" s="34">
        <v>1.8</v>
      </c>
      <c r="T444" s="34">
        <f>P444-O444</f>
        <v>5</v>
      </c>
      <c r="U444" s="33">
        <f t="shared" si="52"/>
        <v>90</v>
      </c>
      <c r="V444" s="38" t="s">
        <v>827</v>
      </c>
      <c r="W444" s="39">
        <f t="shared" si="53"/>
        <v>0.22222222222222221</v>
      </c>
      <c r="X444" s="40" t="s">
        <v>304</v>
      </c>
      <c r="Y444" s="40" t="s">
        <v>284</v>
      </c>
      <c r="Z444" s="40" t="s">
        <v>305</v>
      </c>
      <c r="AA444" s="33" t="s">
        <v>771</v>
      </c>
      <c r="AB444" s="95"/>
      <c r="AC444" s="95"/>
    </row>
    <row r="445" spans="1:29" ht="14.45" hidden="1" customHeight="1" x14ac:dyDescent="0.25">
      <c r="A445" s="36" t="str">
        <f>INDEX('Base de données Mono'!C:C,MATCH(B445,'Base de données Mono'!D:D,0))</f>
        <v>CARCASSONNE</v>
      </c>
      <c r="B445" t="s">
        <v>92</v>
      </c>
      <c r="C445" s="36" t="str">
        <f>INDEX('Base de données Mono'!B:B,MATCH(B445,'Base de données Mono'!D:D,0))</f>
        <v>Monoprix</v>
      </c>
      <c r="D445" s="36" t="str">
        <f>INDEX('Base de données Mono'!A:A,MATCH(B445,'Base de données Mono'!D:D,0))</f>
        <v>AD</v>
      </c>
      <c r="E445" s="37" t="s">
        <v>303</v>
      </c>
      <c r="F445" s="41">
        <f t="shared" si="49"/>
        <v>14</v>
      </c>
      <c r="G445" s="41">
        <f t="shared" si="50"/>
        <v>4</v>
      </c>
      <c r="H445">
        <v>10</v>
      </c>
      <c r="I445" s="131">
        <f>INDEX('Base de données Mono'!K:K,MATCH(B445,'Base de données Mono'!D:D,0))</f>
        <v>0.25</v>
      </c>
      <c r="J445" s="131">
        <f>INDEX('Base de données Mono'!L:L,MATCH(B445,'Base de données Mono'!D:D,0))</f>
        <v>0.83333333333333337</v>
      </c>
      <c r="K445" s="131">
        <f>INDEX('Base de données Mono'!M:M,MATCH(B445,'Base de données Mono'!D:D,0))</f>
        <v>0.27083333333333331</v>
      </c>
      <c r="L445" s="131">
        <f>INDEX('Base de données Mono'!N:N,MATCH(B445,'Base de données Mono'!D:D,0))</f>
        <v>0.83333333333333337</v>
      </c>
      <c r="M445" s="33" t="s">
        <v>46</v>
      </c>
      <c r="N445" s="33">
        <f>IF(AND(E445="Electricité",M445="Hiver"),INDEX('Base de données Mono'!E:E,MATCH(B445,'Base de données Mono'!D:D,0)),IF(AND(E445="Electricité",M445="Mi-saison"),INDEX('Base de données Mono'!F:F,MATCH(B445,'Base de données Mono'!D:D,0)),IF(AND(E445="Electricité",M445="Eté"),INDEX('Base de données Mono'!G:G,MATCH(B445,'Base de données Mono'!D:D,0)),IF(AND(E445="Gaz",M445="Hiver"),INDEX('Base de données Mono'!J:J,MATCH(B445,'Base de données Mono'!D:D,0)),IF(AND(E445="Gaz",M445="Mi-saison"),INDEX('Base de données Mono'!#REF!,MATCH(B445,'Base de données Mono'!D:D,0)),IF(AND(E445="Gaz",M445="Eté"),INDEX('Base de données Mono'!#REF!,MATCH(B445,'Base de données Mono'!D:D,0)),"-"))))))</f>
        <v>25</v>
      </c>
      <c r="O445" s="123">
        <v>45383</v>
      </c>
      <c r="P445" s="123">
        <v>45387</v>
      </c>
      <c r="Q445" s="34">
        <v>35</v>
      </c>
      <c r="R445" s="33">
        <f t="shared" si="51"/>
        <v>10</v>
      </c>
      <c r="S445" s="34">
        <v>1</v>
      </c>
      <c r="T445" s="34">
        <f t="shared" si="54"/>
        <v>4</v>
      </c>
      <c r="U445" s="33">
        <f t="shared" si="52"/>
        <v>40</v>
      </c>
      <c r="V445" s="38" t="s">
        <v>827</v>
      </c>
      <c r="W445" s="39">
        <f t="shared" si="53"/>
        <v>0.4</v>
      </c>
      <c r="X445" s="40" t="s">
        <v>304</v>
      </c>
      <c r="Y445" s="40" t="s">
        <v>283</v>
      </c>
      <c r="Z445" s="40" t="s">
        <v>749</v>
      </c>
      <c r="AA445" s="33" t="s">
        <v>749</v>
      </c>
      <c r="AB445" s="95"/>
      <c r="AC445" s="95"/>
    </row>
    <row r="446" spans="1:29" ht="14.45" hidden="1" customHeight="1" x14ac:dyDescent="0.25">
      <c r="A446" s="36" t="str">
        <f>INDEX('Base de données Mono'!C:C,MATCH(B446,'Base de données Mono'!D:D,0))</f>
        <v>CARCASSONNE</v>
      </c>
      <c r="B446" t="s">
        <v>92</v>
      </c>
      <c r="C446" s="36" t="str">
        <f>INDEX('Base de données Mono'!B:B,MATCH(B446,'Base de données Mono'!D:D,0))</f>
        <v>Monoprix</v>
      </c>
      <c r="D446" s="36" t="str">
        <f>INDEX('Base de données Mono'!A:A,MATCH(B446,'Base de données Mono'!D:D,0))</f>
        <v>AD</v>
      </c>
      <c r="E446" s="37" t="s">
        <v>303</v>
      </c>
      <c r="F446" s="41">
        <f t="shared" si="49"/>
        <v>14</v>
      </c>
      <c r="G446" s="41">
        <f t="shared" si="50"/>
        <v>4</v>
      </c>
      <c r="H446">
        <v>10</v>
      </c>
      <c r="I446" s="131">
        <f>INDEX('Base de données Mono'!K:K,MATCH(B446,'Base de données Mono'!D:D,0))</f>
        <v>0.25</v>
      </c>
      <c r="J446" s="131">
        <f>INDEX('Base de données Mono'!L:L,MATCH(B446,'Base de données Mono'!D:D,0))</f>
        <v>0.83333333333333337</v>
      </c>
      <c r="K446" s="131">
        <f>INDEX('Base de données Mono'!M:M,MATCH(B446,'Base de données Mono'!D:D,0))</f>
        <v>0.27083333333333331</v>
      </c>
      <c r="L446" s="131">
        <f>INDEX('Base de données Mono'!N:N,MATCH(B446,'Base de données Mono'!D:D,0))</f>
        <v>0.83333333333333337</v>
      </c>
      <c r="M446" s="33" t="s">
        <v>46</v>
      </c>
      <c r="N446" s="33">
        <f>IF(AND(E446="Electricité",M446="Hiver"),INDEX('Base de données Mono'!E:E,MATCH(B446,'Base de données Mono'!D:D,0)),IF(AND(E446="Electricité",M446="Mi-saison"),INDEX('Base de données Mono'!F:F,MATCH(B446,'Base de données Mono'!D:D,0)),IF(AND(E446="Electricité",M446="Eté"),INDEX('Base de données Mono'!G:G,MATCH(B446,'Base de données Mono'!D:D,0)),IF(AND(E446="Gaz",M446="Hiver"),INDEX('Base de données Mono'!J:J,MATCH(B446,'Base de données Mono'!D:D,0)),IF(AND(E446="Gaz",M446="Mi-saison"),INDEX('Base de données Mono'!#REF!,MATCH(B446,'Base de données Mono'!D:D,0)),IF(AND(E446="Gaz",M446="Eté"),INDEX('Base de données Mono'!#REF!,MATCH(B446,'Base de données Mono'!D:D,0)),"-"))))))</f>
        <v>25</v>
      </c>
      <c r="O446" s="123">
        <v>45387</v>
      </c>
      <c r="P446" s="123">
        <v>45388</v>
      </c>
      <c r="Q446" s="34">
        <v>45</v>
      </c>
      <c r="R446" s="33">
        <f t="shared" si="51"/>
        <v>20</v>
      </c>
      <c r="S446" s="34">
        <v>1</v>
      </c>
      <c r="T446" s="34">
        <f t="shared" si="54"/>
        <v>1</v>
      </c>
      <c r="U446" s="33">
        <f t="shared" si="52"/>
        <v>20</v>
      </c>
      <c r="V446" s="38" t="s">
        <v>827</v>
      </c>
      <c r="W446" s="39">
        <f t="shared" si="53"/>
        <v>0.8</v>
      </c>
      <c r="X446" s="40" t="s">
        <v>304</v>
      </c>
      <c r="Y446" s="40" t="s">
        <v>283</v>
      </c>
      <c r="Z446" s="40" t="s">
        <v>749</v>
      </c>
      <c r="AA446" s="33" t="s">
        <v>749</v>
      </c>
      <c r="AB446" s="95"/>
      <c r="AC446" s="95"/>
    </row>
    <row r="447" spans="1:29" ht="14.45" hidden="1" customHeight="1" x14ac:dyDescent="0.25">
      <c r="A447" s="36" t="str">
        <f>INDEX('Base de données Mono'!C:C,MATCH(B447,'Base de données Mono'!D:D,0))</f>
        <v>BONDY</v>
      </c>
      <c r="B447" t="s">
        <v>79</v>
      </c>
      <c r="C447" s="36" t="str">
        <f>INDEX('Base de données Mono'!B:B,MATCH(B447,'Base de données Mono'!D:D,0))</f>
        <v>Monoprix</v>
      </c>
      <c r="D447" s="36" t="str">
        <f>INDEX('Base de données Mono'!A:A,MATCH(B447,'Base de données Mono'!D:D,0))</f>
        <v>JG</v>
      </c>
      <c r="E447" s="37" t="s">
        <v>303</v>
      </c>
      <c r="F447" s="41">
        <f t="shared" si="49"/>
        <v>14</v>
      </c>
      <c r="G447" s="41">
        <f t="shared" si="50"/>
        <v>4</v>
      </c>
      <c r="H447">
        <v>8</v>
      </c>
      <c r="I447" s="131">
        <f>INDEX('Base de données Mono'!K:K,MATCH(B447,'Base de données Mono'!D:D,0))</f>
        <v>0.20833333333333334</v>
      </c>
      <c r="J447" s="131">
        <f>INDEX('Base de données Mono'!L:L,MATCH(B447,'Base de données Mono'!D:D,0))</f>
        <v>0.875</v>
      </c>
      <c r="K447" s="131">
        <f>INDEX('Base de données Mono'!M:M,MATCH(B447,'Base de données Mono'!D:D,0))</f>
        <v>0.27083333333333331</v>
      </c>
      <c r="L447" s="131">
        <f>INDEX('Base de données Mono'!N:N,MATCH(B447,'Base de données Mono'!D:D,0))</f>
        <v>0.5625</v>
      </c>
      <c r="M447" s="33" t="s">
        <v>46</v>
      </c>
      <c r="N447" s="33">
        <f>IF(AND(E447="Electricité",M447="Hiver"),INDEX('Base de données Mono'!E:E,MATCH(B447,'Base de données Mono'!D:D,0)),IF(AND(E447="Electricité",M447="Mi-saison"),INDEX('Base de données Mono'!F:F,MATCH(B447,'Base de données Mono'!D:D,0)),IF(AND(E447="Electricité",M447="Eté"),INDEX('Base de données Mono'!G:G,MATCH(B447,'Base de données Mono'!D:D,0)),IF(AND(E447="Gaz",M447="Hiver"),INDEX('Base de données Mono'!J:J,MATCH(B447,'Base de données Mono'!D:D,0)),IF(AND(E447="Gaz",M447="Mi-saison"),INDEX('Base de données Mono'!#REF!,MATCH(B447,'Base de données Mono'!D:D,0)),IF(AND(E447="Gaz",M447="Eté"),INDEX('Base de données Mono'!#REF!,MATCH(B447,'Base de données Mono'!D:D,0)),"-"))))))</f>
        <v>45</v>
      </c>
      <c r="O447" s="123">
        <v>45383</v>
      </c>
      <c r="P447" s="123">
        <v>45386</v>
      </c>
      <c r="Q447" s="34">
        <v>85</v>
      </c>
      <c r="R447" s="33">
        <f t="shared" si="51"/>
        <v>40</v>
      </c>
      <c r="S447" s="34">
        <v>1</v>
      </c>
      <c r="T447" s="34">
        <f t="shared" si="54"/>
        <v>3</v>
      </c>
      <c r="U447" s="33">
        <f t="shared" si="52"/>
        <v>120</v>
      </c>
      <c r="V447" s="38" t="s">
        <v>827</v>
      </c>
      <c r="W447" s="39">
        <f t="shared" si="53"/>
        <v>0.88888888888888884</v>
      </c>
      <c r="X447" s="40" t="s">
        <v>304</v>
      </c>
      <c r="Y447" s="40" t="s">
        <v>283</v>
      </c>
      <c r="Z447" s="40" t="s">
        <v>749</v>
      </c>
      <c r="AA447" s="33" t="s">
        <v>749</v>
      </c>
      <c r="AB447" s="95"/>
      <c r="AC447" s="95"/>
    </row>
    <row r="448" spans="1:29" ht="14.45" hidden="1" customHeight="1" x14ac:dyDescent="0.25">
      <c r="A448" s="36" t="str">
        <f>INDEX('Base de données Mono'!C:C,MATCH(B448,'Base de données Mono'!D:D,0))</f>
        <v>BONDY</v>
      </c>
      <c r="B448" t="s">
        <v>79</v>
      </c>
      <c r="C448" s="36" t="str">
        <f>INDEX('Base de données Mono'!B:B,MATCH(B448,'Base de données Mono'!D:D,0))</f>
        <v>Monoprix</v>
      </c>
      <c r="D448" s="36" t="str">
        <f>INDEX('Base de données Mono'!A:A,MATCH(B448,'Base de données Mono'!D:D,0))</f>
        <v>JG</v>
      </c>
      <c r="E448" s="37" t="s">
        <v>303</v>
      </c>
      <c r="F448" s="41">
        <f t="shared" si="49"/>
        <v>14</v>
      </c>
      <c r="G448" s="41">
        <f t="shared" si="50"/>
        <v>4</v>
      </c>
      <c r="H448">
        <v>8</v>
      </c>
      <c r="I448" s="131">
        <f>INDEX('Base de données Mono'!K:K,MATCH(B448,'Base de données Mono'!D:D,0))</f>
        <v>0.20833333333333334</v>
      </c>
      <c r="J448" s="131">
        <f>INDEX('Base de données Mono'!L:L,MATCH(B448,'Base de données Mono'!D:D,0))</f>
        <v>0.875</v>
      </c>
      <c r="K448" s="131">
        <f>INDEX('Base de données Mono'!M:M,MATCH(B448,'Base de données Mono'!D:D,0))</f>
        <v>0.27083333333333331</v>
      </c>
      <c r="L448" s="131">
        <f>INDEX('Base de données Mono'!N:N,MATCH(B448,'Base de données Mono'!D:D,0))</f>
        <v>0.5625</v>
      </c>
      <c r="M448" s="33" t="s">
        <v>46</v>
      </c>
      <c r="N448" s="33">
        <f>IF(AND(E448="Electricité",M448="Hiver"),INDEX('Base de données Mono'!E:E,MATCH(B448,'Base de données Mono'!D:D,0)),IF(AND(E448="Electricité",M448="Mi-saison"),INDEX('Base de données Mono'!F:F,MATCH(B448,'Base de données Mono'!D:D,0)),IF(AND(E448="Electricité",M448="Eté"),INDEX('Base de données Mono'!G:G,MATCH(B448,'Base de données Mono'!D:D,0)),IF(AND(E448="Gaz",M448="Hiver"),INDEX('Base de données Mono'!J:J,MATCH(B448,'Base de données Mono'!D:D,0)),IF(AND(E448="Gaz",M448="Mi-saison"),INDEX('Base de données Mono'!#REF!,MATCH(B448,'Base de données Mono'!D:D,0)),IF(AND(E448="Gaz",M448="Eté"),INDEX('Base de données Mono'!#REF!,MATCH(B448,'Base de données Mono'!D:D,0)),"-"))))))</f>
        <v>45</v>
      </c>
      <c r="O448" s="123">
        <v>45384</v>
      </c>
      <c r="P448" s="123">
        <v>45389</v>
      </c>
      <c r="Q448" s="34">
        <v>55</v>
      </c>
      <c r="R448" s="33">
        <f t="shared" si="51"/>
        <v>10</v>
      </c>
      <c r="S448" s="34">
        <v>2</v>
      </c>
      <c r="T448" s="34">
        <f t="shared" si="54"/>
        <v>5</v>
      </c>
      <c r="U448" s="33">
        <f t="shared" si="52"/>
        <v>100</v>
      </c>
      <c r="V448" s="38" t="s">
        <v>827</v>
      </c>
      <c r="W448" s="39">
        <f t="shared" si="53"/>
        <v>0.22222222222222221</v>
      </c>
      <c r="X448" s="40" t="s">
        <v>304</v>
      </c>
      <c r="Y448" s="40" t="s">
        <v>283</v>
      </c>
      <c r="Z448" s="40" t="s">
        <v>749</v>
      </c>
      <c r="AA448" s="33" t="s">
        <v>749</v>
      </c>
      <c r="AB448" s="95"/>
      <c r="AC448" s="95"/>
    </row>
    <row r="449" spans="1:29" ht="14.45" hidden="1" customHeight="1" x14ac:dyDescent="0.25">
      <c r="A449" s="36" t="str">
        <f>INDEX('Base de données Mono'!C:C,MATCH(B449,'Base de données Mono'!D:D,0))</f>
        <v>BONDY</v>
      </c>
      <c r="B449" t="s">
        <v>79</v>
      </c>
      <c r="C449" s="36" t="str">
        <f>INDEX('Base de données Mono'!B:B,MATCH(B449,'Base de données Mono'!D:D,0))</f>
        <v>Monoprix</v>
      </c>
      <c r="D449" s="36" t="str">
        <f>INDEX('Base de données Mono'!A:A,MATCH(B449,'Base de données Mono'!D:D,0))</f>
        <v>JG</v>
      </c>
      <c r="E449" s="37" t="s">
        <v>303</v>
      </c>
      <c r="F449" s="41">
        <f t="shared" si="49"/>
        <v>14</v>
      </c>
      <c r="G449" s="41">
        <f t="shared" si="50"/>
        <v>4</v>
      </c>
      <c r="H449">
        <v>8</v>
      </c>
      <c r="I449" s="131">
        <f>INDEX('Base de données Mono'!K:K,MATCH(B449,'Base de données Mono'!D:D,0))</f>
        <v>0.20833333333333334</v>
      </c>
      <c r="J449" s="131">
        <f>INDEX('Base de données Mono'!L:L,MATCH(B449,'Base de données Mono'!D:D,0))</f>
        <v>0.875</v>
      </c>
      <c r="K449" s="131">
        <f>INDEX('Base de données Mono'!M:M,MATCH(B449,'Base de données Mono'!D:D,0))</f>
        <v>0.27083333333333331</v>
      </c>
      <c r="L449" s="131">
        <f>INDEX('Base de données Mono'!N:N,MATCH(B449,'Base de données Mono'!D:D,0))</f>
        <v>0.5625</v>
      </c>
      <c r="M449" s="33" t="s">
        <v>46</v>
      </c>
      <c r="N449" s="33">
        <f>IF(AND(E449="Electricité",M449="Hiver"),INDEX('Base de données Mono'!E:E,MATCH(B449,'Base de données Mono'!D:D,0)),IF(AND(E449="Electricité",M449="Mi-saison"),INDEX('Base de données Mono'!F:F,MATCH(B449,'Base de données Mono'!D:D,0)),IF(AND(E449="Electricité",M449="Eté"),INDEX('Base de données Mono'!G:G,MATCH(B449,'Base de données Mono'!D:D,0)),IF(AND(E449="Gaz",M449="Hiver"),INDEX('Base de données Mono'!J:J,MATCH(B449,'Base de données Mono'!D:D,0)),IF(AND(E449="Gaz",M449="Mi-saison"),INDEX('Base de données Mono'!#REF!,MATCH(B449,'Base de données Mono'!D:D,0)),IF(AND(E449="Gaz",M449="Eté"),INDEX('Base de données Mono'!#REF!,MATCH(B449,'Base de données Mono'!D:D,0)),"-"))))))</f>
        <v>45</v>
      </c>
      <c r="O449" s="123">
        <v>45386</v>
      </c>
      <c r="P449" s="123">
        <v>45388</v>
      </c>
      <c r="Q449" s="34">
        <v>85</v>
      </c>
      <c r="R449" s="33">
        <f t="shared" si="51"/>
        <v>40</v>
      </c>
      <c r="S449" s="34">
        <v>1</v>
      </c>
      <c r="T449" s="34">
        <f t="shared" si="54"/>
        <v>2</v>
      </c>
      <c r="U449" s="33">
        <f t="shared" si="52"/>
        <v>80</v>
      </c>
      <c r="V449" s="38" t="s">
        <v>827</v>
      </c>
      <c r="W449" s="39">
        <f t="shared" si="53"/>
        <v>0.88888888888888884</v>
      </c>
      <c r="X449" s="40" t="s">
        <v>304</v>
      </c>
      <c r="Y449" s="40" t="s">
        <v>283</v>
      </c>
      <c r="Z449" s="40" t="s">
        <v>749</v>
      </c>
      <c r="AA449" s="33" t="s">
        <v>749</v>
      </c>
      <c r="AB449" s="95"/>
      <c r="AC449" s="95"/>
    </row>
    <row r="450" spans="1:29" ht="14.45" hidden="1" customHeight="1" x14ac:dyDescent="0.25">
      <c r="A450" s="36" t="str">
        <f>INDEX('Base de données Mono'!C:C,MATCH(B450,'Base de données Mono'!D:D,0))</f>
        <v>PORTE DE CHATILLON</v>
      </c>
      <c r="B450" t="s">
        <v>214</v>
      </c>
      <c r="C450" s="36" t="str">
        <f>INDEX('Base de données Mono'!B:B,MATCH(B450,'Base de données Mono'!D:D,0))</f>
        <v>Monoprix</v>
      </c>
      <c r="D450" s="36" t="str">
        <f>INDEX('Base de données Mono'!A:A,MATCH(B450,'Base de données Mono'!D:D,0))</f>
        <v>AD</v>
      </c>
      <c r="E450" s="37" t="s">
        <v>303</v>
      </c>
      <c r="F450" s="41">
        <f t="shared" si="49"/>
        <v>14</v>
      </c>
      <c r="G450" s="41">
        <f t="shared" si="50"/>
        <v>4</v>
      </c>
      <c r="H450">
        <v>6</v>
      </c>
      <c r="I450" s="131">
        <f>INDEX('Base de données Mono'!K:K,MATCH(B450,'Base de données Mono'!D:D,0))</f>
        <v>0.1875</v>
      </c>
      <c r="J450" s="131">
        <f>INDEX('Base de données Mono'!L:L,MATCH(B450,'Base de données Mono'!D:D,0))</f>
        <v>0.9375</v>
      </c>
      <c r="K450" s="131">
        <f>INDEX('Base de données Mono'!M:M,MATCH(B450,'Base de données Mono'!D:D,0))</f>
        <v>0.25</v>
      </c>
      <c r="L450" s="131">
        <f>INDEX('Base de données Mono'!N:N,MATCH(B450,'Base de données Mono'!D:D,0))</f>
        <v>0.875</v>
      </c>
      <c r="M450" s="33" t="s">
        <v>46</v>
      </c>
      <c r="N450" s="33">
        <f>IF(AND(E450="Electricité",M450="Hiver"),INDEX('Base de données Mono'!E:E,MATCH(B450,'Base de données Mono'!D:D,0)),IF(AND(E450="Electricité",M450="Mi-saison"),INDEX('Base de données Mono'!F:F,MATCH(B450,'Base de données Mono'!D:D,0)),IF(AND(E450="Electricité",M450="Eté"),INDEX('Base de données Mono'!G:G,MATCH(B450,'Base de données Mono'!D:D,0)),IF(AND(E450="Gaz",M450="Hiver"),INDEX('Base de données Mono'!J:J,MATCH(B450,'Base de données Mono'!D:D,0)),IF(AND(E450="Gaz",M450="Mi-saison"),INDEX('Base de données Mono'!#REF!,MATCH(B450,'Base de données Mono'!D:D,0)),IF(AND(E450="Gaz",M450="Eté"),INDEX('Base de données Mono'!#REF!,MATCH(B450,'Base de données Mono'!D:D,0)),"-"))))))</f>
        <v>125</v>
      </c>
      <c r="O450" s="123">
        <v>45384</v>
      </c>
      <c r="P450" s="123">
        <v>45389</v>
      </c>
      <c r="Q450" s="34">
        <v>170</v>
      </c>
      <c r="R450" s="33">
        <f t="shared" si="51"/>
        <v>45</v>
      </c>
      <c r="S450" s="34">
        <v>1</v>
      </c>
      <c r="T450" s="34">
        <f t="shared" si="54"/>
        <v>5</v>
      </c>
      <c r="U450" s="33">
        <f t="shared" si="52"/>
        <v>225</v>
      </c>
      <c r="V450" s="38" t="s">
        <v>827</v>
      </c>
      <c r="W450" s="39">
        <f t="shared" si="53"/>
        <v>0.36</v>
      </c>
      <c r="X450" s="40" t="s">
        <v>304</v>
      </c>
      <c r="Y450" s="40" t="s">
        <v>283</v>
      </c>
      <c r="Z450" s="40" t="s">
        <v>749</v>
      </c>
      <c r="AA450" s="33" t="s">
        <v>749</v>
      </c>
      <c r="AB450" s="95"/>
      <c r="AC450" s="95"/>
    </row>
    <row r="451" spans="1:29" ht="14.45" hidden="1" customHeight="1" x14ac:dyDescent="0.25">
      <c r="A451" s="36" t="str">
        <f>INDEX('Base de données Mono'!C:C,MATCH(B451,'Base de données Mono'!D:D,0))</f>
        <v>GUERET</v>
      </c>
      <c r="B451" t="s">
        <v>139</v>
      </c>
      <c r="C451" s="36" t="str">
        <f>INDEX('Base de données Mono'!B:B,MATCH(B451,'Base de données Mono'!D:D,0))</f>
        <v>Monoprix</v>
      </c>
      <c r="D451" s="36" t="str">
        <f>INDEX('Base de données Mono'!A:A,MATCH(B451,'Base de données Mono'!D:D,0))</f>
        <v>JG</v>
      </c>
      <c r="E451" s="37" t="s">
        <v>303</v>
      </c>
      <c r="F451" s="41">
        <f t="shared" si="49"/>
        <v>14</v>
      </c>
      <c r="G451" s="41">
        <f t="shared" si="50"/>
        <v>4</v>
      </c>
      <c r="H451">
        <v>10.25</v>
      </c>
      <c r="I451" s="131">
        <f>INDEX('Base de données Mono'!K:K,MATCH(B451,'Base de données Mono'!D:D,0))</f>
        <v>0.27083333333333331</v>
      </c>
      <c r="J451" s="131">
        <f>INDEX('Base de données Mono'!L:L,MATCH(B451,'Base de données Mono'!D:D,0))</f>
        <v>0.84375</v>
      </c>
      <c r="K451" s="131">
        <f>INDEX('Base de données Mono'!M:M,MATCH(B451,'Base de données Mono'!D:D,0))</f>
        <v>0.34375</v>
      </c>
      <c r="L451" s="131">
        <f>INDEX('Base de données Mono'!N:N,MATCH(B451,'Base de données Mono'!D:D,0))</f>
        <v>0.54166666666666663</v>
      </c>
      <c r="M451" s="33" t="s">
        <v>46</v>
      </c>
      <c r="N451" s="33">
        <f>IF(AND(E451="Electricité",M451="Hiver"),INDEX('Base de données Mono'!E:E,MATCH(B451,'Base de données Mono'!D:D,0)),IF(AND(E451="Electricité",M451="Mi-saison"),INDEX('Base de données Mono'!F:F,MATCH(B451,'Base de données Mono'!D:D,0)),IF(AND(E451="Electricité",M451="Eté"),INDEX('Base de données Mono'!G:G,MATCH(B451,'Base de données Mono'!D:D,0)),IF(AND(E451="Gaz",M451="Hiver"),INDEX('Base de données Mono'!J:J,MATCH(B451,'Base de données Mono'!D:D,0)),IF(AND(E451="Gaz",M451="Mi-saison"),INDEX('Base de données Mono'!#REF!,MATCH(B451,'Base de données Mono'!D:D,0)),IF(AND(E451="Gaz",M451="Eté"),INDEX('Base de données Mono'!#REF!,MATCH(B451,'Base de données Mono'!D:D,0)),"-"))))))</f>
        <v>25</v>
      </c>
      <c r="O451" s="123">
        <v>45383</v>
      </c>
      <c r="P451" s="123">
        <v>45385</v>
      </c>
      <c r="Q451" s="34">
        <v>45</v>
      </c>
      <c r="R451" s="33">
        <f t="shared" si="51"/>
        <v>20</v>
      </c>
      <c r="S451" s="34">
        <v>10</v>
      </c>
      <c r="T451" s="34">
        <f t="shared" si="54"/>
        <v>2</v>
      </c>
      <c r="U451" s="33">
        <f t="shared" si="52"/>
        <v>400</v>
      </c>
      <c r="V451" s="38" t="s">
        <v>827</v>
      </c>
      <c r="W451" s="39">
        <f t="shared" si="53"/>
        <v>0.8</v>
      </c>
      <c r="X451" s="40" t="s">
        <v>304</v>
      </c>
      <c r="Y451" s="40" t="s">
        <v>283</v>
      </c>
      <c r="Z451" s="40" t="s">
        <v>749</v>
      </c>
      <c r="AA451" s="33" t="s">
        <v>749</v>
      </c>
      <c r="AB451" s="95"/>
      <c r="AC451" s="95"/>
    </row>
    <row r="452" spans="1:29" ht="14.45" hidden="1" customHeight="1" x14ac:dyDescent="0.25">
      <c r="A452" s="36" t="str">
        <f>INDEX('Base de données Mono'!C:C,MATCH(B452,'Base de données Mono'!D:D,0))</f>
        <v>GUERET</v>
      </c>
      <c r="B452" t="s">
        <v>139</v>
      </c>
      <c r="C452" s="36" t="str">
        <f>INDEX('Base de données Mono'!B:B,MATCH(B452,'Base de données Mono'!D:D,0))</f>
        <v>Monoprix</v>
      </c>
      <c r="D452" s="36" t="str">
        <f>INDEX('Base de données Mono'!A:A,MATCH(B452,'Base de données Mono'!D:D,0))</f>
        <v>JG</v>
      </c>
      <c r="E452" s="37" t="s">
        <v>303</v>
      </c>
      <c r="F452" s="41">
        <f t="shared" si="49"/>
        <v>14</v>
      </c>
      <c r="G452" s="41">
        <f t="shared" si="50"/>
        <v>4</v>
      </c>
      <c r="H452">
        <v>10.25</v>
      </c>
      <c r="I452" s="131">
        <f>INDEX('Base de données Mono'!K:K,MATCH(B452,'Base de données Mono'!D:D,0))</f>
        <v>0.27083333333333331</v>
      </c>
      <c r="J452" s="131">
        <f>INDEX('Base de données Mono'!L:L,MATCH(B452,'Base de données Mono'!D:D,0))</f>
        <v>0.84375</v>
      </c>
      <c r="K452" s="131">
        <f>INDEX('Base de données Mono'!M:M,MATCH(B452,'Base de données Mono'!D:D,0))</f>
        <v>0.34375</v>
      </c>
      <c r="L452" s="131">
        <f>INDEX('Base de données Mono'!N:N,MATCH(B452,'Base de données Mono'!D:D,0))</f>
        <v>0.54166666666666663</v>
      </c>
      <c r="M452" s="33" t="s">
        <v>46</v>
      </c>
      <c r="N452" s="33">
        <f>IF(AND(E452="Electricité",M452="Hiver"),INDEX('Base de données Mono'!E:E,MATCH(B452,'Base de données Mono'!D:D,0)),IF(AND(E452="Electricité",M452="Mi-saison"),INDEX('Base de données Mono'!F:F,MATCH(B452,'Base de données Mono'!D:D,0)),IF(AND(E452="Electricité",M452="Eté"),INDEX('Base de données Mono'!G:G,MATCH(B452,'Base de données Mono'!D:D,0)),IF(AND(E452="Gaz",M452="Hiver"),INDEX('Base de données Mono'!J:J,MATCH(B452,'Base de données Mono'!D:D,0)),IF(AND(E452="Gaz",M452="Mi-saison"),INDEX('Base de données Mono'!#REF!,MATCH(B452,'Base de données Mono'!D:D,0)),IF(AND(E452="Gaz",M452="Eté"),INDEX('Base de données Mono'!#REF!,MATCH(B452,'Base de données Mono'!D:D,0)),"-"))))))</f>
        <v>25</v>
      </c>
      <c r="O452" s="123">
        <v>45384</v>
      </c>
      <c r="P452" s="123">
        <v>45385</v>
      </c>
      <c r="Q452" s="34">
        <v>60</v>
      </c>
      <c r="R452" s="33">
        <f t="shared" si="51"/>
        <v>35</v>
      </c>
      <c r="S452" s="34">
        <v>1</v>
      </c>
      <c r="T452" s="34">
        <f t="shared" si="54"/>
        <v>1</v>
      </c>
      <c r="U452" s="33">
        <f t="shared" si="52"/>
        <v>35</v>
      </c>
      <c r="V452" s="38" t="s">
        <v>827</v>
      </c>
      <c r="W452" s="39">
        <f t="shared" si="53"/>
        <v>1.4</v>
      </c>
      <c r="X452" s="40" t="s">
        <v>304</v>
      </c>
      <c r="Y452" s="40" t="s">
        <v>283</v>
      </c>
      <c r="Z452" s="40" t="s">
        <v>749</v>
      </c>
      <c r="AA452" s="33" t="s">
        <v>749</v>
      </c>
      <c r="AB452" s="95"/>
      <c r="AC452" s="95"/>
    </row>
    <row r="453" spans="1:29" ht="14.45" hidden="1" customHeight="1" x14ac:dyDescent="0.25">
      <c r="A453" s="36" t="str">
        <f>INDEX('Base de données Mono'!C:C,MATCH(B453,'Base de données Mono'!D:D,0))</f>
        <v>GUERET</v>
      </c>
      <c r="B453" t="s">
        <v>139</v>
      </c>
      <c r="C453" s="36" t="str">
        <f>INDEX('Base de données Mono'!B:B,MATCH(B453,'Base de données Mono'!D:D,0))</f>
        <v>Monoprix</v>
      </c>
      <c r="D453" s="36" t="str">
        <f>INDEX('Base de données Mono'!A:A,MATCH(B453,'Base de données Mono'!D:D,0))</f>
        <v>JG</v>
      </c>
      <c r="E453" s="37" t="s">
        <v>303</v>
      </c>
      <c r="F453" s="41">
        <f t="shared" si="49"/>
        <v>14</v>
      </c>
      <c r="G453" s="41">
        <f t="shared" si="50"/>
        <v>4</v>
      </c>
      <c r="H453">
        <v>10.25</v>
      </c>
      <c r="I453" s="131">
        <f>INDEX('Base de données Mono'!K:K,MATCH(B453,'Base de données Mono'!D:D,0))</f>
        <v>0.27083333333333331</v>
      </c>
      <c r="J453" s="131">
        <f>INDEX('Base de données Mono'!L:L,MATCH(B453,'Base de données Mono'!D:D,0))</f>
        <v>0.84375</v>
      </c>
      <c r="K453" s="131">
        <f>INDEX('Base de données Mono'!M:M,MATCH(B453,'Base de données Mono'!D:D,0))</f>
        <v>0.34375</v>
      </c>
      <c r="L453" s="131">
        <f>INDEX('Base de données Mono'!N:N,MATCH(B453,'Base de données Mono'!D:D,0))</f>
        <v>0.54166666666666663</v>
      </c>
      <c r="M453" s="33" t="s">
        <v>46</v>
      </c>
      <c r="N453" s="33">
        <f>IF(AND(E453="Electricité",M453="Hiver"),INDEX('Base de données Mono'!E:E,MATCH(B453,'Base de données Mono'!D:D,0)),IF(AND(E453="Electricité",M453="Mi-saison"),INDEX('Base de données Mono'!F:F,MATCH(B453,'Base de données Mono'!D:D,0)),IF(AND(E453="Electricité",M453="Eté"),INDEX('Base de données Mono'!G:G,MATCH(B453,'Base de données Mono'!D:D,0)),IF(AND(E453="Gaz",M453="Hiver"),INDEX('Base de données Mono'!J:J,MATCH(B453,'Base de données Mono'!D:D,0)),IF(AND(E453="Gaz",M453="Mi-saison"),INDEX('Base de données Mono'!#REF!,MATCH(B453,'Base de données Mono'!D:D,0)),IF(AND(E453="Gaz",M453="Eté"),INDEX('Base de données Mono'!#REF!,MATCH(B453,'Base de données Mono'!D:D,0)),"-"))))))</f>
        <v>25</v>
      </c>
      <c r="O453" s="123">
        <v>45385</v>
      </c>
      <c r="P453" s="123">
        <v>45387</v>
      </c>
      <c r="Q453" s="34">
        <v>40</v>
      </c>
      <c r="R453" s="33">
        <f t="shared" si="51"/>
        <v>15</v>
      </c>
      <c r="S453" s="34">
        <v>9</v>
      </c>
      <c r="T453" s="34">
        <f t="shared" si="54"/>
        <v>2</v>
      </c>
      <c r="U453" s="33">
        <f t="shared" si="52"/>
        <v>270</v>
      </c>
      <c r="V453" s="38" t="s">
        <v>827</v>
      </c>
      <c r="W453" s="39">
        <f t="shared" si="53"/>
        <v>0.6</v>
      </c>
      <c r="X453" s="40" t="s">
        <v>304</v>
      </c>
      <c r="Y453" s="40" t="s">
        <v>283</v>
      </c>
      <c r="Z453" s="40" t="s">
        <v>749</v>
      </c>
      <c r="AA453" s="33" t="s">
        <v>749</v>
      </c>
      <c r="AB453" s="95"/>
      <c r="AC453" s="95"/>
    </row>
    <row r="454" spans="1:29" ht="14.45" hidden="1" customHeight="1" x14ac:dyDescent="0.25">
      <c r="A454" s="36" t="str">
        <f>INDEX('Base de données Mono'!C:C,MATCH(B454,'Base de données Mono'!D:D,0))</f>
        <v>GUERET</v>
      </c>
      <c r="B454" t="s">
        <v>139</v>
      </c>
      <c r="C454" s="36" t="str">
        <f>INDEX('Base de données Mono'!B:B,MATCH(B454,'Base de données Mono'!D:D,0))</f>
        <v>Monoprix</v>
      </c>
      <c r="D454" s="36" t="str">
        <f>INDEX('Base de données Mono'!A:A,MATCH(B454,'Base de données Mono'!D:D,0))</f>
        <v>JG</v>
      </c>
      <c r="E454" s="37" t="s">
        <v>303</v>
      </c>
      <c r="F454" s="41">
        <f t="shared" si="49"/>
        <v>14</v>
      </c>
      <c r="G454" s="41">
        <f t="shared" si="50"/>
        <v>4</v>
      </c>
      <c r="H454">
        <v>10.25</v>
      </c>
      <c r="I454" s="131">
        <f>INDEX('Base de données Mono'!K:K,MATCH(B454,'Base de données Mono'!D:D,0))</f>
        <v>0.27083333333333331</v>
      </c>
      <c r="J454" s="131">
        <f>INDEX('Base de données Mono'!L:L,MATCH(B454,'Base de données Mono'!D:D,0))</f>
        <v>0.84375</v>
      </c>
      <c r="K454" s="131">
        <f>INDEX('Base de données Mono'!M:M,MATCH(B454,'Base de données Mono'!D:D,0))</f>
        <v>0.34375</v>
      </c>
      <c r="L454" s="131">
        <f>INDEX('Base de données Mono'!N:N,MATCH(B454,'Base de données Mono'!D:D,0))</f>
        <v>0.54166666666666663</v>
      </c>
      <c r="M454" s="33" t="s">
        <v>46</v>
      </c>
      <c r="N454" s="33">
        <f>IF(AND(E454="Electricité",M454="Hiver"),INDEX('Base de données Mono'!E:E,MATCH(B454,'Base de données Mono'!D:D,0)),IF(AND(E454="Electricité",M454="Mi-saison"),INDEX('Base de données Mono'!F:F,MATCH(B454,'Base de données Mono'!D:D,0)),IF(AND(E454="Electricité",M454="Eté"),INDEX('Base de données Mono'!G:G,MATCH(B454,'Base de données Mono'!D:D,0)),IF(AND(E454="Gaz",M454="Hiver"),INDEX('Base de données Mono'!J:J,MATCH(B454,'Base de données Mono'!D:D,0)),IF(AND(E454="Gaz",M454="Mi-saison"),INDEX('Base de données Mono'!#REF!,MATCH(B454,'Base de données Mono'!D:D,0)),IF(AND(E454="Gaz",M454="Eté"),INDEX('Base de données Mono'!#REF!,MATCH(B454,'Base de données Mono'!D:D,0)),"-"))))))</f>
        <v>25</v>
      </c>
      <c r="O454" s="123">
        <v>45385</v>
      </c>
      <c r="P454" s="123">
        <v>45387</v>
      </c>
      <c r="Q454" s="34">
        <v>50</v>
      </c>
      <c r="R454" s="33">
        <f t="shared" si="51"/>
        <v>25</v>
      </c>
      <c r="S454" s="34">
        <v>1</v>
      </c>
      <c r="T454" s="34">
        <f t="shared" si="54"/>
        <v>2</v>
      </c>
      <c r="U454" s="33">
        <f t="shared" si="52"/>
        <v>50</v>
      </c>
      <c r="V454" s="38" t="s">
        <v>827</v>
      </c>
      <c r="W454" s="39">
        <f t="shared" si="53"/>
        <v>1</v>
      </c>
      <c r="X454" s="40" t="s">
        <v>304</v>
      </c>
      <c r="Y454" s="40" t="s">
        <v>283</v>
      </c>
      <c r="Z454" s="40" t="s">
        <v>749</v>
      </c>
      <c r="AA454" s="33" t="s">
        <v>749</v>
      </c>
      <c r="AB454" s="95"/>
      <c r="AC454" s="95"/>
    </row>
    <row r="455" spans="1:29" ht="14.45" hidden="1" customHeight="1" x14ac:dyDescent="0.25">
      <c r="A455" s="36" t="str">
        <f>INDEX('Base de données Mono'!C:C,MATCH(B455,'Base de données Mono'!D:D,0))</f>
        <v>GUERET</v>
      </c>
      <c r="B455" t="s">
        <v>139</v>
      </c>
      <c r="C455" s="36" t="str">
        <f>INDEX('Base de données Mono'!B:B,MATCH(B455,'Base de données Mono'!D:D,0))</f>
        <v>Monoprix</v>
      </c>
      <c r="D455" s="36" t="str">
        <f>INDEX('Base de données Mono'!A:A,MATCH(B455,'Base de données Mono'!D:D,0))</f>
        <v>JG</v>
      </c>
      <c r="E455" s="37" t="s">
        <v>303</v>
      </c>
      <c r="F455" s="41">
        <f t="shared" si="49"/>
        <v>14</v>
      </c>
      <c r="G455" s="41">
        <f t="shared" si="50"/>
        <v>4</v>
      </c>
      <c r="H455">
        <v>10.25</v>
      </c>
      <c r="I455" s="131">
        <f>INDEX('Base de données Mono'!K:K,MATCH(B455,'Base de données Mono'!D:D,0))</f>
        <v>0.27083333333333331</v>
      </c>
      <c r="J455" s="131">
        <f>INDEX('Base de données Mono'!L:L,MATCH(B455,'Base de données Mono'!D:D,0))</f>
        <v>0.84375</v>
      </c>
      <c r="K455" s="131">
        <f>INDEX('Base de données Mono'!M:M,MATCH(B455,'Base de données Mono'!D:D,0))</f>
        <v>0.34375</v>
      </c>
      <c r="L455" s="131">
        <f>INDEX('Base de données Mono'!N:N,MATCH(B455,'Base de données Mono'!D:D,0))</f>
        <v>0.54166666666666663</v>
      </c>
      <c r="M455" s="33" t="s">
        <v>46</v>
      </c>
      <c r="N455" s="33">
        <f>IF(AND(E455="Electricité",M455="Hiver"),INDEX('Base de données Mono'!E:E,MATCH(B455,'Base de données Mono'!D:D,0)),IF(AND(E455="Electricité",M455="Mi-saison"),INDEX('Base de données Mono'!F:F,MATCH(B455,'Base de données Mono'!D:D,0)),IF(AND(E455="Electricité",M455="Eté"),INDEX('Base de données Mono'!G:G,MATCH(B455,'Base de données Mono'!D:D,0)),IF(AND(E455="Gaz",M455="Hiver"),INDEX('Base de données Mono'!J:J,MATCH(B455,'Base de données Mono'!D:D,0)),IF(AND(E455="Gaz",M455="Mi-saison"),INDEX('Base de données Mono'!#REF!,MATCH(B455,'Base de données Mono'!D:D,0)),IF(AND(E455="Gaz",M455="Eté"),INDEX('Base de données Mono'!#REF!,MATCH(B455,'Base de données Mono'!D:D,0)),"-"))))))</f>
        <v>25</v>
      </c>
      <c r="O455" s="123">
        <v>45387</v>
      </c>
      <c r="P455" s="123">
        <v>45389</v>
      </c>
      <c r="Q455" s="34">
        <v>35</v>
      </c>
      <c r="R455" s="33">
        <f t="shared" si="51"/>
        <v>10</v>
      </c>
      <c r="S455" s="34">
        <v>10</v>
      </c>
      <c r="T455" s="34">
        <f t="shared" si="54"/>
        <v>2</v>
      </c>
      <c r="U455" s="33">
        <f t="shared" si="52"/>
        <v>200</v>
      </c>
      <c r="V455" s="38" t="s">
        <v>827</v>
      </c>
      <c r="W455" s="39">
        <f t="shared" si="53"/>
        <v>0.4</v>
      </c>
      <c r="X455" s="40" t="s">
        <v>304</v>
      </c>
      <c r="Y455" s="40" t="s">
        <v>283</v>
      </c>
      <c r="Z455" s="40" t="s">
        <v>749</v>
      </c>
      <c r="AA455" s="33" t="s">
        <v>749</v>
      </c>
      <c r="AB455" s="95"/>
      <c r="AC455" s="95"/>
    </row>
    <row r="456" spans="1:29" ht="14.45" hidden="1" customHeight="1" x14ac:dyDescent="0.25">
      <c r="A456" s="36" t="str">
        <f>INDEX('Base de données Mono'!C:C,MATCH(B456,'Base de données Mono'!D:D,0))</f>
        <v>ASNIERES MARCHE</v>
      </c>
      <c r="B456" t="s">
        <v>5</v>
      </c>
      <c r="C456" s="36" t="str">
        <f>INDEX('Base de données Mono'!B:B,MATCH(B456,'Base de données Mono'!D:D,0))</f>
        <v>SES8</v>
      </c>
      <c r="D456" s="36" t="str">
        <f>INDEX('Base de données Mono'!A:A,MATCH(B456,'Base de données Mono'!D:D,0))</f>
        <v>AD</v>
      </c>
      <c r="E456" s="37" t="s">
        <v>303</v>
      </c>
      <c r="F456" s="41">
        <f t="shared" si="49"/>
        <v>14</v>
      </c>
      <c r="G456" s="41">
        <f t="shared" si="50"/>
        <v>4</v>
      </c>
      <c r="H456">
        <v>9</v>
      </c>
      <c r="I456" s="131">
        <f>INDEX('Base de données Mono'!K:K,MATCH(B456,'Base de données Mono'!D:D,0))</f>
        <v>0.20833333333333334</v>
      </c>
      <c r="J456" s="131">
        <f>INDEX('Base de données Mono'!L:L,MATCH(B456,'Base de données Mono'!D:D,0))</f>
        <v>0.83333333333333337</v>
      </c>
      <c r="K456" s="131">
        <f>INDEX('Base de données Mono'!M:M,MATCH(B456,'Base de données Mono'!D:D,0))</f>
        <v>0.25</v>
      </c>
      <c r="L456" s="131">
        <f>INDEX('Base de données Mono'!N:N,MATCH(B456,'Base de données Mono'!D:D,0))</f>
        <v>0.79166666666666663</v>
      </c>
      <c r="M456" s="33" t="s">
        <v>46</v>
      </c>
      <c r="N456" s="33">
        <f>IF(AND(E456="Electricité",M456="Hiver"),INDEX('Base de données Mono'!E:E,MATCH(B456,'Base de données Mono'!D:D,0)),IF(AND(E456="Electricité",M456="Mi-saison"),INDEX('Base de données Mono'!F:F,MATCH(B456,'Base de données Mono'!D:D,0)),IF(AND(E456="Electricité",M456="Eté"),INDEX('Base de données Mono'!G:G,MATCH(B456,'Base de données Mono'!D:D,0)),IF(AND(E456="Gaz",M456="Hiver"),INDEX('Base de données Mono'!J:J,MATCH(B456,'Base de données Mono'!D:D,0)),IF(AND(E456="Gaz",M456="Mi-saison"),INDEX('Base de données Mono'!#REF!,MATCH(B456,'Base de données Mono'!D:D,0)),IF(AND(E456="Gaz",M456="Eté"),INDEX('Base de données Mono'!#REF!,MATCH(B456,'Base de données Mono'!D:D,0)),"-"))))))</f>
        <v>45</v>
      </c>
      <c r="O456" s="123">
        <v>45384</v>
      </c>
      <c r="P456" s="123">
        <v>45389</v>
      </c>
      <c r="Q456" s="34">
        <v>80</v>
      </c>
      <c r="R456" s="33">
        <f t="shared" si="51"/>
        <v>35</v>
      </c>
      <c r="S456" s="34">
        <v>0.8</v>
      </c>
      <c r="T456" s="34">
        <f t="shared" si="54"/>
        <v>5</v>
      </c>
      <c r="U456" s="33">
        <f t="shared" si="52"/>
        <v>140</v>
      </c>
      <c r="V456" s="38" t="s">
        <v>827</v>
      </c>
      <c r="W456" s="39">
        <f t="shared" si="53"/>
        <v>0.77777777777777779</v>
      </c>
      <c r="X456" s="40" t="s">
        <v>304</v>
      </c>
      <c r="Y456" s="40" t="s">
        <v>284</v>
      </c>
      <c r="Z456" s="40" t="s">
        <v>307</v>
      </c>
      <c r="AA456" s="33" t="s">
        <v>313</v>
      </c>
      <c r="AB456" s="95"/>
      <c r="AC456" s="95"/>
    </row>
    <row r="457" spans="1:29" ht="14.45" hidden="1" customHeight="1" x14ac:dyDescent="0.25">
      <c r="A457" s="36" t="str">
        <f>INDEX('Base de données Mono'!C:C,MATCH(B457,'Base de données Mono'!D:D,0))</f>
        <v>VINCI COURBEVOIE</v>
      </c>
      <c r="B457" t="s">
        <v>279</v>
      </c>
      <c r="C457" s="36" t="str">
        <f>INDEX('Base de données Mono'!B:B,MATCH(B457,'Base de données Mono'!D:D,0))</f>
        <v>SES8</v>
      </c>
      <c r="D457" s="36" t="str">
        <f>INDEX('Base de données Mono'!A:A,MATCH(B457,'Base de données Mono'!D:D,0))</f>
        <v>AD</v>
      </c>
      <c r="E457" s="37" t="s">
        <v>303</v>
      </c>
      <c r="F457" s="41">
        <f t="shared" si="49"/>
        <v>14</v>
      </c>
      <c r="G457" s="41">
        <f t="shared" si="50"/>
        <v>4</v>
      </c>
      <c r="H457">
        <v>8</v>
      </c>
      <c r="I457" s="131">
        <f>INDEX('Base de données Mono'!K:K,MATCH(B457,'Base de données Mono'!D:D,0))</f>
        <v>0.25</v>
      </c>
      <c r="J457" s="131">
        <f>INDEX('Base de données Mono'!L:L,MATCH(B457,'Base de données Mono'!D:D,0))</f>
        <v>0.91666666666666663</v>
      </c>
      <c r="K457" s="131">
        <f>INDEX('Base de données Mono'!M:M,MATCH(B457,'Base de données Mono'!D:D,0))</f>
        <v>0.27777777777777779</v>
      </c>
      <c r="L457" s="131">
        <f>INDEX('Base de données Mono'!N:N,MATCH(B457,'Base de données Mono'!D:D,0))</f>
        <v>0.5625</v>
      </c>
      <c r="M457" s="33" t="s">
        <v>46</v>
      </c>
      <c r="N457" s="33">
        <f>IF(AND(E457="Electricité",M457="Hiver"),INDEX('Base de données Mono'!E:E,MATCH(B457,'Base de données Mono'!D:D,0)),IF(AND(E457="Electricité",M457="Mi-saison"),INDEX('Base de données Mono'!F:F,MATCH(B457,'Base de données Mono'!D:D,0)),IF(AND(E457="Electricité",M457="Eté"),INDEX('Base de données Mono'!G:G,MATCH(B457,'Base de données Mono'!D:D,0)),IF(AND(E457="Gaz",M457="Hiver"),INDEX('Base de données Mono'!J:J,MATCH(B457,'Base de données Mono'!D:D,0)),IF(AND(E457="Gaz",M457="Mi-saison"),INDEX('Base de données Mono'!#REF!,MATCH(B457,'Base de données Mono'!D:D,0)),IF(AND(E457="Gaz",M457="Eté"),INDEX('Base de données Mono'!#REF!,MATCH(B457,'Base de données Mono'!D:D,0)),"-"))))))</f>
        <v>75</v>
      </c>
      <c r="O457" s="123">
        <v>45383</v>
      </c>
      <c r="P457" s="123">
        <v>45385</v>
      </c>
      <c r="Q457" s="34">
        <v>90</v>
      </c>
      <c r="R457" s="33">
        <f t="shared" si="51"/>
        <v>15</v>
      </c>
      <c r="S457" s="34">
        <v>2.5</v>
      </c>
      <c r="T457" s="34">
        <f t="shared" si="54"/>
        <v>2</v>
      </c>
      <c r="U457" s="33">
        <f t="shared" si="52"/>
        <v>75</v>
      </c>
      <c r="V457" s="38" t="s">
        <v>827</v>
      </c>
      <c r="W457" s="39">
        <f t="shared" si="53"/>
        <v>0.2</v>
      </c>
      <c r="X457" s="40" t="s">
        <v>304</v>
      </c>
      <c r="Y457" s="40" t="s">
        <v>284</v>
      </c>
      <c r="Z457" s="40" t="s">
        <v>305</v>
      </c>
      <c r="AA457" s="33" t="s">
        <v>771</v>
      </c>
      <c r="AB457" s="95"/>
      <c r="AC457" s="95"/>
    </row>
    <row r="458" spans="1:29" ht="14.45" hidden="1" customHeight="1" x14ac:dyDescent="0.25">
      <c r="A458" s="36" t="str">
        <f>INDEX('Base de données Mono'!C:C,MATCH(B458,'Base de données Mono'!D:D,0))</f>
        <v>VINCI COURBEVOIE</v>
      </c>
      <c r="B458" t="s">
        <v>279</v>
      </c>
      <c r="C458" s="36" t="str">
        <f>INDEX('Base de données Mono'!B:B,MATCH(B458,'Base de données Mono'!D:D,0))</f>
        <v>SES8</v>
      </c>
      <c r="D458" s="36" t="str">
        <f>INDEX('Base de données Mono'!A:A,MATCH(B458,'Base de données Mono'!D:D,0))</f>
        <v>AD</v>
      </c>
      <c r="E458" s="37" t="s">
        <v>303</v>
      </c>
      <c r="F458" s="41">
        <f t="shared" si="49"/>
        <v>14</v>
      </c>
      <c r="G458" s="41">
        <f t="shared" si="50"/>
        <v>4</v>
      </c>
      <c r="H458">
        <v>8</v>
      </c>
      <c r="I458" s="131">
        <f>INDEX('Base de données Mono'!K:K,MATCH(B458,'Base de données Mono'!D:D,0))</f>
        <v>0.25</v>
      </c>
      <c r="J458" s="131">
        <f>INDEX('Base de données Mono'!L:L,MATCH(B458,'Base de données Mono'!D:D,0))</f>
        <v>0.91666666666666663</v>
      </c>
      <c r="K458" s="131">
        <f>INDEX('Base de données Mono'!M:M,MATCH(B458,'Base de données Mono'!D:D,0))</f>
        <v>0.27777777777777779</v>
      </c>
      <c r="L458" s="131">
        <f>INDEX('Base de données Mono'!N:N,MATCH(B458,'Base de données Mono'!D:D,0))</f>
        <v>0.5625</v>
      </c>
      <c r="M458" s="33" t="s">
        <v>46</v>
      </c>
      <c r="N458" s="33">
        <f>IF(AND(E458="Electricité",M458="Hiver"),INDEX('Base de données Mono'!E:E,MATCH(B458,'Base de données Mono'!D:D,0)),IF(AND(E458="Electricité",M458="Mi-saison"),INDEX('Base de données Mono'!F:F,MATCH(B458,'Base de données Mono'!D:D,0)),IF(AND(E458="Electricité",M458="Eté"),INDEX('Base de données Mono'!G:G,MATCH(B458,'Base de données Mono'!D:D,0)),IF(AND(E458="Gaz",M458="Hiver"),INDEX('Base de données Mono'!J:J,MATCH(B458,'Base de données Mono'!D:D,0)),IF(AND(E458="Gaz",M458="Mi-saison"),INDEX('Base de données Mono'!#REF!,MATCH(B458,'Base de données Mono'!D:D,0)),IF(AND(E458="Gaz",M458="Eté"),INDEX('Base de données Mono'!#REF!,MATCH(B458,'Base de données Mono'!D:D,0)),"-"))))))</f>
        <v>75</v>
      </c>
      <c r="O458" s="123">
        <v>45384</v>
      </c>
      <c r="P458" s="123">
        <v>45385</v>
      </c>
      <c r="Q458" s="34">
        <v>110</v>
      </c>
      <c r="R458" s="33">
        <f t="shared" si="51"/>
        <v>35</v>
      </c>
      <c r="S458" s="34">
        <v>2</v>
      </c>
      <c r="T458" s="34">
        <f t="shared" si="54"/>
        <v>1</v>
      </c>
      <c r="U458" s="33">
        <f t="shared" si="52"/>
        <v>70</v>
      </c>
      <c r="V458" s="38" t="s">
        <v>827</v>
      </c>
      <c r="W458" s="39">
        <f t="shared" si="53"/>
        <v>0.46666666666666667</v>
      </c>
      <c r="X458" s="40" t="s">
        <v>304</v>
      </c>
      <c r="Y458" s="40" t="s">
        <v>284</v>
      </c>
      <c r="Z458" s="40" t="s">
        <v>311</v>
      </c>
      <c r="AA458" s="33" t="s">
        <v>775</v>
      </c>
      <c r="AB458" s="95"/>
      <c r="AC458" s="95"/>
    </row>
    <row r="459" spans="1:29" ht="14.45" hidden="1" customHeight="1" x14ac:dyDescent="0.25">
      <c r="A459" s="36" t="str">
        <f>INDEX('Base de données Mono'!C:C,MATCH(B459,'Base de données Mono'!D:D,0))</f>
        <v>VINCI COURBEVOIE</v>
      </c>
      <c r="B459" t="s">
        <v>279</v>
      </c>
      <c r="C459" s="36" t="str">
        <f>INDEX('Base de données Mono'!B:B,MATCH(B459,'Base de données Mono'!D:D,0))</f>
        <v>SES8</v>
      </c>
      <c r="D459" s="36" t="str">
        <f>INDEX('Base de données Mono'!A:A,MATCH(B459,'Base de données Mono'!D:D,0))</f>
        <v>AD</v>
      </c>
      <c r="E459" s="37" t="s">
        <v>303</v>
      </c>
      <c r="F459" s="41">
        <f t="shared" si="49"/>
        <v>14</v>
      </c>
      <c r="G459" s="41">
        <f t="shared" si="50"/>
        <v>4</v>
      </c>
      <c r="H459">
        <v>8</v>
      </c>
      <c r="I459" s="131">
        <f>INDEX('Base de données Mono'!K:K,MATCH(B459,'Base de données Mono'!D:D,0))</f>
        <v>0.25</v>
      </c>
      <c r="J459" s="131">
        <f>INDEX('Base de données Mono'!L:L,MATCH(B459,'Base de données Mono'!D:D,0))</f>
        <v>0.91666666666666663</v>
      </c>
      <c r="K459" s="131">
        <f>INDEX('Base de données Mono'!M:M,MATCH(B459,'Base de données Mono'!D:D,0))</f>
        <v>0.27777777777777779</v>
      </c>
      <c r="L459" s="131">
        <f>INDEX('Base de données Mono'!N:N,MATCH(B459,'Base de données Mono'!D:D,0))</f>
        <v>0.5625</v>
      </c>
      <c r="M459" s="33" t="s">
        <v>46</v>
      </c>
      <c r="N459" s="33">
        <f>IF(AND(E459="Electricité",M459="Hiver"),INDEX('Base de données Mono'!E:E,MATCH(B459,'Base de données Mono'!D:D,0)),IF(AND(E459="Electricité",M459="Mi-saison"),INDEX('Base de données Mono'!F:F,MATCH(B459,'Base de données Mono'!D:D,0)),IF(AND(E459="Electricité",M459="Eté"),INDEX('Base de données Mono'!G:G,MATCH(B459,'Base de données Mono'!D:D,0)),IF(AND(E459="Gaz",M459="Hiver"),INDEX('Base de données Mono'!J:J,MATCH(B459,'Base de données Mono'!D:D,0)),IF(AND(E459="Gaz",M459="Mi-saison"),INDEX('Base de données Mono'!#REF!,MATCH(B459,'Base de données Mono'!D:D,0)),IF(AND(E459="Gaz",M459="Eté"),INDEX('Base de données Mono'!#REF!,MATCH(B459,'Base de données Mono'!D:D,0)),"-"))))))</f>
        <v>75</v>
      </c>
      <c r="O459" s="123">
        <v>45385</v>
      </c>
      <c r="P459" s="123">
        <v>45387</v>
      </c>
      <c r="Q459" s="34">
        <v>115</v>
      </c>
      <c r="R459" s="33">
        <f t="shared" si="51"/>
        <v>40</v>
      </c>
      <c r="S459" s="34">
        <v>2</v>
      </c>
      <c r="T459" s="34">
        <f t="shared" si="54"/>
        <v>2</v>
      </c>
      <c r="U459" s="33">
        <f t="shared" si="52"/>
        <v>160</v>
      </c>
      <c r="V459" s="38" t="s">
        <v>827</v>
      </c>
      <c r="W459" s="39">
        <f t="shared" si="53"/>
        <v>0.53333333333333333</v>
      </c>
      <c r="X459" s="40" t="s">
        <v>304</v>
      </c>
      <c r="Y459" s="40" t="s">
        <v>284</v>
      </c>
      <c r="Z459" s="40" t="s">
        <v>311</v>
      </c>
      <c r="AA459" s="33" t="s">
        <v>775</v>
      </c>
      <c r="AB459" s="95"/>
      <c r="AC459" s="95"/>
    </row>
    <row r="460" spans="1:29" ht="14.45" hidden="1" customHeight="1" x14ac:dyDescent="0.25">
      <c r="A460" s="36" t="str">
        <f>INDEX('Base de données Mono'!C:C,MATCH(B460,'Base de données Mono'!D:D,0))</f>
        <v>VINCI COURBEVOIE</v>
      </c>
      <c r="B460" t="s">
        <v>279</v>
      </c>
      <c r="C460" s="36" t="str">
        <f>INDEX('Base de données Mono'!B:B,MATCH(B460,'Base de données Mono'!D:D,0))</f>
        <v>SES8</v>
      </c>
      <c r="D460" s="36" t="str">
        <f>INDEX('Base de données Mono'!A:A,MATCH(B460,'Base de données Mono'!D:D,0))</f>
        <v>AD</v>
      </c>
      <c r="E460" s="37" t="s">
        <v>303</v>
      </c>
      <c r="F460" s="41">
        <f t="shared" si="49"/>
        <v>14</v>
      </c>
      <c r="G460" s="41">
        <f t="shared" si="50"/>
        <v>4</v>
      </c>
      <c r="H460">
        <v>8</v>
      </c>
      <c r="I460" s="131">
        <f>INDEX('Base de données Mono'!K:K,MATCH(B460,'Base de données Mono'!D:D,0))</f>
        <v>0.25</v>
      </c>
      <c r="J460" s="131">
        <f>INDEX('Base de données Mono'!L:L,MATCH(B460,'Base de données Mono'!D:D,0))</f>
        <v>0.91666666666666663</v>
      </c>
      <c r="K460" s="131">
        <f>INDEX('Base de données Mono'!M:M,MATCH(B460,'Base de données Mono'!D:D,0))</f>
        <v>0.27777777777777779</v>
      </c>
      <c r="L460" s="131">
        <f>INDEX('Base de données Mono'!N:N,MATCH(B460,'Base de données Mono'!D:D,0))</f>
        <v>0.5625</v>
      </c>
      <c r="M460" s="33" t="s">
        <v>46</v>
      </c>
      <c r="N460" s="33">
        <f>IF(AND(E460="Electricité",M460="Hiver"),INDEX('Base de données Mono'!E:E,MATCH(B460,'Base de données Mono'!D:D,0)),IF(AND(E460="Electricité",M460="Mi-saison"),INDEX('Base de données Mono'!F:F,MATCH(B460,'Base de données Mono'!D:D,0)),IF(AND(E460="Electricité",M460="Eté"),INDEX('Base de données Mono'!G:G,MATCH(B460,'Base de données Mono'!D:D,0)),IF(AND(E460="Gaz",M460="Hiver"),INDEX('Base de données Mono'!J:J,MATCH(B460,'Base de données Mono'!D:D,0)),IF(AND(E460="Gaz",M460="Mi-saison"),INDEX('Base de données Mono'!#REF!,MATCH(B460,'Base de données Mono'!D:D,0)),IF(AND(E460="Gaz",M460="Eté"),INDEX('Base de données Mono'!#REF!,MATCH(B460,'Base de données Mono'!D:D,0)),"-"))))))</f>
        <v>75</v>
      </c>
      <c r="O460" s="123">
        <v>45387</v>
      </c>
      <c r="P460" s="123">
        <v>45388</v>
      </c>
      <c r="Q460" s="34">
        <v>90</v>
      </c>
      <c r="R460" s="33">
        <f t="shared" si="51"/>
        <v>15</v>
      </c>
      <c r="S460" s="34">
        <v>2.5</v>
      </c>
      <c r="T460" s="34">
        <f t="shared" si="54"/>
        <v>1</v>
      </c>
      <c r="U460" s="33">
        <f t="shared" si="52"/>
        <v>37.5</v>
      </c>
      <c r="V460" s="38" t="s">
        <v>827</v>
      </c>
      <c r="W460" s="39">
        <f t="shared" si="53"/>
        <v>0.2</v>
      </c>
      <c r="X460" s="40" t="s">
        <v>304</v>
      </c>
      <c r="Y460" s="40" t="s">
        <v>284</v>
      </c>
      <c r="Z460" s="40" t="s">
        <v>305</v>
      </c>
      <c r="AA460" s="33" t="s">
        <v>771</v>
      </c>
      <c r="AB460" s="95"/>
      <c r="AC460" s="95"/>
    </row>
    <row r="461" spans="1:29" ht="14.45" hidden="1" customHeight="1" x14ac:dyDescent="0.25">
      <c r="A461" s="36" t="str">
        <f>INDEX('Base de données Mono'!C:C,MATCH(B461,'Base de données Mono'!D:D,0))</f>
        <v>VINCI COURBEVOIE</v>
      </c>
      <c r="B461" t="s">
        <v>279</v>
      </c>
      <c r="C461" s="36" t="str">
        <f>INDEX('Base de données Mono'!B:B,MATCH(B461,'Base de données Mono'!D:D,0))</f>
        <v>SES8</v>
      </c>
      <c r="D461" s="36" t="str">
        <f>INDEX('Base de données Mono'!A:A,MATCH(B461,'Base de données Mono'!D:D,0))</f>
        <v>AD</v>
      </c>
      <c r="E461" s="37" t="s">
        <v>303</v>
      </c>
      <c r="F461" s="41">
        <f t="shared" si="49"/>
        <v>14</v>
      </c>
      <c r="G461" s="41">
        <f t="shared" si="50"/>
        <v>4</v>
      </c>
      <c r="H461">
        <v>8</v>
      </c>
      <c r="I461" s="131">
        <f>INDEX('Base de données Mono'!K:K,MATCH(B461,'Base de données Mono'!D:D,0))</f>
        <v>0.25</v>
      </c>
      <c r="J461" s="131">
        <f>INDEX('Base de données Mono'!L:L,MATCH(B461,'Base de données Mono'!D:D,0))</f>
        <v>0.91666666666666663</v>
      </c>
      <c r="K461" s="131">
        <f>INDEX('Base de données Mono'!M:M,MATCH(B461,'Base de données Mono'!D:D,0))</f>
        <v>0.27777777777777779</v>
      </c>
      <c r="L461" s="131">
        <f>INDEX('Base de données Mono'!N:N,MATCH(B461,'Base de données Mono'!D:D,0))</f>
        <v>0.5625</v>
      </c>
      <c r="M461" s="33" t="s">
        <v>46</v>
      </c>
      <c r="N461" s="33">
        <f>IF(AND(E461="Electricité",M461="Hiver"),INDEX('Base de données Mono'!E:E,MATCH(B461,'Base de données Mono'!D:D,0)),IF(AND(E461="Electricité",M461="Mi-saison"),INDEX('Base de données Mono'!F:F,MATCH(B461,'Base de données Mono'!D:D,0)),IF(AND(E461="Electricité",M461="Eté"),INDEX('Base de données Mono'!G:G,MATCH(B461,'Base de données Mono'!D:D,0)),IF(AND(E461="Gaz",M461="Hiver"),INDEX('Base de données Mono'!J:J,MATCH(B461,'Base de données Mono'!D:D,0)),IF(AND(E461="Gaz",M461="Mi-saison"),INDEX('Base de données Mono'!#REF!,MATCH(B461,'Base de données Mono'!D:D,0)),IF(AND(E461="Gaz",M461="Eté"),INDEX('Base de données Mono'!#REF!,MATCH(B461,'Base de données Mono'!D:D,0)),"-"))))))</f>
        <v>75</v>
      </c>
      <c r="O461" s="123">
        <v>45388</v>
      </c>
      <c r="P461" s="123">
        <v>45389</v>
      </c>
      <c r="Q461" s="34">
        <v>120</v>
      </c>
      <c r="R461" s="33">
        <f t="shared" si="51"/>
        <v>45</v>
      </c>
      <c r="S461" s="34">
        <v>0.3</v>
      </c>
      <c r="T461" s="34">
        <f t="shared" si="54"/>
        <v>1</v>
      </c>
      <c r="U461" s="33">
        <f t="shared" si="52"/>
        <v>13.5</v>
      </c>
      <c r="V461" s="38" t="s">
        <v>827</v>
      </c>
      <c r="W461" s="39">
        <f t="shared" si="53"/>
        <v>0.6</v>
      </c>
      <c r="X461" s="40" t="s">
        <v>304</v>
      </c>
      <c r="Y461" s="40" t="s">
        <v>284</v>
      </c>
      <c r="Z461" s="40" t="s">
        <v>307</v>
      </c>
      <c r="AA461" s="33" t="s">
        <v>313</v>
      </c>
      <c r="AB461" s="95"/>
      <c r="AC461" s="95"/>
    </row>
    <row r="462" spans="1:29" ht="14.45" hidden="1" customHeight="1" x14ac:dyDescent="0.25">
      <c r="A462" s="36" t="str">
        <f>INDEX('Base de données Mono'!C:C,MATCH(B462,'Base de données Mono'!D:D,0))</f>
        <v>VINCI COURBEVOIE</v>
      </c>
      <c r="B462" t="s">
        <v>279</v>
      </c>
      <c r="C462" s="36" t="str">
        <f>INDEX('Base de données Mono'!B:B,MATCH(B462,'Base de données Mono'!D:D,0))</f>
        <v>SES8</v>
      </c>
      <c r="D462" s="36" t="str">
        <f>INDEX('Base de données Mono'!A:A,MATCH(B462,'Base de données Mono'!D:D,0))</f>
        <v>AD</v>
      </c>
      <c r="E462" s="37" t="s">
        <v>303</v>
      </c>
      <c r="F462" s="41">
        <f t="shared" si="49"/>
        <v>14</v>
      </c>
      <c r="G462" s="41">
        <f t="shared" si="50"/>
        <v>4</v>
      </c>
      <c r="H462">
        <v>8</v>
      </c>
      <c r="I462" s="131">
        <f>INDEX('Base de données Mono'!K:K,MATCH(B462,'Base de données Mono'!D:D,0))</f>
        <v>0.25</v>
      </c>
      <c r="J462" s="131">
        <f>INDEX('Base de données Mono'!L:L,MATCH(B462,'Base de données Mono'!D:D,0))</f>
        <v>0.91666666666666663</v>
      </c>
      <c r="K462" s="131">
        <f>INDEX('Base de données Mono'!M:M,MATCH(B462,'Base de données Mono'!D:D,0))</f>
        <v>0.27777777777777779</v>
      </c>
      <c r="L462" s="131">
        <f>INDEX('Base de données Mono'!N:N,MATCH(B462,'Base de données Mono'!D:D,0))</f>
        <v>0.5625</v>
      </c>
      <c r="M462" s="33" t="s">
        <v>46</v>
      </c>
      <c r="N462" s="33">
        <f>IF(AND(E462="Electricité",M462="Hiver"),INDEX('Base de données Mono'!E:E,MATCH(B462,'Base de données Mono'!D:D,0)),IF(AND(E462="Electricité",M462="Mi-saison"),INDEX('Base de données Mono'!F:F,MATCH(B462,'Base de données Mono'!D:D,0)),IF(AND(E462="Electricité",M462="Eté"),INDEX('Base de données Mono'!G:G,MATCH(B462,'Base de données Mono'!D:D,0)),IF(AND(E462="Gaz",M462="Hiver"),INDEX('Base de données Mono'!J:J,MATCH(B462,'Base de données Mono'!D:D,0)),IF(AND(E462="Gaz",M462="Mi-saison"),INDEX('Base de données Mono'!#REF!,MATCH(B462,'Base de données Mono'!D:D,0)),IF(AND(E462="Gaz",M462="Eté"),INDEX('Base de données Mono'!#REF!,MATCH(B462,'Base de données Mono'!D:D,0)),"-"))))))</f>
        <v>75</v>
      </c>
      <c r="O462" s="123">
        <v>45389</v>
      </c>
      <c r="P462" s="123">
        <v>45389</v>
      </c>
      <c r="Q462" s="34">
        <v>115</v>
      </c>
      <c r="R462" s="33">
        <f t="shared" si="51"/>
        <v>40</v>
      </c>
      <c r="S462" s="34">
        <v>7.5</v>
      </c>
      <c r="T462" s="34">
        <v>1</v>
      </c>
      <c r="U462" s="33">
        <f t="shared" si="52"/>
        <v>300</v>
      </c>
      <c r="V462" s="38" t="s">
        <v>827</v>
      </c>
      <c r="W462" s="39">
        <f t="shared" si="53"/>
        <v>0.53333333333333333</v>
      </c>
      <c r="X462" s="40" t="s">
        <v>730</v>
      </c>
      <c r="Y462" s="40" t="s">
        <v>284</v>
      </c>
      <c r="Z462" s="40" t="s">
        <v>307</v>
      </c>
      <c r="AA462" s="33" t="s">
        <v>308</v>
      </c>
      <c r="AB462" s="95"/>
      <c r="AC462" s="95"/>
    </row>
    <row r="463" spans="1:29" ht="14.45" hidden="1" customHeight="1" x14ac:dyDescent="0.25">
      <c r="A463" s="36" t="str">
        <f>INDEX('Base de données Mono'!C:C,MATCH(B463,'Base de données Mono'!D:D,0))</f>
        <v>VERNON</v>
      </c>
      <c r="B463" t="s">
        <v>264</v>
      </c>
      <c r="C463" s="36" t="str">
        <f>INDEX('Base de données Mono'!B:B,MATCH(B463,'Base de données Mono'!D:D,0))</f>
        <v>Monoprix</v>
      </c>
      <c r="D463" s="36" t="str">
        <f>INDEX('Base de données Mono'!A:A,MATCH(B463,'Base de données Mono'!D:D,0))</f>
        <v>AD</v>
      </c>
      <c r="E463" s="37" t="s">
        <v>303</v>
      </c>
      <c r="F463" s="41">
        <f t="shared" si="49"/>
        <v>14</v>
      </c>
      <c r="G463" s="41">
        <f t="shared" si="50"/>
        <v>4</v>
      </c>
      <c r="H463">
        <v>9</v>
      </c>
      <c r="I463" s="131">
        <f>INDEX('Base de données Mono'!K:K,MATCH(B463,'Base de données Mono'!D:D,0))</f>
        <v>0.25</v>
      </c>
      <c r="J463" s="131">
        <f>INDEX('Base de données Mono'!L:L,MATCH(B463,'Base de données Mono'!D:D,0))</f>
        <v>0.875</v>
      </c>
      <c r="K463" s="131">
        <f>INDEX('Base de données Mono'!M:M,MATCH(B463,'Base de données Mono'!D:D,0))</f>
        <v>0.30555555555555552</v>
      </c>
      <c r="L463" s="131">
        <f>INDEX('Base de données Mono'!N:N,MATCH(B463,'Base de données Mono'!D:D,0))</f>
        <v>0.54166666666666663</v>
      </c>
      <c r="M463" s="33" t="s">
        <v>46</v>
      </c>
      <c r="N463" s="33">
        <f>IF(AND(E463="Electricité",M463="Hiver"),INDEX('Base de données Mono'!E:E,MATCH(B463,'Base de données Mono'!D:D,0)),IF(AND(E463="Electricité",M463="Mi-saison"),INDEX('Base de données Mono'!F:F,MATCH(B463,'Base de données Mono'!D:D,0)),IF(AND(E463="Electricité",M463="Eté"),INDEX('Base de données Mono'!G:G,MATCH(B463,'Base de données Mono'!D:D,0)),IF(AND(E463="Gaz",M463="Hiver"),INDEX('Base de données Mono'!J:J,MATCH(B463,'Base de données Mono'!D:D,0)),IF(AND(E463="Gaz",M463="Mi-saison"),INDEX('Base de données Mono'!#REF!,MATCH(B463,'Base de données Mono'!D:D,0)),IF(AND(E463="Gaz",M463="Eté"),INDEX('Base de données Mono'!#REF!,MATCH(B463,'Base de données Mono'!D:D,0)),"-"))))))</f>
        <v>40</v>
      </c>
      <c r="O463" s="123">
        <v>45383</v>
      </c>
      <c r="P463" s="123">
        <v>45385</v>
      </c>
      <c r="Q463" s="34">
        <v>50</v>
      </c>
      <c r="R463" s="33">
        <f t="shared" si="51"/>
        <v>10</v>
      </c>
      <c r="S463" s="34">
        <v>1</v>
      </c>
      <c r="T463" s="34">
        <f t="shared" si="54"/>
        <v>2</v>
      </c>
      <c r="U463" s="33">
        <f t="shared" si="52"/>
        <v>20</v>
      </c>
      <c r="V463" s="38" t="s">
        <v>827</v>
      </c>
      <c r="W463" s="39">
        <f t="shared" si="53"/>
        <v>0.25</v>
      </c>
      <c r="X463" s="40" t="s">
        <v>304</v>
      </c>
      <c r="Y463" s="40" t="s">
        <v>283</v>
      </c>
      <c r="Z463" s="40" t="s">
        <v>749</v>
      </c>
      <c r="AA463" s="33" t="s">
        <v>749</v>
      </c>
      <c r="AB463" s="95"/>
      <c r="AC463" s="95"/>
    </row>
    <row r="464" spans="1:29" ht="14.45" hidden="1" customHeight="1" x14ac:dyDescent="0.25">
      <c r="A464" s="36" t="str">
        <f>INDEX('Base de données Mono'!C:C,MATCH(B464,'Base de données Mono'!D:D,0))</f>
        <v>VERNON</v>
      </c>
      <c r="B464" t="s">
        <v>264</v>
      </c>
      <c r="C464" s="36" t="str">
        <f>INDEX('Base de données Mono'!B:B,MATCH(B464,'Base de données Mono'!D:D,0))</f>
        <v>Monoprix</v>
      </c>
      <c r="D464" s="36" t="str">
        <f>INDEX('Base de données Mono'!A:A,MATCH(B464,'Base de données Mono'!D:D,0))</f>
        <v>AD</v>
      </c>
      <c r="E464" s="37" t="s">
        <v>303</v>
      </c>
      <c r="F464" s="41">
        <f t="shared" si="49"/>
        <v>14</v>
      </c>
      <c r="G464" s="41">
        <f t="shared" si="50"/>
        <v>4</v>
      </c>
      <c r="H464">
        <v>9</v>
      </c>
      <c r="I464" s="131">
        <f>INDEX('Base de données Mono'!K:K,MATCH(B464,'Base de données Mono'!D:D,0))</f>
        <v>0.25</v>
      </c>
      <c r="J464" s="131">
        <f>INDEX('Base de données Mono'!L:L,MATCH(B464,'Base de données Mono'!D:D,0))</f>
        <v>0.875</v>
      </c>
      <c r="K464" s="131">
        <f>INDEX('Base de données Mono'!M:M,MATCH(B464,'Base de données Mono'!D:D,0))</f>
        <v>0.30555555555555552</v>
      </c>
      <c r="L464" s="131">
        <f>INDEX('Base de données Mono'!N:N,MATCH(B464,'Base de données Mono'!D:D,0))</f>
        <v>0.54166666666666663</v>
      </c>
      <c r="M464" s="33" t="s">
        <v>46</v>
      </c>
      <c r="N464" s="33">
        <f>IF(AND(E464="Electricité",M464="Hiver"),INDEX('Base de données Mono'!E:E,MATCH(B464,'Base de données Mono'!D:D,0)),IF(AND(E464="Electricité",M464="Mi-saison"),INDEX('Base de données Mono'!F:F,MATCH(B464,'Base de données Mono'!D:D,0)),IF(AND(E464="Electricité",M464="Eté"),INDEX('Base de données Mono'!G:G,MATCH(B464,'Base de données Mono'!D:D,0)),IF(AND(E464="Gaz",M464="Hiver"),INDEX('Base de données Mono'!J:J,MATCH(B464,'Base de données Mono'!D:D,0)),IF(AND(E464="Gaz",M464="Mi-saison"),INDEX('Base de données Mono'!#REF!,MATCH(B464,'Base de données Mono'!D:D,0)),IF(AND(E464="Gaz",M464="Eté"),INDEX('Base de données Mono'!#REF!,MATCH(B464,'Base de données Mono'!D:D,0)),"-"))))))</f>
        <v>40</v>
      </c>
      <c r="O464" s="123">
        <v>45383</v>
      </c>
      <c r="P464" s="123">
        <v>45389</v>
      </c>
      <c r="Q464" s="34">
        <v>45</v>
      </c>
      <c r="R464" s="33">
        <f t="shared" si="51"/>
        <v>5</v>
      </c>
      <c r="S464" s="34">
        <v>1</v>
      </c>
      <c r="T464" s="34">
        <f t="shared" si="54"/>
        <v>6</v>
      </c>
      <c r="U464" s="33">
        <f t="shared" si="52"/>
        <v>30</v>
      </c>
      <c r="V464" s="38" t="s">
        <v>827</v>
      </c>
      <c r="W464" s="39">
        <f t="shared" si="53"/>
        <v>0.125</v>
      </c>
      <c r="X464" s="40" t="s">
        <v>304</v>
      </c>
      <c r="Y464" s="40" t="s">
        <v>283</v>
      </c>
      <c r="Z464" s="40" t="s">
        <v>749</v>
      </c>
      <c r="AA464" s="33" t="s">
        <v>749</v>
      </c>
      <c r="AB464" s="95"/>
      <c r="AC464" s="95"/>
    </row>
    <row r="465" spans="1:29" ht="14.45" hidden="1" customHeight="1" x14ac:dyDescent="0.25">
      <c r="A465" s="36" t="str">
        <f>INDEX('Base de données Mono'!C:C,MATCH(B465,'Base de données Mono'!D:D,0))</f>
        <v>VERNON</v>
      </c>
      <c r="B465" t="s">
        <v>264</v>
      </c>
      <c r="C465" s="36" t="str">
        <f>INDEX('Base de données Mono'!B:B,MATCH(B465,'Base de données Mono'!D:D,0))</f>
        <v>Monoprix</v>
      </c>
      <c r="D465" s="36" t="str">
        <f>INDEX('Base de données Mono'!A:A,MATCH(B465,'Base de données Mono'!D:D,0))</f>
        <v>AD</v>
      </c>
      <c r="E465" s="37" t="s">
        <v>303</v>
      </c>
      <c r="F465" s="41">
        <f t="shared" si="49"/>
        <v>14</v>
      </c>
      <c r="G465" s="41">
        <f t="shared" si="50"/>
        <v>4</v>
      </c>
      <c r="H465">
        <v>9</v>
      </c>
      <c r="I465" s="131">
        <f>INDEX('Base de données Mono'!K:K,MATCH(B465,'Base de données Mono'!D:D,0))</f>
        <v>0.25</v>
      </c>
      <c r="J465" s="131">
        <f>INDEX('Base de données Mono'!L:L,MATCH(B465,'Base de données Mono'!D:D,0))</f>
        <v>0.875</v>
      </c>
      <c r="K465" s="131">
        <f>INDEX('Base de données Mono'!M:M,MATCH(B465,'Base de données Mono'!D:D,0))</f>
        <v>0.30555555555555552</v>
      </c>
      <c r="L465" s="131">
        <f>INDEX('Base de données Mono'!N:N,MATCH(B465,'Base de données Mono'!D:D,0))</f>
        <v>0.54166666666666663</v>
      </c>
      <c r="M465" s="33" t="s">
        <v>46</v>
      </c>
      <c r="N465" s="33">
        <f>IF(AND(E465="Electricité",M465="Hiver"),INDEX('Base de données Mono'!E:E,MATCH(B465,'Base de données Mono'!D:D,0)),IF(AND(E465="Electricité",M465="Mi-saison"),INDEX('Base de données Mono'!F:F,MATCH(B465,'Base de données Mono'!D:D,0)),IF(AND(E465="Electricité",M465="Eté"),INDEX('Base de données Mono'!G:G,MATCH(B465,'Base de données Mono'!D:D,0)),IF(AND(E465="Gaz",M465="Hiver"),INDEX('Base de données Mono'!J:J,MATCH(B465,'Base de données Mono'!D:D,0)),IF(AND(E465="Gaz",M465="Mi-saison"),INDEX('Base de données Mono'!#REF!,MATCH(B465,'Base de données Mono'!D:D,0)),IF(AND(E465="Gaz",M465="Eté"),INDEX('Base de données Mono'!#REF!,MATCH(B465,'Base de données Mono'!D:D,0)),"-"))))))</f>
        <v>40</v>
      </c>
      <c r="O465" s="123">
        <v>45385</v>
      </c>
      <c r="P465" s="123">
        <v>45386</v>
      </c>
      <c r="Q465" s="34">
        <v>50</v>
      </c>
      <c r="R465" s="33">
        <f t="shared" si="51"/>
        <v>10</v>
      </c>
      <c r="S465" s="34">
        <v>1</v>
      </c>
      <c r="T465" s="34">
        <f t="shared" si="54"/>
        <v>1</v>
      </c>
      <c r="U465" s="33">
        <f t="shared" si="52"/>
        <v>10</v>
      </c>
      <c r="V465" s="38" t="s">
        <v>827</v>
      </c>
      <c r="W465" s="39">
        <f t="shared" si="53"/>
        <v>0.25</v>
      </c>
      <c r="X465" s="40" t="s">
        <v>304</v>
      </c>
      <c r="Y465" s="40" t="s">
        <v>283</v>
      </c>
      <c r="Z465" s="40" t="s">
        <v>749</v>
      </c>
      <c r="AA465" s="33" t="s">
        <v>749</v>
      </c>
      <c r="AB465" s="95"/>
      <c r="AC465" s="95"/>
    </row>
    <row r="466" spans="1:29" ht="14.45" hidden="1" customHeight="1" x14ac:dyDescent="0.25">
      <c r="A466" s="36" t="str">
        <f>INDEX('Base de données Mono'!C:C,MATCH(B466,'Base de données Mono'!D:D,0))</f>
        <v>VERNON</v>
      </c>
      <c r="B466" t="s">
        <v>264</v>
      </c>
      <c r="C466" s="36" t="str">
        <f>INDEX('Base de données Mono'!B:B,MATCH(B466,'Base de données Mono'!D:D,0))</f>
        <v>Monoprix</v>
      </c>
      <c r="D466" s="36" t="str">
        <f>INDEX('Base de données Mono'!A:A,MATCH(B466,'Base de données Mono'!D:D,0))</f>
        <v>AD</v>
      </c>
      <c r="E466" s="37" t="s">
        <v>303</v>
      </c>
      <c r="F466" s="41">
        <f t="shared" si="49"/>
        <v>14</v>
      </c>
      <c r="G466" s="41">
        <f t="shared" si="50"/>
        <v>4</v>
      </c>
      <c r="H466">
        <v>9</v>
      </c>
      <c r="I466" s="131">
        <f>INDEX('Base de données Mono'!K:K,MATCH(B466,'Base de données Mono'!D:D,0))</f>
        <v>0.25</v>
      </c>
      <c r="J466" s="131">
        <f>INDEX('Base de données Mono'!L:L,MATCH(B466,'Base de données Mono'!D:D,0))</f>
        <v>0.875</v>
      </c>
      <c r="K466" s="131">
        <f>INDEX('Base de données Mono'!M:M,MATCH(B466,'Base de données Mono'!D:D,0))</f>
        <v>0.30555555555555552</v>
      </c>
      <c r="L466" s="131">
        <f>INDEX('Base de données Mono'!N:N,MATCH(B466,'Base de données Mono'!D:D,0))</f>
        <v>0.54166666666666663</v>
      </c>
      <c r="M466" s="33" t="s">
        <v>46</v>
      </c>
      <c r="N466" s="33">
        <f>IF(AND(E466="Electricité",M466="Hiver"),INDEX('Base de données Mono'!E:E,MATCH(B466,'Base de données Mono'!D:D,0)),IF(AND(E466="Electricité",M466="Mi-saison"),INDEX('Base de données Mono'!F:F,MATCH(B466,'Base de données Mono'!D:D,0)),IF(AND(E466="Electricité",M466="Eté"),INDEX('Base de données Mono'!G:G,MATCH(B466,'Base de données Mono'!D:D,0)),IF(AND(E466="Gaz",M466="Hiver"),INDEX('Base de données Mono'!J:J,MATCH(B466,'Base de données Mono'!D:D,0)),IF(AND(E466="Gaz",M466="Mi-saison"),INDEX('Base de données Mono'!#REF!,MATCH(B466,'Base de données Mono'!D:D,0)),IF(AND(E466="Gaz",M466="Eté"),INDEX('Base de données Mono'!#REF!,MATCH(B466,'Base de données Mono'!D:D,0)),"-"))))))</f>
        <v>40</v>
      </c>
      <c r="O466" s="123">
        <v>45386</v>
      </c>
      <c r="P466" s="123">
        <v>45387</v>
      </c>
      <c r="Q466" s="34">
        <v>55</v>
      </c>
      <c r="R466" s="33">
        <f t="shared" si="51"/>
        <v>15</v>
      </c>
      <c r="S466" s="34">
        <v>1</v>
      </c>
      <c r="T466" s="34">
        <f t="shared" si="54"/>
        <v>1</v>
      </c>
      <c r="U466" s="33">
        <f t="shared" si="52"/>
        <v>15</v>
      </c>
      <c r="V466" s="38" t="s">
        <v>827</v>
      </c>
      <c r="W466" s="39">
        <f t="shared" si="53"/>
        <v>0.375</v>
      </c>
      <c r="X466" s="40" t="s">
        <v>304</v>
      </c>
      <c r="Y466" s="40" t="s">
        <v>283</v>
      </c>
      <c r="Z466" s="40" t="s">
        <v>749</v>
      </c>
      <c r="AA466" s="33" t="s">
        <v>749</v>
      </c>
      <c r="AB466" s="95"/>
      <c r="AC466" s="95"/>
    </row>
    <row r="467" spans="1:29" ht="14.45" hidden="1" customHeight="1" x14ac:dyDescent="0.25">
      <c r="A467" s="36" t="str">
        <f>INDEX('Base de données Mono'!C:C,MATCH(B467,'Base de données Mono'!D:D,0))</f>
        <v>VERNON</v>
      </c>
      <c r="B467" t="s">
        <v>264</v>
      </c>
      <c r="C467" s="36" t="str">
        <f>INDEX('Base de données Mono'!B:B,MATCH(B467,'Base de données Mono'!D:D,0))</f>
        <v>Monoprix</v>
      </c>
      <c r="D467" s="36" t="str">
        <f>INDEX('Base de données Mono'!A:A,MATCH(B467,'Base de données Mono'!D:D,0))</f>
        <v>AD</v>
      </c>
      <c r="E467" s="37" t="s">
        <v>303</v>
      </c>
      <c r="F467" s="41">
        <f t="shared" si="49"/>
        <v>14</v>
      </c>
      <c r="G467" s="41">
        <f t="shared" si="50"/>
        <v>4</v>
      </c>
      <c r="H467">
        <v>9</v>
      </c>
      <c r="I467" s="131">
        <f>INDEX('Base de données Mono'!K:K,MATCH(B467,'Base de données Mono'!D:D,0))</f>
        <v>0.25</v>
      </c>
      <c r="J467" s="131">
        <f>INDEX('Base de données Mono'!L:L,MATCH(B467,'Base de données Mono'!D:D,0))</f>
        <v>0.875</v>
      </c>
      <c r="K467" s="131">
        <f>INDEX('Base de données Mono'!M:M,MATCH(B467,'Base de données Mono'!D:D,0))</f>
        <v>0.30555555555555552</v>
      </c>
      <c r="L467" s="131">
        <f>INDEX('Base de données Mono'!N:N,MATCH(B467,'Base de données Mono'!D:D,0))</f>
        <v>0.54166666666666663</v>
      </c>
      <c r="M467" s="33" t="s">
        <v>46</v>
      </c>
      <c r="N467" s="33">
        <f>IF(AND(E467="Electricité",M467="Hiver"),INDEX('Base de données Mono'!E:E,MATCH(B467,'Base de données Mono'!D:D,0)),IF(AND(E467="Electricité",M467="Mi-saison"),INDEX('Base de données Mono'!F:F,MATCH(B467,'Base de données Mono'!D:D,0)),IF(AND(E467="Electricité",M467="Eté"),INDEX('Base de données Mono'!G:G,MATCH(B467,'Base de données Mono'!D:D,0)),IF(AND(E467="Gaz",M467="Hiver"),INDEX('Base de données Mono'!J:J,MATCH(B467,'Base de données Mono'!D:D,0)),IF(AND(E467="Gaz",M467="Mi-saison"),INDEX('Base de données Mono'!#REF!,MATCH(B467,'Base de données Mono'!D:D,0)),IF(AND(E467="Gaz",M467="Eté"),INDEX('Base de données Mono'!#REF!,MATCH(B467,'Base de données Mono'!D:D,0)),"-"))))))</f>
        <v>40</v>
      </c>
      <c r="O467" s="123">
        <v>45387</v>
      </c>
      <c r="P467" s="123">
        <v>45388</v>
      </c>
      <c r="Q467" s="34">
        <v>55</v>
      </c>
      <c r="R467" s="33">
        <f t="shared" si="51"/>
        <v>15</v>
      </c>
      <c r="S467" s="34">
        <v>1</v>
      </c>
      <c r="T467" s="34">
        <f t="shared" si="54"/>
        <v>1</v>
      </c>
      <c r="U467" s="33">
        <f t="shared" si="52"/>
        <v>15</v>
      </c>
      <c r="V467" s="38" t="s">
        <v>827</v>
      </c>
      <c r="W467" s="39">
        <f t="shared" si="53"/>
        <v>0.375</v>
      </c>
      <c r="X467" s="40" t="s">
        <v>304</v>
      </c>
      <c r="Y467" s="40" t="s">
        <v>283</v>
      </c>
      <c r="Z467" s="40" t="s">
        <v>749</v>
      </c>
      <c r="AA467" s="33" t="s">
        <v>749</v>
      </c>
      <c r="AB467" s="95"/>
      <c r="AC467" s="95"/>
    </row>
    <row r="468" spans="1:29" ht="14.45" hidden="1" customHeight="1" x14ac:dyDescent="0.25">
      <c r="A468" s="36" t="str">
        <f>INDEX('Base de données Mono'!C:C,MATCH(B468,'Base de données Mono'!D:D,0))</f>
        <v>RENNES COLOMBIA</v>
      </c>
      <c r="B468" t="s">
        <v>30</v>
      </c>
      <c r="C468" s="36" t="str">
        <f>INDEX('Base de données Mono'!B:B,MATCH(B468,'Base de données Mono'!D:D,0))</f>
        <v>SES8</v>
      </c>
      <c r="D468" s="36" t="str">
        <f>INDEX('Base de données Mono'!A:A,MATCH(B468,'Base de données Mono'!D:D,0))</f>
        <v>AD</v>
      </c>
      <c r="E468" s="37" t="s">
        <v>303</v>
      </c>
      <c r="F468" s="41">
        <f t="shared" si="49"/>
        <v>14</v>
      </c>
      <c r="G468" s="41">
        <f t="shared" si="50"/>
        <v>4</v>
      </c>
      <c r="H468">
        <v>8.75</v>
      </c>
      <c r="I468" s="131">
        <f>INDEX('Base de données Mono'!K:K,MATCH(B468,'Base de données Mono'!D:D,0))</f>
        <v>0.22916666666666666</v>
      </c>
      <c r="J468" s="131">
        <f>INDEX('Base de données Mono'!L:L,MATCH(B468,'Base de données Mono'!D:D,0))</f>
        <v>0.86458333333333337</v>
      </c>
      <c r="K468" s="131" t="str">
        <f>INDEX('Base de données Mono'!M:M,MATCH(B468,'Base de données Mono'!D:D,0))</f>
        <v>-</v>
      </c>
      <c r="L468" s="131" t="str">
        <f>INDEX('Base de données Mono'!N:N,MATCH(B468,'Base de données Mono'!D:D,0))</f>
        <v>-</v>
      </c>
      <c r="M468" s="33" t="s">
        <v>46</v>
      </c>
      <c r="N468" s="33">
        <f>IF(AND(E468="Electricité",M468="Hiver"),INDEX('Base de données Mono'!E:E,MATCH(B468,'Base de données Mono'!D:D,0)),IF(AND(E468="Electricité",M468="Mi-saison"),INDEX('Base de données Mono'!F:F,MATCH(B468,'Base de données Mono'!D:D,0)),IF(AND(E468="Electricité",M468="Eté"),INDEX('Base de données Mono'!G:G,MATCH(B468,'Base de données Mono'!D:D,0)),IF(AND(E468="Gaz",M468="Hiver"),INDEX('Base de données Mono'!J:J,MATCH(B468,'Base de données Mono'!D:D,0)),IF(AND(E468="Gaz",M468="Mi-saison"),INDEX('Base de données Mono'!#REF!,MATCH(B468,'Base de données Mono'!D:D,0)),IF(AND(E468="Gaz",M468="Eté"),INDEX('Base de données Mono'!#REF!,MATCH(B468,'Base de données Mono'!D:D,0)),"-"))))))</f>
        <v>60</v>
      </c>
      <c r="O468" s="123">
        <v>45383</v>
      </c>
      <c r="P468" s="123">
        <v>45388</v>
      </c>
      <c r="Q468" s="34">
        <v>70</v>
      </c>
      <c r="R468" s="33">
        <f t="shared" si="51"/>
        <v>10</v>
      </c>
      <c r="S468" s="34">
        <v>8.6999999999999993</v>
      </c>
      <c r="T468" s="34">
        <f t="shared" si="54"/>
        <v>5</v>
      </c>
      <c r="U468" s="33">
        <f t="shared" si="52"/>
        <v>435</v>
      </c>
      <c r="V468" s="38" t="s">
        <v>827</v>
      </c>
      <c r="W468" s="39">
        <f t="shared" si="53"/>
        <v>0.16666666666666666</v>
      </c>
      <c r="X468" s="40" t="s">
        <v>304</v>
      </c>
      <c r="Y468" s="40" t="s">
        <v>284</v>
      </c>
      <c r="Z468" s="40" t="s">
        <v>305</v>
      </c>
      <c r="AA468" s="33" t="s">
        <v>771</v>
      </c>
      <c r="AB468" s="95"/>
      <c r="AC468" s="95"/>
    </row>
    <row r="469" spans="1:29" ht="14.45" hidden="1" customHeight="1" x14ac:dyDescent="0.25">
      <c r="A469" s="36" t="str">
        <f>INDEX('Base de données Mono'!C:C,MATCH(B469,'Base de données Mono'!D:D,0))</f>
        <v>RENNES COLOMBIA</v>
      </c>
      <c r="B469" t="s">
        <v>30</v>
      </c>
      <c r="C469" s="36" t="str">
        <f>INDEX('Base de données Mono'!B:B,MATCH(B469,'Base de données Mono'!D:D,0))</f>
        <v>SES8</v>
      </c>
      <c r="D469" s="36" t="str">
        <f>INDEX('Base de données Mono'!A:A,MATCH(B469,'Base de données Mono'!D:D,0))</f>
        <v>AD</v>
      </c>
      <c r="E469" s="37" t="s">
        <v>303</v>
      </c>
      <c r="F469" s="41">
        <f t="shared" si="49"/>
        <v>14</v>
      </c>
      <c r="G469" s="41">
        <f t="shared" si="50"/>
        <v>4</v>
      </c>
      <c r="H469">
        <v>8.75</v>
      </c>
      <c r="I469" s="131">
        <f>INDEX('Base de données Mono'!K:K,MATCH(B469,'Base de données Mono'!D:D,0))</f>
        <v>0.22916666666666666</v>
      </c>
      <c r="J469" s="131">
        <f>INDEX('Base de données Mono'!L:L,MATCH(B469,'Base de données Mono'!D:D,0))</f>
        <v>0.86458333333333337</v>
      </c>
      <c r="K469" s="131" t="str">
        <f>INDEX('Base de données Mono'!M:M,MATCH(B469,'Base de données Mono'!D:D,0))</f>
        <v>-</v>
      </c>
      <c r="L469" s="131" t="str">
        <f>INDEX('Base de données Mono'!N:N,MATCH(B469,'Base de données Mono'!D:D,0))</f>
        <v>-</v>
      </c>
      <c r="M469" s="33" t="s">
        <v>46</v>
      </c>
      <c r="N469" s="33">
        <f>IF(AND(E469="Electricité",M469="Hiver"),INDEX('Base de données Mono'!E:E,MATCH(B469,'Base de données Mono'!D:D,0)),IF(AND(E469="Electricité",M469="Mi-saison"),INDEX('Base de données Mono'!F:F,MATCH(B469,'Base de données Mono'!D:D,0)),IF(AND(E469="Electricité",M469="Eté"),INDEX('Base de données Mono'!G:G,MATCH(B469,'Base de données Mono'!D:D,0)),IF(AND(E469="Gaz",M469="Hiver"),INDEX('Base de données Mono'!J:J,MATCH(B469,'Base de données Mono'!D:D,0)),IF(AND(E469="Gaz",M469="Mi-saison"),INDEX('Base de données Mono'!#REF!,MATCH(B469,'Base de données Mono'!D:D,0)),IF(AND(E469="Gaz",M469="Eté"),INDEX('Base de données Mono'!#REF!,MATCH(B469,'Base de données Mono'!D:D,0)),"-"))))))</f>
        <v>60</v>
      </c>
      <c r="O469" s="123">
        <v>45388</v>
      </c>
      <c r="P469" s="123">
        <v>45389</v>
      </c>
      <c r="Q469" s="34">
        <v>75</v>
      </c>
      <c r="R469" s="33">
        <f t="shared" si="51"/>
        <v>15</v>
      </c>
      <c r="S469" s="34">
        <v>8.6999999999999993</v>
      </c>
      <c r="T469" s="34">
        <f t="shared" si="54"/>
        <v>1</v>
      </c>
      <c r="U469" s="33">
        <f t="shared" si="52"/>
        <v>130.5</v>
      </c>
      <c r="V469" s="38" t="s">
        <v>827</v>
      </c>
      <c r="W469" s="39">
        <f t="shared" si="53"/>
        <v>0.25</v>
      </c>
      <c r="X469" s="40" t="s">
        <v>304</v>
      </c>
      <c r="Y469" s="40" t="s">
        <v>284</v>
      </c>
      <c r="Z469" s="40" t="s">
        <v>305</v>
      </c>
      <c r="AA469" s="33" t="s">
        <v>771</v>
      </c>
      <c r="AB469" s="95"/>
      <c r="AC469" s="95"/>
    </row>
    <row r="470" spans="1:29" ht="14.45" hidden="1" customHeight="1" x14ac:dyDescent="0.25">
      <c r="A470" s="36" t="str">
        <f>INDEX('Base de données Mono'!C:C,MATCH(B470,'Base de données Mono'!D:D,0))</f>
        <v>COLOMBES</v>
      </c>
      <c r="B470" t="s">
        <v>14</v>
      </c>
      <c r="C470" s="36" t="str">
        <f>INDEX('Base de données Mono'!B:B,MATCH(B470,'Base de données Mono'!D:D,0))</f>
        <v>SES8</v>
      </c>
      <c r="D470" s="36" t="str">
        <f>INDEX('Base de données Mono'!A:A,MATCH(B470,'Base de données Mono'!D:D,0))</f>
        <v>AD</v>
      </c>
      <c r="E470" s="37" t="s">
        <v>303</v>
      </c>
      <c r="F470" s="41">
        <f>IF(O470="","-",IF(AND(X470="Nuit",WEEKDAY(O470,2)=7,O470&lt;&gt;P470),WEEKNUM(O470,2),WEEKNUM(O470,2)-1))+1</f>
        <v>14</v>
      </c>
      <c r="G470" s="41">
        <f>IF(O470="","-",MONTH(O470))</f>
        <v>4</v>
      </c>
      <c r="H470">
        <v>8.33</v>
      </c>
      <c r="I470" s="131">
        <f>INDEX('Base de données Mono'!K:K,MATCH(B470,'Base de données Mono'!D:D,0))</f>
        <v>0.24305555555555555</v>
      </c>
      <c r="J470" s="131">
        <f>INDEX('Base de données Mono'!L:L,MATCH(B470,'Base de données Mono'!D:D,0))</f>
        <v>0.89583333333333337</v>
      </c>
      <c r="K470" s="131">
        <f>INDEX('Base de données Mono'!M:M,MATCH(B470,'Base de données Mono'!D:D,0))</f>
        <v>0.27083333333333331</v>
      </c>
      <c r="L470" s="131">
        <f>INDEX('Base de données Mono'!N:N,MATCH(B470,'Base de données Mono'!D:D,0))</f>
        <v>0.55902777777777779</v>
      </c>
      <c r="M470" s="33" t="s">
        <v>46</v>
      </c>
      <c r="N470" s="33">
        <f>IF(AND(E470="Electricité",M470="Hiver"),INDEX('Base de données Mono'!E:E,MATCH(B470,'Base de données Mono'!D:D,0)),IF(AND(E470="Electricité",M470="Mi-saison"),INDEX('Base de données Mono'!F:F,MATCH(B470,'Base de données Mono'!D:D,0)),IF(AND(E470="Electricité",M470="Eté"),INDEX('Base de données Mono'!G:G,MATCH(B470,'Base de données Mono'!D:D,0)),IF(AND(E470="Gaz",M470="Hiver"),INDEX('Base de données Mono'!J:J,MATCH(B470,'Base de données Mono'!D:D,0)),IF(AND(E470="Gaz",M470="Mi-saison"),INDEX('Base de données Mono'!#REF!,MATCH(B470,'Base de données Mono'!D:D,0)),IF(AND(E470="Gaz",M470="Eté"),INDEX('Base de données Mono'!#REF!,MATCH(B470,'Base de données Mono'!D:D,0)),"-"))))))</f>
        <v>75</v>
      </c>
      <c r="O470" s="123">
        <v>45383</v>
      </c>
      <c r="P470" s="123">
        <v>45389</v>
      </c>
      <c r="Q470" s="34">
        <v>130</v>
      </c>
      <c r="R470" s="33">
        <f>IF(Q470="","",Q470-N470)</f>
        <v>55</v>
      </c>
      <c r="S470" s="34">
        <v>0.5</v>
      </c>
      <c r="T470" s="34">
        <f>P470-O470</f>
        <v>6</v>
      </c>
      <c r="U470" s="33">
        <f>R470*S470*T470</f>
        <v>165</v>
      </c>
      <c r="V470" s="38" t="s">
        <v>827</v>
      </c>
      <c r="W470" s="39">
        <f>IFERROR(IF(E470="Gaz","-",R470/N470),"-")</f>
        <v>0.73333333333333328</v>
      </c>
      <c r="X470" s="40" t="s">
        <v>304</v>
      </c>
      <c r="Y470" s="40" t="s">
        <v>284</v>
      </c>
      <c r="Z470" s="40" t="s">
        <v>307</v>
      </c>
      <c r="AA470" s="33" t="s">
        <v>313</v>
      </c>
      <c r="AB470" s="95"/>
      <c r="AC470" s="95"/>
    </row>
    <row r="471" spans="1:29" ht="14.45" hidden="1" customHeight="1" x14ac:dyDescent="0.25">
      <c r="A471" s="36" t="str">
        <f>INDEX('Base de données Mono'!C:C,MATCH(B471,'Base de données Mono'!D:D,0))</f>
        <v>COLOMBES</v>
      </c>
      <c r="B471" t="s">
        <v>14</v>
      </c>
      <c r="C471" s="36" t="str">
        <f>INDEX('Base de données Mono'!B:B,MATCH(B471,'Base de données Mono'!D:D,0))</f>
        <v>SES8</v>
      </c>
      <c r="D471" s="36" t="str">
        <f>INDEX('Base de données Mono'!A:A,MATCH(B471,'Base de données Mono'!D:D,0))</f>
        <v>AD</v>
      </c>
      <c r="E471" s="37" t="s">
        <v>303</v>
      </c>
      <c r="F471" s="41">
        <f t="shared" si="49"/>
        <v>14</v>
      </c>
      <c r="G471" s="41">
        <f t="shared" si="50"/>
        <v>4</v>
      </c>
      <c r="H471">
        <v>8.33</v>
      </c>
      <c r="I471" s="131">
        <f>INDEX('Base de données Mono'!K:K,MATCH(B471,'Base de données Mono'!D:D,0))</f>
        <v>0.24305555555555555</v>
      </c>
      <c r="J471" s="131">
        <f>INDEX('Base de données Mono'!L:L,MATCH(B471,'Base de données Mono'!D:D,0))</f>
        <v>0.89583333333333337</v>
      </c>
      <c r="K471" s="131">
        <f>INDEX('Base de données Mono'!M:M,MATCH(B471,'Base de données Mono'!D:D,0))</f>
        <v>0.27083333333333331</v>
      </c>
      <c r="L471" s="131">
        <f>INDEX('Base de données Mono'!N:N,MATCH(B471,'Base de données Mono'!D:D,0))</f>
        <v>0.55902777777777779</v>
      </c>
      <c r="M471" s="33" t="s">
        <v>46</v>
      </c>
      <c r="N471" s="33">
        <f>IF(AND(E471="Electricité",M471="Hiver"),INDEX('Base de données Mono'!E:E,MATCH(B471,'Base de données Mono'!D:D,0)),IF(AND(E471="Electricité",M471="Mi-saison"),INDEX('Base de données Mono'!F:F,MATCH(B471,'Base de données Mono'!D:D,0)),IF(AND(E471="Electricité",M471="Eté"),INDEX('Base de données Mono'!G:G,MATCH(B471,'Base de données Mono'!D:D,0)),IF(AND(E471="Gaz",M471="Hiver"),INDEX('Base de données Mono'!J:J,MATCH(B471,'Base de données Mono'!D:D,0)),IF(AND(E471="Gaz",M471="Mi-saison"),INDEX('Base de données Mono'!#REF!,MATCH(B471,'Base de données Mono'!D:D,0)),IF(AND(E471="Gaz",M471="Eté"),INDEX('Base de données Mono'!#REF!,MATCH(B471,'Base de données Mono'!D:D,0)),"-"))))))</f>
        <v>75</v>
      </c>
      <c r="O471" s="123">
        <v>45389</v>
      </c>
      <c r="P471" s="123">
        <v>45389</v>
      </c>
      <c r="Q471" s="34">
        <v>130</v>
      </c>
      <c r="R471" s="33">
        <f t="shared" si="51"/>
        <v>55</v>
      </c>
      <c r="S471" s="34">
        <v>5.5</v>
      </c>
      <c r="T471" s="34">
        <v>1</v>
      </c>
      <c r="U471" s="33">
        <f t="shared" si="52"/>
        <v>302.5</v>
      </c>
      <c r="V471" s="38" t="s">
        <v>827</v>
      </c>
      <c r="W471" s="39">
        <f t="shared" si="53"/>
        <v>0.73333333333333328</v>
      </c>
      <c r="X471" s="40" t="s">
        <v>730</v>
      </c>
      <c r="Y471" s="40" t="s">
        <v>284</v>
      </c>
      <c r="Z471" s="40" t="s">
        <v>307</v>
      </c>
      <c r="AA471" s="33" t="s">
        <v>308</v>
      </c>
      <c r="AB471" s="95"/>
      <c r="AC471" s="95"/>
    </row>
    <row r="472" spans="1:29" ht="14.45" hidden="1" customHeight="1" x14ac:dyDescent="0.25">
      <c r="A472" s="36" t="str">
        <f>INDEX('Base de données Mono'!C:C,MATCH(B472,'Base de données Mono'!D:D,0))</f>
        <v>BOULOGNE LES PASSAGES</v>
      </c>
      <c r="B472" t="s">
        <v>7</v>
      </c>
      <c r="C472" s="36" t="str">
        <f>INDEX('Base de données Mono'!B:B,MATCH(B472,'Base de données Mono'!D:D,0))</f>
        <v>SES8</v>
      </c>
      <c r="D472" s="36" t="str">
        <f>INDEX('Base de données Mono'!A:A,MATCH(B472,'Base de données Mono'!D:D,0))</f>
        <v>AD</v>
      </c>
      <c r="E472" s="37" t="s">
        <v>303</v>
      </c>
      <c r="F472" s="41">
        <f t="shared" si="49"/>
        <v>14</v>
      </c>
      <c r="G472" s="41">
        <f t="shared" si="50"/>
        <v>4</v>
      </c>
      <c r="H472">
        <v>8.5</v>
      </c>
      <c r="I472" s="131">
        <f>INDEX('Base de données Mono'!K:K,MATCH(B472,'Base de données Mono'!D:D,0))</f>
        <v>0.20833333333333334</v>
      </c>
      <c r="J472" s="131">
        <f>INDEX('Base de données Mono'!L:L,MATCH(B472,'Base de données Mono'!D:D,0))</f>
        <v>0.85416666666666663</v>
      </c>
      <c r="K472" s="131" t="str">
        <f>INDEX('Base de données Mono'!M:M,MATCH(B472,'Base de données Mono'!D:D,0))</f>
        <v>-</v>
      </c>
      <c r="L472" s="131" t="str">
        <f>INDEX('Base de données Mono'!N:N,MATCH(B472,'Base de données Mono'!D:D,0))</f>
        <v>-</v>
      </c>
      <c r="M472" s="33" t="s">
        <v>46</v>
      </c>
      <c r="N472" s="33">
        <f>IF(AND(E472="Electricité",M472="Hiver"),INDEX('Base de données Mono'!E:E,MATCH(B472,'Base de données Mono'!D:D,0)),IF(AND(E472="Electricité",M472="Mi-saison"),INDEX('Base de données Mono'!F:F,MATCH(B472,'Base de données Mono'!D:D,0)),IF(AND(E472="Electricité",M472="Eté"),INDEX('Base de données Mono'!G:G,MATCH(B472,'Base de données Mono'!D:D,0)),IF(AND(E472="Gaz",M472="Hiver"),INDEX('Base de données Mono'!J:J,MATCH(B472,'Base de données Mono'!D:D,0)),IF(AND(E472="Gaz",M472="Mi-saison"),INDEX('Base de données Mono'!#REF!,MATCH(B472,'Base de données Mono'!D:D,0)),IF(AND(E472="Gaz",M472="Eté"),INDEX('Base de données Mono'!#REF!,MATCH(B472,'Base de données Mono'!D:D,0)),"-"))))))</f>
        <v>95</v>
      </c>
      <c r="O472" s="123">
        <v>45383</v>
      </c>
      <c r="P472" s="123">
        <v>45384</v>
      </c>
      <c r="Q472" s="34">
        <v>105</v>
      </c>
      <c r="R472" s="33">
        <f t="shared" si="51"/>
        <v>10</v>
      </c>
      <c r="S472" s="34">
        <v>8.5</v>
      </c>
      <c r="T472" s="34">
        <f t="shared" si="54"/>
        <v>1</v>
      </c>
      <c r="U472" s="33">
        <f t="shared" si="52"/>
        <v>85</v>
      </c>
      <c r="V472" s="38" t="s">
        <v>827</v>
      </c>
      <c r="W472" s="39">
        <f t="shared" si="53"/>
        <v>0.10526315789473684</v>
      </c>
      <c r="X472" s="40" t="s">
        <v>304</v>
      </c>
      <c r="Y472" s="40" t="s">
        <v>284</v>
      </c>
      <c r="Z472" s="40" t="s">
        <v>305</v>
      </c>
      <c r="AA472" s="33" t="s">
        <v>771</v>
      </c>
      <c r="AB472" s="95"/>
      <c r="AC472" s="95"/>
    </row>
    <row r="473" spans="1:29" ht="14.45" hidden="1" customHeight="1" x14ac:dyDescent="0.25">
      <c r="A473" s="36" t="str">
        <f>INDEX('Base de données Mono'!C:C,MATCH(B473,'Base de données Mono'!D:D,0))</f>
        <v>BOULOGNE LES PASSAGES</v>
      </c>
      <c r="B473" t="s">
        <v>7</v>
      </c>
      <c r="C473" s="36" t="str">
        <f>INDEX('Base de données Mono'!B:B,MATCH(B473,'Base de données Mono'!D:D,0))</f>
        <v>SES8</v>
      </c>
      <c r="D473" s="36" t="str">
        <f>INDEX('Base de données Mono'!A:A,MATCH(B473,'Base de données Mono'!D:D,0))</f>
        <v>AD</v>
      </c>
      <c r="E473" s="37" t="s">
        <v>303</v>
      </c>
      <c r="F473" s="41">
        <f t="shared" si="49"/>
        <v>14</v>
      </c>
      <c r="G473" s="41">
        <f t="shared" si="50"/>
        <v>4</v>
      </c>
      <c r="H473">
        <v>8.5</v>
      </c>
      <c r="I473" s="131">
        <f>INDEX('Base de données Mono'!K:K,MATCH(B473,'Base de données Mono'!D:D,0))</f>
        <v>0.20833333333333334</v>
      </c>
      <c r="J473" s="131">
        <f>INDEX('Base de données Mono'!L:L,MATCH(B473,'Base de données Mono'!D:D,0))</f>
        <v>0.85416666666666663</v>
      </c>
      <c r="K473" s="131" t="str">
        <f>INDEX('Base de données Mono'!M:M,MATCH(B473,'Base de données Mono'!D:D,0))</f>
        <v>-</v>
      </c>
      <c r="L473" s="131" t="str">
        <f>INDEX('Base de données Mono'!N:N,MATCH(B473,'Base de données Mono'!D:D,0))</f>
        <v>-</v>
      </c>
      <c r="M473" s="33" t="s">
        <v>46</v>
      </c>
      <c r="N473" s="33">
        <f>IF(AND(E473="Electricité",M473="Hiver"),INDEX('Base de données Mono'!E:E,MATCH(B473,'Base de données Mono'!D:D,0)),IF(AND(E473="Electricité",M473="Mi-saison"),INDEX('Base de données Mono'!F:F,MATCH(B473,'Base de données Mono'!D:D,0)),IF(AND(E473="Electricité",M473="Eté"),INDEX('Base de données Mono'!G:G,MATCH(B473,'Base de données Mono'!D:D,0)),IF(AND(E473="Gaz",M473="Hiver"),INDEX('Base de données Mono'!J:J,MATCH(B473,'Base de données Mono'!D:D,0)),IF(AND(E473="Gaz",M473="Mi-saison"),INDEX('Base de données Mono'!#REF!,MATCH(B473,'Base de données Mono'!D:D,0)),IF(AND(E473="Gaz",M473="Eté"),INDEX('Base de données Mono'!#REF!,MATCH(B473,'Base de données Mono'!D:D,0)),"-"))))))</f>
        <v>95</v>
      </c>
      <c r="O473" s="123">
        <v>45384</v>
      </c>
      <c r="P473" s="123">
        <v>45389</v>
      </c>
      <c r="Q473" s="34">
        <v>160</v>
      </c>
      <c r="R473" s="33">
        <f t="shared" si="51"/>
        <v>65</v>
      </c>
      <c r="S473" s="34">
        <v>0.3</v>
      </c>
      <c r="T473" s="34">
        <f t="shared" si="54"/>
        <v>5</v>
      </c>
      <c r="U473" s="33">
        <f t="shared" si="52"/>
        <v>97.5</v>
      </c>
      <c r="V473" s="38" t="s">
        <v>827</v>
      </c>
      <c r="W473" s="39">
        <f t="shared" si="53"/>
        <v>0.68421052631578949</v>
      </c>
      <c r="X473" s="40" t="s">
        <v>304</v>
      </c>
      <c r="Y473" s="40" t="s">
        <v>284</v>
      </c>
      <c r="Z473" s="40" t="s">
        <v>307</v>
      </c>
      <c r="AA473" s="33" t="s">
        <v>313</v>
      </c>
      <c r="AB473" s="95"/>
      <c r="AC473" s="95"/>
    </row>
    <row r="474" spans="1:29" ht="14.45" hidden="1" customHeight="1" x14ac:dyDescent="0.25">
      <c r="A474" s="36" t="str">
        <f>INDEX('Base de données Mono'!C:C,MATCH(B474,'Base de données Mono'!D:D,0))</f>
        <v>BOULOGNE LES PASSAGES</v>
      </c>
      <c r="B474" t="s">
        <v>7</v>
      </c>
      <c r="C474" s="36" t="str">
        <f>INDEX('Base de données Mono'!B:B,MATCH(B474,'Base de données Mono'!D:D,0))</f>
        <v>SES8</v>
      </c>
      <c r="D474" s="36" t="str">
        <f>INDEX('Base de données Mono'!A:A,MATCH(B474,'Base de données Mono'!D:D,0))</f>
        <v>AD</v>
      </c>
      <c r="E474" s="37" t="s">
        <v>303</v>
      </c>
      <c r="F474" s="41">
        <f t="shared" si="49"/>
        <v>14</v>
      </c>
      <c r="G474" s="41">
        <f t="shared" si="50"/>
        <v>4</v>
      </c>
      <c r="H474">
        <v>8.5</v>
      </c>
      <c r="I474" s="131">
        <f>INDEX('Base de données Mono'!K:K,MATCH(B474,'Base de données Mono'!D:D,0))</f>
        <v>0.20833333333333334</v>
      </c>
      <c r="J474" s="131">
        <f>INDEX('Base de données Mono'!L:L,MATCH(B474,'Base de données Mono'!D:D,0))</f>
        <v>0.85416666666666663</v>
      </c>
      <c r="K474" s="131" t="str">
        <f>INDEX('Base de données Mono'!M:M,MATCH(B474,'Base de données Mono'!D:D,0))</f>
        <v>-</v>
      </c>
      <c r="L474" s="131" t="str">
        <f>INDEX('Base de données Mono'!N:N,MATCH(B474,'Base de données Mono'!D:D,0))</f>
        <v>-</v>
      </c>
      <c r="M474" s="33" t="s">
        <v>46</v>
      </c>
      <c r="N474" s="33">
        <f>IF(AND(E474="Electricité",M474="Hiver"),INDEX('Base de données Mono'!E:E,MATCH(B474,'Base de données Mono'!D:D,0)),IF(AND(E474="Electricité",M474="Mi-saison"),INDEX('Base de données Mono'!F:F,MATCH(B474,'Base de données Mono'!D:D,0)),IF(AND(E474="Electricité",M474="Eté"),INDEX('Base de données Mono'!G:G,MATCH(B474,'Base de données Mono'!D:D,0)),IF(AND(E474="Gaz",M474="Hiver"),INDEX('Base de données Mono'!J:J,MATCH(B474,'Base de données Mono'!D:D,0)),IF(AND(E474="Gaz",M474="Mi-saison"),INDEX('Base de données Mono'!#REF!,MATCH(B474,'Base de données Mono'!D:D,0)),IF(AND(E474="Gaz",M474="Eté"),INDEX('Base de données Mono'!#REF!,MATCH(B474,'Base de données Mono'!D:D,0)),"-"))))))</f>
        <v>95</v>
      </c>
      <c r="O474" s="123">
        <v>45384</v>
      </c>
      <c r="P474" s="123">
        <v>45389</v>
      </c>
      <c r="Q474" s="34">
        <v>105</v>
      </c>
      <c r="R474" s="33">
        <f t="shared" si="51"/>
        <v>10</v>
      </c>
      <c r="S474" s="34">
        <v>8.1999999999999993</v>
      </c>
      <c r="T474" s="34">
        <f t="shared" si="54"/>
        <v>5</v>
      </c>
      <c r="U474" s="33">
        <f t="shared" si="52"/>
        <v>410</v>
      </c>
      <c r="V474" s="38" t="s">
        <v>827</v>
      </c>
      <c r="W474" s="39">
        <f t="shared" si="53"/>
        <v>0.10526315789473684</v>
      </c>
      <c r="X474" s="40" t="s">
        <v>304</v>
      </c>
      <c r="Y474" s="40" t="s">
        <v>284</v>
      </c>
      <c r="Z474" s="40" t="s">
        <v>305</v>
      </c>
      <c r="AA474" s="33" t="s">
        <v>771</v>
      </c>
      <c r="AB474" s="95"/>
      <c r="AC474" s="95"/>
    </row>
    <row r="475" spans="1:29" ht="14.45" hidden="1" customHeight="1" x14ac:dyDescent="0.25">
      <c r="A475" s="36" t="str">
        <f>INDEX('Base de données Mono'!C:C,MATCH(B475,'Base de données Mono'!D:D,0))</f>
        <v>BOULOGNE LES PASSAGES</v>
      </c>
      <c r="B475" t="s">
        <v>7</v>
      </c>
      <c r="C475" s="36" t="str">
        <f>INDEX('Base de données Mono'!B:B,MATCH(B475,'Base de données Mono'!D:D,0))</f>
        <v>SES8</v>
      </c>
      <c r="D475" s="36" t="str">
        <f>INDEX('Base de données Mono'!A:A,MATCH(B475,'Base de données Mono'!D:D,0))</f>
        <v>AD</v>
      </c>
      <c r="E475" s="37" t="s">
        <v>303</v>
      </c>
      <c r="F475" s="41">
        <f t="shared" si="49"/>
        <v>14</v>
      </c>
      <c r="G475" s="41">
        <f t="shared" si="50"/>
        <v>4</v>
      </c>
      <c r="H475">
        <v>8.5</v>
      </c>
      <c r="I475" s="131">
        <f>INDEX('Base de données Mono'!K:K,MATCH(B475,'Base de données Mono'!D:D,0))</f>
        <v>0.20833333333333334</v>
      </c>
      <c r="J475" s="131">
        <f>INDEX('Base de données Mono'!L:L,MATCH(B475,'Base de données Mono'!D:D,0))</f>
        <v>0.85416666666666663</v>
      </c>
      <c r="K475" s="131" t="str">
        <f>INDEX('Base de données Mono'!M:M,MATCH(B475,'Base de données Mono'!D:D,0))</f>
        <v>-</v>
      </c>
      <c r="L475" s="131" t="str">
        <f>INDEX('Base de données Mono'!N:N,MATCH(B475,'Base de données Mono'!D:D,0))</f>
        <v>-</v>
      </c>
      <c r="M475" s="33" t="s">
        <v>46</v>
      </c>
      <c r="N475" s="33">
        <f>IF(AND(E475="Electricité",M475="Hiver"),INDEX('Base de données Mono'!E:E,MATCH(B475,'Base de données Mono'!D:D,0)),IF(AND(E475="Electricité",M475="Mi-saison"),INDEX('Base de données Mono'!F:F,MATCH(B475,'Base de données Mono'!D:D,0)),IF(AND(E475="Electricité",M475="Eté"),INDEX('Base de données Mono'!G:G,MATCH(B475,'Base de données Mono'!D:D,0)),IF(AND(E475="Gaz",M475="Hiver"),INDEX('Base de données Mono'!J:J,MATCH(B475,'Base de données Mono'!D:D,0)),IF(AND(E475="Gaz",M475="Mi-saison"),INDEX('Base de données Mono'!#REF!,MATCH(B475,'Base de données Mono'!D:D,0)),IF(AND(E475="Gaz",M475="Eté"),INDEX('Base de données Mono'!#REF!,MATCH(B475,'Base de données Mono'!D:D,0)),"-"))))))</f>
        <v>95</v>
      </c>
      <c r="O475" s="123">
        <v>45389</v>
      </c>
      <c r="P475" s="123">
        <v>45389</v>
      </c>
      <c r="Q475" s="34">
        <v>145</v>
      </c>
      <c r="R475" s="33">
        <f t="shared" si="51"/>
        <v>50</v>
      </c>
      <c r="S475" s="34">
        <v>6</v>
      </c>
      <c r="T475" s="34">
        <v>1</v>
      </c>
      <c r="U475" s="33">
        <f t="shared" si="52"/>
        <v>300</v>
      </c>
      <c r="V475" s="38" t="s">
        <v>148</v>
      </c>
      <c r="W475" s="39">
        <f t="shared" si="53"/>
        <v>0.52631578947368418</v>
      </c>
      <c r="X475" s="40" t="s">
        <v>730</v>
      </c>
      <c r="Y475" s="40" t="s">
        <v>284</v>
      </c>
      <c r="Z475" s="40" t="s">
        <v>307</v>
      </c>
      <c r="AA475" s="33" t="s">
        <v>308</v>
      </c>
      <c r="AB475" s="95"/>
      <c r="AC475" s="95"/>
    </row>
    <row r="476" spans="1:29" ht="14.45" hidden="1" customHeight="1" x14ac:dyDescent="0.25">
      <c r="A476" s="36" t="str">
        <f>INDEX('Base de données Mono'!C:C,MATCH(B476,'Base de données Mono'!D:D,0))</f>
        <v>BOULOGNE LES PASSAGES</v>
      </c>
      <c r="B476" t="s">
        <v>7</v>
      </c>
      <c r="C476" s="36" t="str">
        <f>INDEX('Base de données Mono'!B:B,MATCH(B476,'Base de données Mono'!D:D,0))</f>
        <v>SES8</v>
      </c>
      <c r="D476" s="36" t="str">
        <f>INDEX('Base de données Mono'!A:A,MATCH(B476,'Base de données Mono'!D:D,0))</f>
        <v>AD</v>
      </c>
      <c r="E476" s="37" t="s">
        <v>303</v>
      </c>
      <c r="F476" s="41">
        <f t="shared" si="49"/>
        <v>14</v>
      </c>
      <c r="G476" s="41">
        <f t="shared" si="50"/>
        <v>4</v>
      </c>
      <c r="H476">
        <v>8.5</v>
      </c>
      <c r="I476" s="131">
        <f>INDEX('Base de données Mono'!K:K,MATCH(B476,'Base de données Mono'!D:D,0))</f>
        <v>0.20833333333333334</v>
      </c>
      <c r="J476" s="131">
        <f>INDEX('Base de données Mono'!L:L,MATCH(B476,'Base de données Mono'!D:D,0))</f>
        <v>0.85416666666666663</v>
      </c>
      <c r="K476" s="131" t="str">
        <f>INDEX('Base de données Mono'!M:M,MATCH(B476,'Base de données Mono'!D:D,0))</f>
        <v>-</v>
      </c>
      <c r="L476" s="131" t="str">
        <f>INDEX('Base de données Mono'!N:N,MATCH(B476,'Base de données Mono'!D:D,0))</f>
        <v>-</v>
      </c>
      <c r="M476" s="33" t="s">
        <v>46</v>
      </c>
      <c r="N476" s="33">
        <f>IF(AND(E476="Electricité",M476="Hiver"),INDEX('Base de données Mono'!E:E,MATCH(B476,'Base de données Mono'!D:D,0)),IF(AND(E476="Electricité",M476="Mi-saison"),INDEX('Base de données Mono'!F:F,MATCH(B476,'Base de données Mono'!D:D,0)),IF(AND(E476="Electricité",M476="Eté"),INDEX('Base de données Mono'!G:G,MATCH(B476,'Base de données Mono'!D:D,0)),IF(AND(E476="Gaz",M476="Hiver"),INDEX('Base de données Mono'!J:J,MATCH(B476,'Base de données Mono'!D:D,0)),IF(AND(E476="Gaz",M476="Mi-saison"),INDEX('Base de données Mono'!#REF!,MATCH(B476,'Base de données Mono'!D:D,0)),IF(AND(E476="Gaz",M476="Eté"),INDEX('Base de données Mono'!#REF!,MATCH(B476,'Base de données Mono'!D:D,0)),"-"))))))</f>
        <v>95</v>
      </c>
      <c r="O476" s="123">
        <v>45389</v>
      </c>
      <c r="P476" s="123">
        <v>45389</v>
      </c>
      <c r="Q476" s="34">
        <v>105</v>
      </c>
      <c r="R476" s="33">
        <f t="shared" si="51"/>
        <v>10</v>
      </c>
      <c r="S476" s="34">
        <v>9.5</v>
      </c>
      <c r="T476" s="34">
        <v>1</v>
      </c>
      <c r="U476" s="33">
        <f t="shared" si="52"/>
        <v>95</v>
      </c>
      <c r="V476" s="38" t="s">
        <v>148</v>
      </c>
      <c r="W476" s="39">
        <f t="shared" si="53"/>
        <v>0.10526315789473684</v>
      </c>
      <c r="X476" s="40" t="s">
        <v>730</v>
      </c>
      <c r="Y476" s="40" t="s">
        <v>284</v>
      </c>
      <c r="Z476" s="40" t="s">
        <v>305</v>
      </c>
      <c r="AA476" s="33" t="s">
        <v>771</v>
      </c>
      <c r="AB476" s="95"/>
      <c r="AC476" s="95"/>
    </row>
    <row r="477" spans="1:29" ht="14.45" hidden="1" customHeight="1" x14ac:dyDescent="0.25">
      <c r="A477" s="36" t="str">
        <f>INDEX('Base de données Mono'!C:C,MATCH(B477,'Base de données Mono'!D:D,0))</f>
        <v>ANNECY COURRIER</v>
      </c>
      <c r="B477" t="s">
        <v>59</v>
      </c>
      <c r="C477" s="36" t="str">
        <f>INDEX('Base de données Mono'!B:B,MATCH(B477,'Base de données Mono'!D:D,0))</f>
        <v>SES8</v>
      </c>
      <c r="D477" s="36" t="str">
        <f>INDEX('Base de données Mono'!A:A,MATCH(B477,'Base de données Mono'!D:D,0))</f>
        <v>JG</v>
      </c>
      <c r="E477" s="37" t="s">
        <v>303</v>
      </c>
      <c r="F477" s="41">
        <f t="shared" si="49"/>
        <v>14</v>
      </c>
      <c r="G477" s="41">
        <f t="shared" si="50"/>
        <v>4</v>
      </c>
      <c r="H477">
        <v>9</v>
      </c>
      <c r="I477" s="131">
        <f>INDEX('Base de données Mono'!K:K,MATCH(B477,'Base de données Mono'!D:D,0))</f>
        <v>0.20833333333333334</v>
      </c>
      <c r="J477" s="131">
        <f>INDEX('Base de données Mono'!L:L,MATCH(B477,'Base de données Mono'!D:D,0))</f>
        <v>0.83333333333333304</v>
      </c>
      <c r="K477" s="131" t="str">
        <f>INDEX('Base de données Mono'!M:M,MATCH(B477,'Base de données Mono'!D:D,0))</f>
        <v>-</v>
      </c>
      <c r="L477" s="131" t="str">
        <f>INDEX('Base de données Mono'!N:N,MATCH(B477,'Base de données Mono'!D:D,0))</f>
        <v>-</v>
      </c>
      <c r="M477" s="33" t="s">
        <v>46</v>
      </c>
      <c r="N477" s="33">
        <f>IF(AND(E477="Electricité",M477="Hiver"),INDEX('Base de données Mono'!E:E,MATCH(B477,'Base de données Mono'!D:D,0)),IF(AND(E477="Electricité",M477="Mi-saison"),INDEX('Base de données Mono'!F:F,MATCH(B477,'Base de données Mono'!D:D,0)),IF(AND(E477="Electricité",M477="Eté"),INDEX('Base de données Mono'!G:G,MATCH(B477,'Base de données Mono'!D:D,0)),IF(AND(E477="Gaz",M477="Hiver"),INDEX('Base de données Mono'!J:J,MATCH(B477,'Base de données Mono'!D:D,0)),IF(AND(E477="Gaz",M477="Mi-saison"),INDEX('Base de données Mono'!#REF!,MATCH(B477,'Base de données Mono'!D:D,0)),IF(AND(E477="Gaz",M477="Eté"),INDEX('Base de données Mono'!#REF!,MATCH(B477,'Base de données Mono'!D:D,0)),"-"))))))</f>
        <v>110</v>
      </c>
      <c r="O477" s="123">
        <v>45383</v>
      </c>
      <c r="P477" s="123">
        <v>45385</v>
      </c>
      <c r="Q477" s="34">
        <v>200</v>
      </c>
      <c r="R477" s="33">
        <f t="shared" si="51"/>
        <v>90</v>
      </c>
      <c r="S477" s="34">
        <v>1</v>
      </c>
      <c r="T477" s="34">
        <f t="shared" si="54"/>
        <v>2</v>
      </c>
      <c r="U477" s="33">
        <f t="shared" si="52"/>
        <v>180</v>
      </c>
      <c r="V477" s="38" t="s">
        <v>827</v>
      </c>
      <c r="W477" s="39">
        <f t="shared" si="53"/>
        <v>0.81818181818181823</v>
      </c>
      <c r="X477" s="40" t="s">
        <v>304</v>
      </c>
      <c r="Y477" s="40" t="s">
        <v>284</v>
      </c>
      <c r="Z477" s="95" t="s">
        <v>307</v>
      </c>
      <c r="AA477" s="95" t="s">
        <v>313</v>
      </c>
      <c r="AB477" s="95"/>
      <c r="AC477" s="95"/>
    </row>
    <row r="478" spans="1:29" ht="14.45" hidden="1" customHeight="1" x14ac:dyDescent="0.25">
      <c r="A478" s="36" t="str">
        <f>INDEX('Base de données Mono'!C:C,MATCH(B478,'Base de données Mono'!D:D,0))</f>
        <v>ANNECY COURRIER</v>
      </c>
      <c r="B478" t="s">
        <v>59</v>
      </c>
      <c r="C478" s="36" t="str">
        <f>INDEX('Base de données Mono'!B:B,MATCH(B478,'Base de données Mono'!D:D,0))</f>
        <v>SES8</v>
      </c>
      <c r="D478" s="36" t="str">
        <f>INDEX('Base de données Mono'!A:A,MATCH(B478,'Base de données Mono'!D:D,0))</f>
        <v>JG</v>
      </c>
      <c r="E478" s="37" t="s">
        <v>303</v>
      </c>
      <c r="F478" s="41">
        <f t="shared" si="49"/>
        <v>14</v>
      </c>
      <c r="G478" s="41">
        <f t="shared" si="50"/>
        <v>4</v>
      </c>
      <c r="H478">
        <v>9</v>
      </c>
      <c r="I478" s="131">
        <f>INDEX('Base de données Mono'!K:K,MATCH(B478,'Base de données Mono'!D:D,0))</f>
        <v>0.20833333333333334</v>
      </c>
      <c r="J478" s="131">
        <f>INDEX('Base de données Mono'!L:L,MATCH(B478,'Base de données Mono'!D:D,0))</f>
        <v>0.83333333333333304</v>
      </c>
      <c r="K478" s="131" t="str">
        <f>INDEX('Base de données Mono'!M:M,MATCH(B478,'Base de données Mono'!D:D,0))</f>
        <v>-</v>
      </c>
      <c r="L478" s="131" t="str">
        <f>INDEX('Base de données Mono'!N:N,MATCH(B478,'Base de données Mono'!D:D,0))</f>
        <v>-</v>
      </c>
      <c r="M478" s="33" t="s">
        <v>46</v>
      </c>
      <c r="N478" s="33">
        <f>IF(AND(E478="Electricité",M478="Hiver"),INDEX('Base de données Mono'!E:E,MATCH(B478,'Base de données Mono'!D:D,0)),IF(AND(E478="Electricité",M478="Mi-saison"),INDEX('Base de données Mono'!F:F,MATCH(B478,'Base de données Mono'!D:D,0)),IF(AND(E478="Electricité",M478="Eté"),INDEX('Base de données Mono'!G:G,MATCH(B478,'Base de données Mono'!D:D,0)),IF(AND(E478="Gaz",M478="Hiver"),INDEX('Base de données Mono'!J:J,MATCH(B478,'Base de données Mono'!D:D,0)),IF(AND(E478="Gaz",M478="Mi-saison"),INDEX('Base de données Mono'!#REF!,MATCH(B478,'Base de données Mono'!D:D,0)),IF(AND(E478="Gaz",M478="Eté"),INDEX('Base de données Mono'!#REF!,MATCH(B478,'Base de données Mono'!D:D,0)),"-"))))))</f>
        <v>110</v>
      </c>
      <c r="O478" s="123">
        <v>45385</v>
      </c>
      <c r="P478" s="123">
        <v>45386</v>
      </c>
      <c r="Q478" s="34">
        <v>205</v>
      </c>
      <c r="R478" s="33">
        <f t="shared" si="51"/>
        <v>95</v>
      </c>
      <c r="S478" s="34">
        <v>2.5</v>
      </c>
      <c r="T478" s="34">
        <f t="shared" si="54"/>
        <v>1</v>
      </c>
      <c r="U478" s="33">
        <f t="shared" si="52"/>
        <v>237.5</v>
      </c>
      <c r="V478" s="38" t="s">
        <v>827</v>
      </c>
      <c r="W478" s="39">
        <f t="shared" si="53"/>
        <v>0.86363636363636365</v>
      </c>
      <c r="X478" s="40" t="s">
        <v>304</v>
      </c>
      <c r="Y478" s="40" t="s">
        <v>284</v>
      </c>
      <c r="Z478" s="95" t="s">
        <v>307</v>
      </c>
      <c r="AA478" s="95" t="s">
        <v>313</v>
      </c>
      <c r="AB478" s="95"/>
      <c r="AC478" s="95"/>
    </row>
    <row r="479" spans="1:29" ht="14.45" hidden="1" customHeight="1" x14ac:dyDescent="0.25">
      <c r="A479" s="36" t="str">
        <f>INDEX('Base de données Mono'!C:C,MATCH(B479,'Base de données Mono'!D:D,0))</f>
        <v>ANNECY COURRIER</v>
      </c>
      <c r="B479" t="s">
        <v>59</v>
      </c>
      <c r="C479" s="36" t="str">
        <f>INDEX('Base de données Mono'!B:B,MATCH(B479,'Base de données Mono'!D:D,0))</f>
        <v>SES8</v>
      </c>
      <c r="D479" s="36" t="str">
        <f>INDEX('Base de données Mono'!A:A,MATCH(B479,'Base de données Mono'!D:D,0))</f>
        <v>JG</v>
      </c>
      <c r="E479" s="37" t="s">
        <v>303</v>
      </c>
      <c r="F479" s="41">
        <f t="shared" si="49"/>
        <v>14</v>
      </c>
      <c r="G479" s="41">
        <f t="shared" si="50"/>
        <v>4</v>
      </c>
      <c r="H479">
        <v>9</v>
      </c>
      <c r="I479" s="131">
        <f>INDEX('Base de données Mono'!K:K,MATCH(B479,'Base de données Mono'!D:D,0))</f>
        <v>0.20833333333333334</v>
      </c>
      <c r="J479" s="131">
        <f>INDEX('Base de données Mono'!L:L,MATCH(B479,'Base de données Mono'!D:D,0))</f>
        <v>0.83333333333333304</v>
      </c>
      <c r="K479" s="131" t="str">
        <f>INDEX('Base de données Mono'!M:M,MATCH(B479,'Base de données Mono'!D:D,0))</f>
        <v>-</v>
      </c>
      <c r="L479" s="131" t="str">
        <f>INDEX('Base de données Mono'!N:N,MATCH(B479,'Base de données Mono'!D:D,0))</f>
        <v>-</v>
      </c>
      <c r="M479" s="33" t="s">
        <v>46</v>
      </c>
      <c r="N479" s="33">
        <f>IF(AND(E479="Electricité",M479="Hiver"),INDEX('Base de données Mono'!E:E,MATCH(B479,'Base de données Mono'!D:D,0)),IF(AND(E479="Electricité",M479="Mi-saison"),INDEX('Base de données Mono'!F:F,MATCH(B479,'Base de données Mono'!D:D,0)),IF(AND(E479="Electricité",M479="Eté"),INDEX('Base de données Mono'!G:G,MATCH(B479,'Base de données Mono'!D:D,0)),IF(AND(E479="Gaz",M479="Hiver"),INDEX('Base de données Mono'!J:J,MATCH(B479,'Base de données Mono'!D:D,0)),IF(AND(E479="Gaz",M479="Mi-saison"),INDEX('Base de données Mono'!#REF!,MATCH(B479,'Base de données Mono'!D:D,0)),IF(AND(E479="Gaz",M479="Eté"),INDEX('Base de données Mono'!#REF!,MATCH(B479,'Base de données Mono'!D:D,0)),"-"))))))</f>
        <v>110</v>
      </c>
      <c r="O479" s="123">
        <v>45386</v>
      </c>
      <c r="P479" s="123">
        <v>45389</v>
      </c>
      <c r="Q479" s="34">
        <v>200</v>
      </c>
      <c r="R479" s="33">
        <f t="shared" si="51"/>
        <v>90</v>
      </c>
      <c r="S479" s="34">
        <v>1</v>
      </c>
      <c r="T479" s="34">
        <f t="shared" si="54"/>
        <v>3</v>
      </c>
      <c r="U479" s="33">
        <f t="shared" si="52"/>
        <v>270</v>
      </c>
      <c r="V479" s="38" t="s">
        <v>827</v>
      </c>
      <c r="W479" s="39">
        <f t="shared" si="53"/>
        <v>0.81818181818181823</v>
      </c>
      <c r="X479" s="40" t="s">
        <v>304</v>
      </c>
      <c r="Y479" s="40" t="s">
        <v>284</v>
      </c>
      <c r="Z479" s="95" t="s">
        <v>307</v>
      </c>
      <c r="AA479" s="95" t="s">
        <v>313</v>
      </c>
      <c r="AB479" s="95"/>
      <c r="AC479" s="95"/>
    </row>
    <row r="480" spans="1:29" ht="14.45" hidden="1" customHeight="1" x14ac:dyDescent="0.25">
      <c r="A480" s="36" t="str">
        <f>INDEX('Base de données Mono'!C:C,MATCH(B480,'Base de données Mono'!D:D,0))</f>
        <v>ANNECY COURRIER</v>
      </c>
      <c r="B480" t="s">
        <v>59</v>
      </c>
      <c r="C480" s="36" t="str">
        <f>INDEX('Base de données Mono'!B:B,MATCH(B480,'Base de données Mono'!D:D,0))</f>
        <v>SES8</v>
      </c>
      <c r="D480" s="36" t="str">
        <f>INDEX('Base de données Mono'!A:A,MATCH(B480,'Base de données Mono'!D:D,0))</f>
        <v>JG</v>
      </c>
      <c r="E480" s="37" t="s">
        <v>303</v>
      </c>
      <c r="F480" s="41">
        <f t="shared" si="49"/>
        <v>14</v>
      </c>
      <c r="G480" s="41">
        <f t="shared" si="50"/>
        <v>4</v>
      </c>
      <c r="H480">
        <v>9</v>
      </c>
      <c r="I480" s="131">
        <f>INDEX('Base de données Mono'!K:K,MATCH(B480,'Base de données Mono'!D:D,0))</f>
        <v>0.20833333333333334</v>
      </c>
      <c r="J480" s="131">
        <f>INDEX('Base de données Mono'!L:L,MATCH(B480,'Base de données Mono'!D:D,0))</f>
        <v>0.83333333333333304</v>
      </c>
      <c r="K480" s="131" t="str">
        <f>INDEX('Base de données Mono'!M:M,MATCH(B480,'Base de données Mono'!D:D,0))</f>
        <v>-</v>
      </c>
      <c r="L480" s="131" t="str">
        <f>INDEX('Base de données Mono'!N:N,MATCH(B480,'Base de données Mono'!D:D,0))</f>
        <v>-</v>
      </c>
      <c r="M480" s="33" t="s">
        <v>46</v>
      </c>
      <c r="N480" s="33">
        <f>IF(AND(E480="Electricité",M480="Hiver"),INDEX('Base de données Mono'!E:E,MATCH(B480,'Base de données Mono'!D:D,0)),IF(AND(E480="Electricité",M480="Mi-saison"),INDEX('Base de données Mono'!F:F,MATCH(B480,'Base de données Mono'!D:D,0)),IF(AND(E480="Electricité",M480="Eté"),INDEX('Base de données Mono'!G:G,MATCH(B480,'Base de données Mono'!D:D,0)),IF(AND(E480="Gaz",M480="Hiver"),INDEX('Base de données Mono'!J:J,MATCH(B480,'Base de données Mono'!D:D,0)),IF(AND(E480="Gaz",M480="Mi-saison"),INDEX('Base de données Mono'!#REF!,MATCH(B480,'Base de données Mono'!D:D,0)),IF(AND(E480="Gaz",M480="Eté"),INDEX('Base de données Mono'!#REF!,MATCH(B480,'Base de données Mono'!D:D,0)),"-"))))))</f>
        <v>110</v>
      </c>
      <c r="O480" s="123">
        <v>45383</v>
      </c>
      <c r="P480" s="123">
        <v>45389</v>
      </c>
      <c r="Q480" s="34">
        <v>180</v>
      </c>
      <c r="R480" s="33">
        <f t="shared" si="51"/>
        <v>70</v>
      </c>
      <c r="S480" s="34">
        <v>1</v>
      </c>
      <c r="T480" s="34">
        <f t="shared" si="54"/>
        <v>6</v>
      </c>
      <c r="U480" s="33">
        <f t="shared" si="52"/>
        <v>420</v>
      </c>
      <c r="V480" s="38" t="s">
        <v>827</v>
      </c>
      <c r="W480" s="39">
        <f t="shared" si="53"/>
        <v>0.63636363636363635</v>
      </c>
      <c r="X480" s="40" t="s">
        <v>304</v>
      </c>
      <c r="Y480" s="40" t="s">
        <v>284</v>
      </c>
      <c r="Z480" s="95" t="s">
        <v>307</v>
      </c>
      <c r="AA480" s="95" t="s">
        <v>313</v>
      </c>
      <c r="AB480" s="95"/>
      <c r="AC480" s="95"/>
    </row>
    <row r="481" spans="1:29" ht="14.45" hidden="1" customHeight="1" x14ac:dyDescent="0.25">
      <c r="A481" s="36" t="str">
        <f>INDEX('Base de données Mono'!C:C,MATCH(B481,'Base de données Mono'!D:D,0))</f>
        <v>ANNECY COURRIER</v>
      </c>
      <c r="B481" t="s">
        <v>59</v>
      </c>
      <c r="C481" s="36" t="str">
        <f>INDEX('Base de données Mono'!B:B,MATCH(B481,'Base de données Mono'!D:D,0))</f>
        <v>SES8</v>
      </c>
      <c r="D481" s="36" t="str">
        <f>INDEX('Base de données Mono'!A:A,MATCH(B481,'Base de données Mono'!D:D,0))</f>
        <v>JG</v>
      </c>
      <c r="E481" s="37" t="s">
        <v>303</v>
      </c>
      <c r="F481" s="41">
        <f t="shared" si="49"/>
        <v>14</v>
      </c>
      <c r="G481" s="41">
        <f t="shared" si="50"/>
        <v>4</v>
      </c>
      <c r="H481">
        <v>9</v>
      </c>
      <c r="I481" s="131">
        <f>INDEX('Base de données Mono'!K:K,MATCH(B481,'Base de données Mono'!D:D,0))</f>
        <v>0.20833333333333334</v>
      </c>
      <c r="J481" s="131">
        <f>INDEX('Base de données Mono'!L:L,MATCH(B481,'Base de données Mono'!D:D,0))</f>
        <v>0.83333333333333304</v>
      </c>
      <c r="K481" s="131" t="str">
        <f>INDEX('Base de données Mono'!M:M,MATCH(B481,'Base de données Mono'!D:D,0))</f>
        <v>-</v>
      </c>
      <c r="L481" s="131" t="str">
        <f>INDEX('Base de données Mono'!N:N,MATCH(B481,'Base de données Mono'!D:D,0))</f>
        <v>-</v>
      </c>
      <c r="M481" s="33" t="s">
        <v>46</v>
      </c>
      <c r="N481" s="33">
        <f>IF(AND(E481="Electricité",M481="Hiver"),INDEX('Base de données Mono'!E:E,MATCH(B481,'Base de données Mono'!D:D,0)),IF(AND(E481="Electricité",M481="Mi-saison"),INDEX('Base de données Mono'!F:F,MATCH(B481,'Base de données Mono'!D:D,0)),IF(AND(E481="Electricité",M481="Eté"),INDEX('Base de données Mono'!G:G,MATCH(B481,'Base de données Mono'!D:D,0)),IF(AND(E481="Gaz",M481="Hiver"),INDEX('Base de données Mono'!J:J,MATCH(B481,'Base de données Mono'!D:D,0)),IF(AND(E481="Gaz",M481="Mi-saison"),INDEX('Base de données Mono'!#REF!,MATCH(B481,'Base de données Mono'!D:D,0)),IF(AND(E481="Gaz",M481="Eté"),INDEX('Base de données Mono'!#REF!,MATCH(B481,'Base de données Mono'!D:D,0)),"-"))))))</f>
        <v>110</v>
      </c>
      <c r="O481" s="123">
        <v>45387</v>
      </c>
      <c r="P481" s="123">
        <v>45389</v>
      </c>
      <c r="Q481" s="34">
        <v>155</v>
      </c>
      <c r="R481" s="33">
        <f t="shared" si="51"/>
        <v>45</v>
      </c>
      <c r="S481" s="34">
        <v>7.5</v>
      </c>
      <c r="T481" s="34">
        <f t="shared" si="54"/>
        <v>2</v>
      </c>
      <c r="U481" s="33">
        <f t="shared" si="52"/>
        <v>675</v>
      </c>
      <c r="V481" s="38" t="s">
        <v>827</v>
      </c>
      <c r="W481" s="39">
        <f t="shared" si="53"/>
        <v>0.40909090909090912</v>
      </c>
      <c r="X481" s="40" t="s">
        <v>304</v>
      </c>
      <c r="Y481" s="40" t="s">
        <v>284</v>
      </c>
      <c r="Z481" s="40" t="s">
        <v>305</v>
      </c>
      <c r="AA481" s="33" t="s">
        <v>771</v>
      </c>
      <c r="AB481" s="95"/>
      <c r="AC481" s="95"/>
    </row>
    <row r="482" spans="1:29" ht="14.45" hidden="1" customHeight="1" x14ac:dyDescent="0.25">
      <c r="A482" s="36" t="str">
        <f>INDEX('Base de données Mono'!C:C,MATCH(B482,'Base de données Mono'!D:D,0))</f>
        <v>ANNECY COURRIER</v>
      </c>
      <c r="B482" t="s">
        <v>59</v>
      </c>
      <c r="C482" s="36" t="str">
        <f>INDEX('Base de données Mono'!B:B,MATCH(B482,'Base de données Mono'!D:D,0))</f>
        <v>SES8</v>
      </c>
      <c r="D482" s="36" t="str">
        <f>INDEX('Base de données Mono'!A:A,MATCH(B482,'Base de données Mono'!D:D,0))</f>
        <v>JG</v>
      </c>
      <c r="E482" s="37" t="s">
        <v>303</v>
      </c>
      <c r="F482" s="41">
        <f t="shared" si="49"/>
        <v>14</v>
      </c>
      <c r="G482" s="41">
        <f t="shared" si="50"/>
        <v>4</v>
      </c>
      <c r="H482">
        <v>9</v>
      </c>
      <c r="I482" s="131">
        <f>INDEX('Base de données Mono'!K:K,MATCH(B482,'Base de données Mono'!D:D,0))</f>
        <v>0.20833333333333334</v>
      </c>
      <c r="J482" s="131">
        <f>INDEX('Base de données Mono'!L:L,MATCH(B482,'Base de données Mono'!D:D,0))</f>
        <v>0.83333333333333304</v>
      </c>
      <c r="K482" s="131" t="str">
        <f>INDEX('Base de données Mono'!M:M,MATCH(B482,'Base de données Mono'!D:D,0))</f>
        <v>-</v>
      </c>
      <c r="L482" s="131" t="str">
        <f>INDEX('Base de données Mono'!N:N,MATCH(B482,'Base de données Mono'!D:D,0))</f>
        <v>-</v>
      </c>
      <c r="M482" s="33" t="s">
        <v>46</v>
      </c>
      <c r="N482" s="33">
        <f>IF(AND(E482="Electricité",M482="Hiver"),INDEX('Base de données Mono'!E:E,MATCH(B482,'Base de données Mono'!D:D,0)),IF(AND(E482="Electricité",M482="Mi-saison"),INDEX('Base de données Mono'!F:F,MATCH(B482,'Base de données Mono'!D:D,0)),IF(AND(E482="Electricité",M482="Eté"),INDEX('Base de données Mono'!G:G,MATCH(B482,'Base de données Mono'!D:D,0)),IF(AND(E482="Gaz",M482="Hiver"),INDEX('Base de données Mono'!J:J,MATCH(B482,'Base de données Mono'!D:D,0)),IF(AND(E482="Gaz",M482="Mi-saison"),INDEX('Base de données Mono'!#REF!,MATCH(B482,'Base de données Mono'!D:D,0)),IF(AND(E482="Gaz",M482="Eté"),INDEX('Base de données Mono'!#REF!,MATCH(B482,'Base de données Mono'!D:D,0)),"-"))))))</f>
        <v>110</v>
      </c>
      <c r="O482" s="123">
        <v>45389</v>
      </c>
      <c r="P482" s="123">
        <v>45389</v>
      </c>
      <c r="Q482" s="34">
        <v>160</v>
      </c>
      <c r="R482" s="33">
        <f t="shared" si="51"/>
        <v>50</v>
      </c>
      <c r="S482" s="34">
        <v>15</v>
      </c>
      <c r="T482" s="34">
        <v>1</v>
      </c>
      <c r="U482" s="33">
        <f t="shared" si="52"/>
        <v>750</v>
      </c>
      <c r="V482" s="38" t="s">
        <v>827</v>
      </c>
      <c r="W482" s="39">
        <f t="shared" si="53"/>
        <v>0.45454545454545453</v>
      </c>
      <c r="X482" s="40" t="s">
        <v>730</v>
      </c>
      <c r="Y482" s="40" t="s">
        <v>284</v>
      </c>
      <c r="Z482" s="40" t="s">
        <v>305</v>
      </c>
      <c r="AA482" s="33" t="s">
        <v>771</v>
      </c>
      <c r="AB482" s="95"/>
      <c r="AC482" s="95"/>
    </row>
    <row r="483" spans="1:29" ht="14.45" hidden="1" customHeight="1" x14ac:dyDescent="0.25">
      <c r="A483" s="36" t="str">
        <f>INDEX('Base de données Mono'!C:C,MATCH(B483,'Base de données Mono'!D:D,0))</f>
        <v>MARSEILLE CANNEBIERE</v>
      </c>
      <c r="B483" t="s">
        <v>24</v>
      </c>
      <c r="C483" s="36" t="str">
        <f>INDEX('Base de données Mono'!B:B,MATCH(B483,'Base de données Mono'!D:D,0))</f>
        <v>SES8</v>
      </c>
      <c r="D483" s="36" t="str">
        <f>INDEX('Base de données Mono'!A:A,MATCH(B483,'Base de données Mono'!D:D,0))</f>
        <v>JG</v>
      </c>
      <c r="E483" s="37" t="s">
        <v>303</v>
      </c>
      <c r="F483" s="41">
        <f>IF(O483="","-",IF(AND(X483="Nuit",WEEKDAY(O483,2)=7,O483&lt;&gt;P483),WEEKNUM(O483,2),WEEKNUM(O483,2)-1))+1</f>
        <v>14</v>
      </c>
      <c r="G483" s="41">
        <f>IF(O483="","-",MONTH(O483))</f>
        <v>4</v>
      </c>
      <c r="H483">
        <v>6.5</v>
      </c>
      <c r="I483" s="131">
        <f>INDEX('Base de données Mono'!K:K,MATCH(B483,'Base de données Mono'!D:D,0))</f>
        <v>0.14583333333333334</v>
      </c>
      <c r="J483" s="131">
        <f>INDEX('Base de données Mono'!L:L,MATCH(B483,'Base de données Mono'!D:D,0))</f>
        <v>0.875</v>
      </c>
      <c r="K483" s="131">
        <f>INDEX('Base de données Mono'!M:M,MATCH(B483,'Base de données Mono'!D:D,0))</f>
        <v>0.28472222222222221</v>
      </c>
      <c r="L483" s="131">
        <f>INDEX('Base de données Mono'!N:N,MATCH(B483,'Base de données Mono'!D:D,0))</f>
        <v>0.54166666666666663</v>
      </c>
      <c r="M483" s="33" t="s">
        <v>46</v>
      </c>
      <c r="N483" s="33">
        <f>IF(AND(E483="Electricité",M483="Hiver"),INDEX('Base de données Mono'!E:E,MATCH(B483,'Base de données Mono'!D:D,0)),IF(AND(E483="Electricité",M483="Mi-saison"),INDEX('Base de données Mono'!F:F,MATCH(B483,'Base de données Mono'!D:D,0)),IF(AND(E483="Electricité",M483="Eté"),INDEX('Base de données Mono'!G:G,MATCH(B483,'Base de données Mono'!D:D,0)),IF(AND(E483="Gaz",M483="Hiver"),INDEX('Base de données Mono'!J:J,MATCH(B483,'Base de données Mono'!D:D,0)),IF(AND(E483="Gaz",M483="Mi-saison"),INDEX('Base de données Mono'!#REF!,MATCH(B483,'Base de données Mono'!D:D,0)),IF(AND(E483="Gaz",M483="Eté"),INDEX('Base de données Mono'!#REF!,MATCH(B483,'Base de données Mono'!D:D,0)),"-"))))))</f>
        <v>100</v>
      </c>
      <c r="O483" s="123">
        <v>45383</v>
      </c>
      <c r="P483" s="123">
        <v>45384</v>
      </c>
      <c r="Q483" s="34">
        <v>140</v>
      </c>
      <c r="R483" s="33">
        <f>IF(Q483="","",Q483-N483)</f>
        <v>40</v>
      </c>
      <c r="S483" s="34">
        <v>6.5</v>
      </c>
      <c r="T483" s="34">
        <f>P483-O483</f>
        <v>1</v>
      </c>
      <c r="U483" s="33">
        <f>R483*S483*T483</f>
        <v>260</v>
      </c>
      <c r="V483" s="38" t="s">
        <v>827</v>
      </c>
      <c r="W483" s="39">
        <f>IFERROR(IF(E483="Gaz","-",R483/N483),"-")</f>
        <v>0.4</v>
      </c>
      <c r="X483" s="40" t="s">
        <v>304</v>
      </c>
      <c r="Y483" s="40" t="s">
        <v>283</v>
      </c>
      <c r="Z483" s="40" t="s">
        <v>749</v>
      </c>
      <c r="AA483" s="33" t="s">
        <v>749</v>
      </c>
      <c r="AB483" s="95"/>
      <c r="AC483" s="95" t="s">
        <v>840</v>
      </c>
    </row>
    <row r="484" spans="1:29" ht="14.45" hidden="1" customHeight="1" x14ac:dyDescent="0.25">
      <c r="A484" s="36" t="str">
        <f>INDEX('Base de données Mono'!C:C,MATCH(B484,'Base de données Mono'!D:D,0))</f>
        <v>MARSEILLE CANNEBIERE</v>
      </c>
      <c r="B484" t="s">
        <v>24</v>
      </c>
      <c r="C484" s="36" t="str">
        <f>INDEX('Base de données Mono'!B:B,MATCH(B484,'Base de données Mono'!D:D,0))</f>
        <v>SES8</v>
      </c>
      <c r="D484" s="36" t="str">
        <f>INDEX('Base de données Mono'!A:A,MATCH(B484,'Base de données Mono'!D:D,0))</f>
        <v>JG</v>
      </c>
      <c r="E484" s="37" t="s">
        <v>303</v>
      </c>
      <c r="F484" s="41">
        <f>IF(O484="","-",IF(AND(X484="Nuit",WEEKDAY(O484,2)=7,O484&lt;&gt;P484),WEEKNUM(O484,2),WEEKNUM(O484,2)-1))+1</f>
        <v>14</v>
      </c>
      <c r="G484" s="41">
        <f>IF(O484="","-",MONTH(O484))</f>
        <v>4</v>
      </c>
      <c r="H484">
        <v>6.5</v>
      </c>
      <c r="I484" s="131">
        <f>INDEX('Base de données Mono'!K:K,MATCH(B484,'Base de données Mono'!D:D,0))</f>
        <v>0.14583333333333334</v>
      </c>
      <c r="J484" s="131">
        <f>INDEX('Base de données Mono'!L:L,MATCH(B484,'Base de données Mono'!D:D,0))</f>
        <v>0.875</v>
      </c>
      <c r="K484" s="131">
        <f>INDEX('Base de données Mono'!M:M,MATCH(B484,'Base de données Mono'!D:D,0))</f>
        <v>0.28472222222222221</v>
      </c>
      <c r="L484" s="131">
        <f>INDEX('Base de données Mono'!N:N,MATCH(B484,'Base de données Mono'!D:D,0))</f>
        <v>0.54166666666666663</v>
      </c>
      <c r="M484" s="33" t="s">
        <v>46</v>
      </c>
      <c r="N484" s="33">
        <f>IF(AND(E484="Electricité",M484="Hiver"),INDEX('Base de données Mono'!E:E,MATCH(B484,'Base de données Mono'!D:D,0)),IF(AND(E484="Electricité",M484="Mi-saison"),INDEX('Base de données Mono'!F:F,MATCH(B484,'Base de données Mono'!D:D,0)),IF(AND(E484="Electricité",M484="Eté"),INDEX('Base de données Mono'!G:G,MATCH(B484,'Base de données Mono'!D:D,0)),IF(AND(E484="Gaz",M484="Hiver"),INDEX('Base de données Mono'!J:J,MATCH(B484,'Base de données Mono'!D:D,0)),IF(AND(E484="Gaz",M484="Mi-saison"),INDEX('Base de données Mono'!#REF!,MATCH(B484,'Base de données Mono'!D:D,0)),IF(AND(E484="Gaz",M484="Eté"),INDEX('Base de données Mono'!#REF!,MATCH(B484,'Base de données Mono'!D:D,0)),"-"))))))</f>
        <v>100</v>
      </c>
      <c r="O484" s="123">
        <v>45384</v>
      </c>
      <c r="P484" s="123">
        <v>45385</v>
      </c>
      <c r="Q484" s="34">
        <v>110</v>
      </c>
      <c r="R484" s="33">
        <f>IF(Q484="","",Q484-N484)</f>
        <v>10</v>
      </c>
      <c r="S484" s="34">
        <v>6.5</v>
      </c>
      <c r="T484" s="34">
        <f>P484-O484</f>
        <v>1</v>
      </c>
      <c r="U484" s="33">
        <f>R484*S484*T484</f>
        <v>65</v>
      </c>
      <c r="V484" s="38" t="s">
        <v>827</v>
      </c>
      <c r="W484" s="39">
        <f>IFERROR(IF(E484="Gaz","-",R484/N484),"-")</f>
        <v>0.1</v>
      </c>
      <c r="X484" s="40" t="s">
        <v>304</v>
      </c>
      <c r="Y484" s="40" t="s">
        <v>284</v>
      </c>
      <c r="Z484" s="40" t="s">
        <v>305</v>
      </c>
      <c r="AA484" s="33" t="s">
        <v>771</v>
      </c>
      <c r="AB484" s="95"/>
      <c r="AC484" s="95"/>
    </row>
    <row r="485" spans="1:29" ht="14.45" hidden="1" customHeight="1" x14ac:dyDescent="0.25">
      <c r="A485" s="36" t="str">
        <f>INDEX('Base de données Mono'!C:C,MATCH(B485,'Base de données Mono'!D:D,0))</f>
        <v>MARSEILLE CANNEBIERE</v>
      </c>
      <c r="B485" t="s">
        <v>24</v>
      </c>
      <c r="C485" s="36" t="str">
        <f>INDEX('Base de données Mono'!B:B,MATCH(B485,'Base de données Mono'!D:D,0))</f>
        <v>SES8</v>
      </c>
      <c r="D485" s="36" t="str">
        <f>INDEX('Base de données Mono'!A:A,MATCH(B485,'Base de données Mono'!D:D,0))</f>
        <v>JG</v>
      </c>
      <c r="E485" s="37" t="s">
        <v>303</v>
      </c>
      <c r="F485" s="41">
        <f>IF(O485="","-",IF(AND(X485="Nuit",WEEKDAY(O485,2)=7,O485&lt;&gt;P485),WEEKNUM(O485,2),WEEKNUM(O485,2)-1))+1</f>
        <v>14</v>
      </c>
      <c r="G485" s="41">
        <f>IF(O485="","-",MONTH(O485))</f>
        <v>4</v>
      </c>
      <c r="H485">
        <v>6.5</v>
      </c>
      <c r="I485" s="131">
        <f>INDEX('Base de données Mono'!K:K,MATCH(B485,'Base de données Mono'!D:D,0))</f>
        <v>0.14583333333333334</v>
      </c>
      <c r="J485" s="131">
        <f>INDEX('Base de données Mono'!L:L,MATCH(B485,'Base de données Mono'!D:D,0))</f>
        <v>0.875</v>
      </c>
      <c r="K485" s="131">
        <f>INDEX('Base de données Mono'!M:M,MATCH(B485,'Base de données Mono'!D:D,0))</f>
        <v>0.28472222222222221</v>
      </c>
      <c r="L485" s="131">
        <f>INDEX('Base de données Mono'!N:N,MATCH(B485,'Base de données Mono'!D:D,0))</f>
        <v>0.54166666666666663</v>
      </c>
      <c r="M485" s="33" t="s">
        <v>46</v>
      </c>
      <c r="N485" s="33">
        <f>IF(AND(E485="Electricité",M485="Hiver"),INDEX('Base de données Mono'!E:E,MATCH(B485,'Base de données Mono'!D:D,0)),IF(AND(E485="Electricité",M485="Mi-saison"),INDEX('Base de données Mono'!F:F,MATCH(B485,'Base de données Mono'!D:D,0)),IF(AND(E485="Electricité",M485="Eté"),INDEX('Base de données Mono'!G:G,MATCH(B485,'Base de données Mono'!D:D,0)),IF(AND(E485="Gaz",M485="Hiver"),INDEX('Base de données Mono'!J:J,MATCH(B485,'Base de données Mono'!D:D,0)),IF(AND(E485="Gaz",M485="Mi-saison"),INDEX('Base de données Mono'!#REF!,MATCH(B485,'Base de données Mono'!D:D,0)),IF(AND(E485="Gaz",M485="Eté"),INDEX('Base de données Mono'!#REF!,MATCH(B485,'Base de données Mono'!D:D,0)),"-"))))))</f>
        <v>100</v>
      </c>
      <c r="O485" s="123">
        <v>45389</v>
      </c>
      <c r="P485" s="123">
        <v>45389</v>
      </c>
      <c r="Q485" s="34">
        <v>110</v>
      </c>
      <c r="R485" s="33">
        <f>IF(Q485="","",Q485-N485)</f>
        <v>10</v>
      </c>
      <c r="S485" s="34">
        <v>8</v>
      </c>
      <c r="T485" s="34">
        <v>1</v>
      </c>
      <c r="U485" s="33">
        <f>R485*S485*T485</f>
        <v>80</v>
      </c>
      <c r="V485" s="38" t="s">
        <v>827</v>
      </c>
      <c r="W485" s="39">
        <f>IFERROR(IF(E485="Gaz","-",R485/N485),"-")</f>
        <v>0.1</v>
      </c>
      <c r="X485" s="40" t="s">
        <v>730</v>
      </c>
      <c r="Y485" s="40" t="s">
        <v>284</v>
      </c>
      <c r="Z485" s="40" t="s">
        <v>305</v>
      </c>
      <c r="AA485" s="33" t="s">
        <v>771</v>
      </c>
      <c r="AB485" s="95"/>
      <c r="AC485" s="95"/>
    </row>
    <row r="486" spans="1:29" ht="14.45" hidden="1" customHeight="1" x14ac:dyDescent="0.25">
      <c r="A486" s="36" t="str">
        <f>INDEX('Base de données Mono'!C:C,MATCH(B486,'Base de données Mono'!D:D,0))</f>
        <v>MARSEILLE CANNEBIERE</v>
      </c>
      <c r="B486" t="s">
        <v>24</v>
      </c>
      <c r="C486" s="36" t="str">
        <f>INDEX('Base de données Mono'!B:B,MATCH(B486,'Base de données Mono'!D:D,0))</f>
        <v>SES8</v>
      </c>
      <c r="D486" s="36" t="str">
        <f>INDEX('Base de données Mono'!A:A,MATCH(B486,'Base de données Mono'!D:D,0))</f>
        <v>JG</v>
      </c>
      <c r="E486" s="37" t="s">
        <v>303</v>
      </c>
      <c r="F486" s="41">
        <f t="shared" si="49"/>
        <v>15</v>
      </c>
      <c r="G486" s="41">
        <f t="shared" si="50"/>
        <v>4</v>
      </c>
      <c r="H486">
        <v>6.5</v>
      </c>
      <c r="I486" s="131">
        <f>INDEX('Base de données Mono'!K:K,MATCH(B486,'Base de données Mono'!D:D,0))</f>
        <v>0.14583333333333334</v>
      </c>
      <c r="J486" s="131">
        <f>INDEX('Base de données Mono'!L:L,MATCH(B486,'Base de données Mono'!D:D,0))</f>
        <v>0.875</v>
      </c>
      <c r="K486" s="131">
        <f>INDEX('Base de données Mono'!M:M,MATCH(B486,'Base de données Mono'!D:D,0))</f>
        <v>0.28472222222222221</v>
      </c>
      <c r="L486" s="131">
        <f>INDEX('Base de données Mono'!N:N,MATCH(B486,'Base de données Mono'!D:D,0))</f>
        <v>0.54166666666666663</v>
      </c>
      <c r="M486" s="33" t="s">
        <v>46</v>
      </c>
      <c r="N486" s="33">
        <f>IF(AND(E486="Electricité",M486="Hiver"),INDEX('Base de données Mono'!E:E,MATCH(B486,'Base de données Mono'!D:D,0)),IF(AND(E486="Electricité",M486="Mi-saison"),INDEX('Base de données Mono'!F:F,MATCH(B486,'Base de données Mono'!D:D,0)),IF(AND(E486="Electricité",M486="Eté"),INDEX('Base de données Mono'!G:G,MATCH(B486,'Base de données Mono'!D:D,0)),IF(AND(E486="Gaz",M486="Hiver"),INDEX('Base de données Mono'!J:J,MATCH(B486,'Base de données Mono'!D:D,0)),IF(AND(E486="Gaz",M486="Mi-saison"),INDEX('Base de données Mono'!#REF!,MATCH(B486,'Base de données Mono'!D:D,0)),IF(AND(E486="Gaz",M486="Eté"),INDEX('Base de données Mono'!#REF!,MATCH(B486,'Base de données Mono'!D:D,0)),"-"))))))</f>
        <v>100</v>
      </c>
      <c r="O486" s="123">
        <v>45389</v>
      </c>
      <c r="P486" s="123">
        <v>45393</v>
      </c>
      <c r="Q486" s="34">
        <v>110</v>
      </c>
      <c r="R486" s="33">
        <f>IF(Q486="","",Q486-N486)</f>
        <v>10</v>
      </c>
      <c r="S486" s="34">
        <v>2</v>
      </c>
      <c r="T486" s="34">
        <f>P486-O486</f>
        <v>4</v>
      </c>
      <c r="U486" s="33">
        <f>R486*S486*T486</f>
        <v>80</v>
      </c>
      <c r="V486" s="38" t="s">
        <v>827</v>
      </c>
      <c r="W486" s="39">
        <f>IFERROR(IF(E486="Gaz","-",R486/N486),"-")</f>
        <v>0.1</v>
      </c>
      <c r="X486" s="40" t="s">
        <v>304</v>
      </c>
      <c r="Y486" s="40" t="s">
        <v>284</v>
      </c>
      <c r="Z486" s="40" t="s">
        <v>305</v>
      </c>
      <c r="AA486" s="33" t="s">
        <v>771</v>
      </c>
      <c r="AB486" s="95"/>
      <c r="AC486" s="95"/>
    </row>
    <row r="487" spans="1:29" ht="14.45" hidden="1" customHeight="1" x14ac:dyDescent="0.25">
      <c r="A487" s="36" t="str">
        <f>INDEX('Base de données Mono'!C:C,MATCH(B487,'Base de données Mono'!D:D,0))</f>
        <v>LANNEMEZAN</v>
      </c>
      <c r="B487" t="s">
        <v>150</v>
      </c>
      <c r="C487" s="36" t="str">
        <f>INDEX('Base de données Mono'!B:B,MATCH(B487,'Base de données Mono'!D:D,0))</f>
        <v>Fin CPE</v>
      </c>
      <c r="D487" s="36" t="str">
        <f>INDEX('Base de données Mono'!A:A,MATCH(B487,'Base de données Mono'!D:D,0))</f>
        <v>AD</v>
      </c>
      <c r="E487" s="37" t="s">
        <v>303</v>
      </c>
      <c r="F487" s="41">
        <f t="shared" si="49"/>
        <v>14</v>
      </c>
      <c r="G487" s="41">
        <f t="shared" si="50"/>
        <v>4</v>
      </c>
      <c r="H487">
        <v>9</v>
      </c>
      <c r="I487" s="131">
        <f>INDEX('Base de données Mono'!K:K,MATCH(B487,'Base de données Mono'!D:D,0))</f>
        <v>0.20833333333333334</v>
      </c>
      <c r="J487" s="131">
        <f>INDEX('Base de données Mono'!L:L,MATCH(B487,'Base de données Mono'!D:D,0))</f>
        <v>0.83333333333333337</v>
      </c>
      <c r="K487" s="131">
        <f>INDEX('Base de données Mono'!M:M,MATCH(B487,'Base de données Mono'!D:D,0))</f>
        <v>0.20833333333333334</v>
      </c>
      <c r="L487" s="131">
        <f>INDEX('Base de données Mono'!N:N,MATCH(B487,'Base de données Mono'!D:D,0))</f>
        <v>0.58333333333333337</v>
      </c>
      <c r="M487" s="33" t="s">
        <v>46</v>
      </c>
      <c r="N487" s="33">
        <f>IF(AND(E487="Electricité",M487="Hiver"),INDEX('Base de données Mono'!E:E,MATCH(B487,'Base de données Mono'!D:D,0)),IF(AND(E487="Electricité",M487="Mi-saison"),INDEX('Base de données Mono'!F:F,MATCH(B487,'Base de données Mono'!D:D,0)),IF(AND(E487="Electricité",M487="Eté"),INDEX('Base de données Mono'!G:G,MATCH(B487,'Base de données Mono'!D:D,0)),IF(AND(E487="Gaz",M487="Hiver"),INDEX('Base de données Mono'!J:J,MATCH(B487,'Base de données Mono'!D:D,0)),IF(AND(E487="Gaz",M487="Mi-saison"),INDEX('Base de données Mono'!#REF!,MATCH(B487,'Base de données Mono'!D:D,0)),IF(AND(E487="Gaz",M487="Eté"),INDEX('Base de données Mono'!#REF!,MATCH(B487,'Base de données Mono'!D:D,0)),"-"))))))</f>
        <v>15</v>
      </c>
      <c r="O487" s="123">
        <v>45383</v>
      </c>
      <c r="P487" s="123">
        <v>45384</v>
      </c>
      <c r="Q487" s="34">
        <v>20</v>
      </c>
      <c r="R487" s="33">
        <f t="shared" si="51"/>
        <v>5</v>
      </c>
      <c r="S487" s="34">
        <v>9</v>
      </c>
      <c r="T487" s="34">
        <f t="shared" si="54"/>
        <v>1</v>
      </c>
      <c r="U487" s="33">
        <f t="shared" si="52"/>
        <v>45</v>
      </c>
      <c r="V487" s="38" t="s">
        <v>827</v>
      </c>
      <c r="W487" s="39">
        <f t="shared" si="53"/>
        <v>0.33333333333333331</v>
      </c>
      <c r="X487" s="40" t="s">
        <v>304</v>
      </c>
      <c r="Y487" s="40" t="s">
        <v>283</v>
      </c>
      <c r="Z487" s="40" t="s">
        <v>749</v>
      </c>
      <c r="AA487" s="33" t="s">
        <v>749</v>
      </c>
      <c r="AB487" s="95"/>
      <c r="AC487" s="95"/>
    </row>
    <row r="488" spans="1:29" ht="14.45" hidden="1" customHeight="1" x14ac:dyDescent="0.25">
      <c r="A488" s="36" t="str">
        <f>INDEX('Base de données Mono'!C:C,MATCH(B488,'Base de données Mono'!D:D,0))</f>
        <v>TROUVILLE</v>
      </c>
      <c r="B488" t="s">
        <v>256</v>
      </c>
      <c r="C488" s="36" t="str">
        <f>INDEX('Base de données Mono'!B:B,MATCH(B488,'Base de données Mono'!D:D,0))</f>
        <v>Monoprix</v>
      </c>
      <c r="D488" s="36" t="str">
        <f>INDEX('Base de données Mono'!A:A,MATCH(B488,'Base de données Mono'!D:D,0))</f>
        <v>AD</v>
      </c>
      <c r="E488" s="37" t="s">
        <v>303</v>
      </c>
      <c r="F488" s="41">
        <f t="shared" si="49"/>
        <v>14</v>
      </c>
      <c r="G488" s="41">
        <f t="shared" si="50"/>
        <v>4</v>
      </c>
      <c r="H488">
        <v>8.25</v>
      </c>
      <c r="I488" s="131">
        <f>INDEX('Base de données Mono'!K:K,MATCH(B488,'Base de données Mono'!D:D,0))</f>
        <v>0.22916666666666666</v>
      </c>
      <c r="J488" s="131">
        <f>INDEX('Base de données Mono'!L:L,MATCH(B488,'Base de données Mono'!D:D,0))</f>
        <v>0.88541666666666663</v>
      </c>
      <c r="K488" s="131">
        <f>INDEX('Base de données Mono'!M:M,MATCH(B488,'Base de données Mono'!D:D,0))</f>
        <v>0.29166666666666669</v>
      </c>
      <c r="L488" s="131">
        <f>INDEX('Base de données Mono'!N:N,MATCH(B488,'Base de données Mono'!D:D,0))</f>
        <v>0.55208333333333337</v>
      </c>
      <c r="M488" s="33" t="s">
        <v>46</v>
      </c>
      <c r="N488" s="33">
        <f>IF(AND(E488="Electricité",M488="Hiver"),INDEX('Base de données Mono'!E:E,MATCH(B488,'Base de données Mono'!D:D,0)),IF(AND(E488="Electricité",M488="Mi-saison"),INDEX('Base de données Mono'!F:F,MATCH(B488,'Base de données Mono'!D:D,0)),IF(AND(E488="Electricité",M488="Eté"),INDEX('Base de données Mono'!G:G,MATCH(B488,'Base de données Mono'!D:D,0)),IF(AND(E488="Gaz",M488="Hiver"),INDEX('Base de données Mono'!J:J,MATCH(B488,'Base de données Mono'!D:D,0)),IF(AND(E488="Gaz",M488="Mi-saison"),INDEX('Base de données Mono'!#REF!,MATCH(B488,'Base de données Mono'!D:D,0)),IF(AND(E488="Gaz",M488="Eté"),INDEX('Base de données Mono'!#REF!,MATCH(B488,'Base de données Mono'!D:D,0)),"-"))))))</f>
        <v>25</v>
      </c>
      <c r="O488" s="123">
        <v>45384</v>
      </c>
      <c r="P488" s="123">
        <v>45385</v>
      </c>
      <c r="Q488" s="34">
        <v>35</v>
      </c>
      <c r="R488" s="33">
        <f t="shared" si="51"/>
        <v>10</v>
      </c>
      <c r="S488" s="34">
        <v>1</v>
      </c>
      <c r="T488" s="34">
        <f t="shared" si="54"/>
        <v>1</v>
      </c>
      <c r="U488" s="33">
        <f t="shared" si="52"/>
        <v>10</v>
      </c>
      <c r="V488" s="38" t="s">
        <v>827</v>
      </c>
      <c r="W488" s="39">
        <f t="shared" si="53"/>
        <v>0.4</v>
      </c>
      <c r="X488" s="40" t="s">
        <v>304</v>
      </c>
      <c r="Y488" s="40" t="s">
        <v>283</v>
      </c>
      <c r="Z488" s="40" t="s">
        <v>749</v>
      </c>
      <c r="AA488" s="33" t="s">
        <v>749</v>
      </c>
      <c r="AB488" s="95"/>
      <c r="AC488" s="95"/>
    </row>
    <row r="489" spans="1:29" ht="14.45" hidden="1" customHeight="1" x14ac:dyDescent="0.25">
      <c r="A489" s="36" t="str">
        <f>INDEX('Base de données Mono'!C:C,MATCH(B489,'Base de données Mono'!D:D,0))</f>
        <v>BROTTEAUX</v>
      </c>
      <c r="B489" t="s">
        <v>87</v>
      </c>
      <c r="C489" s="36" t="str">
        <f>INDEX('Base de données Mono'!B:B,MATCH(B489,'Base de données Mono'!D:D,0))</f>
        <v>Monoprix</v>
      </c>
      <c r="D489" s="36" t="str">
        <f>INDEX('Base de données Mono'!A:A,MATCH(B489,'Base de données Mono'!D:D,0))</f>
        <v>JG</v>
      </c>
      <c r="E489" s="37" t="s">
        <v>303</v>
      </c>
      <c r="F489" s="41">
        <f t="shared" si="49"/>
        <v>14</v>
      </c>
      <c r="G489" s="41">
        <f t="shared" si="50"/>
        <v>4</v>
      </c>
      <c r="H489">
        <v>8.5</v>
      </c>
      <c r="I489" s="131">
        <f>INDEX('Base de données Mono'!K:K,MATCH(B489,'Base de données Mono'!D:D,0))</f>
        <v>0.25</v>
      </c>
      <c r="J489" s="131">
        <f>INDEX('Base de données Mono'!L:L,MATCH(B489,'Base de données Mono'!D:D,0))</f>
        <v>0.89583333333333337</v>
      </c>
      <c r="K489" s="131">
        <f>INDEX('Base de données Mono'!M:M,MATCH(B489,'Base de données Mono'!D:D,0))</f>
        <v>0.29166666666666669</v>
      </c>
      <c r="L489" s="131">
        <f>INDEX('Base de données Mono'!N:N,MATCH(B489,'Base de données Mono'!D:D,0))</f>
        <v>0.54166666666666696</v>
      </c>
      <c r="M489" s="33" t="s">
        <v>46</v>
      </c>
      <c r="N489" s="33">
        <f>IF(AND(E489="Electricité",M489="Hiver"),INDEX('Base de données Mono'!E:E,MATCH(B489,'Base de données Mono'!D:D,0)),IF(AND(E489="Electricité",M489="Mi-saison"),INDEX('Base de données Mono'!F:F,MATCH(B489,'Base de données Mono'!D:D,0)),IF(AND(E489="Electricité",M489="Eté"),INDEX('Base de données Mono'!G:G,MATCH(B489,'Base de données Mono'!D:D,0)),IF(AND(E489="Gaz",M489="Hiver"),INDEX('Base de données Mono'!J:J,MATCH(B489,'Base de données Mono'!D:D,0)),IF(AND(E489="Gaz",M489="Mi-saison"),INDEX('Base de données Mono'!#REF!,MATCH(B489,'Base de données Mono'!D:D,0)),IF(AND(E489="Gaz",M489="Eté"),INDEX('Base de données Mono'!#REF!,MATCH(B489,'Base de données Mono'!D:D,0)),"-"))))))</f>
        <v>20</v>
      </c>
      <c r="O489" s="123">
        <v>45383</v>
      </c>
      <c r="P489" s="123">
        <v>45389</v>
      </c>
      <c r="Q489" s="34">
        <v>25</v>
      </c>
      <c r="R489" s="33">
        <f t="shared" si="51"/>
        <v>5</v>
      </c>
      <c r="S489" s="34">
        <v>1</v>
      </c>
      <c r="T489" s="34">
        <f t="shared" si="54"/>
        <v>6</v>
      </c>
      <c r="U489" s="33">
        <f t="shared" si="52"/>
        <v>30</v>
      </c>
      <c r="V489" s="38" t="s">
        <v>827</v>
      </c>
      <c r="W489" s="39">
        <f t="shared" si="53"/>
        <v>0.25</v>
      </c>
      <c r="X489" s="40" t="s">
        <v>304</v>
      </c>
      <c r="Y489" s="40" t="s">
        <v>283</v>
      </c>
      <c r="Z489" s="40" t="s">
        <v>749</v>
      </c>
      <c r="AA489" s="33" t="s">
        <v>749</v>
      </c>
      <c r="AB489" s="95"/>
      <c r="AC489" s="95"/>
    </row>
    <row r="490" spans="1:29" ht="14.45" hidden="1" customHeight="1" x14ac:dyDescent="0.25">
      <c r="A490" s="36" t="str">
        <f>INDEX('Base de données Mono'!C:C,MATCH(B490,'Base de données Mono'!D:D,0))</f>
        <v>BRUNOY</v>
      </c>
      <c r="B490" t="s">
        <v>89</v>
      </c>
      <c r="C490" s="36" t="str">
        <f>INDEX('Base de données Mono'!B:B,MATCH(B490,'Base de données Mono'!D:D,0))</f>
        <v>Monoprix</v>
      </c>
      <c r="D490" s="36" t="str">
        <f>INDEX('Base de données Mono'!A:A,MATCH(B490,'Base de données Mono'!D:D,0))</f>
        <v>JG</v>
      </c>
      <c r="E490" s="37" t="s">
        <v>303</v>
      </c>
      <c r="F490" s="41">
        <f t="shared" ref="F490:F546" si="55">IF(O490="","-",IF(AND(X490="Nuit",WEEKDAY(O490,2)=7,O490&lt;&gt;P490),WEEKNUM(O490,2),WEEKNUM(O490,2)-1))+1</f>
        <v>14</v>
      </c>
      <c r="G490" s="41">
        <f t="shared" ref="G490:G546" si="56">IF(O490="","-",MONTH(O490))</f>
        <v>4</v>
      </c>
      <c r="H490">
        <v>9</v>
      </c>
      <c r="I490" s="131">
        <f>INDEX('Base de données Mono'!K:K,MATCH(B490,'Base de données Mono'!D:D,0))</f>
        <v>0.25</v>
      </c>
      <c r="J490" s="131">
        <f>INDEX('Base de données Mono'!L:L,MATCH(B490,'Base de données Mono'!D:D,0))</f>
        <v>0.875</v>
      </c>
      <c r="K490" s="131">
        <f>INDEX('Base de données Mono'!M:M,MATCH(B490,'Base de données Mono'!D:D,0))</f>
        <v>0.28472222222222221</v>
      </c>
      <c r="L490" s="131">
        <f>INDEX('Base de données Mono'!N:N,MATCH(B490,'Base de données Mono'!D:D,0))</f>
        <v>0.54166666666666663</v>
      </c>
      <c r="M490" s="33" t="s">
        <v>46</v>
      </c>
      <c r="N490" s="33">
        <f>IF(AND(E490="Electricité",M490="Hiver"),INDEX('Base de données Mono'!E:E,MATCH(B490,'Base de données Mono'!D:D,0)),IF(AND(E490="Electricité",M490="Mi-saison"),INDEX('Base de données Mono'!F:F,MATCH(B490,'Base de données Mono'!D:D,0)),IF(AND(E490="Electricité",M490="Eté"),INDEX('Base de données Mono'!G:G,MATCH(B490,'Base de données Mono'!D:D,0)),IF(AND(E490="Gaz",M490="Hiver"),INDEX('Base de données Mono'!J:J,MATCH(B490,'Base de données Mono'!D:D,0)),IF(AND(E490="Gaz",M490="Mi-saison"),INDEX('Base de données Mono'!#REF!,MATCH(B490,'Base de données Mono'!D:D,0)),IF(AND(E490="Gaz",M490="Eté"),INDEX('Base de données Mono'!#REF!,MATCH(B490,'Base de données Mono'!D:D,0)),"-"))))))</f>
        <v>45</v>
      </c>
      <c r="O490" s="123">
        <v>45383</v>
      </c>
      <c r="P490" s="123">
        <v>45388</v>
      </c>
      <c r="Q490" s="34">
        <v>55</v>
      </c>
      <c r="R490" s="33">
        <f t="shared" ref="R490:R546" si="57">IF(Q490="","",Q490-N490)</f>
        <v>10</v>
      </c>
      <c r="S490" s="34">
        <v>1</v>
      </c>
      <c r="T490" s="34">
        <f t="shared" ref="T490:T548" si="58">P490-O490</f>
        <v>5</v>
      </c>
      <c r="U490" s="33">
        <f t="shared" ref="U490:U546" si="59">R490*S490*T490</f>
        <v>50</v>
      </c>
      <c r="V490" s="38" t="s">
        <v>827</v>
      </c>
      <c r="W490" s="39">
        <f t="shared" ref="W490:W546" si="60">IFERROR(IF(E490="Gaz","-",R490/N490),"-")</f>
        <v>0.22222222222222221</v>
      </c>
      <c r="X490" s="40" t="s">
        <v>304</v>
      </c>
      <c r="Y490" s="40" t="s">
        <v>283</v>
      </c>
      <c r="Z490" s="40" t="s">
        <v>749</v>
      </c>
      <c r="AA490" s="33" t="s">
        <v>749</v>
      </c>
      <c r="AB490" s="95"/>
      <c r="AC490" s="95"/>
    </row>
    <row r="491" spans="1:29" ht="14.45" hidden="1" customHeight="1" x14ac:dyDescent="0.25">
      <c r="A491" s="36" t="str">
        <f>INDEX('Base de données Mono'!C:C,MATCH(B491,'Base de données Mono'!D:D,0))</f>
        <v>OULLINS</v>
      </c>
      <c r="B491" t="s">
        <v>203</v>
      </c>
      <c r="C491" s="36" t="str">
        <f>INDEX('Base de données Mono'!B:B,MATCH(B491,'Base de données Mono'!D:D,0))</f>
        <v>SES8</v>
      </c>
      <c r="D491" s="36" t="str">
        <f>INDEX('Base de données Mono'!A:A,MATCH(B491,'Base de données Mono'!D:D,0))</f>
        <v>JG</v>
      </c>
      <c r="E491" s="37" t="s">
        <v>303</v>
      </c>
      <c r="F491" s="41">
        <f t="shared" si="55"/>
        <v>14</v>
      </c>
      <c r="G491" s="41">
        <f t="shared" si="56"/>
        <v>4</v>
      </c>
      <c r="H491">
        <v>8.5</v>
      </c>
      <c r="I491" s="131">
        <f>INDEX('Base de données Mono'!K:K,MATCH(B491,'Base de données Mono'!D:D,0))</f>
        <v>0.1875</v>
      </c>
      <c r="J491" s="131">
        <f>INDEX('Base de données Mono'!L:L,MATCH(B491,'Base de données Mono'!D:D,0))</f>
        <v>0.83333333333333337</v>
      </c>
      <c r="K491" s="131">
        <f>INDEX('Base de données Mono'!M:M,MATCH(B491,'Base de données Mono'!D:D,0))</f>
        <v>0.27083333333333331</v>
      </c>
      <c r="L491" s="131">
        <f>INDEX('Base de données Mono'!N:N,MATCH(B491,'Base de données Mono'!D:D,0))</f>
        <v>0.8125</v>
      </c>
      <c r="M491" s="33" t="s">
        <v>46</v>
      </c>
      <c r="N491" s="33">
        <f>IF(AND(E491="Electricité",M491="Hiver"),INDEX('Base de données Mono'!E:E,MATCH(B491,'Base de données Mono'!D:D,0)),IF(AND(E491="Electricité",M491="Mi-saison"),INDEX('Base de données Mono'!F:F,MATCH(B491,'Base de données Mono'!D:D,0)),IF(AND(E491="Electricité",M491="Eté"),INDEX('Base de données Mono'!G:G,MATCH(B491,'Base de données Mono'!D:D,0)),IF(AND(E491="Gaz",M491="Hiver"),INDEX('Base de données Mono'!J:J,MATCH(B491,'Base de données Mono'!D:D,0)),IF(AND(E491="Gaz",M491="Mi-saison"),INDEX('Base de données Mono'!#REF!,MATCH(B491,'Base de données Mono'!D:D,0)),IF(AND(E491="Gaz",M491="Eté"),INDEX('Base de données Mono'!#REF!,MATCH(B491,'Base de données Mono'!D:D,0)),"-"))))))</f>
        <v>45</v>
      </c>
      <c r="O491" s="123">
        <v>45383</v>
      </c>
      <c r="P491" s="123">
        <v>45389</v>
      </c>
      <c r="Q491" s="34">
        <v>50</v>
      </c>
      <c r="R491" s="33">
        <f t="shared" si="57"/>
        <v>5</v>
      </c>
      <c r="S491" s="34">
        <v>8.5</v>
      </c>
      <c r="T491" s="34">
        <f>P491-O491</f>
        <v>6</v>
      </c>
      <c r="U491" s="33">
        <f t="shared" si="59"/>
        <v>255</v>
      </c>
      <c r="V491" s="38" t="s">
        <v>827</v>
      </c>
      <c r="W491" s="39">
        <f t="shared" si="60"/>
        <v>0.1111111111111111</v>
      </c>
      <c r="X491" s="40" t="s">
        <v>304</v>
      </c>
      <c r="Y491" s="40" t="s">
        <v>284</v>
      </c>
      <c r="Z491" s="40" t="s">
        <v>305</v>
      </c>
      <c r="AA491" s="33" t="s">
        <v>771</v>
      </c>
      <c r="AB491" s="95"/>
      <c r="AC491" s="95"/>
    </row>
    <row r="492" spans="1:29" ht="14.45" hidden="1" customHeight="1" x14ac:dyDescent="0.25">
      <c r="A492" s="36" t="str">
        <f>INDEX('Base de données Mono'!C:C,MATCH(B492,'Base de données Mono'!D:D,0))</f>
        <v>ARRAS</v>
      </c>
      <c r="B492" t="s">
        <v>65</v>
      </c>
      <c r="C492" s="36" t="str">
        <f>INDEX('Base de données Mono'!B:B,MATCH(B492,'Base de données Mono'!D:D,0))</f>
        <v>Monoprix</v>
      </c>
      <c r="D492" s="36" t="str">
        <f>INDEX('Base de données Mono'!A:A,MATCH(B492,'Base de données Mono'!D:D,0))</f>
        <v>JG</v>
      </c>
      <c r="E492" s="37" t="s">
        <v>303</v>
      </c>
      <c r="F492" s="41">
        <f t="shared" si="55"/>
        <v>14</v>
      </c>
      <c r="G492" s="41">
        <f t="shared" si="56"/>
        <v>4</v>
      </c>
      <c r="H492">
        <v>8.5</v>
      </c>
      <c r="I492" s="131">
        <f>INDEX('Base de données Mono'!K:K,MATCH(B492,'Base de données Mono'!D:D,0))</f>
        <v>0.1875</v>
      </c>
      <c r="J492" s="131">
        <f>INDEX('Base de données Mono'!L:L,MATCH(B492,'Base de données Mono'!D:D,0))</f>
        <v>0.83333333333333337</v>
      </c>
      <c r="K492" s="131">
        <f>INDEX('Base de données Mono'!M:M,MATCH(B492,'Base de données Mono'!D:D,0))</f>
        <v>0.24305555555555555</v>
      </c>
      <c r="L492" s="131">
        <f>INDEX('Base de données Mono'!N:N,MATCH(B492,'Base de données Mono'!D:D,0))</f>
        <v>0.54166666666666696</v>
      </c>
      <c r="M492" s="33" t="s">
        <v>46</v>
      </c>
      <c r="N492" s="33">
        <f>IF(AND(E492="Electricité",M492="Hiver"),INDEX('Base de données Mono'!E:E,MATCH(B492,'Base de données Mono'!D:D,0)),IF(AND(E492="Electricité",M492="Mi-saison"),INDEX('Base de données Mono'!F:F,MATCH(B492,'Base de données Mono'!D:D,0)),IF(AND(E492="Electricité",M492="Eté"),INDEX('Base de données Mono'!G:G,MATCH(B492,'Base de données Mono'!D:D,0)),IF(AND(E492="Gaz",M492="Hiver"),INDEX('Base de données Mono'!J:J,MATCH(B492,'Base de données Mono'!D:D,0)),IF(AND(E492="Gaz",M492="Mi-saison"),INDEX('Base de données Mono'!#REF!,MATCH(B492,'Base de données Mono'!D:D,0)),IF(AND(E492="Gaz",M492="Eté"),INDEX('Base de données Mono'!#REF!,MATCH(B492,'Base de données Mono'!D:D,0)),"-"))))))</f>
        <v>40</v>
      </c>
      <c r="O492" s="123">
        <v>45387</v>
      </c>
      <c r="P492" s="123">
        <v>45388</v>
      </c>
      <c r="Q492" s="34">
        <v>45</v>
      </c>
      <c r="R492" s="33">
        <f t="shared" si="57"/>
        <v>5</v>
      </c>
      <c r="S492" s="34">
        <v>1</v>
      </c>
      <c r="T492" s="34">
        <f t="shared" si="58"/>
        <v>1</v>
      </c>
      <c r="U492" s="33">
        <f t="shared" si="59"/>
        <v>5</v>
      </c>
      <c r="V492" s="38" t="s">
        <v>827</v>
      </c>
      <c r="W492" s="39">
        <f t="shared" si="60"/>
        <v>0.125</v>
      </c>
      <c r="X492" s="40" t="s">
        <v>304</v>
      </c>
      <c r="Y492" s="40" t="s">
        <v>283</v>
      </c>
      <c r="Z492" s="40" t="s">
        <v>749</v>
      </c>
      <c r="AA492" s="33" t="s">
        <v>749</v>
      </c>
      <c r="AB492" s="95"/>
      <c r="AC492" s="95"/>
    </row>
    <row r="493" spans="1:29" ht="14.45" hidden="1" customHeight="1" x14ac:dyDescent="0.25">
      <c r="A493" s="36" t="str">
        <f>INDEX('Base de données Mono'!C:C,MATCH(B493,'Base de données Mono'!D:D,0))</f>
        <v>CASTRES</v>
      </c>
      <c r="B493" t="s">
        <v>94</v>
      </c>
      <c r="C493" s="36" t="str">
        <f>INDEX('Base de données Mono'!B:B,MATCH(B493,'Base de données Mono'!D:D,0))</f>
        <v>Monoprix</v>
      </c>
      <c r="D493" s="36" t="str">
        <f>INDEX('Base de données Mono'!A:A,MATCH(B493,'Base de données Mono'!D:D,0))</f>
        <v>AD</v>
      </c>
      <c r="E493" s="37" t="s">
        <v>303</v>
      </c>
      <c r="F493" s="41">
        <f t="shared" si="55"/>
        <v>14</v>
      </c>
      <c r="G493" s="41">
        <f t="shared" si="56"/>
        <v>4</v>
      </c>
      <c r="H493">
        <v>9.5</v>
      </c>
      <c r="I493" s="131">
        <f>INDEX('Base de données Mono'!K:K,MATCH(B493,'Base de données Mono'!D:D,0))</f>
        <v>0.25</v>
      </c>
      <c r="J493" s="131">
        <f>INDEX('Base de données Mono'!L:L,MATCH(B493,'Base de données Mono'!D:D,0))</f>
        <v>0.85416666666666663</v>
      </c>
      <c r="K493" s="131" t="str">
        <f>INDEX('Base de données Mono'!M:M,MATCH(B493,'Base de données Mono'!D:D,0))</f>
        <v>-</v>
      </c>
      <c r="L493" s="131" t="str">
        <f>INDEX('Base de données Mono'!N:N,MATCH(B493,'Base de données Mono'!D:D,0))</f>
        <v>-</v>
      </c>
      <c r="M493" s="33" t="s">
        <v>46</v>
      </c>
      <c r="N493" s="33">
        <f>IF(AND(E493="Electricité",M493="Hiver"),INDEX('Base de données Mono'!E:E,MATCH(B493,'Base de données Mono'!D:D,0)),IF(AND(E493="Electricité",M493="Mi-saison"),INDEX('Base de données Mono'!F:F,MATCH(B493,'Base de données Mono'!D:D,0)),IF(AND(E493="Electricité",M493="Eté"),INDEX('Base de données Mono'!G:G,MATCH(B493,'Base de données Mono'!D:D,0)),IF(AND(E493="Gaz",M493="Hiver"),INDEX('Base de données Mono'!J:J,MATCH(B493,'Base de données Mono'!D:D,0)),IF(AND(E493="Gaz",M493="Mi-saison"),INDEX('Base de données Mono'!#REF!,MATCH(B493,'Base de données Mono'!D:D,0)),IF(AND(E493="Gaz",M493="Eté"),INDEX('Base de données Mono'!#REF!,MATCH(B493,'Base de données Mono'!D:D,0)),"-"))))))</f>
        <v>20</v>
      </c>
      <c r="O493" s="123">
        <v>45383</v>
      </c>
      <c r="P493" s="123">
        <v>45384</v>
      </c>
      <c r="Q493" s="34">
        <v>25</v>
      </c>
      <c r="R493" s="33">
        <f t="shared" si="57"/>
        <v>5</v>
      </c>
      <c r="S493" s="34">
        <v>1</v>
      </c>
      <c r="T493" s="34">
        <f t="shared" si="58"/>
        <v>1</v>
      </c>
      <c r="U493" s="33">
        <f t="shared" si="59"/>
        <v>5</v>
      </c>
      <c r="V493" s="38" t="s">
        <v>827</v>
      </c>
      <c r="W493" s="39">
        <f t="shared" si="60"/>
        <v>0.25</v>
      </c>
      <c r="X493" s="40" t="s">
        <v>304</v>
      </c>
      <c r="Y493" s="40" t="s">
        <v>283</v>
      </c>
      <c r="Z493" s="40" t="s">
        <v>749</v>
      </c>
      <c r="AA493" s="33" t="s">
        <v>749</v>
      </c>
      <c r="AB493" s="95"/>
      <c r="AC493" s="95"/>
    </row>
    <row r="494" spans="1:29" ht="14.45" hidden="1" customHeight="1" x14ac:dyDescent="0.25">
      <c r="A494" s="36" t="str">
        <f>INDEX('Base de données Mono'!C:C,MATCH(B494,'Base de données Mono'!D:D,0))</f>
        <v>CASTRES</v>
      </c>
      <c r="B494" t="s">
        <v>94</v>
      </c>
      <c r="C494" s="36" t="str">
        <f>INDEX('Base de données Mono'!B:B,MATCH(B494,'Base de données Mono'!D:D,0))</f>
        <v>Monoprix</v>
      </c>
      <c r="D494" s="36" t="str">
        <f>INDEX('Base de données Mono'!A:A,MATCH(B494,'Base de données Mono'!D:D,0))</f>
        <v>AD</v>
      </c>
      <c r="E494" s="37" t="s">
        <v>303</v>
      </c>
      <c r="F494" s="41">
        <f t="shared" si="55"/>
        <v>14</v>
      </c>
      <c r="G494" s="41">
        <f t="shared" si="56"/>
        <v>4</v>
      </c>
      <c r="H494">
        <v>9.5</v>
      </c>
      <c r="I494" s="131">
        <f>INDEX('Base de données Mono'!K:K,MATCH(B494,'Base de données Mono'!D:D,0))</f>
        <v>0.25</v>
      </c>
      <c r="J494" s="131">
        <f>INDEX('Base de données Mono'!L:L,MATCH(B494,'Base de données Mono'!D:D,0))</f>
        <v>0.85416666666666663</v>
      </c>
      <c r="K494" s="131" t="str">
        <f>INDEX('Base de données Mono'!M:M,MATCH(B494,'Base de données Mono'!D:D,0))</f>
        <v>-</v>
      </c>
      <c r="L494" s="131" t="str">
        <f>INDEX('Base de données Mono'!N:N,MATCH(B494,'Base de données Mono'!D:D,0))</f>
        <v>-</v>
      </c>
      <c r="M494" s="33" t="s">
        <v>46</v>
      </c>
      <c r="N494" s="33">
        <f>IF(AND(E494="Electricité",M494="Hiver"),INDEX('Base de données Mono'!E:E,MATCH(B494,'Base de données Mono'!D:D,0)),IF(AND(E494="Electricité",M494="Mi-saison"),INDEX('Base de données Mono'!F:F,MATCH(B494,'Base de données Mono'!D:D,0)),IF(AND(E494="Electricité",M494="Eté"),INDEX('Base de données Mono'!G:G,MATCH(B494,'Base de données Mono'!D:D,0)),IF(AND(E494="Gaz",M494="Hiver"),INDEX('Base de données Mono'!J:J,MATCH(B494,'Base de données Mono'!D:D,0)),IF(AND(E494="Gaz",M494="Mi-saison"),INDEX('Base de données Mono'!#REF!,MATCH(B494,'Base de données Mono'!D:D,0)),IF(AND(E494="Gaz",M494="Eté"),INDEX('Base de données Mono'!#REF!,MATCH(B494,'Base de données Mono'!D:D,0)),"-"))))))</f>
        <v>20</v>
      </c>
      <c r="O494" s="123">
        <v>45383</v>
      </c>
      <c r="P494" s="123">
        <v>45388</v>
      </c>
      <c r="Q494" s="34">
        <v>30</v>
      </c>
      <c r="R494" s="33">
        <f t="shared" si="57"/>
        <v>10</v>
      </c>
      <c r="S494" s="34">
        <v>1</v>
      </c>
      <c r="T494" s="34">
        <f t="shared" si="58"/>
        <v>5</v>
      </c>
      <c r="U494" s="33">
        <f t="shared" si="59"/>
        <v>50</v>
      </c>
      <c r="V494" s="38" t="s">
        <v>827</v>
      </c>
      <c r="W494" s="39">
        <f t="shared" si="60"/>
        <v>0.5</v>
      </c>
      <c r="X494" s="40" t="s">
        <v>304</v>
      </c>
      <c r="Y494" s="40" t="s">
        <v>283</v>
      </c>
      <c r="Z494" s="40" t="s">
        <v>749</v>
      </c>
      <c r="AA494" s="33" t="s">
        <v>749</v>
      </c>
      <c r="AB494" s="95"/>
      <c r="AC494" s="95"/>
    </row>
    <row r="495" spans="1:29" ht="14.45" hidden="1" customHeight="1" x14ac:dyDescent="0.25">
      <c r="A495" s="36" t="str">
        <f>INDEX('Base de données Mono'!C:C,MATCH(B495,'Base de données Mono'!D:D,0))</f>
        <v>POITIERS</v>
      </c>
      <c r="B495" t="s">
        <v>212</v>
      </c>
      <c r="C495" s="36" t="str">
        <f>INDEX('Base de données Mono'!B:B,MATCH(B495,'Base de données Mono'!D:D,0))</f>
        <v>SES8</v>
      </c>
      <c r="D495" s="36" t="str">
        <f>INDEX('Base de données Mono'!A:A,MATCH(B495,'Base de données Mono'!D:D,0))</f>
        <v>AD</v>
      </c>
      <c r="E495" s="37" t="s">
        <v>303</v>
      </c>
      <c r="F495" s="41">
        <f t="shared" si="55"/>
        <v>14</v>
      </c>
      <c r="G495" s="41">
        <f t="shared" si="56"/>
        <v>4</v>
      </c>
      <c r="H495">
        <v>8.5</v>
      </c>
      <c r="I495" s="131">
        <f>INDEX('Base de données Mono'!K:K,MATCH(B495,'Base de données Mono'!D:D,0))</f>
        <v>0.22916666666666666</v>
      </c>
      <c r="J495" s="131">
        <f>INDEX('Base de données Mono'!L:L,MATCH(B495,'Base de données Mono'!D:D,0))</f>
        <v>0.875</v>
      </c>
      <c r="K495" s="131">
        <f>INDEX('Base de données Mono'!M:M,MATCH(B495,'Base de données Mono'!D:D,0))</f>
        <v>0.22916666666666666</v>
      </c>
      <c r="L495" s="131">
        <f>INDEX('Base de données Mono'!N:N,MATCH(B495,'Base de données Mono'!D:D,0))</f>
        <v>0.54166666666666663</v>
      </c>
      <c r="M495" s="33" t="s">
        <v>46</v>
      </c>
      <c r="N495" s="33">
        <f>IF(AND(E495="Electricité",M495="Hiver"),INDEX('Base de données Mono'!E:E,MATCH(B495,'Base de données Mono'!D:D,0)),IF(AND(E495="Electricité",M495="Mi-saison"),INDEX('Base de données Mono'!F:F,MATCH(B495,'Base de données Mono'!D:D,0)),IF(AND(E495="Electricité",M495="Eté"),INDEX('Base de données Mono'!G:G,MATCH(B495,'Base de données Mono'!D:D,0)),IF(AND(E495="Gaz",M495="Hiver"),INDEX('Base de données Mono'!J:J,MATCH(B495,'Base de données Mono'!D:D,0)),IF(AND(E495="Gaz",M495="Mi-saison"),INDEX('Base de données Mono'!#REF!,MATCH(B495,'Base de données Mono'!D:D,0)),IF(AND(E495="Gaz",M495="Eté"),INDEX('Base de données Mono'!#REF!,MATCH(B495,'Base de données Mono'!D:D,0)),"-"))))))</f>
        <v>75</v>
      </c>
      <c r="O495" s="123">
        <v>45383</v>
      </c>
      <c r="P495" s="123">
        <v>45389</v>
      </c>
      <c r="Q495" s="34">
        <v>90</v>
      </c>
      <c r="R495" s="33">
        <f t="shared" si="57"/>
        <v>15</v>
      </c>
      <c r="S495" s="34">
        <v>8</v>
      </c>
      <c r="T495" s="34">
        <f t="shared" si="58"/>
        <v>6</v>
      </c>
      <c r="U495" s="33">
        <f t="shared" si="59"/>
        <v>720</v>
      </c>
      <c r="V495" s="38" t="s">
        <v>827</v>
      </c>
      <c r="W495" s="39">
        <f t="shared" si="60"/>
        <v>0.2</v>
      </c>
      <c r="X495" s="40" t="s">
        <v>304</v>
      </c>
      <c r="Y495" s="40" t="s">
        <v>284</v>
      </c>
      <c r="Z495" s="40" t="s">
        <v>305</v>
      </c>
      <c r="AA495" s="33" t="s">
        <v>771</v>
      </c>
      <c r="AB495" s="95"/>
      <c r="AC495" s="95"/>
    </row>
    <row r="496" spans="1:29" ht="14.45" hidden="1" customHeight="1" x14ac:dyDescent="0.25">
      <c r="A496" s="36" t="str">
        <f>INDEX('Base de données Mono'!C:C,MATCH(B496,'Base de données Mono'!D:D,0))</f>
        <v>POITIERS</v>
      </c>
      <c r="B496" t="s">
        <v>212</v>
      </c>
      <c r="C496" s="36" t="str">
        <f>INDEX('Base de données Mono'!B:B,MATCH(B496,'Base de données Mono'!D:D,0))</f>
        <v>SES8</v>
      </c>
      <c r="D496" s="36" t="str">
        <f>INDEX('Base de données Mono'!A:A,MATCH(B496,'Base de données Mono'!D:D,0))</f>
        <v>AD</v>
      </c>
      <c r="E496" s="37" t="s">
        <v>303</v>
      </c>
      <c r="F496" s="41">
        <f t="shared" si="55"/>
        <v>14</v>
      </c>
      <c r="G496" s="41">
        <f t="shared" si="56"/>
        <v>4</v>
      </c>
      <c r="H496">
        <v>8.5</v>
      </c>
      <c r="I496" s="131">
        <f>INDEX('Base de données Mono'!K:K,MATCH(B496,'Base de données Mono'!D:D,0))</f>
        <v>0.22916666666666666</v>
      </c>
      <c r="J496" s="131">
        <f>INDEX('Base de données Mono'!L:L,MATCH(B496,'Base de données Mono'!D:D,0))</f>
        <v>0.875</v>
      </c>
      <c r="K496" s="131">
        <f>INDEX('Base de données Mono'!M:M,MATCH(B496,'Base de données Mono'!D:D,0))</f>
        <v>0.22916666666666666</v>
      </c>
      <c r="L496" s="131">
        <f>INDEX('Base de données Mono'!N:N,MATCH(B496,'Base de données Mono'!D:D,0))</f>
        <v>0.54166666666666663</v>
      </c>
      <c r="M496" s="33" t="s">
        <v>46</v>
      </c>
      <c r="N496" s="33">
        <f>IF(AND(E496="Electricité",M496="Hiver"),INDEX('Base de données Mono'!E:E,MATCH(B496,'Base de données Mono'!D:D,0)),IF(AND(E496="Electricité",M496="Mi-saison"),INDEX('Base de données Mono'!F:F,MATCH(B496,'Base de données Mono'!D:D,0)),IF(AND(E496="Electricité",M496="Eté"),INDEX('Base de données Mono'!G:G,MATCH(B496,'Base de données Mono'!D:D,0)),IF(AND(E496="Gaz",M496="Hiver"),INDEX('Base de données Mono'!J:J,MATCH(B496,'Base de données Mono'!D:D,0)),IF(AND(E496="Gaz",M496="Mi-saison"),INDEX('Base de données Mono'!#REF!,MATCH(B496,'Base de données Mono'!D:D,0)),IF(AND(E496="Gaz",M496="Eté"),INDEX('Base de données Mono'!#REF!,MATCH(B496,'Base de données Mono'!D:D,0)),"-"))))))</f>
        <v>75</v>
      </c>
      <c r="O496" s="123">
        <v>45389</v>
      </c>
      <c r="P496" s="123">
        <v>45389</v>
      </c>
      <c r="Q496" s="34">
        <v>90</v>
      </c>
      <c r="R496" s="33">
        <f t="shared" si="57"/>
        <v>15</v>
      </c>
      <c r="S496" s="34">
        <v>7</v>
      </c>
      <c r="T496" s="34">
        <v>1</v>
      </c>
      <c r="U496" s="33">
        <f t="shared" si="59"/>
        <v>105</v>
      </c>
      <c r="V496" s="38" t="s">
        <v>827</v>
      </c>
      <c r="W496" s="39">
        <f t="shared" si="60"/>
        <v>0.2</v>
      </c>
      <c r="X496" s="40" t="s">
        <v>730</v>
      </c>
      <c r="Y496" s="40" t="s">
        <v>284</v>
      </c>
      <c r="Z496" s="40" t="s">
        <v>305</v>
      </c>
      <c r="AA496" s="33" t="s">
        <v>771</v>
      </c>
      <c r="AB496" s="95"/>
      <c r="AC496" s="95"/>
    </row>
    <row r="497" spans="1:29" ht="14.45" hidden="1" customHeight="1" x14ac:dyDescent="0.25">
      <c r="A497" s="36" t="str">
        <f>INDEX('Base de données Mono'!C:C,MATCH(B497,'Base de données Mono'!D:D,0))</f>
        <v>MONTREUIL</v>
      </c>
      <c r="B497" t="s">
        <v>25</v>
      </c>
      <c r="C497" s="36" t="str">
        <f>INDEX('Base de données Mono'!B:B,MATCH(B497,'Base de données Mono'!D:D,0))</f>
        <v>SES8</v>
      </c>
      <c r="D497" s="36" t="str">
        <f>INDEX('Base de données Mono'!A:A,MATCH(B497,'Base de données Mono'!D:D,0))</f>
        <v>JG</v>
      </c>
      <c r="E497" s="37" t="s">
        <v>303</v>
      </c>
      <c r="F497" s="41">
        <f>IF(O497="","-",IF(AND(X497="Nuit",WEEKDAY(O497,2)=7,O497&lt;&gt;P497),WEEKNUM(O497,2),WEEKNUM(O497,2)-1))+1</f>
        <v>14</v>
      </c>
      <c r="G497" s="41">
        <f>IF(O497="","-",MONTH(O497))</f>
        <v>4</v>
      </c>
      <c r="H497">
        <v>8.83</v>
      </c>
      <c r="I497" s="131">
        <f>INDEX('Base de données Mono'!K:K,MATCH(B497,'Base de données Mono'!D:D,0))</f>
        <v>0.24305555555555555</v>
      </c>
      <c r="J497" s="131">
        <f>INDEX('Base de données Mono'!L:L,MATCH(B497,'Base de données Mono'!D:D,0))</f>
        <v>0.875</v>
      </c>
      <c r="K497" s="131">
        <f>INDEX('Base de données Mono'!M:M,MATCH(B497,'Base de données Mono'!D:D,0))</f>
        <v>0.27083333333333331</v>
      </c>
      <c r="L497" s="131">
        <f>INDEX('Base de données Mono'!N:N,MATCH(B497,'Base de données Mono'!D:D,0))</f>
        <v>0.55902777777777779</v>
      </c>
      <c r="M497" s="33" t="s">
        <v>46</v>
      </c>
      <c r="N497" s="33">
        <f>IF(AND(E497="Electricité",M497="Hiver"),INDEX('Base de données Mono'!E:E,MATCH(B497,'Base de données Mono'!D:D,0)),IF(AND(E497="Electricité",M497="Mi-saison"),INDEX('Base de données Mono'!F:F,MATCH(B497,'Base de données Mono'!D:D,0)),IF(AND(E497="Electricité",M497="Eté"),INDEX('Base de données Mono'!G:G,MATCH(B497,'Base de données Mono'!D:D,0)),IF(AND(E497="Gaz",M497="Hiver"),INDEX('Base de données Mono'!J:J,MATCH(B497,'Base de données Mono'!D:D,0)),IF(AND(E497="Gaz",M497="Mi-saison"),INDEX('Base de données Mono'!#REF!,MATCH(B497,'Base de données Mono'!D:D,0)),IF(AND(E497="Gaz",M497="Eté"),INDEX('Base de données Mono'!#REF!,MATCH(B497,'Base de données Mono'!D:D,0)),"-"))))))</f>
        <v>95</v>
      </c>
      <c r="O497" s="123">
        <v>45383</v>
      </c>
      <c r="P497" s="123">
        <v>45384</v>
      </c>
      <c r="Q497" s="34">
        <v>110</v>
      </c>
      <c r="R497" s="33">
        <f>IF(Q497="","",Q497-N497)</f>
        <v>15</v>
      </c>
      <c r="S497" s="34">
        <v>8.8000000000000007</v>
      </c>
      <c r="T497" s="34">
        <f>P497-O497</f>
        <v>1</v>
      </c>
      <c r="U497" s="33">
        <f>R497*S497*T497</f>
        <v>132</v>
      </c>
      <c r="V497" s="38" t="s">
        <v>827</v>
      </c>
      <c r="W497" s="39">
        <f>IFERROR(IF(E497="Gaz","-",R497/N497),"-")</f>
        <v>0.15789473684210525</v>
      </c>
      <c r="X497" s="40" t="s">
        <v>304</v>
      </c>
      <c r="Y497" s="40" t="s">
        <v>284</v>
      </c>
      <c r="Z497" s="40" t="s">
        <v>305</v>
      </c>
      <c r="AA497" s="33" t="s">
        <v>771</v>
      </c>
      <c r="AB497" s="95"/>
      <c r="AC497" s="95"/>
    </row>
    <row r="498" spans="1:29" ht="14.45" hidden="1" customHeight="1" x14ac:dyDescent="0.25">
      <c r="A498" s="36" t="str">
        <f>INDEX('Base de données Mono'!C:C,MATCH(B498,'Base de données Mono'!D:D,0))</f>
        <v>MONTREUIL</v>
      </c>
      <c r="B498" t="s">
        <v>25</v>
      </c>
      <c r="C498" s="36" t="str">
        <f>INDEX('Base de données Mono'!B:B,MATCH(B498,'Base de données Mono'!D:D,0))</f>
        <v>SES8</v>
      </c>
      <c r="D498" s="36" t="str">
        <f>INDEX('Base de données Mono'!A:A,MATCH(B498,'Base de données Mono'!D:D,0))</f>
        <v>JG</v>
      </c>
      <c r="E498" s="37" t="s">
        <v>303</v>
      </c>
      <c r="F498" s="41">
        <f>IF(O498="","-",IF(AND(X498="Nuit",WEEKDAY(O498,2)=7,O498&lt;&gt;P498),WEEKNUM(O498,2),WEEKNUM(O498,2)-1))+1</f>
        <v>14</v>
      </c>
      <c r="G498" s="41">
        <f>IF(O498="","-",MONTH(O498))</f>
        <v>4</v>
      </c>
      <c r="H498">
        <v>8.83</v>
      </c>
      <c r="I498" s="131">
        <f>INDEX('Base de données Mono'!K:K,MATCH(B498,'Base de données Mono'!D:D,0))</f>
        <v>0.24305555555555555</v>
      </c>
      <c r="J498" s="131">
        <f>INDEX('Base de données Mono'!L:L,MATCH(B498,'Base de données Mono'!D:D,0))</f>
        <v>0.875</v>
      </c>
      <c r="K498" s="131">
        <f>INDEX('Base de données Mono'!M:M,MATCH(B498,'Base de données Mono'!D:D,0))</f>
        <v>0.27083333333333331</v>
      </c>
      <c r="L498" s="131">
        <f>INDEX('Base de données Mono'!N:N,MATCH(B498,'Base de données Mono'!D:D,0))</f>
        <v>0.55902777777777779</v>
      </c>
      <c r="M498" s="33" t="s">
        <v>46</v>
      </c>
      <c r="N498" s="33">
        <f>IF(AND(E498="Electricité",M498="Hiver"),INDEX('Base de données Mono'!E:E,MATCH(B498,'Base de données Mono'!D:D,0)),IF(AND(E498="Electricité",M498="Mi-saison"),INDEX('Base de données Mono'!F:F,MATCH(B498,'Base de données Mono'!D:D,0)),IF(AND(E498="Electricité",M498="Eté"),INDEX('Base de données Mono'!G:G,MATCH(B498,'Base de données Mono'!D:D,0)),IF(AND(E498="Gaz",M498="Hiver"),INDEX('Base de données Mono'!J:J,MATCH(B498,'Base de données Mono'!D:D,0)),IF(AND(E498="Gaz",M498="Mi-saison"),INDEX('Base de données Mono'!#REF!,MATCH(B498,'Base de données Mono'!D:D,0)),IF(AND(E498="Gaz",M498="Eté"),INDEX('Base de données Mono'!#REF!,MATCH(B498,'Base de données Mono'!D:D,0)),"-"))))))</f>
        <v>95</v>
      </c>
      <c r="O498" s="123">
        <v>45384</v>
      </c>
      <c r="P498" s="123">
        <v>45389</v>
      </c>
      <c r="Q498" s="34">
        <v>150</v>
      </c>
      <c r="R498" s="33">
        <f>IF(Q498="","",Q498-N498)</f>
        <v>55</v>
      </c>
      <c r="S498" s="34">
        <v>0.8</v>
      </c>
      <c r="T498" s="34">
        <f>P498-O498</f>
        <v>5</v>
      </c>
      <c r="U498" s="33">
        <f>R498*S498*T498</f>
        <v>220</v>
      </c>
      <c r="V498" s="38" t="s">
        <v>827</v>
      </c>
      <c r="W498" s="39">
        <f>IFERROR(IF(E498="Gaz","-",R498/N498),"-")</f>
        <v>0.57894736842105265</v>
      </c>
      <c r="X498" s="40" t="s">
        <v>304</v>
      </c>
      <c r="Y498" s="40" t="s">
        <v>284</v>
      </c>
      <c r="Z498" s="40" t="s">
        <v>307</v>
      </c>
      <c r="AA498" s="33" t="s">
        <v>313</v>
      </c>
      <c r="AB498" s="95"/>
      <c r="AC498" s="95"/>
    </row>
    <row r="499" spans="1:29" ht="14.45" hidden="1" customHeight="1" x14ac:dyDescent="0.25">
      <c r="A499" s="36" t="str">
        <f>INDEX('Base de données Mono'!C:C,MATCH(B499,'Base de données Mono'!D:D,0))</f>
        <v>MONTREUIL</v>
      </c>
      <c r="B499" t="s">
        <v>25</v>
      </c>
      <c r="C499" s="36" t="str">
        <f>INDEX('Base de données Mono'!B:B,MATCH(B499,'Base de données Mono'!D:D,0))</f>
        <v>SES8</v>
      </c>
      <c r="D499" s="36" t="str">
        <f>INDEX('Base de données Mono'!A:A,MATCH(B499,'Base de données Mono'!D:D,0))</f>
        <v>JG</v>
      </c>
      <c r="E499" s="37" t="s">
        <v>303</v>
      </c>
      <c r="F499" s="41">
        <f>IF(O499="","-",IF(AND(X499="Nuit",WEEKDAY(O499,2)=7,O499&lt;&gt;P499),WEEKNUM(O499,2),WEEKNUM(O499,2)-1))+1</f>
        <v>14</v>
      </c>
      <c r="G499" s="41">
        <f>IF(O499="","-",MONTH(O499))</f>
        <v>4</v>
      </c>
      <c r="H499">
        <v>8.83</v>
      </c>
      <c r="I499" s="131">
        <f>INDEX('Base de données Mono'!K:K,MATCH(B499,'Base de données Mono'!D:D,0))</f>
        <v>0.24305555555555555</v>
      </c>
      <c r="J499" s="131">
        <f>INDEX('Base de données Mono'!L:L,MATCH(B499,'Base de données Mono'!D:D,0))</f>
        <v>0.875</v>
      </c>
      <c r="K499" s="131">
        <f>INDEX('Base de données Mono'!M:M,MATCH(B499,'Base de données Mono'!D:D,0))</f>
        <v>0.27083333333333331</v>
      </c>
      <c r="L499" s="131">
        <f>INDEX('Base de données Mono'!N:N,MATCH(B499,'Base de données Mono'!D:D,0))</f>
        <v>0.55902777777777779</v>
      </c>
      <c r="M499" s="33" t="s">
        <v>46</v>
      </c>
      <c r="N499" s="33">
        <f>IF(AND(E499="Electricité",M499="Hiver"),INDEX('Base de données Mono'!E:E,MATCH(B499,'Base de données Mono'!D:D,0)),IF(AND(E499="Electricité",M499="Mi-saison"),INDEX('Base de données Mono'!F:F,MATCH(B499,'Base de données Mono'!D:D,0)),IF(AND(E499="Electricité",M499="Eté"),INDEX('Base de données Mono'!G:G,MATCH(B499,'Base de données Mono'!D:D,0)),IF(AND(E499="Gaz",M499="Hiver"),INDEX('Base de données Mono'!J:J,MATCH(B499,'Base de données Mono'!D:D,0)),IF(AND(E499="Gaz",M499="Mi-saison"),INDEX('Base de données Mono'!#REF!,MATCH(B499,'Base de données Mono'!D:D,0)),IF(AND(E499="Gaz",M499="Eté"),INDEX('Base de données Mono'!#REF!,MATCH(B499,'Base de données Mono'!D:D,0)),"-"))))))</f>
        <v>95</v>
      </c>
      <c r="O499" s="123">
        <v>45384</v>
      </c>
      <c r="P499" s="123">
        <v>45389</v>
      </c>
      <c r="Q499" s="34">
        <v>115</v>
      </c>
      <c r="R499" s="33">
        <f>IF(Q499="","",Q499-N499)</f>
        <v>20</v>
      </c>
      <c r="S499" s="34">
        <v>8</v>
      </c>
      <c r="T499" s="34">
        <f>P499-O499</f>
        <v>5</v>
      </c>
      <c r="U499" s="33">
        <f>R499*S499*T499</f>
        <v>800</v>
      </c>
      <c r="V499" s="38" t="s">
        <v>827</v>
      </c>
      <c r="W499" s="39">
        <f>IFERROR(IF(E499="Gaz","-",R499/N499),"-")</f>
        <v>0.21052631578947367</v>
      </c>
      <c r="X499" s="40" t="s">
        <v>304</v>
      </c>
      <c r="Y499" s="40" t="s">
        <v>284</v>
      </c>
      <c r="Z499" s="40" t="s">
        <v>305</v>
      </c>
      <c r="AA499" s="33" t="s">
        <v>771</v>
      </c>
      <c r="AB499" s="95"/>
      <c r="AC499" s="95"/>
    </row>
    <row r="500" spans="1:29" ht="14.45" hidden="1" customHeight="1" x14ac:dyDescent="0.25">
      <c r="A500" s="36" t="str">
        <f>INDEX('Base de données Mono'!C:C,MATCH(B500,'Base de données Mono'!D:D,0))</f>
        <v>MONTREUIL</v>
      </c>
      <c r="B500" t="s">
        <v>25</v>
      </c>
      <c r="C500" s="36" t="str">
        <f>INDEX('Base de données Mono'!B:B,MATCH(B500,'Base de données Mono'!D:D,0))</f>
        <v>SES8</v>
      </c>
      <c r="D500" s="36" t="str">
        <f>INDEX('Base de données Mono'!A:A,MATCH(B500,'Base de données Mono'!D:D,0))</f>
        <v>JG</v>
      </c>
      <c r="E500" s="37" t="s">
        <v>303</v>
      </c>
      <c r="F500" s="41">
        <f t="shared" si="55"/>
        <v>14</v>
      </c>
      <c r="G500" s="41">
        <f t="shared" si="56"/>
        <v>4</v>
      </c>
      <c r="H500">
        <v>8.83</v>
      </c>
      <c r="I500" s="131">
        <f>INDEX('Base de données Mono'!K:K,MATCH(B500,'Base de données Mono'!D:D,0))</f>
        <v>0.24305555555555555</v>
      </c>
      <c r="J500" s="131">
        <f>INDEX('Base de données Mono'!L:L,MATCH(B500,'Base de données Mono'!D:D,0))</f>
        <v>0.875</v>
      </c>
      <c r="K500" s="131">
        <f>INDEX('Base de données Mono'!M:M,MATCH(B500,'Base de données Mono'!D:D,0))</f>
        <v>0.27083333333333331</v>
      </c>
      <c r="L500" s="131">
        <f>INDEX('Base de données Mono'!N:N,MATCH(B500,'Base de données Mono'!D:D,0))</f>
        <v>0.55902777777777779</v>
      </c>
      <c r="M500" s="33" t="s">
        <v>46</v>
      </c>
      <c r="N500" s="33">
        <f>IF(AND(E500="Electricité",M500="Hiver"),INDEX('Base de données Mono'!E:E,MATCH(B500,'Base de données Mono'!D:D,0)),IF(AND(E500="Electricité",M500="Mi-saison"),INDEX('Base de données Mono'!F:F,MATCH(B500,'Base de données Mono'!D:D,0)),IF(AND(E500="Electricité",M500="Eté"),INDEX('Base de données Mono'!G:G,MATCH(B500,'Base de données Mono'!D:D,0)),IF(AND(E500="Gaz",M500="Hiver"),INDEX('Base de données Mono'!J:J,MATCH(B500,'Base de données Mono'!D:D,0)),IF(AND(E500="Gaz",M500="Mi-saison"),INDEX('Base de données Mono'!#REF!,MATCH(B500,'Base de données Mono'!D:D,0)),IF(AND(E500="Gaz",M500="Eté"),INDEX('Base de données Mono'!#REF!,MATCH(B500,'Base de données Mono'!D:D,0)),"-"))))))</f>
        <v>95</v>
      </c>
      <c r="O500" s="123">
        <v>45389</v>
      </c>
      <c r="P500" s="123">
        <v>45389</v>
      </c>
      <c r="Q500" s="34">
        <v>140</v>
      </c>
      <c r="R500" s="33">
        <f>IF(Q500="","",Q500-N500)</f>
        <v>45</v>
      </c>
      <c r="S500" s="34">
        <v>6.5</v>
      </c>
      <c r="T500" s="34">
        <v>1</v>
      </c>
      <c r="U500" s="33">
        <f>R500*S500*T500</f>
        <v>292.5</v>
      </c>
      <c r="V500" s="38" t="s">
        <v>827</v>
      </c>
      <c r="W500" s="39">
        <f>IFERROR(IF(E500="Gaz","-",R500/N500),"-")</f>
        <v>0.47368421052631576</v>
      </c>
      <c r="X500" s="40" t="s">
        <v>730</v>
      </c>
      <c r="Y500" s="40" t="s">
        <v>284</v>
      </c>
      <c r="Z500" s="40" t="s">
        <v>307</v>
      </c>
      <c r="AA500" s="33" t="s">
        <v>308</v>
      </c>
      <c r="AB500" s="95"/>
      <c r="AC500" s="95"/>
    </row>
    <row r="501" spans="1:29" ht="14.45" hidden="1" customHeight="1" x14ac:dyDescent="0.25">
      <c r="A501" s="36" t="str">
        <f>INDEX('Base de données Mono'!C:C,MATCH(B501,'Base de données Mono'!D:D,0))</f>
        <v>PLACE DES FETES</v>
      </c>
      <c r="B501" t="s">
        <v>210</v>
      </c>
      <c r="C501" s="36" t="str">
        <f>INDEX('Base de données Mono'!B:B,MATCH(B501,'Base de données Mono'!D:D,0))</f>
        <v>SES8</v>
      </c>
      <c r="D501" s="36" t="str">
        <f>INDEX('Base de données Mono'!A:A,MATCH(B501,'Base de données Mono'!D:D,0))</f>
        <v>AD</v>
      </c>
      <c r="E501" s="37" t="s">
        <v>303</v>
      </c>
      <c r="F501" s="41">
        <f t="shared" si="55"/>
        <v>14</v>
      </c>
      <c r="G501" s="41">
        <f t="shared" si="56"/>
        <v>4</v>
      </c>
      <c r="H501">
        <v>8.83</v>
      </c>
      <c r="I501" s="131">
        <f>INDEX('Base de données Mono'!K:K,MATCH(B501,'Base de données Mono'!D:D,0))</f>
        <v>0.22916666666666666</v>
      </c>
      <c r="J501" s="131">
        <f>INDEX('Base de données Mono'!L:L,MATCH(B501,'Base de données Mono'!D:D,0))</f>
        <v>0.86111111111111116</v>
      </c>
      <c r="K501" s="131">
        <f>INDEX('Base de données Mono'!M:M,MATCH(B501,'Base de données Mono'!D:D,0))</f>
        <v>0.27777777777777779</v>
      </c>
      <c r="L501" s="131">
        <f>INDEX('Base de données Mono'!N:N,MATCH(B501,'Base de données Mono'!D:D,0))</f>
        <v>0.77777777777777779</v>
      </c>
      <c r="M501" s="33" t="s">
        <v>46</v>
      </c>
      <c r="N501" s="33">
        <f>IF(AND(E501="Electricité",M501="Hiver"),INDEX('Base de données Mono'!E:E,MATCH(B501,'Base de données Mono'!D:D,0)),IF(AND(E501="Electricité",M501="Mi-saison"),INDEX('Base de données Mono'!F:F,MATCH(B501,'Base de données Mono'!D:D,0)),IF(AND(E501="Electricité",M501="Eté"),INDEX('Base de données Mono'!G:G,MATCH(B501,'Base de données Mono'!D:D,0)),IF(AND(E501="Gaz",M501="Hiver"),INDEX('Base de données Mono'!J:J,MATCH(B501,'Base de données Mono'!D:D,0)),IF(AND(E501="Gaz",M501="Mi-saison"),INDEX('Base de données Mono'!#REF!,MATCH(B501,'Base de données Mono'!D:D,0)),IF(AND(E501="Gaz",M501="Eté"),INDEX('Base de données Mono'!#REF!,MATCH(B501,'Base de données Mono'!D:D,0)),"-"))))))</f>
        <v>85</v>
      </c>
      <c r="O501" s="123">
        <v>45383</v>
      </c>
      <c r="P501" s="123">
        <v>45384</v>
      </c>
      <c r="Q501" s="34">
        <v>100</v>
      </c>
      <c r="R501" s="33">
        <f t="shared" si="57"/>
        <v>15</v>
      </c>
      <c r="S501" s="34">
        <v>8.8000000000000007</v>
      </c>
      <c r="T501" s="34">
        <f t="shared" si="58"/>
        <v>1</v>
      </c>
      <c r="U501" s="33">
        <f t="shared" si="59"/>
        <v>132</v>
      </c>
      <c r="V501" s="38" t="s">
        <v>827</v>
      </c>
      <c r="W501" s="39">
        <f t="shared" si="60"/>
        <v>0.17647058823529413</v>
      </c>
      <c r="X501" s="40" t="s">
        <v>304</v>
      </c>
      <c r="Y501" s="40" t="s">
        <v>284</v>
      </c>
      <c r="Z501" s="40" t="s">
        <v>305</v>
      </c>
      <c r="AA501" s="33" t="s">
        <v>771</v>
      </c>
      <c r="AB501" s="95"/>
      <c r="AC501" s="95"/>
    </row>
    <row r="502" spans="1:29" ht="14.45" hidden="1" customHeight="1" x14ac:dyDescent="0.25">
      <c r="A502" s="36" t="str">
        <f>INDEX('Base de données Mono'!C:C,MATCH(B502,'Base de données Mono'!D:D,0))</f>
        <v>PLACE DES FETES</v>
      </c>
      <c r="B502" t="s">
        <v>210</v>
      </c>
      <c r="C502" s="36" t="str">
        <f>INDEX('Base de données Mono'!B:B,MATCH(B502,'Base de données Mono'!D:D,0))</f>
        <v>SES8</v>
      </c>
      <c r="D502" s="36" t="str">
        <f>INDEX('Base de données Mono'!A:A,MATCH(B502,'Base de données Mono'!D:D,0))</f>
        <v>AD</v>
      </c>
      <c r="E502" s="37" t="s">
        <v>303</v>
      </c>
      <c r="F502" s="41">
        <f t="shared" si="55"/>
        <v>14</v>
      </c>
      <c r="G502" s="41">
        <f t="shared" si="56"/>
        <v>4</v>
      </c>
      <c r="H502">
        <v>8.83</v>
      </c>
      <c r="I502" s="131">
        <f>INDEX('Base de données Mono'!K:K,MATCH(B502,'Base de données Mono'!D:D,0))</f>
        <v>0.22916666666666666</v>
      </c>
      <c r="J502" s="131">
        <f>INDEX('Base de données Mono'!L:L,MATCH(B502,'Base de données Mono'!D:D,0))</f>
        <v>0.86111111111111116</v>
      </c>
      <c r="K502" s="131">
        <f>INDEX('Base de données Mono'!M:M,MATCH(B502,'Base de données Mono'!D:D,0))</f>
        <v>0.27777777777777779</v>
      </c>
      <c r="L502" s="131">
        <f>INDEX('Base de données Mono'!N:N,MATCH(B502,'Base de données Mono'!D:D,0))</f>
        <v>0.77777777777777779</v>
      </c>
      <c r="M502" s="33" t="s">
        <v>46</v>
      </c>
      <c r="N502" s="33">
        <f>IF(AND(E502="Electricité",M502="Hiver"),INDEX('Base de données Mono'!E:E,MATCH(B502,'Base de données Mono'!D:D,0)),IF(AND(E502="Electricité",M502="Mi-saison"),INDEX('Base de données Mono'!F:F,MATCH(B502,'Base de données Mono'!D:D,0)),IF(AND(E502="Electricité",M502="Eté"),INDEX('Base de données Mono'!G:G,MATCH(B502,'Base de données Mono'!D:D,0)),IF(AND(E502="Gaz",M502="Hiver"),INDEX('Base de données Mono'!J:J,MATCH(B502,'Base de données Mono'!D:D,0)),IF(AND(E502="Gaz",M502="Mi-saison"),INDEX('Base de données Mono'!#REF!,MATCH(B502,'Base de données Mono'!D:D,0)),IF(AND(E502="Gaz",M502="Eté"),INDEX('Base de données Mono'!#REF!,MATCH(B502,'Base de données Mono'!D:D,0)),"-"))))))</f>
        <v>85</v>
      </c>
      <c r="O502" s="123">
        <v>45384</v>
      </c>
      <c r="P502" s="123">
        <v>45389</v>
      </c>
      <c r="Q502" s="34">
        <v>125</v>
      </c>
      <c r="R502" s="33">
        <f t="shared" si="57"/>
        <v>40</v>
      </c>
      <c r="S502" s="34">
        <v>0.3</v>
      </c>
      <c r="T502" s="34">
        <f t="shared" si="58"/>
        <v>5</v>
      </c>
      <c r="U502" s="33">
        <f t="shared" si="59"/>
        <v>60</v>
      </c>
      <c r="V502" s="38" t="s">
        <v>827</v>
      </c>
      <c r="W502" s="39">
        <f t="shared" si="60"/>
        <v>0.47058823529411764</v>
      </c>
      <c r="X502" s="40" t="s">
        <v>304</v>
      </c>
      <c r="Y502" s="40" t="s">
        <v>284</v>
      </c>
      <c r="Z502" s="40" t="s">
        <v>307</v>
      </c>
      <c r="AA502" s="33" t="s">
        <v>313</v>
      </c>
      <c r="AB502" s="95"/>
      <c r="AC502" s="95"/>
    </row>
    <row r="503" spans="1:29" ht="14.45" hidden="1" customHeight="1" x14ac:dyDescent="0.25">
      <c r="A503" s="36" t="str">
        <f>INDEX('Base de données Mono'!C:C,MATCH(B503,'Base de données Mono'!D:D,0))</f>
        <v>PLACE DES FETES</v>
      </c>
      <c r="B503" t="s">
        <v>210</v>
      </c>
      <c r="C503" s="36" t="str">
        <f>INDEX('Base de données Mono'!B:B,MATCH(B503,'Base de données Mono'!D:D,0))</f>
        <v>SES8</v>
      </c>
      <c r="D503" s="36" t="str">
        <f>INDEX('Base de données Mono'!A:A,MATCH(B503,'Base de données Mono'!D:D,0))</f>
        <v>AD</v>
      </c>
      <c r="E503" s="37" t="s">
        <v>303</v>
      </c>
      <c r="F503" s="41">
        <f t="shared" si="55"/>
        <v>14</v>
      </c>
      <c r="G503" s="41">
        <f t="shared" si="56"/>
        <v>4</v>
      </c>
      <c r="H503">
        <v>8.83</v>
      </c>
      <c r="I503" s="131">
        <f>INDEX('Base de données Mono'!K:K,MATCH(B503,'Base de données Mono'!D:D,0))</f>
        <v>0.22916666666666666</v>
      </c>
      <c r="J503" s="131">
        <f>INDEX('Base de données Mono'!L:L,MATCH(B503,'Base de données Mono'!D:D,0))</f>
        <v>0.86111111111111116</v>
      </c>
      <c r="K503" s="131">
        <f>INDEX('Base de données Mono'!M:M,MATCH(B503,'Base de données Mono'!D:D,0))</f>
        <v>0.27777777777777779</v>
      </c>
      <c r="L503" s="131">
        <f>INDEX('Base de données Mono'!N:N,MATCH(B503,'Base de données Mono'!D:D,0))</f>
        <v>0.77777777777777779</v>
      </c>
      <c r="M503" s="33" t="s">
        <v>46</v>
      </c>
      <c r="N503" s="33">
        <f>IF(AND(E503="Electricité",M503="Hiver"),INDEX('Base de données Mono'!E:E,MATCH(B503,'Base de données Mono'!D:D,0)),IF(AND(E503="Electricité",M503="Mi-saison"),INDEX('Base de données Mono'!F:F,MATCH(B503,'Base de données Mono'!D:D,0)),IF(AND(E503="Electricité",M503="Eté"),INDEX('Base de données Mono'!G:G,MATCH(B503,'Base de données Mono'!D:D,0)),IF(AND(E503="Gaz",M503="Hiver"),INDEX('Base de données Mono'!J:J,MATCH(B503,'Base de données Mono'!D:D,0)),IF(AND(E503="Gaz",M503="Mi-saison"),INDEX('Base de données Mono'!#REF!,MATCH(B503,'Base de données Mono'!D:D,0)),IF(AND(E503="Gaz",M503="Eté"),INDEX('Base de données Mono'!#REF!,MATCH(B503,'Base de données Mono'!D:D,0)),"-"))))))</f>
        <v>85</v>
      </c>
      <c r="O503" s="123">
        <v>45387</v>
      </c>
      <c r="P503" s="123">
        <v>45388</v>
      </c>
      <c r="Q503" s="34">
        <v>115</v>
      </c>
      <c r="R503" s="33">
        <f t="shared" si="57"/>
        <v>30</v>
      </c>
      <c r="S503" s="34">
        <v>0.5</v>
      </c>
      <c r="T503" s="34">
        <f t="shared" si="58"/>
        <v>1</v>
      </c>
      <c r="U503" s="33">
        <f t="shared" si="59"/>
        <v>15</v>
      </c>
      <c r="V503" s="38" t="s">
        <v>827</v>
      </c>
      <c r="W503" s="39">
        <f t="shared" si="60"/>
        <v>0.35294117647058826</v>
      </c>
      <c r="X503" s="40" t="s">
        <v>304</v>
      </c>
      <c r="Y503" s="40" t="s">
        <v>284</v>
      </c>
      <c r="Z503" s="40" t="s">
        <v>307</v>
      </c>
      <c r="AA503" s="95" t="s">
        <v>414</v>
      </c>
      <c r="AB503" s="95"/>
      <c r="AC503" s="95"/>
    </row>
    <row r="504" spans="1:29" ht="14.45" hidden="1" customHeight="1" x14ac:dyDescent="0.25">
      <c r="A504" s="36" t="str">
        <f>INDEX('Base de données Mono'!C:C,MATCH(B504,'Base de données Mono'!D:D,0))</f>
        <v>LES HUISSIERS</v>
      </c>
      <c r="B504" t="s">
        <v>156</v>
      </c>
      <c r="C504" s="36" t="str">
        <f>INDEX('Base de données Mono'!B:B,MATCH(B504,'Base de données Mono'!D:D,0))</f>
        <v>SES8</v>
      </c>
      <c r="D504" s="36" t="str">
        <f>INDEX('Base de données Mono'!A:A,MATCH(B504,'Base de données Mono'!D:D,0))</f>
        <v>AD</v>
      </c>
      <c r="E504" s="37" t="s">
        <v>303</v>
      </c>
      <c r="F504" s="41">
        <f t="shared" si="55"/>
        <v>14</v>
      </c>
      <c r="G504" s="41">
        <f t="shared" si="56"/>
        <v>4</v>
      </c>
      <c r="H504">
        <v>8</v>
      </c>
      <c r="I504" s="131">
        <f>INDEX('Base de données Mono'!K:K,MATCH(B504,'Base de données Mono'!D:D,0))</f>
        <v>0.22916666666666666</v>
      </c>
      <c r="J504" s="131">
        <f>INDEX('Base de données Mono'!L:L,MATCH(B504,'Base de données Mono'!D:D,0))</f>
        <v>0.89583333333333337</v>
      </c>
      <c r="K504" s="131">
        <f>INDEX('Base de données Mono'!M:M,MATCH(B504,'Base de données Mono'!D:D,0))</f>
        <v>0.27777777777777779</v>
      </c>
      <c r="L504" s="131">
        <f>INDEX('Base de données Mono'!N:N,MATCH(B504,'Base de données Mono'!D:D,0))</f>
        <v>0.5625</v>
      </c>
      <c r="M504" s="33" t="s">
        <v>46</v>
      </c>
      <c r="N504" s="33">
        <f>IF(AND(E504="Electricité",M504="Hiver"),INDEX('Base de données Mono'!E:E,MATCH(B504,'Base de données Mono'!D:D,0)),IF(AND(E504="Electricité",M504="Mi-saison"),INDEX('Base de données Mono'!F:F,MATCH(B504,'Base de données Mono'!D:D,0)),IF(AND(E504="Electricité",M504="Eté"),INDEX('Base de données Mono'!G:G,MATCH(B504,'Base de données Mono'!D:D,0)),IF(AND(E504="Gaz",M504="Hiver"),INDEX('Base de données Mono'!J:J,MATCH(B504,'Base de données Mono'!D:D,0)),IF(AND(E504="Gaz",M504="Mi-saison"),INDEX('Base de données Mono'!#REF!,MATCH(B504,'Base de données Mono'!D:D,0)),IF(AND(E504="Gaz",M504="Eté"),INDEX('Base de données Mono'!#REF!,MATCH(B504,'Base de données Mono'!D:D,0)),"-"))))))</f>
        <v>65</v>
      </c>
      <c r="O504" s="123">
        <v>45385</v>
      </c>
      <c r="P504" s="123">
        <v>45388</v>
      </c>
      <c r="Q504" s="34">
        <v>70</v>
      </c>
      <c r="R504" s="33">
        <f t="shared" si="57"/>
        <v>5</v>
      </c>
      <c r="S504" s="34">
        <v>8</v>
      </c>
      <c r="T504" s="34">
        <f t="shared" si="58"/>
        <v>3</v>
      </c>
      <c r="U504" s="33">
        <f t="shared" si="59"/>
        <v>120</v>
      </c>
      <c r="V504" s="38" t="s">
        <v>827</v>
      </c>
      <c r="W504" s="39">
        <f t="shared" si="60"/>
        <v>7.6923076923076927E-2</v>
      </c>
      <c r="X504" s="40" t="s">
        <v>304</v>
      </c>
      <c r="Y504" s="40" t="s">
        <v>284</v>
      </c>
      <c r="Z504" s="40" t="s">
        <v>305</v>
      </c>
      <c r="AA504" s="33" t="s">
        <v>771</v>
      </c>
      <c r="AB504" s="95"/>
      <c r="AC504" s="95"/>
    </row>
    <row r="505" spans="1:29" ht="14.45" hidden="1" customHeight="1" x14ac:dyDescent="0.25">
      <c r="A505" s="36" t="str">
        <f>INDEX('Base de données Mono'!C:C,MATCH(B505,'Base de données Mono'!D:D,0))</f>
        <v>LES HUISSIERS</v>
      </c>
      <c r="B505" t="s">
        <v>156</v>
      </c>
      <c r="C505" s="36" t="str">
        <f>INDEX('Base de données Mono'!B:B,MATCH(B505,'Base de données Mono'!D:D,0))</f>
        <v>SES8</v>
      </c>
      <c r="D505" s="36" t="str">
        <f>INDEX('Base de données Mono'!A:A,MATCH(B505,'Base de données Mono'!D:D,0))</f>
        <v>AD</v>
      </c>
      <c r="E505" s="37" t="s">
        <v>303</v>
      </c>
      <c r="F505" s="41">
        <f>IF(O505="","-",IF(AND(X505="Nuit",WEEKDAY(O505,2)=7,O505&lt;&gt;P505),WEEKNUM(O505,2),WEEKNUM(O505,2)-1))+1</f>
        <v>14</v>
      </c>
      <c r="G505" s="41">
        <f>IF(O505="","-",MONTH(O505))</f>
        <v>4</v>
      </c>
      <c r="H505">
        <v>8</v>
      </c>
      <c r="I505" s="131">
        <f>INDEX('Base de données Mono'!K:K,MATCH(B505,'Base de données Mono'!D:D,0))</f>
        <v>0.22916666666666666</v>
      </c>
      <c r="J505" s="131">
        <f>INDEX('Base de données Mono'!L:L,MATCH(B505,'Base de données Mono'!D:D,0))</f>
        <v>0.89583333333333337</v>
      </c>
      <c r="K505" s="131">
        <f>INDEX('Base de données Mono'!M:M,MATCH(B505,'Base de données Mono'!D:D,0))</f>
        <v>0.27777777777777779</v>
      </c>
      <c r="L505" s="131">
        <f>INDEX('Base de données Mono'!N:N,MATCH(B505,'Base de données Mono'!D:D,0))</f>
        <v>0.5625</v>
      </c>
      <c r="M505" s="33" t="s">
        <v>46</v>
      </c>
      <c r="N505" s="33">
        <f>IF(AND(E505="Electricité",M505="Hiver"),INDEX('Base de données Mono'!E:E,MATCH(B505,'Base de données Mono'!D:D,0)),IF(AND(E505="Electricité",M505="Mi-saison"),INDEX('Base de données Mono'!F:F,MATCH(B505,'Base de données Mono'!D:D,0)),IF(AND(E505="Electricité",M505="Eté"),INDEX('Base de données Mono'!G:G,MATCH(B505,'Base de données Mono'!D:D,0)),IF(AND(E505="Gaz",M505="Hiver"),INDEX('Base de données Mono'!J:J,MATCH(B505,'Base de données Mono'!D:D,0)),IF(AND(E505="Gaz",M505="Mi-saison"),INDEX('Base de données Mono'!#REF!,MATCH(B505,'Base de données Mono'!D:D,0)),IF(AND(E505="Gaz",M505="Eté"),INDEX('Base de données Mono'!#REF!,MATCH(B505,'Base de données Mono'!D:D,0)),"-"))))))</f>
        <v>65</v>
      </c>
      <c r="O505" s="123">
        <v>45388</v>
      </c>
      <c r="P505" s="123">
        <v>45389</v>
      </c>
      <c r="Q505" s="34">
        <v>70</v>
      </c>
      <c r="R505" s="33">
        <f>IF(Q505="","",Q505-N505)</f>
        <v>5</v>
      </c>
      <c r="S505" s="34">
        <v>9</v>
      </c>
      <c r="T505" s="34">
        <f>P505-O505</f>
        <v>1</v>
      </c>
      <c r="U505" s="33">
        <f>R505*S505*T505</f>
        <v>45</v>
      </c>
      <c r="V505" s="38" t="s">
        <v>827</v>
      </c>
      <c r="W505" s="39">
        <f>IFERROR(IF(E505="Gaz","-",R505/N505),"-")</f>
        <v>7.6923076923076927E-2</v>
      </c>
      <c r="X505" s="40" t="s">
        <v>304</v>
      </c>
      <c r="Y505" s="40" t="s">
        <v>284</v>
      </c>
      <c r="Z505" s="40" t="s">
        <v>305</v>
      </c>
      <c r="AA505" s="33" t="s">
        <v>771</v>
      </c>
      <c r="AB505" s="95"/>
      <c r="AC505" s="95"/>
    </row>
    <row r="506" spans="1:29" ht="14.45" hidden="1" customHeight="1" x14ac:dyDescent="0.25">
      <c r="A506" s="36" t="str">
        <f>INDEX('Base de données Mono'!C:C,MATCH(B506,'Base de données Mono'!D:D,0))</f>
        <v>LES HUISSIERS</v>
      </c>
      <c r="B506" t="s">
        <v>156</v>
      </c>
      <c r="C506" s="36" t="str">
        <f>INDEX('Base de données Mono'!B:B,MATCH(B506,'Base de données Mono'!D:D,0))</f>
        <v>SES8</v>
      </c>
      <c r="D506" s="36" t="str">
        <f>INDEX('Base de données Mono'!A:A,MATCH(B506,'Base de données Mono'!D:D,0))</f>
        <v>AD</v>
      </c>
      <c r="E506" s="37" t="s">
        <v>303</v>
      </c>
      <c r="F506" s="41">
        <f t="shared" si="55"/>
        <v>14</v>
      </c>
      <c r="G506" s="41">
        <f t="shared" si="56"/>
        <v>4</v>
      </c>
      <c r="H506">
        <v>8</v>
      </c>
      <c r="I506" s="131">
        <f>INDEX('Base de données Mono'!K:K,MATCH(B506,'Base de données Mono'!D:D,0))</f>
        <v>0.22916666666666666</v>
      </c>
      <c r="J506" s="131">
        <f>INDEX('Base de données Mono'!L:L,MATCH(B506,'Base de données Mono'!D:D,0))</f>
        <v>0.89583333333333337</v>
      </c>
      <c r="K506" s="131">
        <f>INDEX('Base de données Mono'!M:M,MATCH(B506,'Base de données Mono'!D:D,0))</f>
        <v>0.27777777777777779</v>
      </c>
      <c r="L506" s="131">
        <f>INDEX('Base de données Mono'!N:N,MATCH(B506,'Base de données Mono'!D:D,0))</f>
        <v>0.5625</v>
      </c>
      <c r="M506" s="33" t="s">
        <v>46</v>
      </c>
      <c r="N506" s="33">
        <f>IF(AND(E506="Electricité",M506="Hiver"),INDEX('Base de données Mono'!E:E,MATCH(B506,'Base de données Mono'!D:D,0)),IF(AND(E506="Electricité",M506="Mi-saison"),INDEX('Base de données Mono'!F:F,MATCH(B506,'Base de données Mono'!D:D,0)),IF(AND(E506="Electricité",M506="Eté"),INDEX('Base de données Mono'!G:G,MATCH(B506,'Base de données Mono'!D:D,0)),IF(AND(E506="Gaz",M506="Hiver"),INDEX('Base de données Mono'!J:J,MATCH(B506,'Base de données Mono'!D:D,0)),IF(AND(E506="Gaz",M506="Mi-saison"),INDEX('Base de données Mono'!#REF!,MATCH(B506,'Base de données Mono'!D:D,0)),IF(AND(E506="Gaz",M506="Eté"),INDEX('Base de données Mono'!#REF!,MATCH(B506,'Base de données Mono'!D:D,0)),"-"))))))</f>
        <v>65</v>
      </c>
      <c r="O506" s="123">
        <v>45389</v>
      </c>
      <c r="P506" s="123">
        <v>45389</v>
      </c>
      <c r="Q506" s="34">
        <v>135</v>
      </c>
      <c r="R506" s="33">
        <f>IF(Q506="","",Q506-N506)</f>
        <v>70</v>
      </c>
      <c r="S506" s="34">
        <v>7.5</v>
      </c>
      <c r="T506" s="34">
        <v>1</v>
      </c>
      <c r="U506" s="33">
        <f>R506*S506*T506</f>
        <v>525</v>
      </c>
      <c r="V506" s="38" t="s">
        <v>148</v>
      </c>
      <c r="W506" s="39">
        <f>IFERROR(IF(E506="Gaz","-",R506/N506),"-")</f>
        <v>1.0769230769230769</v>
      </c>
      <c r="X506" s="40" t="s">
        <v>730</v>
      </c>
      <c r="Y506" s="40" t="s">
        <v>284</v>
      </c>
      <c r="Z506" s="40" t="s">
        <v>307</v>
      </c>
      <c r="AA506" s="33" t="s">
        <v>308</v>
      </c>
      <c r="AB506" s="95"/>
      <c r="AC506" s="95"/>
    </row>
    <row r="507" spans="1:29" ht="14.45" hidden="1" customHeight="1" x14ac:dyDescent="0.25">
      <c r="A507" s="36" t="str">
        <f>INDEX('Base de données Mono'!C:C,MATCH(B507,'Base de données Mono'!D:D,0))</f>
        <v>DRANCY</v>
      </c>
      <c r="B507" t="s">
        <v>121</v>
      </c>
      <c r="C507" s="36" t="str">
        <f>INDEX('Base de données Mono'!B:B,MATCH(B507,'Base de données Mono'!D:D,0))</f>
        <v>Monoprix</v>
      </c>
      <c r="D507" s="36" t="str">
        <f>INDEX('Base de données Mono'!A:A,MATCH(B507,'Base de données Mono'!D:D,0))</f>
        <v>JG</v>
      </c>
      <c r="E507" s="37" t="s">
        <v>303</v>
      </c>
      <c r="F507" s="41">
        <f t="shared" si="55"/>
        <v>14</v>
      </c>
      <c r="G507" s="41">
        <f t="shared" si="56"/>
        <v>4</v>
      </c>
      <c r="H507">
        <v>9.25</v>
      </c>
      <c r="I507" s="131">
        <f>INDEX('Base de données Mono'!K:K,MATCH(B507,'Base de données Mono'!D:D,0))</f>
        <v>0.25</v>
      </c>
      <c r="J507" s="131">
        <f>INDEX('Base de données Mono'!L:L,MATCH(B507,'Base de données Mono'!D:D,0))</f>
        <v>0.86458333333333337</v>
      </c>
      <c r="K507" s="131">
        <f>INDEX('Base de données Mono'!M:M,MATCH(B507,'Base de données Mono'!D:D,0))</f>
        <v>0.33333333333333331</v>
      </c>
      <c r="L507" s="131">
        <f>INDEX('Base de données Mono'!N:N,MATCH(B507,'Base de données Mono'!D:D,0))</f>
        <v>0.55555555555555558</v>
      </c>
      <c r="M507" s="33" t="s">
        <v>46</v>
      </c>
      <c r="N507" s="33">
        <f>IF(AND(E507="Electricité",M507="Hiver"),INDEX('Base de données Mono'!E:E,MATCH(B507,'Base de données Mono'!D:D,0)),IF(AND(E507="Electricité",M507="Mi-saison"),INDEX('Base de données Mono'!F:F,MATCH(B507,'Base de données Mono'!D:D,0)),IF(AND(E507="Electricité",M507="Eté"),INDEX('Base de données Mono'!G:G,MATCH(B507,'Base de données Mono'!D:D,0)),IF(AND(E507="Gaz",M507="Hiver"),INDEX('Base de données Mono'!J:J,MATCH(B507,'Base de données Mono'!D:D,0)),IF(AND(E507="Gaz",M507="Mi-saison"),INDEX('Base de données Mono'!#REF!,MATCH(B507,'Base de données Mono'!D:D,0)),IF(AND(E507="Gaz",M507="Eté"),INDEX('Base de données Mono'!#REF!,MATCH(B507,'Base de données Mono'!D:D,0)),"-"))))))</f>
        <v>55</v>
      </c>
      <c r="O507" s="123">
        <v>45383</v>
      </c>
      <c r="P507" s="123">
        <v>45384</v>
      </c>
      <c r="Q507" s="34">
        <v>65</v>
      </c>
      <c r="R507" s="33">
        <f t="shared" si="57"/>
        <v>10</v>
      </c>
      <c r="S507" s="34">
        <v>1</v>
      </c>
      <c r="T507" s="34">
        <f t="shared" si="58"/>
        <v>1</v>
      </c>
      <c r="U507" s="33">
        <f t="shared" si="59"/>
        <v>10</v>
      </c>
      <c r="V507" s="38" t="s">
        <v>827</v>
      </c>
      <c r="W507" s="39">
        <f t="shared" si="60"/>
        <v>0.18181818181818182</v>
      </c>
      <c r="X507" s="40" t="s">
        <v>304</v>
      </c>
      <c r="Y507" s="40" t="s">
        <v>283</v>
      </c>
      <c r="Z507" s="40" t="s">
        <v>749</v>
      </c>
      <c r="AA507" s="33" t="s">
        <v>749</v>
      </c>
      <c r="AB507" s="95"/>
      <c r="AC507" s="95"/>
    </row>
    <row r="508" spans="1:29" ht="14.45" hidden="1" customHeight="1" x14ac:dyDescent="0.25">
      <c r="A508" s="36" t="str">
        <f>INDEX('Base de données Mono'!C:C,MATCH(B508,'Base de données Mono'!D:D,0))</f>
        <v>DRANCY</v>
      </c>
      <c r="B508" t="s">
        <v>121</v>
      </c>
      <c r="C508" s="36" t="str">
        <f>INDEX('Base de données Mono'!B:B,MATCH(B508,'Base de données Mono'!D:D,0))</f>
        <v>Monoprix</v>
      </c>
      <c r="D508" s="36" t="str">
        <f>INDEX('Base de données Mono'!A:A,MATCH(B508,'Base de données Mono'!D:D,0))</f>
        <v>JG</v>
      </c>
      <c r="E508" s="37" t="s">
        <v>303</v>
      </c>
      <c r="F508" s="41">
        <f t="shared" si="55"/>
        <v>14</v>
      </c>
      <c r="G508" s="41">
        <f t="shared" si="56"/>
        <v>4</v>
      </c>
      <c r="H508">
        <v>9.25</v>
      </c>
      <c r="I508" s="131">
        <f>INDEX('Base de données Mono'!K:K,MATCH(B508,'Base de données Mono'!D:D,0))</f>
        <v>0.25</v>
      </c>
      <c r="J508" s="131">
        <f>INDEX('Base de données Mono'!L:L,MATCH(B508,'Base de données Mono'!D:D,0))</f>
        <v>0.86458333333333337</v>
      </c>
      <c r="K508" s="131">
        <f>INDEX('Base de données Mono'!M:M,MATCH(B508,'Base de données Mono'!D:D,0))</f>
        <v>0.33333333333333331</v>
      </c>
      <c r="L508" s="131">
        <f>INDEX('Base de données Mono'!N:N,MATCH(B508,'Base de données Mono'!D:D,0))</f>
        <v>0.55555555555555558</v>
      </c>
      <c r="M508" s="33" t="s">
        <v>46</v>
      </c>
      <c r="N508" s="33">
        <f>IF(AND(E508="Electricité",M508="Hiver"),INDEX('Base de données Mono'!E:E,MATCH(B508,'Base de données Mono'!D:D,0)),IF(AND(E508="Electricité",M508="Mi-saison"),INDEX('Base de données Mono'!F:F,MATCH(B508,'Base de données Mono'!D:D,0)),IF(AND(E508="Electricité",M508="Eté"),INDEX('Base de données Mono'!G:G,MATCH(B508,'Base de données Mono'!D:D,0)),IF(AND(E508="Gaz",M508="Hiver"),INDEX('Base de données Mono'!J:J,MATCH(B508,'Base de données Mono'!D:D,0)),IF(AND(E508="Gaz",M508="Mi-saison"),INDEX('Base de données Mono'!#REF!,MATCH(B508,'Base de données Mono'!D:D,0)),IF(AND(E508="Gaz",M508="Eté"),INDEX('Base de données Mono'!#REF!,MATCH(B508,'Base de données Mono'!D:D,0)),"-"))))))</f>
        <v>55</v>
      </c>
      <c r="O508" s="123">
        <v>45384</v>
      </c>
      <c r="P508" s="123">
        <v>45385</v>
      </c>
      <c r="Q508" s="34">
        <v>70</v>
      </c>
      <c r="R508" s="33">
        <f t="shared" si="57"/>
        <v>15</v>
      </c>
      <c r="S508" s="34">
        <v>1</v>
      </c>
      <c r="T508" s="34">
        <f t="shared" si="58"/>
        <v>1</v>
      </c>
      <c r="U508" s="33">
        <f t="shared" si="59"/>
        <v>15</v>
      </c>
      <c r="V508" s="38" t="s">
        <v>827</v>
      </c>
      <c r="W508" s="39">
        <f t="shared" si="60"/>
        <v>0.27272727272727271</v>
      </c>
      <c r="X508" s="40" t="s">
        <v>304</v>
      </c>
      <c r="Y508" s="40" t="s">
        <v>283</v>
      </c>
      <c r="Z508" s="40" t="s">
        <v>749</v>
      </c>
      <c r="AA508" s="33" t="s">
        <v>749</v>
      </c>
      <c r="AB508" s="95"/>
      <c r="AC508" s="95"/>
    </row>
    <row r="509" spans="1:29" ht="14.45" hidden="1" customHeight="1" x14ac:dyDescent="0.25">
      <c r="A509" s="36" t="str">
        <f>INDEX('Base de données Mono'!C:C,MATCH(B509,'Base de données Mono'!D:D,0))</f>
        <v>DRANCY</v>
      </c>
      <c r="B509" t="s">
        <v>121</v>
      </c>
      <c r="C509" s="36" t="str">
        <f>INDEX('Base de données Mono'!B:B,MATCH(B509,'Base de données Mono'!D:D,0))</f>
        <v>Monoprix</v>
      </c>
      <c r="D509" s="36" t="str">
        <f>INDEX('Base de données Mono'!A:A,MATCH(B509,'Base de données Mono'!D:D,0))</f>
        <v>JG</v>
      </c>
      <c r="E509" s="37" t="s">
        <v>303</v>
      </c>
      <c r="F509" s="41">
        <f t="shared" si="55"/>
        <v>14</v>
      </c>
      <c r="G509" s="41">
        <f t="shared" si="56"/>
        <v>4</v>
      </c>
      <c r="H509">
        <v>9.25</v>
      </c>
      <c r="I509" s="131">
        <f>INDEX('Base de données Mono'!K:K,MATCH(B509,'Base de données Mono'!D:D,0))</f>
        <v>0.25</v>
      </c>
      <c r="J509" s="131">
        <f>INDEX('Base de données Mono'!L:L,MATCH(B509,'Base de données Mono'!D:D,0))</f>
        <v>0.86458333333333337</v>
      </c>
      <c r="K509" s="131">
        <f>INDEX('Base de données Mono'!M:M,MATCH(B509,'Base de données Mono'!D:D,0))</f>
        <v>0.33333333333333331</v>
      </c>
      <c r="L509" s="131">
        <f>INDEX('Base de données Mono'!N:N,MATCH(B509,'Base de données Mono'!D:D,0))</f>
        <v>0.55555555555555558</v>
      </c>
      <c r="M509" s="33" t="s">
        <v>46</v>
      </c>
      <c r="N509" s="33">
        <f>IF(AND(E509="Electricité",M509="Hiver"),INDEX('Base de données Mono'!E:E,MATCH(B509,'Base de données Mono'!D:D,0)),IF(AND(E509="Electricité",M509="Mi-saison"),INDEX('Base de données Mono'!F:F,MATCH(B509,'Base de données Mono'!D:D,0)),IF(AND(E509="Electricité",M509="Eté"),INDEX('Base de données Mono'!G:G,MATCH(B509,'Base de données Mono'!D:D,0)),IF(AND(E509="Gaz",M509="Hiver"),INDEX('Base de données Mono'!J:J,MATCH(B509,'Base de données Mono'!D:D,0)),IF(AND(E509="Gaz",M509="Mi-saison"),INDEX('Base de données Mono'!#REF!,MATCH(B509,'Base de données Mono'!D:D,0)),IF(AND(E509="Gaz",M509="Eté"),INDEX('Base de données Mono'!#REF!,MATCH(B509,'Base de données Mono'!D:D,0)),"-"))))))</f>
        <v>55</v>
      </c>
      <c r="O509" s="123">
        <v>45385</v>
      </c>
      <c r="P509" s="123">
        <v>45386</v>
      </c>
      <c r="Q509" s="34">
        <v>75</v>
      </c>
      <c r="R509" s="33">
        <f t="shared" si="57"/>
        <v>20</v>
      </c>
      <c r="S509" s="34">
        <v>1</v>
      </c>
      <c r="T509" s="34">
        <f t="shared" si="58"/>
        <v>1</v>
      </c>
      <c r="U509" s="33">
        <f t="shared" si="59"/>
        <v>20</v>
      </c>
      <c r="V509" s="38" t="s">
        <v>827</v>
      </c>
      <c r="W509" s="39">
        <f t="shared" si="60"/>
        <v>0.36363636363636365</v>
      </c>
      <c r="X509" s="40" t="s">
        <v>304</v>
      </c>
      <c r="Y509" s="40" t="s">
        <v>283</v>
      </c>
      <c r="Z509" s="40" t="s">
        <v>749</v>
      </c>
      <c r="AA509" s="33" t="s">
        <v>749</v>
      </c>
      <c r="AB509" s="95"/>
      <c r="AC509" s="95"/>
    </row>
    <row r="510" spans="1:29" ht="14.45" hidden="1" customHeight="1" x14ac:dyDescent="0.25">
      <c r="A510" s="36" t="str">
        <f>INDEX('Base de données Mono'!C:C,MATCH(B510,'Base de données Mono'!D:D,0))</f>
        <v>DRANCY</v>
      </c>
      <c r="B510" t="s">
        <v>121</v>
      </c>
      <c r="C510" s="36" t="str">
        <f>INDEX('Base de données Mono'!B:B,MATCH(B510,'Base de données Mono'!D:D,0))</f>
        <v>Monoprix</v>
      </c>
      <c r="D510" s="36" t="str">
        <f>INDEX('Base de données Mono'!A:A,MATCH(B510,'Base de données Mono'!D:D,0))</f>
        <v>JG</v>
      </c>
      <c r="E510" s="37" t="s">
        <v>303</v>
      </c>
      <c r="F510" s="41">
        <f t="shared" si="55"/>
        <v>14</v>
      </c>
      <c r="G510" s="41">
        <f t="shared" si="56"/>
        <v>4</v>
      </c>
      <c r="H510">
        <v>9.25</v>
      </c>
      <c r="I510" s="131">
        <f>INDEX('Base de données Mono'!K:K,MATCH(B510,'Base de données Mono'!D:D,0))</f>
        <v>0.25</v>
      </c>
      <c r="J510" s="131">
        <f>INDEX('Base de données Mono'!L:L,MATCH(B510,'Base de données Mono'!D:D,0))</f>
        <v>0.86458333333333337</v>
      </c>
      <c r="K510" s="131">
        <f>INDEX('Base de données Mono'!M:M,MATCH(B510,'Base de données Mono'!D:D,0))</f>
        <v>0.33333333333333331</v>
      </c>
      <c r="L510" s="131">
        <f>INDEX('Base de données Mono'!N:N,MATCH(B510,'Base de données Mono'!D:D,0))</f>
        <v>0.55555555555555558</v>
      </c>
      <c r="M510" s="33" t="s">
        <v>46</v>
      </c>
      <c r="N510" s="33">
        <f>IF(AND(E510="Electricité",M510="Hiver"),INDEX('Base de données Mono'!E:E,MATCH(B510,'Base de données Mono'!D:D,0)),IF(AND(E510="Electricité",M510="Mi-saison"),INDEX('Base de données Mono'!F:F,MATCH(B510,'Base de données Mono'!D:D,0)),IF(AND(E510="Electricité",M510="Eté"),INDEX('Base de données Mono'!G:G,MATCH(B510,'Base de données Mono'!D:D,0)),IF(AND(E510="Gaz",M510="Hiver"),INDEX('Base de données Mono'!J:J,MATCH(B510,'Base de données Mono'!D:D,0)),IF(AND(E510="Gaz",M510="Mi-saison"),INDEX('Base de données Mono'!#REF!,MATCH(B510,'Base de données Mono'!D:D,0)),IF(AND(E510="Gaz",M510="Eté"),INDEX('Base de données Mono'!#REF!,MATCH(B510,'Base de données Mono'!D:D,0)),"-"))))))</f>
        <v>55</v>
      </c>
      <c r="O510" s="123">
        <v>45386</v>
      </c>
      <c r="P510" s="123">
        <v>45387</v>
      </c>
      <c r="Q510" s="34">
        <v>80</v>
      </c>
      <c r="R510" s="33">
        <f t="shared" si="57"/>
        <v>25</v>
      </c>
      <c r="S510" s="34">
        <v>1</v>
      </c>
      <c r="T510" s="34">
        <f t="shared" si="58"/>
        <v>1</v>
      </c>
      <c r="U510" s="33">
        <f t="shared" si="59"/>
        <v>25</v>
      </c>
      <c r="V510" s="38" t="s">
        <v>827</v>
      </c>
      <c r="W510" s="39">
        <f t="shared" si="60"/>
        <v>0.45454545454545453</v>
      </c>
      <c r="X510" s="40" t="s">
        <v>304</v>
      </c>
      <c r="Y510" s="40" t="s">
        <v>283</v>
      </c>
      <c r="Z510" s="40" t="s">
        <v>749</v>
      </c>
      <c r="AA510" s="33" t="s">
        <v>749</v>
      </c>
      <c r="AB510" s="95"/>
      <c r="AC510" s="95"/>
    </row>
    <row r="511" spans="1:29" ht="14.45" hidden="1" customHeight="1" x14ac:dyDescent="0.25">
      <c r="A511" s="36" t="str">
        <f>INDEX('Base de données Mono'!C:C,MATCH(B511,'Base de données Mono'!D:D,0))</f>
        <v>DRANCY</v>
      </c>
      <c r="B511" t="s">
        <v>121</v>
      </c>
      <c r="C511" s="36" t="str">
        <f>INDEX('Base de données Mono'!B:B,MATCH(B511,'Base de données Mono'!D:D,0))</f>
        <v>Monoprix</v>
      </c>
      <c r="D511" s="36" t="str">
        <f>INDEX('Base de données Mono'!A:A,MATCH(B511,'Base de données Mono'!D:D,0))</f>
        <v>JG</v>
      </c>
      <c r="E511" s="37" t="s">
        <v>303</v>
      </c>
      <c r="F511" s="41">
        <f t="shared" si="55"/>
        <v>14</v>
      </c>
      <c r="G511" s="41">
        <f t="shared" si="56"/>
        <v>4</v>
      </c>
      <c r="H511">
        <v>9.25</v>
      </c>
      <c r="I511" s="131">
        <f>INDEX('Base de données Mono'!K:K,MATCH(B511,'Base de données Mono'!D:D,0))</f>
        <v>0.25</v>
      </c>
      <c r="J511" s="131">
        <f>INDEX('Base de données Mono'!L:L,MATCH(B511,'Base de données Mono'!D:D,0))</f>
        <v>0.86458333333333337</v>
      </c>
      <c r="K511" s="131">
        <f>INDEX('Base de données Mono'!M:M,MATCH(B511,'Base de données Mono'!D:D,0))</f>
        <v>0.33333333333333331</v>
      </c>
      <c r="L511" s="131">
        <f>INDEX('Base de données Mono'!N:N,MATCH(B511,'Base de données Mono'!D:D,0))</f>
        <v>0.55555555555555558</v>
      </c>
      <c r="M511" s="33" t="s">
        <v>46</v>
      </c>
      <c r="N511" s="33">
        <f>IF(AND(E511="Electricité",M511="Hiver"),INDEX('Base de données Mono'!E:E,MATCH(B511,'Base de données Mono'!D:D,0)),IF(AND(E511="Electricité",M511="Mi-saison"),INDEX('Base de données Mono'!F:F,MATCH(B511,'Base de données Mono'!D:D,0)),IF(AND(E511="Electricité",M511="Eté"),INDEX('Base de données Mono'!G:G,MATCH(B511,'Base de données Mono'!D:D,0)),IF(AND(E511="Gaz",M511="Hiver"),INDEX('Base de données Mono'!J:J,MATCH(B511,'Base de données Mono'!D:D,0)),IF(AND(E511="Gaz",M511="Mi-saison"),INDEX('Base de données Mono'!#REF!,MATCH(B511,'Base de données Mono'!D:D,0)),IF(AND(E511="Gaz",M511="Eté"),INDEX('Base de données Mono'!#REF!,MATCH(B511,'Base de données Mono'!D:D,0)),"-"))))))</f>
        <v>55</v>
      </c>
      <c r="O511" s="123">
        <v>45387</v>
      </c>
      <c r="P511" s="123">
        <v>45388</v>
      </c>
      <c r="Q511" s="34">
        <v>80</v>
      </c>
      <c r="R511" s="33">
        <f t="shared" si="57"/>
        <v>25</v>
      </c>
      <c r="S511" s="34">
        <v>1</v>
      </c>
      <c r="T511" s="34">
        <f t="shared" si="58"/>
        <v>1</v>
      </c>
      <c r="U511" s="33">
        <f t="shared" si="59"/>
        <v>25</v>
      </c>
      <c r="V511" s="38" t="s">
        <v>827</v>
      </c>
      <c r="W511" s="39">
        <f t="shared" si="60"/>
        <v>0.45454545454545453</v>
      </c>
      <c r="X511" s="40" t="s">
        <v>304</v>
      </c>
      <c r="Y511" s="40" t="s">
        <v>283</v>
      </c>
      <c r="Z511" s="40" t="s">
        <v>749</v>
      </c>
      <c r="AA511" s="33" t="s">
        <v>749</v>
      </c>
      <c r="AB511" s="95"/>
      <c r="AC511" s="95"/>
    </row>
    <row r="512" spans="1:29" ht="14.45" hidden="1" customHeight="1" x14ac:dyDescent="0.25">
      <c r="A512" s="36" t="str">
        <f>INDEX('Base de données Mono'!C:C,MATCH(B512,'Base de données Mono'!D:D,0))</f>
        <v>ROQUETTE</v>
      </c>
      <c r="B512" t="s">
        <v>225</v>
      </c>
      <c r="C512" s="36" t="str">
        <f>INDEX('Base de données Mono'!B:B,MATCH(B512,'Base de données Mono'!D:D,0))</f>
        <v>SES8</v>
      </c>
      <c r="D512" s="36" t="str">
        <f>INDEX('Base de données Mono'!A:A,MATCH(B512,'Base de données Mono'!D:D,0))</f>
        <v>JG</v>
      </c>
      <c r="E512" s="37" t="s">
        <v>303</v>
      </c>
      <c r="F512" s="41">
        <f t="shared" si="55"/>
        <v>14</v>
      </c>
      <c r="G512" s="41">
        <f t="shared" si="56"/>
        <v>4</v>
      </c>
      <c r="H512">
        <v>8</v>
      </c>
      <c r="I512" s="131">
        <f>INDEX('Base de données Mono'!K:K,MATCH(B512,'Base de données Mono'!D:D,0))</f>
        <v>0.25</v>
      </c>
      <c r="J512" s="131">
        <f>INDEX('Base de données Mono'!L:L,MATCH(B512,'Base de données Mono'!D:D,0))</f>
        <v>0.91666666666666663</v>
      </c>
      <c r="K512" s="131">
        <f>INDEX('Base de données Mono'!M:M,MATCH(B512,'Base de données Mono'!D:D,0))</f>
        <v>0.29166666666666669</v>
      </c>
      <c r="L512" s="131">
        <f>INDEX('Base de données Mono'!N:N,MATCH(B512,'Base de données Mono'!D:D,0))</f>
        <v>0.55208333333333337</v>
      </c>
      <c r="M512" s="33" t="s">
        <v>46</v>
      </c>
      <c r="N512" s="33">
        <f>IF(AND(E512="Electricité",M512="Hiver"),INDEX('Base de données Mono'!E:E,MATCH(B512,'Base de données Mono'!D:D,0)),IF(AND(E512="Electricité",M512="Mi-saison"),INDEX('Base de données Mono'!F:F,MATCH(B512,'Base de données Mono'!D:D,0)),IF(AND(E512="Electricité",M512="Eté"),INDEX('Base de données Mono'!G:G,MATCH(B512,'Base de données Mono'!D:D,0)),IF(AND(E512="Gaz",M512="Hiver"),INDEX('Base de données Mono'!J:J,MATCH(B512,'Base de données Mono'!D:D,0)),IF(AND(E512="Gaz",M512="Mi-saison"),INDEX('Base de données Mono'!#REF!,MATCH(B512,'Base de données Mono'!D:D,0)),IF(AND(E512="Gaz",M512="Eté"),INDEX('Base de données Mono'!#REF!,MATCH(B512,'Base de données Mono'!D:D,0)),"-"))))))</f>
        <v>60</v>
      </c>
      <c r="O512" s="123">
        <v>45383</v>
      </c>
      <c r="P512" s="123">
        <v>45385</v>
      </c>
      <c r="Q512" s="34">
        <v>75</v>
      </c>
      <c r="R512" s="33">
        <f t="shared" si="57"/>
        <v>15</v>
      </c>
      <c r="S512" s="34">
        <v>8</v>
      </c>
      <c r="T512" s="34">
        <f t="shared" si="58"/>
        <v>2</v>
      </c>
      <c r="U512" s="33">
        <f t="shared" si="59"/>
        <v>240</v>
      </c>
      <c r="V512" s="38" t="s">
        <v>148</v>
      </c>
      <c r="W512" s="39">
        <f t="shared" si="60"/>
        <v>0.25</v>
      </c>
      <c r="X512" s="40" t="s">
        <v>304</v>
      </c>
      <c r="Y512" s="40" t="s">
        <v>284</v>
      </c>
      <c r="Z512" s="40" t="s">
        <v>305</v>
      </c>
      <c r="AA512" s="33" t="s">
        <v>771</v>
      </c>
      <c r="AB512" s="95"/>
      <c r="AC512" s="95"/>
    </row>
    <row r="513" spans="1:29" ht="14.45" hidden="1" customHeight="1" x14ac:dyDescent="0.25">
      <c r="A513" s="36" t="str">
        <f>INDEX('Base de données Mono'!C:C,MATCH(B513,'Base de données Mono'!D:D,0))</f>
        <v>ROQUETTE</v>
      </c>
      <c r="B513" t="s">
        <v>225</v>
      </c>
      <c r="C513" s="36" t="str">
        <f>INDEX('Base de données Mono'!B:B,MATCH(B513,'Base de données Mono'!D:D,0))</f>
        <v>SES8</v>
      </c>
      <c r="D513" s="36" t="str">
        <f>INDEX('Base de données Mono'!A:A,MATCH(B513,'Base de données Mono'!D:D,0))</f>
        <v>JG</v>
      </c>
      <c r="E513" s="37" t="s">
        <v>303</v>
      </c>
      <c r="F513" s="41">
        <f t="shared" si="55"/>
        <v>14</v>
      </c>
      <c r="G513" s="41">
        <f t="shared" si="56"/>
        <v>4</v>
      </c>
      <c r="H513">
        <v>8</v>
      </c>
      <c r="I513" s="131">
        <f>INDEX('Base de données Mono'!K:K,MATCH(B513,'Base de données Mono'!D:D,0))</f>
        <v>0.25</v>
      </c>
      <c r="J513" s="131">
        <f>INDEX('Base de données Mono'!L:L,MATCH(B513,'Base de données Mono'!D:D,0))</f>
        <v>0.91666666666666663</v>
      </c>
      <c r="K513" s="131">
        <f>INDEX('Base de données Mono'!M:M,MATCH(B513,'Base de données Mono'!D:D,0))</f>
        <v>0.29166666666666669</v>
      </c>
      <c r="L513" s="131">
        <f>INDEX('Base de données Mono'!N:N,MATCH(B513,'Base de données Mono'!D:D,0))</f>
        <v>0.55208333333333337</v>
      </c>
      <c r="M513" s="33" t="s">
        <v>46</v>
      </c>
      <c r="N513" s="33">
        <f>IF(AND(E513="Electricité",M513="Hiver"),INDEX('Base de données Mono'!E:E,MATCH(B513,'Base de données Mono'!D:D,0)),IF(AND(E513="Electricité",M513="Mi-saison"),INDEX('Base de données Mono'!F:F,MATCH(B513,'Base de données Mono'!D:D,0)),IF(AND(E513="Electricité",M513="Eté"),INDEX('Base de données Mono'!G:G,MATCH(B513,'Base de données Mono'!D:D,0)),IF(AND(E513="Gaz",M513="Hiver"),INDEX('Base de données Mono'!J:J,MATCH(B513,'Base de données Mono'!D:D,0)),IF(AND(E513="Gaz",M513="Mi-saison"),INDEX('Base de données Mono'!#REF!,MATCH(B513,'Base de données Mono'!D:D,0)),IF(AND(E513="Gaz",M513="Eté"),INDEX('Base de données Mono'!#REF!,MATCH(B513,'Base de données Mono'!D:D,0)),"-"))))))</f>
        <v>60</v>
      </c>
      <c r="O513" s="123">
        <v>45385</v>
      </c>
      <c r="P513" s="123">
        <v>45387</v>
      </c>
      <c r="Q513" s="34">
        <v>100</v>
      </c>
      <c r="R513" s="33">
        <f t="shared" si="57"/>
        <v>40</v>
      </c>
      <c r="S513" s="34">
        <v>8</v>
      </c>
      <c r="T513" s="34">
        <f t="shared" si="58"/>
        <v>2</v>
      </c>
      <c r="U513" s="33">
        <f t="shared" si="59"/>
        <v>640</v>
      </c>
      <c r="V513" s="38" t="s">
        <v>827</v>
      </c>
      <c r="W513" s="39">
        <f t="shared" si="60"/>
        <v>0.66666666666666663</v>
      </c>
      <c r="X513" s="40" t="s">
        <v>304</v>
      </c>
      <c r="Y513" s="40" t="s">
        <v>283</v>
      </c>
      <c r="Z513" s="40" t="s">
        <v>749</v>
      </c>
      <c r="AA513" s="33" t="s">
        <v>749</v>
      </c>
      <c r="AB513" s="95"/>
      <c r="AC513" s="95"/>
    </row>
    <row r="514" spans="1:29" ht="14.45" hidden="1" customHeight="1" x14ac:dyDescent="0.25">
      <c r="A514" s="36" t="str">
        <f>INDEX('Base de données Mono'!C:C,MATCH(B514,'Base de données Mono'!D:D,0))</f>
        <v>ROQUETTE</v>
      </c>
      <c r="B514" t="s">
        <v>225</v>
      </c>
      <c r="C514" s="36" t="str">
        <f>INDEX('Base de données Mono'!B:B,MATCH(B514,'Base de données Mono'!D:D,0))</f>
        <v>SES8</v>
      </c>
      <c r="D514" s="36" t="str">
        <f>INDEX('Base de données Mono'!A:A,MATCH(B514,'Base de données Mono'!D:D,0))</f>
        <v>JG</v>
      </c>
      <c r="E514" s="37" t="s">
        <v>303</v>
      </c>
      <c r="F514" s="41">
        <f t="shared" si="55"/>
        <v>14</v>
      </c>
      <c r="G514" s="41">
        <f t="shared" si="56"/>
        <v>4</v>
      </c>
      <c r="H514">
        <v>8</v>
      </c>
      <c r="I514" s="131">
        <f>INDEX('Base de données Mono'!K:K,MATCH(B514,'Base de données Mono'!D:D,0))</f>
        <v>0.25</v>
      </c>
      <c r="J514" s="131">
        <f>INDEX('Base de données Mono'!L:L,MATCH(B514,'Base de données Mono'!D:D,0))</f>
        <v>0.91666666666666663</v>
      </c>
      <c r="K514" s="131">
        <f>INDEX('Base de données Mono'!M:M,MATCH(B514,'Base de données Mono'!D:D,0))</f>
        <v>0.29166666666666669</v>
      </c>
      <c r="L514" s="131">
        <f>INDEX('Base de données Mono'!N:N,MATCH(B514,'Base de données Mono'!D:D,0))</f>
        <v>0.55208333333333337</v>
      </c>
      <c r="M514" s="33" t="s">
        <v>46</v>
      </c>
      <c r="N514" s="33">
        <f>IF(AND(E514="Electricité",M514="Hiver"),INDEX('Base de données Mono'!E:E,MATCH(B514,'Base de données Mono'!D:D,0)),IF(AND(E514="Electricité",M514="Mi-saison"),INDEX('Base de données Mono'!F:F,MATCH(B514,'Base de données Mono'!D:D,0)),IF(AND(E514="Electricité",M514="Eté"),INDEX('Base de données Mono'!G:G,MATCH(B514,'Base de données Mono'!D:D,0)),IF(AND(E514="Gaz",M514="Hiver"),INDEX('Base de données Mono'!J:J,MATCH(B514,'Base de données Mono'!D:D,0)),IF(AND(E514="Gaz",M514="Mi-saison"),INDEX('Base de données Mono'!#REF!,MATCH(B514,'Base de données Mono'!D:D,0)),IF(AND(E514="Gaz",M514="Eté"),INDEX('Base de données Mono'!#REF!,MATCH(B514,'Base de données Mono'!D:D,0)),"-"))))))</f>
        <v>60</v>
      </c>
      <c r="O514" s="123">
        <v>45387</v>
      </c>
      <c r="P514" s="123">
        <v>45389</v>
      </c>
      <c r="Q514" s="34">
        <v>75</v>
      </c>
      <c r="R514" s="33">
        <f t="shared" si="57"/>
        <v>15</v>
      </c>
      <c r="S514" s="34">
        <v>8</v>
      </c>
      <c r="T514" s="34">
        <f t="shared" si="58"/>
        <v>2</v>
      </c>
      <c r="U514" s="33">
        <f t="shared" si="59"/>
        <v>240</v>
      </c>
      <c r="V514" s="38" t="s">
        <v>148</v>
      </c>
      <c r="W514" s="39">
        <f t="shared" si="60"/>
        <v>0.25</v>
      </c>
      <c r="X514" s="40" t="s">
        <v>304</v>
      </c>
      <c r="Y514" s="40" t="s">
        <v>284</v>
      </c>
      <c r="Z514" s="40" t="s">
        <v>305</v>
      </c>
      <c r="AA514" s="33" t="s">
        <v>771</v>
      </c>
      <c r="AB514" s="95"/>
      <c r="AC514" s="95"/>
    </row>
    <row r="515" spans="1:29" ht="14.45" hidden="1" customHeight="1" x14ac:dyDescent="0.25">
      <c r="A515" s="36" t="str">
        <f>INDEX('Base de données Mono'!C:C,MATCH(B515,'Base de données Mono'!D:D,0))</f>
        <v>ROQUETTE</v>
      </c>
      <c r="B515" t="s">
        <v>225</v>
      </c>
      <c r="C515" s="36" t="str">
        <f>INDEX('Base de données Mono'!B:B,MATCH(B515,'Base de données Mono'!D:D,0))</f>
        <v>SES8</v>
      </c>
      <c r="D515" s="36" t="str">
        <f>INDEX('Base de données Mono'!A:A,MATCH(B515,'Base de données Mono'!D:D,0))</f>
        <v>JG</v>
      </c>
      <c r="E515" s="37" t="s">
        <v>303</v>
      </c>
      <c r="F515" s="41">
        <f t="shared" si="55"/>
        <v>14</v>
      </c>
      <c r="G515" s="41">
        <f t="shared" si="56"/>
        <v>4</v>
      </c>
      <c r="H515">
        <v>8</v>
      </c>
      <c r="I515" s="131">
        <f>INDEX('Base de données Mono'!K:K,MATCH(B515,'Base de données Mono'!D:D,0))</f>
        <v>0.25</v>
      </c>
      <c r="J515" s="131">
        <f>INDEX('Base de données Mono'!L:L,MATCH(B515,'Base de données Mono'!D:D,0))</f>
        <v>0.91666666666666663</v>
      </c>
      <c r="K515" s="131">
        <f>INDEX('Base de données Mono'!M:M,MATCH(B515,'Base de données Mono'!D:D,0))</f>
        <v>0.29166666666666669</v>
      </c>
      <c r="L515" s="131">
        <f>INDEX('Base de données Mono'!N:N,MATCH(B515,'Base de données Mono'!D:D,0))</f>
        <v>0.55208333333333337</v>
      </c>
      <c r="M515" s="33" t="s">
        <v>46</v>
      </c>
      <c r="N515" s="33">
        <f>IF(AND(E515="Electricité",M515="Hiver"),INDEX('Base de données Mono'!E:E,MATCH(B515,'Base de données Mono'!D:D,0)),IF(AND(E515="Electricité",M515="Mi-saison"),INDEX('Base de données Mono'!F:F,MATCH(B515,'Base de données Mono'!D:D,0)),IF(AND(E515="Electricité",M515="Eté"),INDEX('Base de données Mono'!G:G,MATCH(B515,'Base de données Mono'!D:D,0)),IF(AND(E515="Gaz",M515="Hiver"),INDEX('Base de données Mono'!J:J,MATCH(B515,'Base de données Mono'!D:D,0)),IF(AND(E515="Gaz",M515="Mi-saison"),INDEX('Base de données Mono'!#REF!,MATCH(B515,'Base de données Mono'!D:D,0)),IF(AND(E515="Gaz",M515="Eté"),INDEX('Base de données Mono'!#REF!,MATCH(B515,'Base de données Mono'!D:D,0)),"-"))))))</f>
        <v>60</v>
      </c>
      <c r="O515" s="123">
        <v>45389</v>
      </c>
      <c r="P515" s="123">
        <v>45389</v>
      </c>
      <c r="Q515" s="34">
        <v>80</v>
      </c>
      <c r="R515" s="33">
        <f>IF(Q515="","",Q515-N515)</f>
        <v>20</v>
      </c>
      <c r="S515" s="34">
        <v>7.5</v>
      </c>
      <c r="T515" s="34">
        <v>1</v>
      </c>
      <c r="U515" s="33">
        <f t="shared" si="59"/>
        <v>150</v>
      </c>
      <c r="V515" s="38" t="s">
        <v>148</v>
      </c>
      <c r="W515" s="39">
        <f t="shared" si="60"/>
        <v>0.33333333333333331</v>
      </c>
      <c r="X515" s="40" t="s">
        <v>730</v>
      </c>
      <c r="Y515" s="40" t="s">
        <v>284</v>
      </c>
      <c r="Z515" s="40" t="s">
        <v>305</v>
      </c>
      <c r="AA515" s="33" t="s">
        <v>771</v>
      </c>
      <c r="AB515" s="95"/>
      <c r="AC515" s="95"/>
    </row>
    <row r="516" spans="1:29" ht="14.45" hidden="1" customHeight="1" x14ac:dyDescent="0.25">
      <c r="A516" s="36" t="str">
        <f>INDEX('Base de données Mono'!C:C,MATCH(B516,'Base de données Mono'!D:D,0))</f>
        <v>GRENOBLE CASERNE</v>
      </c>
      <c r="B516" t="s">
        <v>135</v>
      </c>
      <c r="C516" s="36" t="str">
        <f>INDEX('Base de données Mono'!B:B,MATCH(B516,'Base de données Mono'!D:D,0))</f>
        <v>SES8</v>
      </c>
      <c r="D516" s="36" t="str">
        <f>INDEX('Base de données Mono'!A:A,MATCH(B516,'Base de données Mono'!D:D,0))</f>
        <v>JG</v>
      </c>
      <c r="E516" s="37" t="s">
        <v>303</v>
      </c>
      <c r="F516" s="41">
        <f>IF(O516="","-",IF(AND(X516="Nuit",WEEKDAY(O516,2)=7,O516&lt;&gt;P516),WEEKNUM(O516,2),WEEKNUM(O516,2)-1))+1</f>
        <v>14</v>
      </c>
      <c r="G516" s="41">
        <f>IF(O516="","-",MONTH(O516))</f>
        <v>4</v>
      </c>
      <c r="H516">
        <v>7.83</v>
      </c>
      <c r="I516" s="131">
        <f>INDEX('Base de données Mono'!K:K,MATCH(B516,'Base de données Mono'!D:D,0))</f>
        <v>0.22222222222222221</v>
      </c>
      <c r="J516" s="131">
        <f>INDEX('Base de données Mono'!L:L,MATCH(B516,'Base de données Mono'!D:D,0))</f>
        <v>0.89583333333333337</v>
      </c>
      <c r="K516" s="131">
        <f>INDEX('Base de données Mono'!M:M,MATCH(B516,'Base de données Mono'!D:D,0))</f>
        <v>0.3125</v>
      </c>
      <c r="L516" s="131">
        <f>INDEX('Base de données Mono'!N:N,MATCH(B516,'Base de données Mono'!D:D,0))</f>
        <v>0.55208333333333337</v>
      </c>
      <c r="M516" s="33" t="s">
        <v>46</v>
      </c>
      <c r="N516" s="33">
        <f>IF(AND(E516="Electricité",M516="Hiver"),INDEX('Base de données Mono'!E:E,MATCH(B516,'Base de données Mono'!D:D,0)),IF(AND(E516="Electricité",M516="Mi-saison"),INDEX('Base de données Mono'!F:F,MATCH(B516,'Base de données Mono'!D:D,0)),IF(AND(E516="Electricité",M516="Eté"),INDEX('Base de données Mono'!G:G,MATCH(B516,'Base de données Mono'!D:D,0)),IF(AND(E516="Gaz",M516="Hiver"),INDEX('Base de données Mono'!J:J,MATCH(B516,'Base de données Mono'!D:D,0)),IF(AND(E516="Gaz",M516="Mi-saison"),INDEX('Base de données Mono'!#REF!,MATCH(B516,'Base de données Mono'!D:D,0)),IF(AND(E516="Gaz",M516="Eté"),INDEX('Base de données Mono'!#REF!,MATCH(B516,'Base de données Mono'!D:D,0)),"-"))))))</f>
        <v>40</v>
      </c>
      <c r="O516" s="123">
        <v>45388</v>
      </c>
      <c r="P516" s="123">
        <v>45389</v>
      </c>
      <c r="Q516" s="34">
        <v>65</v>
      </c>
      <c r="R516" s="33">
        <f>IF(Q516="","",Q516-N516)</f>
        <v>25</v>
      </c>
      <c r="S516" s="34">
        <v>0.3</v>
      </c>
      <c r="T516" s="34">
        <f>P516-O516</f>
        <v>1</v>
      </c>
      <c r="U516" s="33">
        <f>R516*S516*T516</f>
        <v>7.5</v>
      </c>
      <c r="V516" s="38" t="s">
        <v>827</v>
      </c>
      <c r="W516" s="39">
        <f>IFERROR(IF(E516="Gaz","-",R516/N516),"-")</f>
        <v>0.625</v>
      </c>
      <c r="X516" s="40" t="s">
        <v>304</v>
      </c>
      <c r="Y516" s="40" t="s">
        <v>284</v>
      </c>
      <c r="Z516" s="40" t="s">
        <v>307</v>
      </c>
      <c r="AA516" s="33" t="s">
        <v>414</v>
      </c>
      <c r="AB516" s="95"/>
      <c r="AC516" s="95"/>
    </row>
    <row r="517" spans="1:29" ht="14.45" hidden="1" customHeight="1" x14ac:dyDescent="0.25">
      <c r="A517" s="36" t="str">
        <f>INDEX('Base de données Mono'!C:C,MATCH(B517,'Base de données Mono'!D:D,0))</f>
        <v>GRENOBLE CASERNE</v>
      </c>
      <c r="B517" t="s">
        <v>135</v>
      </c>
      <c r="C517" s="36" t="str">
        <f>INDEX('Base de données Mono'!B:B,MATCH(B517,'Base de données Mono'!D:D,0))</f>
        <v>SES8</v>
      </c>
      <c r="D517" s="36" t="str">
        <f>INDEX('Base de données Mono'!A:A,MATCH(B517,'Base de données Mono'!D:D,0))</f>
        <v>JG</v>
      </c>
      <c r="E517" s="37" t="s">
        <v>303</v>
      </c>
      <c r="F517" s="41">
        <f t="shared" si="55"/>
        <v>14</v>
      </c>
      <c r="G517" s="41">
        <f t="shared" si="56"/>
        <v>4</v>
      </c>
      <c r="H517">
        <v>7.83</v>
      </c>
      <c r="I517" s="131">
        <f>INDEX('Base de données Mono'!K:K,MATCH(B517,'Base de données Mono'!D:D,0))</f>
        <v>0.22222222222222221</v>
      </c>
      <c r="J517" s="131">
        <f>INDEX('Base de données Mono'!L:L,MATCH(B517,'Base de données Mono'!D:D,0))</f>
        <v>0.89583333333333337</v>
      </c>
      <c r="K517" s="131">
        <f>INDEX('Base de données Mono'!M:M,MATCH(B517,'Base de données Mono'!D:D,0))</f>
        <v>0.3125</v>
      </c>
      <c r="L517" s="131">
        <f>INDEX('Base de données Mono'!N:N,MATCH(B517,'Base de données Mono'!D:D,0))</f>
        <v>0.55208333333333337</v>
      </c>
      <c r="M517" s="33" t="s">
        <v>46</v>
      </c>
      <c r="N517" s="33">
        <f>IF(AND(E517="Electricité",M517="Hiver"),INDEX('Base de données Mono'!E:E,MATCH(B517,'Base de données Mono'!D:D,0)),IF(AND(E517="Electricité",M517="Mi-saison"),INDEX('Base de données Mono'!F:F,MATCH(B517,'Base de données Mono'!D:D,0)),IF(AND(E517="Electricité",M517="Eté"),INDEX('Base de données Mono'!G:G,MATCH(B517,'Base de données Mono'!D:D,0)),IF(AND(E517="Gaz",M517="Hiver"),INDEX('Base de données Mono'!J:J,MATCH(B517,'Base de données Mono'!D:D,0)),IF(AND(E517="Gaz",M517="Mi-saison"),INDEX('Base de données Mono'!#REF!,MATCH(B517,'Base de données Mono'!D:D,0)),IF(AND(E517="Gaz",M517="Eté"),INDEX('Base de données Mono'!#REF!,MATCH(B517,'Base de données Mono'!D:D,0)),"-"))))))</f>
        <v>40</v>
      </c>
      <c r="O517" s="123">
        <v>45389</v>
      </c>
      <c r="P517" s="123">
        <v>45389</v>
      </c>
      <c r="Q517" s="34">
        <v>80</v>
      </c>
      <c r="R517" s="33">
        <f t="shared" si="57"/>
        <v>40</v>
      </c>
      <c r="S517" s="34">
        <v>6.5</v>
      </c>
      <c r="T517" s="34">
        <v>1</v>
      </c>
      <c r="U517" s="33">
        <f>R517*S517*T517</f>
        <v>260</v>
      </c>
      <c r="V517" s="38" t="s">
        <v>827</v>
      </c>
      <c r="W517" s="39">
        <f>IFERROR(IF(E517="Gaz","-",R517/N517),"-")</f>
        <v>1</v>
      </c>
      <c r="X517" s="40" t="s">
        <v>730</v>
      </c>
      <c r="Y517" s="40" t="s">
        <v>283</v>
      </c>
      <c r="Z517" s="40"/>
      <c r="AA517" s="33"/>
      <c r="AB517" s="95"/>
      <c r="AC517" s="95"/>
    </row>
    <row r="518" spans="1:29" ht="14.45" hidden="1" customHeight="1" x14ac:dyDescent="0.25">
      <c r="A518" s="36" t="str">
        <f>INDEX('Base de données Mono'!C:C,MATCH(B518,'Base de données Mono'!D:D,0))</f>
        <v>SAINT MARCEL</v>
      </c>
      <c r="B518" t="s">
        <v>233</v>
      </c>
      <c r="C518" s="36" t="str">
        <f>INDEX('Base de données Mono'!B:B,MATCH(B518,'Base de données Mono'!D:D,0))</f>
        <v>Monoprix</v>
      </c>
      <c r="D518" s="36" t="str">
        <f>INDEX('Base de données Mono'!A:A,MATCH(B518,'Base de données Mono'!D:D,0))</f>
        <v>JG</v>
      </c>
      <c r="E518" s="37" t="s">
        <v>303</v>
      </c>
      <c r="F518" s="41">
        <f t="shared" si="55"/>
        <v>14</v>
      </c>
      <c r="G518" s="41">
        <f t="shared" si="56"/>
        <v>4</v>
      </c>
      <c r="H518">
        <v>8</v>
      </c>
      <c r="I518" s="131">
        <f>INDEX('Base de données Mono'!K:K,MATCH(B518,'Base de données Mono'!D:D,0))</f>
        <v>0.25</v>
      </c>
      <c r="J518" s="131">
        <f>INDEX('Base de données Mono'!L:L,MATCH(B518,'Base de données Mono'!D:D,0))</f>
        <v>0.91666666666666663</v>
      </c>
      <c r="K518" s="131">
        <f>INDEX('Base de données Mono'!M:M,MATCH(B518,'Base de données Mono'!D:D,0))</f>
        <v>0.28472222222222221</v>
      </c>
      <c r="L518" s="131">
        <f>INDEX('Base de données Mono'!N:N,MATCH(B518,'Base de données Mono'!D:D,0))</f>
        <v>0.83333333333333337</v>
      </c>
      <c r="M518" s="33" t="s">
        <v>46</v>
      </c>
      <c r="N518" s="33">
        <f>IF(AND(E518="Electricité",M518="Hiver"),INDEX('Base de données Mono'!E:E,MATCH(B518,'Base de données Mono'!D:D,0)),IF(AND(E518="Electricité",M518="Mi-saison"),INDEX('Base de données Mono'!F:F,MATCH(B518,'Base de données Mono'!D:D,0)),IF(AND(E518="Electricité",M518="Eté"),INDEX('Base de données Mono'!G:G,MATCH(B518,'Base de données Mono'!D:D,0)),IF(AND(E518="Gaz",M518="Hiver"),INDEX('Base de données Mono'!J:J,MATCH(B518,'Base de données Mono'!D:D,0)),IF(AND(E518="Gaz",M518="Mi-saison"),INDEX('Base de données Mono'!#REF!,MATCH(B518,'Base de données Mono'!D:D,0)),IF(AND(E518="Gaz",M518="Eté"),INDEX('Base de données Mono'!#REF!,MATCH(B518,'Base de données Mono'!D:D,0)),"-"))))))</f>
        <v>45</v>
      </c>
      <c r="O518" s="123">
        <v>45383</v>
      </c>
      <c r="P518" s="123">
        <v>45387</v>
      </c>
      <c r="Q518" s="34">
        <v>50</v>
      </c>
      <c r="R518" s="33">
        <f t="shared" si="57"/>
        <v>5</v>
      </c>
      <c r="S518" s="34">
        <v>1</v>
      </c>
      <c r="T518" s="34">
        <f t="shared" si="58"/>
        <v>4</v>
      </c>
      <c r="U518" s="33">
        <f t="shared" si="59"/>
        <v>20</v>
      </c>
      <c r="V518" s="38" t="s">
        <v>827</v>
      </c>
      <c r="W518" s="39">
        <f t="shared" si="60"/>
        <v>0.1111111111111111</v>
      </c>
      <c r="X518" s="40" t="s">
        <v>304</v>
      </c>
      <c r="Y518" s="40" t="s">
        <v>283</v>
      </c>
      <c r="Z518" s="40" t="s">
        <v>749</v>
      </c>
      <c r="AA518" s="33" t="s">
        <v>749</v>
      </c>
      <c r="AB518" s="95"/>
      <c r="AC518" s="95"/>
    </row>
    <row r="519" spans="1:29" ht="14.45" hidden="1" customHeight="1" x14ac:dyDescent="0.25">
      <c r="A519" s="36" t="str">
        <f>INDEX('Base de données Mono'!C:C,MATCH(B519,'Base de données Mono'!D:D,0))</f>
        <v>SAINT MARCEL</v>
      </c>
      <c r="B519" t="s">
        <v>233</v>
      </c>
      <c r="C519" s="36" t="str">
        <f>INDEX('Base de données Mono'!B:B,MATCH(B519,'Base de données Mono'!D:D,0))</f>
        <v>Monoprix</v>
      </c>
      <c r="D519" s="36" t="str">
        <f>INDEX('Base de données Mono'!A:A,MATCH(B519,'Base de données Mono'!D:D,0))</f>
        <v>JG</v>
      </c>
      <c r="E519" s="37" t="s">
        <v>303</v>
      </c>
      <c r="F519" s="41">
        <f t="shared" si="55"/>
        <v>14</v>
      </c>
      <c r="G519" s="41">
        <f t="shared" si="56"/>
        <v>4</v>
      </c>
      <c r="H519">
        <v>8</v>
      </c>
      <c r="I519" s="131">
        <f>INDEX('Base de données Mono'!K:K,MATCH(B519,'Base de données Mono'!D:D,0))</f>
        <v>0.25</v>
      </c>
      <c r="J519" s="131">
        <f>INDEX('Base de données Mono'!L:L,MATCH(B519,'Base de données Mono'!D:D,0))</f>
        <v>0.91666666666666663</v>
      </c>
      <c r="K519" s="131">
        <f>INDEX('Base de données Mono'!M:M,MATCH(B519,'Base de données Mono'!D:D,0))</f>
        <v>0.28472222222222221</v>
      </c>
      <c r="L519" s="131">
        <f>INDEX('Base de données Mono'!N:N,MATCH(B519,'Base de données Mono'!D:D,0))</f>
        <v>0.83333333333333337</v>
      </c>
      <c r="M519" s="33" t="s">
        <v>46</v>
      </c>
      <c r="N519" s="33">
        <f>IF(AND(E519="Electricité",M519="Hiver"),INDEX('Base de données Mono'!E:E,MATCH(B519,'Base de données Mono'!D:D,0)),IF(AND(E519="Electricité",M519="Mi-saison"),INDEX('Base de données Mono'!F:F,MATCH(B519,'Base de données Mono'!D:D,0)),IF(AND(E519="Electricité",M519="Eté"),INDEX('Base de données Mono'!G:G,MATCH(B519,'Base de données Mono'!D:D,0)),IF(AND(E519="Gaz",M519="Hiver"),INDEX('Base de données Mono'!J:J,MATCH(B519,'Base de données Mono'!D:D,0)),IF(AND(E519="Gaz",M519="Mi-saison"),INDEX('Base de données Mono'!#REF!,MATCH(B519,'Base de données Mono'!D:D,0)),IF(AND(E519="Gaz",M519="Eté"),INDEX('Base de données Mono'!#REF!,MATCH(B519,'Base de données Mono'!D:D,0)),"-"))))))</f>
        <v>45</v>
      </c>
      <c r="O519" s="123">
        <v>45387</v>
      </c>
      <c r="P519" s="123">
        <v>45388</v>
      </c>
      <c r="Q519" s="34">
        <v>50</v>
      </c>
      <c r="R519" s="33">
        <f t="shared" si="57"/>
        <v>5</v>
      </c>
      <c r="S519" s="34">
        <v>1</v>
      </c>
      <c r="T519" s="34">
        <f t="shared" si="58"/>
        <v>1</v>
      </c>
      <c r="U519" s="33">
        <f t="shared" si="59"/>
        <v>5</v>
      </c>
      <c r="V519" s="38" t="s">
        <v>827</v>
      </c>
      <c r="W519" s="39">
        <f t="shared" si="60"/>
        <v>0.1111111111111111</v>
      </c>
      <c r="X519" s="40" t="s">
        <v>304</v>
      </c>
      <c r="Y519" s="40" t="s">
        <v>283</v>
      </c>
      <c r="Z519" s="40" t="s">
        <v>749</v>
      </c>
      <c r="AA519" s="33" t="s">
        <v>749</v>
      </c>
      <c r="AB519" s="95"/>
      <c r="AC519" s="95"/>
    </row>
    <row r="520" spans="1:29" ht="14.45" hidden="1" customHeight="1" x14ac:dyDescent="0.25">
      <c r="A520" s="36" t="str">
        <f>INDEX('Base de données Mono'!C:C,MATCH(B520,'Base de données Mono'!D:D,0))</f>
        <v>TERNES</v>
      </c>
      <c r="B520" t="s">
        <v>251</v>
      </c>
      <c r="C520" s="36" t="str">
        <f>INDEX('Base de données Mono'!B:B,MATCH(B520,'Base de données Mono'!D:D,0))</f>
        <v>SES8</v>
      </c>
      <c r="D520" s="36" t="str">
        <f>INDEX('Base de données Mono'!A:A,MATCH(B520,'Base de données Mono'!D:D,0))</f>
        <v>AD</v>
      </c>
      <c r="E520" s="37" t="s">
        <v>303</v>
      </c>
      <c r="F520" s="41">
        <f>IF(O520="","-",IF(AND(X520="Nuit",WEEKDAY(O520,2)=7,O520&lt;&gt;P520),WEEKNUM(O520,2),WEEKNUM(O520,2)-1))+1</f>
        <v>14</v>
      </c>
      <c r="G520" s="41">
        <f>IF(O520="","-",MONTH(O520))</f>
        <v>4</v>
      </c>
      <c r="H520">
        <v>7</v>
      </c>
      <c r="I520" s="131">
        <f>INDEX('Base de données Mono'!K:K,MATCH(B520,'Base de données Mono'!D:D,0))</f>
        <v>0.1875</v>
      </c>
      <c r="J520" s="131">
        <f>INDEX('Base de données Mono'!L:L,MATCH(B520,'Base de données Mono'!D:D,0))</f>
        <v>0.89583333333333337</v>
      </c>
      <c r="K520" s="131">
        <f>INDEX('Base de données Mono'!M:M,MATCH(B520,'Base de données Mono'!D:D,0))</f>
        <v>0.22916666666666666</v>
      </c>
      <c r="L520" s="131">
        <f>INDEX('Base de données Mono'!N:N,MATCH(B520,'Base de données Mono'!D:D,0))</f>
        <v>0.8125</v>
      </c>
      <c r="M520" s="33" t="s">
        <v>46</v>
      </c>
      <c r="N520" s="33">
        <f>IF(AND(E520="Electricité",M520="Hiver"),INDEX('Base de données Mono'!E:E,MATCH(B520,'Base de données Mono'!D:D,0)),IF(AND(E520="Electricité",M520="Mi-saison"),INDEX('Base de données Mono'!F:F,MATCH(B520,'Base de données Mono'!D:D,0)),IF(AND(E520="Electricité",M520="Eté"),INDEX('Base de données Mono'!G:G,MATCH(B520,'Base de données Mono'!D:D,0)),IF(AND(E520="Gaz",M520="Hiver"),INDEX('Base de données Mono'!J:J,MATCH(B520,'Base de données Mono'!D:D,0)),IF(AND(E520="Gaz",M520="Mi-saison"),INDEX('Base de données Mono'!#REF!,MATCH(B520,'Base de données Mono'!D:D,0)),IF(AND(E520="Gaz",M520="Eté"),INDEX('Base de données Mono'!#REF!,MATCH(B520,'Base de données Mono'!D:D,0)),"-"))))))</f>
        <v>80</v>
      </c>
      <c r="O520" s="123">
        <v>45383</v>
      </c>
      <c r="P520" s="123">
        <v>45388</v>
      </c>
      <c r="Q520" s="34">
        <v>100</v>
      </c>
      <c r="R520" s="33">
        <f>IF(Q520="","",Q520-N520)</f>
        <v>20</v>
      </c>
      <c r="S520" s="34">
        <v>0.5</v>
      </c>
      <c r="T520" s="34">
        <f>P520-O520</f>
        <v>5</v>
      </c>
      <c r="U520" s="33">
        <f>R520*S520*T520</f>
        <v>50</v>
      </c>
      <c r="V520" s="38" t="s">
        <v>827</v>
      </c>
      <c r="W520" s="39">
        <f>IFERROR(IF(E520="Gaz","-",R520/N520),"-")</f>
        <v>0.25</v>
      </c>
      <c r="X520" s="40" t="s">
        <v>304</v>
      </c>
      <c r="Y520" s="40" t="s">
        <v>284</v>
      </c>
      <c r="Z520" s="40" t="s">
        <v>305</v>
      </c>
      <c r="AA520" s="33" t="s">
        <v>771</v>
      </c>
      <c r="AB520" s="95"/>
      <c r="AC520" s="95"/>
    </row>
    <row r="521" spans="1:29" ht="14.45" hidden="1" customHeight="1" x14ac:dyDescent="0.25">
      <c r="A521" s="36" t="str">
        <f>INDEX('Base de données Mono'!C:C,MATCH(B521,'Base de données Mono'!D:D,0))</f>
        <v>TERNES</v>
      </c>
      <c r="B521" t="s">
        <v>251</v>
      </c>
      <c r="C521" s="36" t="str">
        <f>INDEX('Base de données Mono'!B:B,MATCH(B521,'Base de données Mono'!D:D,0))</f>
        <v>SES8</v>
      </c>
      <c r="D521" s="36" t="str">
        <f>INDEX('Base de données Mono'!A:A,MATCH(B521,'Base de données Mono'!D:D,0))</f>
        <v>AD</v>
      </c>
      <c r="E521" s="37" t="s">
        <v>303</v>
      </c>
      <c r="F521" s="41">
        <f t="shared" si="55"/>
        <v>14</v>
      </c>
      <c r="G521" s="41">
        <f t="shared" si="56"/>
        <v>4</v>
      </c>
      <c r="H521">
        <v>7</v>
      </c>
      <c r="I521" s="131">
        <f>INDEX('Base de données Mono'!K:K,MATCH(B521,'Base de données Mono'!D:D,0))</f>
        <v>0.1875</v>
      </c>
      <c r="J521" s="131">
        <f>INDEX('Base de données Mono'!L:L,MATCH(B521,'Base de données Mono'!D:D,0))</f>
        <v>0.89583333333333337</v>
      </c>
      <c r="K521" s="131">
        <f>INDEX('Base de données Mono'!M:M,MATCH(B521,'Base de données Mono'!D:D,0))</f>
        <v>0.22916666666666666</v>
      </c>
      <c r="L521" s="131">
        <f>INDEX('Base de données Mono'!N:N,MATCH(B521,'Base de données Mono'!D:D,0))</f>
        <v>0.8125</v>
      </c>
      <c r="M521" s="33" t="s">
        <v>46</v>
      </c>
      <c r="N521" s="33">
        <f>IF(AND(E521="Electricité",M521="Hiver"),INDEX('Base de données Mono'!E:E,MATCH(B521,'Base de données Mono'!D:D,0)),IF(AND(E521="Electricité",M521="Mi-saison"),INDEX('Base de données Mono'!F:F,MATCH(B521,'Base de données Mono'!D:D,0)),IF(AND(E521="Electricité",M521="Eté"),INDEX('Base de données Mono'!G:G,MATCH(B521,'Base de données Mono'!D:D,0)),IF(AND(E521="Gaz",M521="Hiver"),INDEX('Base de données Mono'!J:J,MATCH(B521,'Base de données Mono'!D:D,0)),IF(AND(E521="Gaz",M521="Mi-saison"),INDEX('Base de données Mono'!#REF!,MATCH(B521,'Base de données Mono'!D:D,0)),IF(AND(E521="Gaz",M521="Eté"),INDEX('Base de données Mono'!#REF!,MATCH(B521,'Base de données Mono'!D:D,0)),"-"))))))</f>
        <v>80</v>
      </c>
      <c r="O521" s="123">
        <v>45383</v>
      </c>
      <c r="P521" s="123">
        <v>45389</v>
      </c>
      <c r="Q521" s="34">
        <v>120</v>
      </c>
      <c r="R521" s="33">
        <f t="shared" si="57"/>
        <v>40</v>
      </c>
      <c r="S521" s="34">
        <v>0.7</v>
      </c>
      <c r="T521" s="34">
        <f>P521-O521</f>
        <v>6</v>
      </c>
      <c r="U521" s="33">
        <f t="shared" si="59"/>
        <v>168</v>
      </c>
      <c r="V521" s="38" t="s">
        <v>827</v>
      </c>
      <c r="W521" s="39">
        <f t="shared" si="60"/>
        <v>0.5</v>
      </c>
      <c r="X521" s="40" t="s">
        <v>304</v>
      </c>
      <c r="Y521" s="40" t="s">
        <v>284</v>
      </c>
      <c r="Z521" s="40" t="s">
        <v>307</v>
      </c>
      <c r="AA521" s="33" t="s">
        <v>313</v>
      </c>
      <c r="AB521" s="95"/>
      <c r="AC521" s="95"/>
    </row>
    <row r="522" spans="1:29" ht="14.45" hidden="1" customHeight="1" x14ac:dyDescent="0.25">
      <c r="A522" s="36" t="str">
        <f>INDEX('Base de données Mono'!C:C,MATCH(B522,'Base de données Mono'!D:D,0))</f>
        <v>ASNIERES BOURGUIGNON</v>
      </c>
      <c r="B522" t="s">
        <v>67</v>
      </c>
      <c r="C522" s="36" t="str">
        <f>INDEX('Base de données Mono'!B:B,MATCH(B522,'Base de données Mono'!D:D,0))</f>
        <v>Monoprix</v>
      </c>
      <c r="D522" s="36" t="str">
        <f>INDEX('Base de données Mono'!A:A,MATCH(B522,'Base de données Mono'!D:D,0))</f>
        <v>AD</v>
      </c>
      <c r="E522" s="37" t="s">
        <v>303</v>
      </c>
      <c r="F522" s="41">
        <f t="shared" si="55"/>
        <v>14</v>
      </c>
      <c r="G522" s="41">
        <f t="shared" si="56"/>
        <v>4</v>
      </c>
      <c r="H522">
        <v>8</v>
      </c>
      <c r="I522" s="131">
        <f>INDEX('Base de données Mono'!K:K,MATCH(B522,'Base de données Mono'!D:D,0))</f>
        <v>0.1875</v>
      </c>
      <c r="J522" s="131">
        <f>INDEX('Base de données Mono'!L:L,MATCH(B522,'Base de données Mono'!D:D,0))</f>
        <v>0.85416666666666663</v>
      </c>
      <c r="K522" s="131">
        <f>INDEX('Base de données Mono'!M:M,MATCH(B522,'Base de données Mono'!D:D,0))</f>
        <v>0.25</v>
      </c>
      <c r="L522" s="131">
        <f>INDEX('Base de données Mono'!N:N,MATCH(B522,'Base de données Mono'!D:D,0))</f>
        <v>0.54166666666666663</v>
      </c>
      <c r="M522" s="33" t="s">
        <v>46</v>
      </c>
      <c r="N522" s="33">
        <f>IF(AND(E522="Electricité",M522="Hiver"),INDEX('Base de données Mono'!E:E,MATCH(B522,'Base de données Mono'!D:D,0)),IF(AND(E522="Electricité",M522="Mi-saison"),INDEX('Base de données Mono'!F:F,MATCH(B522,'Base de données Mono'!D:D,0)),IF(AND(E522="Electricité",M522="Eté"),INDEX('Base de données Mono'!G:G,MATCH(B522,'Base de données Mono'!D:D,0)),IF(AND(E522="Gaz",M522="Hiver"),INDEX('Base de données Mono'!J:J,MATCH(B522,'Base de données Mono'!D:D,0)),IF(AND(E522="Gaz",M522="Mi-saison"),INDEX('Base de données Mono'!#REF!,MATCH(B522,'Base de données Mono'!D:D,0)),IF(AND(E522="Gaz",M522="Eté"),INDEX('Base de données Mono'!#REF!,MATCH(B522,'Base de données Mono'!D:D,0)),"-"))))))</f>
        <v>55</v>
      </c>
      <c r="O522" s="123">
        <v>45384</v>
      </c>
      <c r="P522" s="123">
        <v>45388</v>
      </c>
      <c r="Q522" s="34">
        <v>90</v>
      </c>
      <c r="R522" s="33">
        <f t="shared" si="57"/>
        <v>35</v>
      </c>
      <c r="S522" s="34">
        <v>1</v>
      </c>
      <c r="T522" s="34">
        <f t="shared" si="58"/>
        <v>4</v>
      </c>
      <c r="U522" s="33">
        <f t="shared" si="59"/>
        <v>140</v>
      </c>
      <c r="V522" s="38" t="s">
        <v>827</v>
      </c>
      <c r="W522" s="39">
        <f t="shared" si="60"/>
        <v>0.63636363636363635</v>
      </c>
      <c r="X522" s="40" t="s">
        <v>304</v>
      </c>
      <c r="Y522" s="40" t="s">
        <v>283</v>
      </c>
      <c r="Z522" s="40" t="s">
        <v>749</v>
      </c>
      <c r="AA522" s="33" t="s">
        <v>749</v>
      </c>
      <c r="AB522" s="95"/>
      <c r="AC522" s="95"/>
    </row>
    <row r="523" spans="1:29" ht="14.45" hidden="1" customHeight="1" x14ac:dyDescent="0.25">
      <c r="A523" s="36" t="str">
        <f>INDEX('Base de données Mono'!C:C,MATCH(B523,'Base de données Mono'!D:D,0))</f>
        <v>ASNIERES BOURGUIGNON</v>
      </c>
      <c r="B523" t="s">
        <v>67</v>
      </c>
      <c r="C523" s="36" t="str">
        <f>INDEX('Base de données Mono'!B:B,MATCH(B523,'Base de données Mono'!D:D,0))</f>
        <v>Monoprix</v>
      </c>
      <c r="D523" s="36" t="str">
        <f>INDEX('Base de données Mono'!A:A,MATCH(B523,'Base de données Mono'!D:D,0))</f>
        <v>AD</v>
      </c>
      <c r="E523" s="37" t="s">
        <v>303</v>
      </c>
      <c r="F523" s="41">
        <f t="shared" si="55"/>
        <v>14</v>
      </c>
      <c r="G523" s="41">
        <f t="shared" si="56"/>
        <v>4</v>
      </c>
      <c r="H523">
        <v>8</v>
      </c>
      <c r="I523" s="131">
        <f>INDEX('Base de données Mono'!K:K,MATCH(B523,'Base de données Mono'!D:D,0))</f>
        <v>0.1875</v>
      </c>
      <c r="J523" s="131">
        <f>INDEX('Base de données Mono'!L:L,MATCH(B523,'Base de données Mono'!D:D,0))</f>
        <v>0.85416666666666663</v>
      </c>
      <c r="K523" s="131">
        <f>INDEX('Base de données Mono'!M:M,MATCH(B523,'Base de données Mono'!D:D,0))</f>
        <v>0.25</v>
      </c>
      <c r="L523" s="131">
        <f>INDEX('Base de données Mono'!N:N,MATCH(B523,'Base de données Mono'!D:D,0))</f>
        <v>0.54166666666666663</v>
      </c>
      <c r="M523" s="33" t="s">
        <v>46</v>
      </c>
      <c r="N523" s="33">
        <f>IF(AND(E523="Electricité",M523="Hiver"),INDEX('Base de données Mono'!E:E,MATCH(B523,'Base de données Mono'!D:D,0)),IF(AND(E523="Electricité",M523="Mi-saison"),INDEX('Base de données Mono'!F:F,MATCH(B523,'Base de données Mono'!D:D,0)),IF(AND(E523="Electricité",M523="Eté"),INDEX('Base de données Mono'!G:G,MATCH(B523,'Base de données Mono'!D:D,0)),IF(AND(E523="Gaz",M523="Hiver"),INDEX('Base de données Mono'!J:J,MATCH(B523,'Base de données Mono'!D:D,0)),IF(AND(E523="Gaz",M523="Mi-saison"),INDEX('Base de données Mono'!#REF!,MATCH(B523,'Base de données Mono'!D:D,0)),IF(AND(E523="Gaz",M523="Eté"),INDEX('Base de données Mono'!#REF!,MATCH(B523,'Base de données Mono'!D:D,0)),"-"))))))</f>
        <v>55</v>
      </c>
      <c r="O523" s="123">
        <v>45386</v>
      </c>
      <c r="P523" s="123">
        <v>45389</v>
      </c>
      <c r="Q523" s="34">
        <v>60</v>
      </c>
      <c r="R523" s="33">
        <f t="shared" si="57"/>
        <v>5</v>
      </c>
      <c r="S523" s="34">
        <v>2</v>
      </c>
      <c r="T523" s="34">
        <f t="shared" si="58"/>
        <v>3</v>
      </c>
      <c r="U523" s="33">
        <f t="shared" si="59"/>
        <v>30</v>
      </c>
      <c r="V523" s="38" t="s">
        <v>827</v>
      </c>
      <c r="W523" s="39">
        <f t="shared" si="60"/>
        <v>9.0909090909090912E-2</v>
      </c>
      <c r="X523" s="40" t="s">
        <v>304</v>
      </c>
      <c r="Y523" s="40" t="s">
        <v>283</v>
      </c>
      <c r="Z523" s="40" t="s">
        <v>749</v>
      </c>
      <c r="AA523" s="33" t="s">
        <v>749</v>
      </c>
      <c r="AB523" s="95"/>
      <c r="AC523" s="95"/>
    </row>
    <row r="524" spans="1:29" ht="14.45" hidden="1" customHeight="1" x14ac:dyDescent="0.25">
      <c r="A524" s="36" t="str">
        <f>INDEX('Base de données Mono'!C:C,MATCH(B524,'Base de données Mono'!D:D,0))</f>
        <v>ASNIERES BOURGUIGNON</v>
      </c>
      <c r="B524" t="s">
        <v>67</v>
      </c>
      <c r="C524" s="36" t="str">
        <f>INDEX('Base de données Mono'!B:B,MATCH(B524,'Base de données Mono'!D:D,0))</f>
        <v>Monoprix</v>
      </c>
      <c r="D524" s="36" t="str">
        <f>INDEX('Base de données Mono'!A:A,MATCH(B524,'Base de données Mono'!D:D,0))</f>
        <v>AD</v>
      </c>
      <c r="E524" s="37" t="s">
        <v>303</v>
      </c>
      <c r="F524" s="41">
        <f t="shared" si="55"/>
        <v>14</v>
      </c>
      <c r="G524" s="41">
        <f t="shared" si="56"/>
        <v>4</v>
      </c>
      <c r="H524">
        <v>8</v>
      </c>
      <c r="I524" s="131">
        <f>INDEX('Base de données Mono'!K:K,MATCH(B524,'Base de données Mono'!D:D,0))</f>
        <v>0.1875</v>
      </c>
      <c r="J524" s="131">
        <f>INDEX('Base de données Mono'!L:L,MATCH(B524,'Base de données Mono'!D:D,0))</f>
        <v>0.85416666666666663</v>
      </c>
      <c r="K524" s="131">
        <f>INDEX('Base de données Mono'!M:M,MATCH(B524,'Base de données Mono'!D:D,0))</f>
        <v>0.25</v>
      </c>
      <c r="L524" s="131">
        <f>INDEX('Base de données Mono'!N:N,MATCH(B524,'Base de données Mono'!D:D,0))</f>
        <v>0.54166666666666663</v>
      </c>
      <c r="M524" s="33" t="s">
        <v>46</v>
      </c>
      <c r="N524" s="33">
        <f>IF(AND(E524="Electricité",M524="Hiver"),INDEX('Base de données Mono'!E:E,MATCH(B524,'Base de données Mono'!D:D,0)),IF(AND(E524="Electricité",M524="Mi-saison"),INDEX('Base de données Mono'!F:F,MATCH(B524,'Base de données Mono'!D:D,0)),IF(AND(E524="Electricité",M524="Eté"),INDEX('Base de données Mono'!G:G,MATCH(B524,'Base de données Mono'!D:D,0)),IF(AND(E524="Gaz",M524="Hiver"),INDEX('Base de données Mono'!J:J,MATCH(B524,'Base de données Mono'!D:D,0)),IF(AND(E524="Gaz",M524="Mi-saison"),INDEX('Base de données Mono'!#REF!,MATCH(B524,'Base de données Mono'!D:D,0)),IF(AND(E524="Gaz",M524="Eté"),INDEX('Base de données Mono'!#REF!,MATCH(B524,'Base de données Mono'!D:D,0)),"-"))))))</f>
        <v>55</v>
      </c>
      <c r="O524" s="123">
        <v>45388</v>
      </c>
      <c r="P524" s="123">
        <v>45389</v>
      </c>
      <c r="Q524" s="34">
        <v>95</v>
      </c>
      <c r="R524" s="33">
        <f t="shared" si="57"/>
        <v>40</v>
      </c>
      <c r="S524" s="34">
        <v>1</v>
      </c>
      <c r="T524" s="34">
        <f t="shared" si="58"/>
        <v>1</v>
      </c>
      <c r="U524" s="33">
        <f t="shared" si="59"/>
        <v>40</v>
      </c>
      <c r="V524" s="38" t="s">
        <v>827</v>
      </c>
      <c r="W524" s="39">
        <f t="shared" si="60"/>
        <v>0.72727272727272729</v>
      </c>
      <c r="X524" s="40" t="s">
        <v>304</v>
      </c>
      <c r="Y524" s="40" t="s">
        <v>283</v>
      </c>
      <c r="Z524" s="40" t="s">
        <v>749</v>
      </c>
      <c r="AA524" s="33" t="s">
        <v>749</v>
      </c>
      <c r="AB524" s="95"/>
      <c r="AC524" s="95"/>
    </row>
    <row r="525" spans="1:29" ht="14.45" hidden="1" customHeight="1" x14ac:dyDescent="0.25">
      <c r="A525" s="36" t="str">
        <f>INDEX('Base de données Mono'!C:C,MATCH(B525,'Base de données Mono'!D:D,0))</f>
        <v>VAUGIRARD</v>
      </c>
      <c r="B525" t="s">
        <v>262</v>
      </c>
      <c r="C525" s="36" t="str">
        <f>INDEX('Base de données Mono'!B:B,MATCH(B525,'Base de données Mono'!D:D,0))</f>
        <v>SES8</v>
      </c>
      <c r="D525" s="36" t="str">
        <f>INDEX('Base de données Mono'!A:A,MATCH(B525,'Base de données Mono'!D:D,0))</f>
        <v>AD</v>
      </c>
      <c r="E525" s="37" t="s">
        <v>303</v>
      </c>
      <c r="F525" s="41">
        <f t="shared" si="55"/>
        <v>14</v>
      </c>
      <c r="G525" s="41">
        <f t="shared" si="56"/>
        <v>4</v>
      </c>
      <c r="H525">
        <v>6.58</v>
      </c>
      <c r="I525" s="131">
        <f>INDEX('Base de données Mono'!K:K,MATCH(B525,'Base de données Mono'!D:D,0))</f>
        <v>0.20138888888888887</v>
      </c>
      <c r="J525" s="131">
        <f>INDEX('Base de données Mono'!L:L,MATCH(B525,'Base de données Mono'!D:D,0))</f>
        <v>0.92708333333333337</v>
      </c>
      <c r="K525" s="131">
        <f>INDEX('Base de données Mono'!M:M,MATCH(B525,'Base de données Mono'!D:D,0))</f>
        <v>0.2638888888888889</v>
      </c>
      <c r="L525" s="131">
        <f>INDEX('Base de données Mono'!N:N,MATCH(B525,'Base de données Mono'!D:D,0))</f>
        <v>0.5625</v>
      </c>
      <c r="M525" s="33" t="s">
        <v>46</v>
      </c>
      <c r="N525" s="33">
        <f>IF(AND(E525="Electricité",M525="Hiver"),INDEX('Base de données Mono'!E:E,MATCH(B525,'Base de données Mono'!D:D,0)),IF(AND(E525="Electricité",M525="Mi-saison"),INDEX('Base de données Mono'!F:F,MATCH(B525,'Base de données Mono'!D:D,0)),IF(AND(E525="Electricité",M525="Eté"),INDEX('Base de données Mono'!G:G,MATCH(B525,'Base de données Mono'!D:D,0)),IF(AND(E525="Gaz",M525="Hiver"),INDEX('Base de données Mono'!J:J,MATCH(B525,'Base de données Mono'!D:D,0)),IF(AND(E525="Gaz",M525="Mi-saison"),INDEX('Base de données Mono'!#REF!,MATCH(B525,'Base de données Mono'!D:D,0)),IF(AND(E525="Gaz",M525="Eté"),INDEX('Base de données Mono'!#REF!,MATCH(B525,'Base de données Mono'!D:D,0)),"-"))))))</f>
        <v>80</v>
      </c>
      <c r="O525" s="123">
        <v>45383</v>
      </c>
      <c r="P525" s="123">
        <v>45384</v>
      </c>
      <c r="Q525" s="34">
        <v>100</v>
      </c>
      <c r="R525" s="33">
        <f t="shared" si="57"/>
        <v>20</v>
      </c>
      <c r="S525" s="34">
        <v>6</v>
      </c>
      <c r="T525" s="34">
        <f t="shared" si="58"/>
        <v>1</v>
      </c>
      <c r="U525" s="33">
        <f t="shared" si="59"/>
        <v>120</v>
      </c>
      <c r="V525" s="38" t="s">
        <v>827</v>
      </c>
      <c r="W525" s="39">
        <f t="shared" si="60"/>
        <v>0.25</v>
      </c>
      <c r="X525" s="40" t="s">
        <v>304</v>
      </c>
      <c r="Y525" s="40" t="s">
        <v>284</v>
      </c>
      <c r="Z525" s="40" t="s">
        <v>305</v>
      </c>
      <c r="AA525" s="33" t="s">
        <v>771</v>
      </c>
      <c r="AB525" s="95"/>
      <c r="AC525" s="95"/>
    </row>
    <row r="526" spans="1:29" ht="14.45" hidden="1" customHeight="1" x14ac:dyDescent="0.25">
      <c r="A526" s="36" t="str">
        <f>INDEX('Base de données Mono'!C:C,MATCH(B526,'Base de données Mono'!D:D,0))</f>
        <v>LES TOITS DE BOULOGNE</v>
      </c>
      <c r="B526" t="s">
        <v>158</v>
      </c>
      <c r="C526" s="36" t="str">
        <f>INDEX('Base de données Mono'!B:B,MATCH(B526,'Base de données Mono'!D:D,0))</f>
        <v>SES8</v>
      </c>
      <c r="D526" s="36" t="str">
        <f>INDEX('Base de données Mono'!A:A,MATCH(B526,'Base de données Mono'!D:D,0))</f>
        <v>AD</v>
      </c>
      <c r="E526" s="37" t="s">
        <v>303</v>
      </c>
      <c r="F526" s="41">
        <f>IF(O526="","-",IF(AND(X526="Nuit",WEEKDAY(O526,2)=7,O526&lt;&gt;P526),WEEKNUM(O526,2),WEEKNUM(O526,2)-1))+1</f>
        <v>14</v>
      </c>
      <c r="G526" s="41">
        <f>IF(O526="","-",MONTH(O526))</f>
        <v>4</v>
      </c>
      <c r="H526">
        <v>8.5</v>
      </c>
      <c r="I526" s="131">
        <f>INDEX('Base de données Mono'!K:K,MATCH(B526,'Base de données Mono'!D:D,0))</f>
        <v>0.22916666666666666</v>
      </c>
      <c r="J526" s="131">
        <f>INDEX('Base de données Mono'!L:L,MATCH(B526,'Base de données Mono'!D:D,0))</f>
        <v>0.875</v>
      </c>
      <c r="K526" s="131">
        <f>INDEX('Base de données Mono'!M:M,MATCH(B526,'Base de données Mono'!D:D,0))</f>
        <v>0.29166666666666669</v>
      </c>
      <c r="L526" s="131">
        <f>INDEX('Base de données Mono'!N:N,MATCH(B526,'Base de données Mono'!D:D,0))</f>
        <v>0.83333333333333337</v>
      </c>
      <c r="M526" s="33" t="s">
        <v>46</v>
      </c>
      <c r="N526" s="33">
        <f>IF(AND(E526="Electricité",M526="Hiver"),INDEX('Base de données Mono'!E:E,MATCH(B526,'Base de données Mono'!D:D,0)),IF(AND(E526="Electricité",M526="Mi-saison"),INDEX('Base de données Mono'!F:F,MATCH(B526,'Base de données Mono'!D:D,0)),IF(AND(E526="Electricité",M526="Eté"),INDEX('Base de données Mono'!G:G,MATCH(B526,'Base de données Mono'!D:D,0)),IF(AND(E526="Gaz",M526="Hiver"),INDEX('Base de données Mono'!J:J,MATCH(B526,'Base de données Mono'!D:D,0)),IF(AND(E526="Gaz",M526="Mi-saison"),INDEX('Base de données Mono'!#REF!,MATCH(B526,'Base de données Mono'!D:D,0)),IF(AND(E526="Gaz",M526="Eté"),INDEX('Base de données Mono'!#REF!,MATCH(B526,'Base de données Mono'!D:D,0)),"-"))))))</f>
        <v>70</v>
      </c>
      <c r="O526" s="123">
        <v>45383</v>
      </c>
      <c r="P526" s="123">
        <v>45384</v>
      </c>
      <c r="Q526" s="34">
        <v>105</v>
      </c>
      <c r="R526" s="33">
        <f>IF(Q526="","",Q526-N526)</f>
        <v>35</v>
      </c>
      <c r="S526" s="34">
        <v>8.5</v>
      </c>
      <c r="T526" s="34">
        <f>P526-O526</f>
        <v>1</v>
      </c>
      <c r="U526" s="33">
        <f>R526*S526*T526</f>
        <v>297.5</v>
      </c>
      <c r="V526" s="38" t="s">
        <v>827</v>
      </c>
      <c r="W526" s="39">
        <f>IFERROR(IF(E526="Gaz","-",R526/N526),"-")</f>
        <v>0.5</v>
      </c>
      <c r="X526" s="40" t="s">
        <v>304</v>
      </c>
      <c r="Y526" s="40" t="s">
        <v>284</v>
      </c>
      <c r="Z526" s="40" t="s">
        <v>305</v>
      </c>
      <c r="AA526" s="33" t="s">
        <v>771</v>
      </c>
      <c r="AB526" s="95"/>
      <c r="AC526" s="95"/>
    </row>
    <row r="527" spans="1:29" ht="14.45" hidden="1" customHeight="1" x14ac:dyDescent="0.25">
      <c r="A527" s="36" t="str">
        <f>INDEX('Base de données Mono'!C:C,MATCH(B527,'Base de données Mono'!D:D,0))</f>
        <v>LES TOITS DE BOULOGNE</v>
      </c>
      <c r="B527" t="s">
        <v>158</v>
      </c>
      <c r="C527" s="36" t="str">
        <f>INDEX('Base de données Mono'!B:B,MATCH(B527,'Base de données Mono'!D:D,0))</f>
        <v>SES8</v>
      </c>
      <c r="D527" s="36" t="str">
        <f>INDEX('Base de données Mono'!A:A,MATCH(B527,'Base de données Mono'!D:D,0))</f>
        <v>AD</v>
      </c>
      <c r="E527" s="37" t="s">
        <v>303</v>
      </c>
      <c r="F527" s="41">
        <f>IF(O527="","-",IF(AND(X527="Nuit",WEEKDAY(O527,2)=7,O527&lt;&gt;P527),WEEKNUM(O527,2),WEEKNUM(O527,2)-1))+1</f>
        <v>14</v>
      </c>
      <c r="G527" s="41">
        <f>IF(O527="","-",MONTH(O527))</f>
        <v>4</v>
      </c>
      <c r="H527">
        <v>8.5</v>
      </c>
      <c r="I527" s="131">
        <f>INDEX('Base de données Mono'!K:K,MATCH(B527,'Base de données Mono'!D:D,0))</f>
        <v>0.22916666666666666</v>
      </c>
      <c r="J527" s="131">
        <f>INDEX('Base de données Mono'!L:L,MATCH(B527,'Base de données Mono'!D:D,0))</f>
        <v>0.875</v>
      </c>
      <c r="K527" s="131">
        <f>INDEX('Base de données Mono'!M:M,MATCH(B527,'Base de données Mono'!D:D,0))</f>
        <v>0.29166666666666669</v>
      </c>
      <c r="L527" s="131">
        <f>INDEX('Base de données Mono'!N:N,MATCH(B527,'Base de données Mono'!D:D,0))</f>
        <v>0.83333333333333337</v>
      </c>
      <c r="M527" s="33" t="s">
        <v>46</v>
      </c>
      <c r="N527" s="33">
        <f>IF(AND(E527="Electricité",M527="Hiver"),INDEX('Base de données Mono'!E:E,MATCH(B527,'Base de données Mono'!D:D,0)),IF(AND(E527="Electricité",M527="Mi-saison"),INDEX('Base de données Mono'!F:F,MATCH(B527,'Base de données Mono'!D:D,0)),IF(AND(E527="Electricité",M527="Eté"),INDEX('Base de données Mono'!G:G,MATCH(B527,'Base de données Mono'!D:D,0)),IF(AND(E527="Gaz",M527="Hiver"),INDEX('Base de données Mono'!J:J,MATCH(B527,'Base de données Mono'!D:D,0)),IF(AND(E527="Gaz",M527="Mi-saison"),INDEX('Base de données Mono'!#REF!,MATCH(B527,'Base de données Mono'!D:D,0)),IF(AND(E527="Gaz",M527="Eté"),INDEX('Base de données Mono'!#REF!,MATCH(B527,'Base de données Mono'!D:D,0)),"-"))))))</f>
        <v>70</v>
      </c>
      <c r="O527" s="123">
        <v>45384</v>
      </c>
      <c r="P527" s="123">
        <v>45389</v>
      </c>
      <c r="Q527" s="34">
        <v>140</v>
      </c>
      <c r="R527" s="33">
        <f>IF(Q527="","",Q527-N527)</f>
        <v>70</v>
      </c>
      <c r="S527" s="34">
        <v>0.6</v>
      </c>
      <c r="T527" s="34">
        <f>P527-O527</f>
        <v>5</v>
      </c>
      <c r="U527" s="33">
        <f>R527*S527*T527</f>
        <v>210</v>
      </c>
      <c r="V527" s="38" t="s">
        <v>827</v>
      </c>
      <c r="W527" s="39">
        <f>IFERROR(IF(E527="Gaz","-",R527/N527),"-")</f>
        <v>1</v>
      </c>
      <c r="X527" s="40" t="s">
        <v>304</v>
      </c>
      <c r="Y527" s="40" t="s">
        <v>284</v>
      </c>
      <c r="Z527" s="40" t="s">
        <v>307</v>
      </c>
      <c r="AA527" s="33" t="s">
        <v>313</v>
      </c>
      <c r="AB527" s="95"/>
      <c r="AC527" s="95"/>
    </row>
    <row r="528" spans="1:29" ht="14.45" hidden="1" customHeight="1" x14ac:dyDescent="0.25">
      <c r="A528" s="36" t="str">
        <f>INDEX('Base de données Mono'!C:C,MATCH(B528,'Base de données Mono'!D:D,0))</f>
        <v>LES TOITS DE BOULOGNE</v>
      </c>
      <c r="B528" t="s">
        <v>158</v>
      </c>
      <c r="C528" s="36" t="str">
        <f>INDEX('Base de données Mono'!B:B,MATCH(B528,'Base de données Mono'!D:D,0))</f>
        <v>SES8</v>
      </c>
      <c r="D528" s="36" t="str">
        <f>INDEX('Base de données Mono'!A:A,MATCH(B528,'Base de données Mono'!D:D,0))</f>
        <v>AD</v>
      </c>
      <c r="E528" s="37" t="s">
        <v>303</v>
      </c>
      <c r="F528" s="41">
        <f>IF(O528="","-",IF(AND(X528="Nuit",WEEKDAY(O528,2)=7,O528&lt;&gt;P528),WEEKNUM(O528,2),WEEKNUM(O528,2)-1))+1</f>
        <v>14</v>
      </c>
      <c r="G528" s="41">
        <f>IF(O528="","-",MONTH(O528))</f>
        <v>4</v>
      </c>
      <c r="H528">
        <v>8.5</v>
      </c>
      <c r="I528" s="131">
        <f>INDEX('Base de données Mono'!K:K,MATCH(B528,'Base de données Mono'!D:D,0))</f>
        <v>0.22916666666666666</v>
      </c>
      <c r="J528" s="131">
        <f>INDEX('Base de données Mono'!L:L,MATCH(B528,'Base de données Mono'!D:D,0))</f>
        <v>0.875</v>
      </c>
      <c r="K528" s="131">
        <f>INDEX('Base de données Mono'!M:M,MATCH(B528,'Base de données Mono'!D:D,0))</f>
        <v>0.29166666666666669</v>
      </c>
      <c r="L528" s="131">
        <f>INDEX('Base de données Mono'!N:N,MATCH(B528,'Base de données Mono'!D:D,0))</f>
        <v>0.83333333333333337</v>
      </c>
      <c r="M528" s="33" t="s">
        <v>46</v>
      </c>
      <c r="N528" s="33">
        <f>IF(AND(E528="Electricité",M528="Hiver"),INDEX('Base de données Mono'!E:E,MATCH(B528,'Base de données Mono'!D:D,0)),IF(AND(E528="Electricité",M528="Mi-saison"),INDEX('Base de données Mono'!F:F,MATCH(B528,'Base de données Mono'!D:D,0)),IF(AND(E528="Electricité",M528="Eté"),INDEX('Base de données Mono'!G:G,MATCH(B528,'Base de données Mono'!D:D,0)),IF(AND(E528="Gaz",M528="Hiver"),INDEX('Base de données Mono'!J:J,MATCH(B528,'Base de données Mono'!D:D,0)),IF(AND(E528="Gaz",M528="Mi-saison"),INDEX('Base de données Mono'!#REF!,MATCH(B528,'Base de données Mono'!D:D,0)),IF(AND(E528="Gaz",M528="Eté"),INDEX('Base de données Mono'!#REF!,MATCH(B528,'Base de données Mono'!D:D,0)),"-"))))))</f>
        <v>70</v>
      </c>
      <c r="O528" s="123">
        <v>45384</v>
      </c>
      <c r="P528" s="123">
        <v>45388</v>
      </c>
      <c r="Q528" s="34">
        <v>105</v>
      </c>
      <c r="R528" s="33">
        <f>IF(Q528="","",Q528-N528)</f>
        <v>35</v>
      </c>
      <c r="S528" s="34">
        <v>7.9</v>
      </c>
      <c r="T528" s="34">
        <f>P528-O528</f>
        <v>4</v>
      </c>
      <c r="U528" s="33">
        <f>R528*S528*T528</f>
        <v>1106</v>
      </c>
      <c r="V528" s="38" t="s">
        <v>827</v>
      </c>
      <c r="W528" s="39">
        <f>IFERROR(IF(E528="Gaz","-",R528/N528),"-")</f>
        <v>0.5</v>
      </c>
      <c r="X528" s="40" t="s">
        <v>304</v>
      </c>
      <c r="Y528" s="40" t="s">
        <v>284</v>
      </c>
      <c r="Z528" s="40" t="s">
        <v>305</v>
      </c>
      <c r="AA528" s="33" t="s">
        <v>771</v>
      </c>
      <c r="AB528" s="95"/>
      <c r="AC528" s="95"/>
    </row>
    <row r="529" spans="1:29" ht="14.45" hidden="1" customHeight="1" x14ac:dyDescent="0.25">
      <c r="A529" s="36" t="str">
        <f>INDEX('Base de données Mono'!C:C,MATCH(B529,'Base de données Mono'!D:D,0))</f>
        <v>LES TOITS DE BOULOGNE</v>
      </c>
      <c r="B529" t="s">
        <v>158</v>
      </c>
      <c r="C529" s="36" t="str">
        <f>INDEX('Base de données Mono'!B:B,MATCH(B529,'Base de données Mono'!D:D,0))</f>
        <v>SES8</v>
      </c>
      <c r="D529" s="36" t="str">
        <f>INDEX('Base de données Mono'!A:A,MATCH(B529,'Base de données Mono'!D:D,0))</f>
        <v>AD</v>
      </c>
      <c r="E529" s="37" t="s">
        <v>303</v>
      </c>
      <c r="F529" s="41">
        <f>IF(O529="","-",IF(AND(X529="Nuit",WEEKDAY(O529,2)=7,O529&lt;&gt;P529),WEEKNUM(O529,2),WEEKNUM(O529,2)-1))+1</f>
        <v>14</v>
      </c>
      <c r="G529" s="41">
        <f>IF(O529="","-",MONTH(O529))</f>
        <v>4</v>
      </c>
      <c r="H529">
        <v>8.5</v>
      </c>
      <c r="I529" s="131">
        <f>INDEX('Base de données Mono'!K:K,MATCH(B529,'Base de données Mono'!D:D,0))</f>
        <v>0.22916666666666666</v>
      </c>
      <c r="J529" s="131">
        <f>INDEX('Base de données Mono'!L:L,MATCH(B529,'Base de données Mono'!D:D,0))</f>
        <v>0.875</v>
      </c>
      <c r="K529" s="131">
        <f>INDEX('Base de données Mono'!M:M,MATCH(B529,'Base de données Mono'!D:D,0))</f>
        <v>0.29166666666666669</v>
      </c>
      <c r="L529" s="131">
        <f>INDEX('Base de données Mono'!N:N,MATCH(B529,'Base de données Mono'!D:D,0))</f>
        <v>0.83333333333333337</v>
      </c>
      <c r="M529" s="33" t="s">
        <v>46</v>
      </c>
      <c r="N529" s="33">
        <f>IF(AND(E529="Electricité",M529="Hiver"),INDEX('Base de données Mono'!E:E,MATCH(B529,'Base de données Mono'!D:D,0)),IF(AND(E529="Electricité",M529="Mi-saison"),INDEX('Base de données Mono'!F:F,MATCH(B529,'Base de données Mono'!D:D,0)),IF(AND(E529="Electricité",M529="Eté"),INDEX('Base de données Mono'!G:G,MATCH(B529,'Base de données Mono'!D:D,0)),IF(AND(E529="Gaz",M529="Hiver"),INDEX('Base de données Mono'!J:J,MATCH(B529,'Base de données Mono'!D:D,0)),IF(AND(E529="Gaz",M529="Mi-saison"),INDEX('Base de données Mono'!#REF!,MATCH(B529,'Base de données Mono'!D:D,0)),IF(AND(E529="Gaz",M529="Eté"),INDEX('Base de données Mono'!#REF!,MATCH(B529,'Base de données Mono'!D:D,0)),"-"))))))</f>
        <v>70</v>
      </c>
      <c r="O529" s="123">
        <v>45388</v>
      </c>
      <c r="P529" s="123">
        <v>45389</v>
      </c>
      <c r="Q529" s="34">
        <v>105</v>
      </c>
      <c r="R529" s="33">
        <f>IF(Q529="","",Q529-N529)</f>
        <v>35</v>
      </c>
      <c r="S529" s="34">
        <v>9.4</v>
      </c>
      <c r="T529" s="34">
        <f>P529-O529</f>
        <v>1</v>
      </c>
      <c r="U529" s="33">
        <f>R529*S529*T529</f>
        <v>329</v>
      </c>
      <c r="V529" s="38" t="s">
        <v>827</v>
      </c>
      <c r="W529" s="39">
        <f>IFERROR(IF(E529="Gaz","-",R529/N529),"-")</f>
        <v>0.5</v>
      </c>
      <c r="X529" s="40" t="s">
        <v>304</v>
      </c>
      <c r="Y529" s="40" t="s">
        <v>284</v>
      </c>
      <c r="Z529" s="40" t="s">
        <v>305</v>
      </c>
      <c r="AA529" s="33" t="s">
        <v>771</v>
      </c>
      <c r="AB529" s="95"/>
      <c r="AC529" s="95"/>
    </row>
    <row r="530" spans="1:29" ht="14.45" hidden="1" customHeight="1" x14ac:dyDescent="0.25">
      <c r="A530" s="36" t="str">
        <f>INDEX('Base de données Mono'!C:C,MATCH(B530,'Base de données Mono'!D:D,0))</f>
        <v>VAUGIRARD</v>
      </c>
      <c r="B530" t="s">
        <v>262</v>
      </c>
      <c r="C530" s="36" t="str">
        <f>INDEX('Base de données Mono'!B:B,MATCH(B530,'Base de données Mono'!D:D,0))</f>
        <v>SES8</v>
      </c>
      <c r="D530" s="36" t="str">
        <f>INDEX('Base de données Mono'!A:A,MATCH(B530,'Base de données Mono'!D:D,0))</f>
        <v>AD</v>
      </c>
      <c r="E530" s="37" t="s">
        <v>303</v>
      </c>
      <c r="F530" s="41">
        <f t="shared" si="55"/>
        <v>14</v>
      </c>
      <c r="G530" s="41">
        <f t="shared" si="56"/>
        <v>4</v>
      </c>
      <c r="H530">
        <v>6.58</v>
      </c>
      <c r="I530" s="131">
        <f>INDEX('Base de données Mono'!K:K,MATCH(B530,'Base de données Mono'!D:D,0))</f>
        <v>0.20138888888888887</v>
      </c>
      <c r="J530" s="131">
        <f>INDEX('Base de données Mono'!L:L,MATCH(B530,'Base de données Mono'!D:D,0))</f>
        <v>0.92708333333333337</v>
      </c>
      <c r="K530" s="131">
        <f>INDEX('Base de données Mono'!M:M,MATCH(B530,'Base de données Mono'!D:D,0))</f>
        <v>0.2638888888888889</v>
      </c>
      <c r="L530" s="131">
        <f>INDEX('Base de données Mono'!N:N,MATCH(B530,'Base de données Mono'!D:D,0))</f>
        <v>0.5625</v>
      </c>
      <c r="M530" s="33" t="s">
        <v>46</v>
      </c>
      <c r="N530" s="33">
        <f>IF(AND(E530="Electricité",M530="Hiver"),INDEX('Base de données Mono'!E:E,MATCH(B530,'Base de données Mono'!D:D,0)),IF(AND(E530="Electricité",M530="Mi-saison"),INDEX('Base de données Mono'!F:F,MATCH(B530,'Base de données Mono'!D:D,0)),IF(AND(E530="Electricité",M530="Eté"),INDEX('Base de données Mono'!G:G,MATCH(B530,'Base de données Mono'!D:D,0)),IF(AND(E530="Gaz",M530="Hiver"),INDEX('Base de données Mono'!J:J,MATCH(B530,'Base de données Mono'!D:D,0)),IF(AND(E530="Gaz",M530="Mi-saison"),INDEX('Base de données Mono'!#REF!,MATCH(B530,'Base de données Mono'!D:D,0)),IF(AND(E530="Gaz",M530="Eté"),INDEX('Base de données Mono'!#REF!,MATCH(B530,'Base de données Mono'!D:D,0)),"-"))))))</f>
        <v>80</v>
      </c>
      <c r="O530" s="123">
        <v>45383</v>
      </c>
      <c r="P530" s="123">
        <v>45386</v>
      </c>
      <c r="Q530" s="34">
        <v>125</v>
      </c>
      <c r="R530" s="33">
        <f t="shared" si="57"/>
        <v>45</v>
      </c>
      <c r="S530" s="34">
        <v>0.5</v>
      </c>
      <c r="T530" s="34">
        <f t="shared" si="58"/>
        <v>3</v>
      </c>
      <c r="U530" s="33">
        <f t="shared" si="59"/>
        <v>67.5</v>
      </c>
      <c r="V530" s="38" t="s">
        <v>827</v>
      </c>
      <c r="W530" s="39">
        <f t="shared" si="60"/>
        <v>0.5625</v>
      </c>
      <c r="X530" s="40" t="s">
        <v>304</v>
      </c>
      <c r="Y530" s="40" t="s">
        <v>284</v>
      </c>
      <c r="Z530" s="40" t="s">
        <v>305</v>
      </c>
      <c r="AA530" s="33" t="s">
        <v>771</v>
      </c>
      <c r="AB530" s="95"/>
      <c r="AC530" s="95" t="s">
        <v>846</v>
      </c>
    </row>
    <row r="531" spans="1:29" ht="14.45" hidden="1" customHeight="1" x14ac:dyDescent="0.25">
      <c r="A531" s="36" t="str">
        <f>INDEX('Base de données Mono'!C:C,MATCH(B531,'Base de données Mono'!D:D,0))</f>
        <v>VAUGIRARD</v>
      </c>
      <c r="B531" t="s">
        <v>262</v>
      </c>
      <c r="C531" s="36" t="str">
        <f>INDEX('Base de données Mono'!B:B,MATCH(B531,'Base de données Mono'!D:D,0))</f>
        <v>SES8</v>
      </c>
      <c r="D531" s="36" t="str">
        <f>INDEX('Base de données Mono'!A:A,MATCH(B531,'Base de données Mono'!D:D,0))</f>
        <v>AD</v>
      </c>
      <c r="E531" s="37" t="s">
        <v>303</v>
      </c>
      <c r="F531" s="41">
        <f t="shared" si="55"/>
        <v>14</v>
      </c>
      <c r="G531" s="41">
        <f t="shared" si="56"/>
        <v>4</v>
      </c>
      <c r="H531">
        <v>6.58</v>
      </c>
      <c r="I531" s="131">
        <f>INDEX('Base de données Mono'!K:K,MATCH(B531,'Base de données Mono'!D:D,0))</f>
        <v>0.20138888888888887</v>
      </c>
      <c r="J531" s="131">
        <f>INDEX('Base de données Mono'!L:L,MATCH(B531,'Base de données Mono'!D:D,0))</f>
        <v>0.92708333333333337</v>
      </c>
      <c r="K531" s="131">
        <f>INDEX('Base de données Mono'!M:M,MATCH(B531,'Base de données Mono'!D:D,0))</f>
        <v>0.2638888888888889</v>
      </c>
      <c r="L531" s="131">
        <f>INDEX('Base de données Mono'!N:N,MATCH(B531,'Base de données Mono'!D:D,0))</f>
        <v>0.5625</v>
      </c>
      <c r="M531" s="33" t="s">
        <v>46</v>
      </c>
      <c r="N531" s="33">
        <f>IF(AND(E531="Electricité",M531="Hiver"),INDEX('Base de données Mono'!E:E,MATCH(B531,'Base de données Mono'!D:D,0)),IF(AND(E531="Electricité",M531="Mi-saison"),INDEX('Base de données Mono'!F:F,MATCH(B531,'Base de données Mono'!D:D,0)),IF(AND(E531="Electricité",M531="Eté"),INDEX('Base de données Mono'!G:G,MATCH(B531,'Base de données Mono'!D:D,0)),IF(AND(E531="Gaz",M531="Hiver"),INDEX('Base de données Mono'!J:J,MATCH(B531,'Base de données Mono'!D:D,0)),IF(AND(E531="Gaz",M531="Mi-saison"),INDEX('Base de données Mono'!#REF!,MATCH(B531,'Base de données Mono'!D:D,0)),IF(AND(E531="Gaz",M531="Eté"),INDEX('Base de données Mono'!#REF!,MATCH(B531,'Base de données Mono'!D:D,0)),"-"))))))</f>
        <v>80</v>
      </c>
      <c r="O531" s="123">
        <v>45386</v>
      </c>
      <c r="P531" s="123">
        <v>45387</v>
      </c>
      <c r="Q531" s="34">
        <v>185</v>
      </c>
      <c r="R531" s="33">
        <f t="shared" si="57"/>
        <v>105</v>
      </c>
      <c r="S531" s="34">
        <v>6.5</v>
      </c>
      <c r="T531" s="34">
        <f t="shared" si="58"/>
        <v>1</v>
      </c>
      <c r="U531" s="33">
        <f t="shared" si="59"/>
        <v>682.5</v>
      </c>
      <c r="V531" s="38" t="s">
        <v>827</v>
      </c>
      <c r="W531" s="39">
        <f t="shared" si="60"/>
        <v>1.3125</v>
      </c>
      <c r="X531" s="40" t="s">
        <v>304</v>
      </c>
      <c r="Y531" s="40" t="s">
        <v>284</v>
      </c>
      <c r="Z531" s="40" t="s">
        <v>311</v>
      </c>
      <c r="AA531" s="33" t="s">
        <v>775</v>
      </c>
      <c r="AB531" s="95"/>
      <c r="AC531" s="95"/>
    </row>
    <row r="532" spans="1:29" ht="14.45" hidden="1" customHeight="1" x14ac:dyDescent="0.25">
      <c r="A532" s="36" t="str">
        <f>INDEX('Base de données Mono'!C:C,MATCH(B532,'Base de données Mono'!D:D,0))</f>
        <v>VAUGIRARD</v>
      </c>
      <c r="B532" t="s">
        <v>262</v>
      </c>
      <c r="C532" s="36" t="str">
        <f>INDEX('Base de données Mono'!B:B,MATCH(B532,'Base de données Mono'!D:D,0))</f>
        <v>SES8</v>
      </c>
      <c r="D532" s="36" t="str">
        <f>INDEX('Base de données Mono'!A:A,MATCH(B532,'Base de données Mono'!D:D,0))</f>
        <v>AD</v>
      </c>
      <c r="E532" s="37" t="s">
        <v>303</v>
      </c>
      <c r="F532" s="41">
        <f t="shared" si="55"/>
        <v>14</v>
      </c>
      <c r="G532" s="41">
        <f t="shared" si="56"/>
        <v>4</v>
      </c>
      <c r="H532">
        <v>6.58</v>
      </c>
      <c r="I532" s="131">
        <f>INDEX('Base de données Mono'!K:K,MATCH(B532,'Base de données Mono'!D:D,0))</f>
        <v>0.20138888888888887</v>
      </c>
      <c r="J532" s="131">
        <f>INDEX('Base de données Mono'!L:L,MATCH(B532,'Base de données Mono'!D:D,0))</f>
        <v>0.92708333333333337</v>
      </c>
      <c r="K532" s="131">
        <f>INDEX('Base de données Mono'!M:M,MATCH(B532,'Base de données Mono'!D:D,0))</f>
        <v>0.2638888888888889</v>
      </c>
      <c r="L532" s="131">
        <f>INDEX('Base de données Mono'!N:N,MATCH(B532,'Base de données Mono'!D:D,0))</f>
        <v>0.5625</v>
      </c>
      <c r="M532" s="33" t="s">
        <v>46</v>
      </c>
      <c r="N532" s="33">
        <f>IF(AND(E532="Electricité",M532="Hiver"),INDEX('Base de données Mono'!E:E,MATCH(B532,'Base de données Mono'!D:D,0)),IF(AND(E532="Electricité",M532="Mi-saison"),INDEX('Base de données Mono'!F:F,MATCH(B532,'Base de données Mono'!D:D,0)),IF(AND(E532="Electricité",M532="Eté"),INDEX('Base de données Mono'!G:G,MATCH(B532,'Base de données Mono'!D:D,0)),IF(AND(E532="Gaz",M532="Hiver"),INDEX('Base de données Mono'!J:J,MATCH(B532,'Base de données Mono'!D:D,0)),IF(AND(E532="Gaz",M532="Mi-saison"),INDEX('Base de données Mono'!#REF!,MATCH(B532,'Base de données Mono'!D:D,0)),IF(AND(E532="Gaz",M532="Eté"),INDEX('Base de données Mono'!#REF!,MATCH(B532,'Base de données Mono'!D:D,0)),"-"))))))</f>
        <v>80</v>
      </c>
      <c r="O532" s="123">
        <v>45387</v>
      </c>
      <c r="P532" s="123">
        <v>45388</v>
      </c>
      <c r="Q532" s="34">
        <v>100</v>
      </c>
      <c r="R532" s="33">
        <f t="shared" si="57"/>
        <v>20</v>
      </c>
      <c r="S532" s="34">
        <v>6.5</v>
      </c>
      <c r="T532" s="34">
        <f t="shared" si="58"/>
        <v>1</v>
      </c>
      <c r="U532" s="33">
        <f t="shared" si="59"/>
        <v>130</v>
      </c>
      <c r="V532" s="38" t="s">
        <v>827</v>
      </c>
      <c r="W532" s="39">
        <f t="shared" si="60"/>
        <v>0.25</v>
      </c>
      <c r="X532" s="40" t="s">
        <v>304</v>
      </c>
      <c r="Y532" s="40" t="s">
        <v>284</v>
      </c>
      <c r="Z532" s="40" t="s">
        <v>305</v>
      </c>
      <c r="AA532" s="33" t="s">
        <v>771</v>
      </c>
      <c r="AB532" s="95"/>
      <c r="AC532" s="95"/>
    </row>
    <row r="533" spans="1:29" ht="14.45" hidden="1" customHeight="1" x14ac:dyDescent="0.25">
      <c r="A533" s="36" t="str">
        <f>INDEX('Base de données Mono'!C:C,MATCH(B533,'Base de données Mono'!D:D,0))</f>
        <v>VAUGIRARD</v>
      </c>
      <c r="B533" t="s">
        <v>262</v>
      </c>
      <c r="C533" s="36" t="str">
        <f>INDEX('Base de données Mono'!B:B,MATCH(B533,'Base de données Mono'!D:D,0))</f>
        <v>SES8</v>
      </c>
      <c r="D533" s="36" t="str">
        <f>INDEX('Base de données Mono'!A:A,MATCH(B533,'Base de données Mono'!D:D,0))</f>
        <v>AD</v>
      </c>
      <c r="E533" s="37" t="s">
        <v>303</v>
      </c>
      <c r="F533" s="41">
        <f>IF(O533="","-",IF(AND(X533="Nuit",WEEKDAY(O533,2)=7,O533&lt;&gt;P533),WEEKNUM(O533,2),WEEKNUM(O533,2)-1))+1</f>
        <v>14</v>
      </c>
      <c r="G533" s="41">
        <f>IF(O533="","-",MONTH(O533))</f>
        <v>4</v>
      </c>
      <c r="H533">
        <v>6.58</v>
      </c>
      <c r="I533" s="131">
        <f>INDEX('Base de données Mono'!K:K,MATCH(B533,'Base de données Mono'!D:D,0))</f>
        <v>0.20138888888888887</v>
      </c>
      <c r="J533" s="131">
        <f>INDEX('Base de données Mono'!L:L,MATCH(B533,'Base de données Mono'!D:D,0))</f>
        <v>0.92708333333333337</v>
      </c>
      <c r="K533" s="131">
        <f>INDEX('Base de données Mono'!M:M,MATCH(B533,'Base de données Mono'!D:D,0))</f>
        <v>0.2638888888888889</v>
      </c>
      <c r="L533" s="131">
        <f>INDEX('Base de données Mono'!N:N,MATCH(B533,'Base de données Mono'!D:D,0))</f>
        <v>0.5625</v>
      </c>
      <c r="M533" s="33" t="s">
        <v>46</v>
      </c>
      <c r="N533" s="33">
        <f>IF(AND(E533="Electricité",M533="Hiver"),INDEX('Base de données Mono'!E:E,MATCH(B533,'Base de données Mono'!D:D,0)),IF(AND(E533="Electricité",M533="Mi-saison"),INDEX('Base de données Mono'!F:F,MATCH(B533,'Base de données Mono'!D:D,0)),IF(AND(E533="Electricité",M533="Eté"),INDEX('Base de données Mono'!G:G,MATCH(B533,'Base de données Mono'!D:D,0)),IF(AND(E533="Gaz",M533="Hiver"),INDEX('Base de données Mono'!J:J,MATCH(B533,'Base de données Mono'!D:D,0)),IF(AND(E533="Gaz",M533="Mi-saison"),INDEX('Base de données Mono'!#REF!,MATCH(B533,'Base de données Mono'!D:D,0)),IF(AND(E533="Gaz",M533="Eté"),INDEX('Base de données Mono'!#REF!,MATCH(B533,'Base de données Mono'!D:D,0)),"-"))))))</f>
        <v>80</v>
      </c>
      <c r="O533" s="123">
        <v>45388</v>
      </c>
      <c r="P533" s="123">
        <v>45389</v>
      </c>
      <c r="Q533" s="34">
        <v>180</v>
      </c>
      <c r="R533" s="33">
        <f>IF(Q533="","",Q533-N533)</f>
        <v>100</v>
      </c>
      <c r="S533" s="34">
        <v>6.5</v>
      </c>
      <c r="T533" s="34">
        <f>P533-O533</f>
        <v>1</v>
      </c>
      <c r="U533" s="33">
        <f>R533*S533*T533</f>
        <v>650</v>
      </c>
      <c r="V533" s="38" t="s">
        <v>827</v>
      </c>
      <c r="W533" s="39">
        <f>IFERROR(IF(E533="Gaz","-",R533/N533),"-")</f>
        <v>1.25</v>
      </c>
      <c r="X533" s="40" t="s">
        <v>304</v>
      </c>
      <c r="Y533" s="40" t="s">
        <v>284</v>
      </c>
      <c r="Z533" s="40" t="s">
        <v>311</v>
      </c>
      <c r="AA533" s="33" t="s">
        <v>775</v>
      </c>
      <c r="AB533" s="95"/>
      <c r="AC533" s="95"/>
    </row>
    <row r="534" spans="1:29" ht="14.45" hidden="1" customHeight="1" x14ac:dyDescent="0.25">
      <c r="A534" s="36" t="str">
        <f>INDEX('Base de données Mono'!C:C,MATCH(B534,'Base de données Mono'!D:D,0))</f>
        <v>VAUGIRARD</v>
      </c>
      <c r="B534" t="s">
        <v>262</v>
      </c>
      <c r="C534" s="36" t="str">
        <f>INDEX('Base de données Mono'!B:B,MATCH(B534,'Base de données Mono'!D:D,0))</f>
        <v>SES8</v>
      </c>
      <c r="D534" s="36" t="str">
        <f>INDEX('Base de données Mono'!A:A,MATCH(B534,'Base de données Mono'!D:D,0))</f>
        <v>AD</v>
      </c>
      <c r="E534" s="37" t="s">
        <v>303</v>
      </c>
      <c r="F534" s="41">
        <f t="shared" si="55"/>
        <v>14</v>
      </c>
      <c r="G534" s="41">
        <f t="shared" si="56"/>
        <v>4</v>
      </c>
      <c r="H534">
        <v>6.58</v>
      </c>
      <c r="I534" s="131">
        <f>INDEX('Base de données Mono'!K:K,MATCH(B534,'Base de données Mono'!D:D,0))</f>
        <v>0.20138888888888887</v>
      </c>
      <c r="J534" s="131">
        <f>INDEX('Base de données Mono'!L:L,MATCH(B534,'Base de données Mono'!D:D,0))</f>
        <v>0.92708333333333337</v>
      </c>
      <c r="K534" s="131">
        <f>INDEX('Base de données Mono'!M:M,MATCH(B534,'Base de données Mono'!D:D,0))</f>
        <v>0.2638888888888889</v>
      </c>
      <c r="L534" s="131">
        <f>INDEX('Base de données Mono'!N:N,MATCH(B534,'Base de données Mono'!D:D,0))</f>
        <v>0.5625</v>
      </c>
      <c r="M534" s="33" t="s">
        <v>46</v>
      </c>
      <c r="N534" s="33">
        <f>IF(AND(E534="Electricité",M534="Hiver"),INDEX('Base de données Mono'!E:E,MATCH(B534,'Base de données Mono'!D:D,0)),IF(AND(E534="Electricité",M534="Mi-saison"),INDEX('Base de données Mono'!F:F,MATCH(B534,'Base de données Mono'!D:D,0)),IF(AND(E534="Electricité",M534="Eté"),INDEX('Base de données Mono'!G:G,MATCH(B534,'Base de données Mono'!D:D,0)),IF(AND(E534="Gaz",M534="Hiver"),INDEX('Base de données Mono'!J:J,MATCH(B534,'Base de données Mono'!D:D,0)),IF(AND(E534="Gaz",M534="Mi-saison"),INDEX('Base de données Mono'!#REF!,MATCH(B534,'Base de données Mono'!D:D,0)),IF(AND(E534="Gaz",M534="Eté"),INDEX('Base de données Mono'!#REF!,MATCH(B534,'Base de données Mono'!D:D,0)),"-"))))))</f>
        <v>80</v>
      </c>
      <c r="O534" s="123">
        <v>45389</v>
      </c>
      <c r="P534" s="123">
        <v>45389</v>
      </c>
      <c r="Q534" s="34">
        <v>195</v>
      </c>
      <c r="R534" s="33">
        <f>IF(Q534="","",Q534-N534)</f>
        <v>115</v>
      </c>
      <c r="S534" s="34">
        <v>7</v>
      </c>
      <c r="T534" s="34">
        <v>1</v>
      </c>
      <c r="U534" s="33">
        <f>R534*S534*T534</f>
        <v>805</v>
      </c>
      <c r="V534" s="38" t="s">
        <v>827</v>
      </c>
      <c r="W534" s="39">
        <f>IFERROR(IF(E534="Gaz","-",R534/N534),"-")</f>
        <v>1.4375</v>
      </c>
      <c r="X534" s="40" t="s">
        <v>730</v>
      </c>
      <c r="Y534" s="40" t="s">
        <v>284</v>
      </c>
      <c r="Z534" s="40" t="s">
        <v>307</v>
      </c>
      <c r="AA534" s="33" t="s">
        <v>308</v>
      </c>
      <c r="AB534" s="95"/>
      <c r="AC534" s="95"/>
    </row>
    <row r="535" spans="1:29" ht="14.45" hidden="1" customHeight="1" x14ac:dyDescent="0.25">
      <c r="A535" s="36" t="str">
        <f>INDEX('Base de données Mono'!C:C,MATCH(B535,'Base de données Mono'!D:D,0))</f>
        <v>SUCY EN BRIE</v>
      </c>
      <c r="B535" t="s">
        <v>247</v>
      </c>
      <c r="C535" s="36" t="str">
        <f>INDEX('Base de données Mono'!B:B,MATCH(B535,'Base de données Mono'!D:D,0))</f>
        <v>Monoprix</v>
      </c>
      <c r="D535" s="36" t="str">
        <f>INDEX('Base de données Mono'!A:A,MATCH(B535,'Base de données Mono'!D:D,0))</f>
        <v>JG</v>
      </c>
      <c r="E535" s="37" t="s">
        <v>303</v>
      </c>
      <c r="F535" s="41">
        <f t="shared" si="55"/>
        <v>14</v>
      </c>
      <c r="G535" s="41">
        <f t="shared" si="56"/>
        <v>4</v>
      </c>
      <c r="H535">
        <v>9.67</v>
      </c>
      <c r="I535" s="131">
        <f>INDEX('Base de données Mono'!K:K,MATCH(B535,'Base de données Mono'!D:D,0))</f>
        <v>0.25</v>
      </c>
      <c r="J535" s="131">
        <f>INDEX('Base de données Mono'!L:L,MATCH(B535,'Base de données Mono'!D:D,0))</f>
        <v>0.84722222222222221</v>
      </c>
      <c r="K535" s="131">
        <f>INDEX('Base de données Mono'!M:M,MATCH(B535,'Base de données Mono'!D:D,0))</f>
        <v>0.36805555555555558</v>
      </c>
      <c r="L535" s="131">
        <f>INDEX('Base de données Mono'!N:N,MATCH(B535,'Base de données Mono'!D:D,0))</f>
        <v>0.55208333333333337</v>
      </c>
      <c r="M535" s="33" t="s">
        <v>46</v>
      </c>
      <c r="N535" s="33">
        <f>IF(AND(E535="Electricité",M535="Hiver"),INDEX('Base de données Mono'!E:E,MATCH(B535,'Base de données Mono'!D:D,0)),IF(AND(E535="Electricité",M535="Mi-saison"),INDEX('Base de données Mono'!F:F,MATCH(B535,'Base de données Mono'!D:D,0)),IF(AND(E535="Electricité",M535="Eté"),INDEX('Base de données Mono'!G:G,MATCH(B535,'Base de données Mono'!D:D,0)),IF(AND(E535="Gaz",M535="Hiver"),INDEX('Base de données Mono'!J:J,MATCH(B535,'Base de données Mono'!D:D,0)),IF(AND(E535="Gaz",M535="Mi-saison"),INDEX('Base de données Mono'!#REF!,MATCH(B535,'Base de données Mono'!D:D,0)),IF(AND(E535="Gaz",M535="Eté"),INDEX('Base de données Mono'!#REF!,MATCH(B535,'Base de données Mono'!D:D,0)),"-"))))))</f>
        <v>30</v>
      </c>
      <c r="O535" s="123">
        <v>45383</v>
      </c>
      <c r="P535" s="123">
        <v>45388</v>
      </c>
      <c r="Q535" s="34">
        <v>45</v>
      </c>
      <c r="R535" s="33">
        <f t="shared" si="57"/>
        <v>15</v>
      </c>
      <c r="S535" s="34">
        <v>1</v>
      </c>
      <c r="T535" s="34">
        <f t="shared" si="58"/>
        <v>5</v>
      </c>
      <c r="U535" s="33">
        <f t="shared" si="59"/>
        <v>75</v>
      </c>
      <c r="V535" s="38" t="s">
        <v>827</v>
      </c>
      <c r="W535" s="39">
        <f t="shared" si="60"/>
        <v>0.5</v>
      </c>
      <c r="X535" s="40" t="s">
        <v>304</v>
      </c>
      <c r="Y535" s="40" t="s">
        <v>283</v>
      </c>
      <c r="Z535" s="40" t="s">
        <v>749</v>
      </c>
      <c r="AA535" s="33" t="s">
        <v>749</v>
      </c>
      <c r="AB535" s="95"/>
      <c r="AC535" s="95"/>
    </row>
    <row r="536" spans="1:29" ht="14.45" hidden="1" customHeight="1" x14ac:dyDescent="0.25">
      <c r="A536" s="36" t="str">
        <f>INDEX('Base de données Mono'!C:C,MATCH(B536,'Base de données Mono'!D:D,0))</f>
        <v>SAINT MAUR</v>
      </c>
      <c r="B536" t="s">
        <v>235</v>
      </c>
      <c r="C536" s="36" t="str">
        <f>INDEX('Base de données Mono'!B:B,MATCH(B536,'Base de données Mono'!D:D,0))</f>
        <v>SES8</v>
      </c>
      <c r="D536" s="36" t="str">
        <f>INDEX('Base de données Mono'!A:A,MATCH(B536,'Base de données Mono'!D:D,0))</f>
        <v>JG</v>
      </c>
      <c r="E536" s="37" t="s">
        <v>303</v>
      </c>
      <c r="F536" s="41">
        <f>IF(O536="","-",IF(AND(X536="Nuit",WEEKDAY(O536,2)=7,O536&lt;&gt;P536),WEEKNUM(O536,2),WEEKNUM(O536,2)-1))+1</f>
        <v>14</v>
      </c>
      <c r="G536" s="41">
        <f>IF(O536="","-",MONTH(O536))</f>
        <v>4</v>
      </c>
      <c r="H536">
        <v>8.83</v>
      </c>
      <c r="I536" s="131">
        <f>INDEX('Base de données Mono'!K:K,MATCH(B536,'Base de données Mono'!D:D,0))</f>
        <v>0.24305555555555555</v>
      </c>
      <c r="J536" s="131">
        <f>INDEX('Base de données Mono'!L:L,MATCH(B536,'Base de données Mono'!D:D,0))</f>
        <v>0.875</v>
      </c>
      <c r="K536" s="131">
        <f>INDEX('Base de données Mono'!M:M,MATCH(B536,'Base de données Mono'!D:D,0))</f>
        <v>0.28472222222222221</v>
      </c>
      <c r="L536" s="131">
        <f>INDEX('Base de données Mono'!N:N,MATCH(B536,'Base de données Mono'!D:D,0))</f>
        <v>0.55208333333333337</v>
      </c>
      <c r="M536" s="33" t="s">
        <v>46</v>
      </c>
      <c r="N536" s="33">
        <f>IF(AND(E536="Electricité",M536="Hiver"),INDEX('Base de données Mono'!E:E,MATCH(B536,'Base de données Mono'!D:D,0)),IF(AND(E536="Electricité",M536="Mi-saison"),INDEX('Base de données Mono'!F:F,MATCH(B536,'Base de données Mono'!D:D,0)),IF(AND(E536="Electricité",M536="Eté"),INDEX('Base de données Mono'!G:G,MATCH(B536,'Base de données Mono'!D:D,0)),IF(AND(E536="Gaz",M536="Hiver"),INDEX('Base de données Mono'!J:J,MATCH(B536,'Base de données Mono'!D:D,0)),IF(AND(E536="Gaz",M536="Mi-saison"),INDEX('Base de données Mono'!#REF!,MATCH(B536,'Base de données Mono'!D:D,0)),IF(AND(E536="Gaz",M536="Eté"),INDEX('Base de données Mono'!#REF!,MATCH(B536,'Base de données Mono'!D:D,0)),"-"))))))</f>
        <v>50</v>
      </c>
      <c r="O536" s="123">
        <v>45383</v>
      </c>
      <c r="P536" s="123">
        <v>45388</v>
      </c>
      <c r="Q536" s="34">
        <v>60</v>
      </c>
      <c r="R536" s="33">
        <f>IF(Q536="","",Q536-N536)</f>
        <v>10</v>
      </c>
      <c r="S536" s="34">
        <v>8.8000000000000007</v>
      </c>
      <c r="T536" s="34">
        <f>P536-O536</f>
        <v>5</v>
      </c>
      <c r="U536" s="33">
        <f>R536*S536*T536</f>
        <v>440</v>
      </c>
      <c r="V536" s="38" t="s">
        <v>827</v>
      </c>
      <c r="W536" s="39">
        <f>IFERROR(IF(E536="Gaz","-",R536/N536),"-")</f>
        <v>0.2</v>
      </c>
      <c r="X536" s="40" t="s">
        <v>304</v>
      </c>
      <c r="Y536" s="40" t="s">
        <v>284</v>
      </c>
      <c r="Z536" s="40" t="s">
        <v>305</v>
      </c>
      <c r="AA536" s="33" t="s">
        <v>771</v>
      </c>
      <c r="AB536" s="95"/>
      <c r="AC536" s="95"/>
    </row>
    <row r="537" spans="1:29" ht="14.45" hidden="1" customHeight="1" x14ac:dyDescent="0.25">
      <c r="A537" s="36" t="str">
        <f>INDEX('Base de données Mono'!C:C,MATCH(B537,'Base de données Mono'!D:D,0))</f>
        <v>SAINT MAUR</v>
      </c>
      <c r="B537" t="s">
        <v>235</v>
      </c>
      <c r="C537" s="36" t="str">
        <f>INDEX('Base de données Mono'!B:B,MATCH(B537,'Base de données Mono'!D:D,0))</f>
        <v>SES8</v>
      </c>
      <c r="D537" s="36" t="str">
        <f>INDEX('Base de données Mono'!A:A,MATCH(B537,'Base de données Mono'!D:D,0))</f>
        <v>JG</v>
      </c>
      <c r="E537" s="37" t="s">
        <v>303</v>
      </c>
      <c r="F537" s="41">
        <f>IF(O537="","-",IF(AND(X537="Nuit",WEEKDAY(O537,2)=7,O537&lt;&gt;P537),WEEKNUM(O537,2),WEEKNUM(O537,2)-1))+1</f>
        <v>14</v>
      </c>
      <c r="G537" s="41">
        <f>IF(O537="","-",MONTH(O537))</f>
        <v>4</v>
      </c>
      <c r="H537">
        <v>8.83</v>
      </c>
      <c r="I537" s="131">
        <f>INDEX('Base de données Mono'!K:K,MATCH(B537,'Base de données Mono'!D:D,0))</f>
        <v>0.24305555555555555</v>
      </c>
      <c r="J537" s="131">
        <f>INDEX('Base de données Mono'!L:L,MATCH(B537,'Base de données Mono'!D:D,0))</f>
        <v>0.875</v>
      </c>
      <c r="K537" s="131">
        <f>INDEX('Base de données Mono'!M:M,MATCH(B537,'Base de données Mono'!D:D,0))</f>
        <v>0.28472222222222221</v>
      </c>
      <c r="L537" s="131">
        <f>INDEX('Base de données Mono'!N:N,MATCH(B537,'Base de données Mono'!D:D,0))</f>
        <v>0.55208333333333337</v>
      </c>
      <c r="M537" s="33" t="s">
        <v>46</v>
      </c>
      <c r="N537" s="33">
        <f>IF(AND(E537="Electricité",M537="Hiver"),INDEX('Base de données Mono'!E:E,MATCH(B537,'Base de données Mono'!D:D,0)),IF(AND(E537="Electricité",M537="Mi-saison"),INDEX('Base de données Mono'!F:F,MATCH(B537,'Base de données Mono'!D:D,0)),IF(AND(E537="Electricité",M537="Eté"),INDEX('Base de données Mono'!G:G,MATCH(B537,'Base de données Mono'!D:D,0)),IF(AND(E537="Gaz",M537="Hiver"),INDEX('Base de données Mono'!J:J,MATCH(B537,'Base de données Mono'!D:D,0)),IF(AND(E537="Gaz",M537="Mi-saison"),INDEX('Base de données Mono'!#REF!,MATCH(B537,'Base de données Mono'!D:D,0)),IF(AND(E537="Gaz",M537="Eté"),INDEX('Base de données Mono'!#REF!,MATCH(B537,'Base de données Mono'!D:D,0)),"-"))))))</f>
        <v>50</v>
      </c>
      <c r="O537" s="123">
        <v>45388</v>
      </c>
      <c r="P537" s="123">
        <v>45389</v>
      </c>
      <c r="Q537" s="34">
        <v>55</v>
      </c>
      <c r="R537" s="33">
        <f>IF(Q537="","",Q537-N537)</f>
        <v>5</v>
      </c>
      <c r="S537" s="34">
        <v>9.8000000000000007</v>
      </c>
      <c r="T537" s="34">
        <f>P537-O537</f>
        <v>1</v>
      </c>
      <c r="U537" s="33">
        <f>R537*S537*T537</f>
        <v>49</v>
      </c>
      <c r="V537" s="38" t="s">
        <v>827</v>
      </c>
      <c r="W537" s="39">
        <f>IFERROR(IF(E537="Gaz","-",R537/N537),"-")</f>
        <v>0.1</v>
      </c>
      <c r="X537" s="40" t="s">
        <v>304</v>
      </c>
      <c r="Y537" s="40" t="s">
        <v>284</v>
      </c>
      <c r="Z537" s="40" t="s">
        <v>305</v>
      </c>
      <c r="AA537" s="33" t="s">
        <v>771</v>
      </c>
      <c r="AB537" s="95"/>
      <c r="AC537" s="95"/>
    </row>
    <row r="538" spans="1:29" ht="14.45" hidden="1" customHeight="1" x14ac:dyDescent="0.25">
      <c r="A538" s="36" t="str">
        <f>INDEX('Base de données Mono'!C:C,MATCH(B538,'Base de données Mono'!D:D,0))</f>
        <v>SAINT MAUR</v>
      </c>
      <c r="B538" t="s">
        <v>235</v>
      </c>
      <c r="C538" s="36" t="str">
        <f>INDEX('Base de données Mono'!B:B,MATCH(B538,'Base de données Mono'!D:D,0))</f>
        <v>SES8</v>
      </c>
      <c r="D538" s="36" t="str">
        <f>INDEX('Base de données Mono'!A:A,MATCH(B538,'Base de données Mono'!D:D,0))</f>
        <v>JG</v>
      </c>
      <c r="E538" s="37" t="s">
        <v>303</v>
      </c>
      <c r="F538" s="41">
        <f t="shared" si="55"/>
        <v>14</v>
      </c>
      <c r="G538" s="41">
        <f t="shared" si="56"/>
        <v>4</v>
      </c>
      <c r="H538">
        <v>8.83</v>
      </c>
      <c r="I538" s="131">
        <f>INDEX('Base de données Mono'!K:K,MATCH(B538,'Base de données Mono'!D:D,0))</f>
        <v>0.24305555555555555</v>
      </c>
      <c r="J538" s="131">
        <f>INDEX('Base de données Mono'!L:L,MATCH(B538,'Base de données Mono'!D:D,0))</f>
        <v>0.875</v>
      </c>
      <c r="K538" s="131">
        <f>INDEX('Base de données Mono'!M:M,MATCH(B538,'Base de données Mono'!D:D,0))</f>
        <v>0.28472222222222221</v>
      </c>
      <c r="L538" s="131">
        <f>INDEX('Base de données Mono'!N:N,MATCH(B538,'Base de données Mono'!D:D,0))</f>
        <v>0.55208333333333337</v>
      </c>
      <c r="M538" s="33" t="s">
        <v>46</v>
      </c>
      <c r="N538" s="33">
        <f>IF(AND(E538="Electricité",M538="Hiver"),INDEX('Base de données Mono'!E:E,MATCH(B538,'Base de données Mono'!D:D,0)),IF(AND(E538="Electricité",M538="Mi-saison"),INDEX('Base de données Mono'!F:F,MATCH(B538,'Base de données Mono'!D:D,0)),IF(AND(E538="Electricité",M538="Eté"),INDEX('Base de données Mono'!G:G,MATCH(B538,'Base de données Mono'!D:D,0)),IF(AND(E538="Gaz",M538="Hiver"),INDEX('Base de données Mono'!J:J,MATCH(B538,'Base de données Mono'!D:D,0)),IF(AND(E538="Gaz",M538="Mi-saison"),INDEX('Base de données Mono'!#REF!,MATCH(B538,'Base de données Mono'!D:D,0)),IF(AND(E538="Gaz",M538="Eté"),INDEX('Base de données Mono'!#REF!,MATCH(B538,'Base de données Mono'!D:D,0)),"-"))))))</f>
        <v>50</v>
      </c>
      <c r="O538" s="123">
        <v>45389</v>
      </c>
      <c r="P538" s="123">
        <v>45389</v>
      </c>
      <c r="Q538" s="34">
        <v>90</v>
      </c>
      <c r="R538" s="33">
        <f>IF(Q538="","",Q538-N538)</f>
        <v>40</v>
      </c>
      <c r="S538" s="34">
        <v>5.7</v>
      </c>
      <c r="T538" s="34">
        <v>1</v>
      </c>
      <c r="U538" s="33">
        <f>R538*S538*T538</f>
        <v>228</v>
      </c>
      <c r="V538" s="38" t="s">
        <v>827</v>
      </c>
      <c r="W538" s="39">
        <f>IFERROR(IF(E538="Gaz","-",R538/N538),"-")</f>
        <v>0.8</v>
      </c>
      <c r="X538" s="40" t="s">
        <v>730</v>
      </c>
      <c r="Y538" s="40" t="s">
        <v>284</v>
      </c>
      <c r="Z538" s="40" t="s">
        <v>307</v>
      </c>
      <c r="AA538" s="33" t="s">
        <v>308</v>
      </c>
      <c r="AB538" s="95"/>
      <c r="AC538" s="95"/>
    </row>
    <row r="539" spans="1:29" ht="14.45" hidden="1" customHeight="1" x14ac:dyDescent="0.25">
      <c r="A539" s="36" t="str">
        <f>INDEX('Base de données Mono'!C:C,MATCH(B539,'Base de données Mono'!D:D,0))</f>
        <v>FONTENAY LE COMTE</v>
      </c>
      <c r="B539" t="s">
        <v>129</v>
      </c>
      <c r="C539" s="36" t="str">
        <f>INDEX('Base de données Mono'!B:B,MATCH(B539,'Base de données Mono'!D:D,0))</f>
        <v>Monoprix</v>
      </c>
      <c r="D539" s="36" t="str">
        <f>INDEX('Base de données Mono'!A:A,MATCH(B539,'Base de données Mono'!D:D,0))</f>
        <v>AD</v>
      </c>
      <c r="E539" s="37" t="s">
        <v>303</v>
      </c>
      <c r="F539" s="41">
        <f t="shared" si="55"/>
        <v>14</v>
      </c>
      <c r="G539" s="41">
        <f t="shared" si="56"/>
        <v>4</v>
      </c>
      <c r="H539">
        <v>11.5</v>
      </c>
      <c r="I539" s="131">
        <f>INDEX('Base de données Mono'!K:K,MATCH(B539,'Base de données Mono'!D:D,0))</f>
        <v>0.29166666666666669</v>
      </c>
      <c r="J539" s="131">
        <f>INDEX('Base de données Mono'!L:L,MATCH(B539,'Base de données Mono'!D:D,0))</f>
        <v>0.8125</v>
      </c>
      <c r="K539" s="131">
        <f>INDEX('Base de données Mono'!M:M,MATCH(B539,'Base de données Mono'!D:D,0))</f>
        <v>0.3125</v>
      </c>
      <c r="L539" s="131">
        <f>INDEX('Base de données Mono'!N:N,MATCH(B539,'Base de données Mono'!D:D,0))</f>
        <v>0.53125</v>
      </c>
      <c r="M539" s="33" t="s">
        <v>46</v>
      </c>
      <c r="N539" s="33">
        <f>IF(AND(E539="Electricité",M539="Hiver"),INDEX('Base de données Mono'!E:E,MATCH(B539,'Base de données Mono'!D:D,0)),IF(AND(E539="Electricité",M539="Mi-saison"),INDEX('Base de données Mono'!F:F,MATCH(B539,'Base de données Mono'!D:D,0)),IF(AND(E539="Electricité",M539="Eté"),INDEX('Base de données Mono'!G:G,MATCH(B539,'Base de données Mono'!D:D,0)),IF(AND(E539="Gaz",M539="Hiver"),INDEX('Base de données Mono'!J:J,MATCH(B539,'Base de données Mono'!D:D,0)),IF(AND(E539="Gaz",M539="Mi-saison"),INDEX('Base de données Mono'!#REF!,MATCH(B539,'Base de données Mono'!D:D,0)),IF(AND(E539="Gaz",M539="Eté"),INDEX('Base de données Mono'!#REF!,MATCH(B539,'Base de données Mono'!D:D,0)),"-"))))))</f>
        <v>15</v>
      </c>
      <c r="O539" s="123">
        <v>45383</v>
      </c>
      <c r="P539" s="123">
        <v>45389</v>
      </c>
      <c r="Q539" s="34">
        <v>20</v>
      </c>
      <c r="R539" s="33">
        <f t="shared" si="57"/>
        <v>5</v>
      </c>
      <c r="S539" s="34">
        <v>2</v>
      </c>
      <c r="T539" s="34">
        <f t="shared" si="58"/>
        <v>6</v>
      </c>
      <c r="U539" s="33">
        <f t="shared" si="59"/>
        <v>60</v>
      </c>
      <c r="V539" s="38" t="s">
        <v>827</v>
      </c>
      <c r="W539" s="39">
        <f t="shared" si="60"/>
        <v>0.33333333333333331</v>
      </c>
      <c r="X539" s="40" t="s">
        <v>304</v>
      </c>
      <c r="Y539" s="40" t="s">
        <v>283</v>
      </c>
      <c r="Z539" s="40" t="s">
        <v>749</v>
      </c>
      <c r="AA539" s="33" t="s">
        <v>749</v>
      </c>
      <c r="AB539" s="95"/>
      <c r="AC539" s="95"/>
    </row>
    <row r="540" spans="1:29" ht="14.45" hidden="1" customHeight="1" x14ac:dyDescent="0.25">
      <c r="A540" s="36" t="str">
        <f>INDEX('Base de données Mono'!C:C,MATCH(B540,'Base de données Mono'!D:D,0))</f>
        <v>FONTENAY LE COMTE</v>
      </c>
      <c r="B540" t="s">
        <v>129</v>
      </c>
      <c r="C540" s="36" t="str">
        <f>INDEX('Base de données Mono'!B:B,MATCH(B540,'Base de données Mono'!D:D,0))</f>
        <v>Monoprix</v>
      </c>
      <c r="D540" s="36" t="str">
        <f>INDEX('Base de données Mono'!A:A,MATCH(B540,'Base de données Mono'!D:D,0))</f>
        <v>AD</v>
      </c>
      <c r="E540" s="37" t="s">
        <v>303</v>
      </c>
      <c r="F540" s="41">
        <f t="shared" si="55"/>
        <v>14</v>
      </c>
      <c r="G540" s="41">
        <f t="shared" si="56"/>
        <v>4</v>
      </c>
      <c r="H540">
        <v>11.5</v>
      </c>
      <c r="I540" s="131">
        <f>INDEX('Base de données Mono'!K:K,MATCH(B540,'Base de données Mono'!D:D,0))</f>
        <v>0.29166666666666669</v>
      </c>
      <c r="J540" s="131">
        <f>INDEX('Base de données Mono'!L:L,MATCH(B540,'Base de données Mono'!D:D,0))</f>
        <v>0.8125</v>
      </c>
      <c r="K540" s="131">
        <f>INDEX('Base de données Mono'!M:M,MATCH(B540,'Base de données Mono'!D:D,0))</f>
        <v>0.3125</v>
      </c>
      <c r="L540" s="131">
        <f>INDEX('Base de données Mono'!N:N,MATCH(B540,'Base de données Mono'!D:D,0))</f>
        <v>0.53125</v>
      </c>
      <c r="M540" s="33" t="s">
        <v>46</v>
      </c>
      <c r="N540" s="33">
        <f>IF(AND(E540="Electricité",M540="Hiver"),INDEX('Base de données Mono'!E:E,MATCH(B540,'Base de données Mono'!D:D,0)),IF(AND(E540="Electricité",M540="Mi-saison"),INDEX('Base de données Mono'!F:F,MATCH(B540,'Base de données Mono'!D:D,0)),IF(AND(E540="Electricité",M540="Eté"),INDEX('Base de données Mono'!G:G,MATCH(B540,'Base de données Mono'!D:D,0)),IF(AND(E540="Gaz",M540="Hiver"),INDEX('Base de données Mono'!J:J,MATCH(B540,'Base de données Mono'!D:D,0)),IF(AND(E540="Gaz",M540="Mi-saison"),INDEX('Base de données Mono'!#REF!,MATCH(B540,'Base de données Mono'!D:D,0)),IF(AND(E540="Gaz",M540="Eté"),INDEX('Base de données Mono'!#REF!,MATCH(B540,'Base de données Mono'!D:D,0)),"-"))))))</f>
        <v>15</v>
      </c>
      <c r="O540" s="123">
        <v>45385</v>
      </c>
      <c r="P540" s="123">
        <v>45386</v>
      </c>
      <c r="Q540" s="34">
        <v>20</v>
      </c>
      <c r="R540" s="33">
        <f t="shared" si="57"/>
        <v>5</v>
      </c>
      <c r="S540" s="34">
        <v>8</v>
      </c>
      <c r="T540" s="34">
        <f t="shared" si="58"/>
        <v>1</v>
      </c>
      <c r="U540" s="33">
        <f t="shared" si="59"/>
        <v>40</v>
      </c>
      <c r="V540" s="38" t="s">
        <v>827</v>
      </c>
      <c r="W540" s="39">
        <f t="shared" si="60"/>
        <v>0.33333333333333331</v>
      </c>
      <c r="X540" s="40" t="s">
        <v>304</v>
      </c>
      <c r="Y540" s="40" t="s">
        <v>283</v>
      </c>
      <c r="Z540" s="40" t="s">
        <v>749</v>
      </c>
      <c r="AA540" s="33" t="s">
        <v>749</v>
      </c>
      <c r="AB540" s="95"/>
      <c r="AC540" s="95"/>
    </row>
    <row r="541" spans="1:29" ht="14.45" hidden="1" customHeight="1" x14ac:dyDescent="0.25">
      <c r="A541" s="36" t="str">
        <f>INDEX('Base de données Mono'!C:C,MATCH(B541,'Base de données Mono'!D:D,0))</f>
        <v>LORIENT</v>
      </c>
      <c r="B541" t="s">
        <v>163</v>
      </c>
      <c r="C541" s="36" t="str">
        <f>INDEX('Base de données Mono'!B:B,MATCH(B541,'Base de données Mono'!D:D,0))</f>
        <v>Monoprix</v>
      </c>
      <c r="D541" s="36" t="str">
        <f>INDEX('Base de données Mono'!A:A,MATCH(B541,'Base de données Mono'!D:D,0))</f>
        <v>AD</v>
      </c>
      <c r="E541" s="37" t="s">
        <v>303</v>
      </c>
      <c r="F541" s="41">
        <f t="shared" si="55"/>
        <v>14</v>
      </c>
      <c r="G541" s="41">
        <f t="shared" si="56"/>
        <v>4</v>
      </c>
      <c r="H541">
        <v>8.5</v>
      </c>
      <c r="I541" s="131">
        <f>INDEX('Base de données Mono'!K:K,MATCH(B541,'Base de données Mono'!D:D,0))</f>
        <v>0.1875</v>
      </c>
      <c r="J541" s="131">
        <f>INDEX('Base de données Mono'!L:L,MATCH(B541,'Base de données Mono'!D:D,0))</f>
        <v>0.83333333333333337</v>
      </c>
      <c r="K541" s="131" t="str">
        <f>INDEX('Base de données Mono'!M:M,MATCH(B541,'Base de données Mono'!D:D,0))</f>
        <v>-</v>
      </c>
      <c r="L541" s="131" t="str">
        <f>INDEX('Base de données Mono'!N:N,MATCH(B541,'Base de données Mono'!D:D,0))</f>
        <v>-</v>
      </c>
      <c r="M541" s="33" t="s">
        <v>46</v>
      </c>
      <c r="N541" s="33">
        <f>IF(AND(E541="Electricité",M541="Hiver"),INDEX('Base de données Mono'!E:E,MATCH(B541,'Base de données Mono'!D:D,0)),IF(AND(E541="Electricité",M541="Mi-saison"),INDEX('Base de données Mono'!F:F,MATCH(B541,'Base de données Mono'!D:D,0)),IF(AND(E541="Electricité",M541="Eté"),INDEX('Base de données Mono'!G:G,MATCH(B541,'Base de données Mono'!D:D,0)),IF(AND(E541="Gaz",M541="Hiver"),INDEX('Base de données Mono'!J:J,MATCH(B541,'Base de données Mono'!D:D,0)),IF(AND(E541="Gaz",M541="Mi-saison"),INDEX('Base de données Mono'!#REF!,MATCH(B541,'Base de données Mono'!D:D,0)),IF(AND(E541="Gaz",M541="Eté"),INDEX('Base de données Mono'!#REF!,MATCH(B541,'Base de données Mono'!D:D,0)),"-"))))))</f>
        <v>35</v>
      </c>
      <c r="O541" s="123">
        <v>45383</v>
      </c>
      <c r="P541" s="123">
        <v>45388</v>
      </c>
      <c r="Q541" s="34">
        <v>40</v>
      </c>
      <c r="R541" s="33">
        <f t="shared" si="57"/>
        <v>5</v>
      </c>
      <c r="S541" s="34">
        <v>1</v>
      </c>
      <c r="T541" s="34">
        <f t="shared" si="58"/>
        <v>5</v>
      </c>
      <c r="U541" s="33">
        <f t="shared" si="59"/>
        <v>25</v>
      </c>
      <c r="V541" s="38" t="s">
        <v>827</v>
      </c>
      <c r="W541" s="39">
        <f t="shared" si="60"/>
        <v>0.14285714285714285</v>
      </c>
      <c r="X541" s="40" t="s">
        <v>304</v>
      </c>
      <c r="Y541" s="40" t="s">
        <v>283</v>
      </c>
      <c r="Z541" s="40" t="s">
        <v>749</v>
      </c>
      <c r="AA541" s="33" t="s">
        <v>749</v>
      </c>
      <c r="AB541" s="95"/>
      <c r="AC541" s="95"/>
    </row>
    <row r="542" spans="1:29" ht="14.45" hidden="1" customHeight="1" x14ac:dyDescent="0.25">
      <c r="A542" s="36" t="str">
        <f>INDEX('Base de données Mono'!C:C,MATCH(B542,'Base de données Mono'!D:D,0))</f>
        <v>LORIENT</v>
      </c>
      <c r="B542" t="s">
        <v>163</v>
      </c>
      <c r="C542" s="36" t="str">
        <f>INDEX('Base de données Mono'!B:B,MATCH(B542,'Base de données Mono'!D:D,0))</f>
        <v>Monoprix</v>
      </c>
      <c r="D542" s="36" t="str">
        <f>INDEX('Base de données Mono'!A:A,MATCH(B542,'Base de données Mono'!D:D,0))</f>
        <v>AD</v>
      </c>
      <c r="E542" s="37" t="s">
        <v>303</v>
      </c>
      <c r="F542" s="41">
        <f t="shared" si="55"/>
        <v>14</v>
      </c>
      <c r="G542" s="41">
        <f t="shared" si="56"/>
        <v>4</v>
      </c>
      <c r="H542">
        <v>8.5</v>
      </c>
      <c r="I542" s="131">
        <f>INDEX('Base de données Mono'!K:K,MATCH(B542,'Base de données Mono'!D:D,0))</f>
        <v>0.1875</v>
      </c>
      <c r="J542" s="131">
        <f>INDEX('Base de données Mono'!L:L,MATCH(B542,'Base de données Mono'!D:D,0))</f>
        <v>0.83333333333333337</v>
      </c>
      <c r="K542" s="131" t="str">
        <f>INDEX('Base de données Mono'!M:M,MATCH(B542,'Base de données Mono'!D:D,0))</f>
        <v>-</v>
      </c>
      <c r="L542" s="131" t="str">
        <f>INDEX('Base de données Mono'!N:N,MATCH(B542,'Base de données Mono'!D:D,0))</f>
        <v>-</v>
      </c>
      <c r="M542" s="33" t="s">
        <v>46</v>
      </c>
      <c r="N542" s="33">
        <f>IF(AND(E542="Electricité",M542="Hiver"),INDEX('Base de données Mono'!E:E,MATCH(B542,'Base de données Mono'!D:D,0)),IF(AND(E542="Electricité",M542="Mi-saison"),INDEX('Base de données Mono'!F:F,MATCH(B542,'Base de données Mono'!D:D,0)),IF(AND(E542="Electricité",M542="Eté"),INDEX('Base de données Mono'!G:G,MATCH(B542,'Base de données Mono'!D:D,0)),IF(AND(E542="Gaz",M542="Hiver"),INDEX('Base de données Mono'!J:J,MATCH(B542,'Base de données Mono'!D:D,0)),IF(AND(E542="Gaz",M542="Mi-saison"),INDEX('Base de données Mono'!#REF!,MATCH(B542,'Base de données Mono'!D:D,0)),IF(AND(E542="Gaz",M542="Eté"),INDEX('Base de données Mono'!#REF!,MATCH(B542,'Base de données Mono'!D:D,0)),"-"))))))</f>
        <v>35</v>
      </c>
      <c r="O542" s="123">
        <v>45385</v>
      </c>
      <c r="P542" s="123">
        <v>45386</v>
      </c>
      <c r="Q542" s="34">
        <v>60</v>
      </c>
      <c r="R542" s="33">
        <f t="shared" si="57"/>
        <v>25</v>
      </c>
      <c r="S542" s="34">
        <v>2</v>
      </c>
      <c r="T542" s="34">
        <f t="shared" si="58"/>
        <v>1</v>
      </c>
      <c r="U542" s="33">
        <f t="shared" si="59"/>
        <v>50</v>
      </c>
      <c r="V542" s="38" t="s">
        <v>827</v>
      </c>
      <c r="W542" s="39">
        <f t="shared" si="60"/>
        <v>0.7142857142857143</v>
      </c>
      <c r="X542" s="40" t="s">
        <v>304</v>
      </c>
      <c r="Y542" s="40" t="s">
        <v>283</v>
      </c>
      <c r="Z542" s="40" t="s">
        <v>749</v>
      </c>
      <c r="AA542" s="33" t="s">
        <v>749</v>
      </c>
      <c r="AB542" s="95"/>
      <c r="AC542" s="95"/>
    </row>
    <row r="543" spans="1:29" ht="14.45" hidden="1" customHeight="1" x14ac:dyDescent="0.25">
      <c r="A543" s="36" t="str">
        <f>INDEX('Base de données Mono'!C:C,MATCH(B543,'Base de données Mono'!D:D,0))</f>
        <v>RUEIL MALMAISON</v>
      </c>
      <c r="B543" t="s">
        <v>31</v>
      </c>
      <c r="C543" s="36" t="str">
        <f>INDEX('Base de données Mono'!B:B,MATCH(B543,'Base de données Mono'!D:D,0))</f>
        <v>SES8</v>
      </c>
      <c r="D543" s="36" t="str">
        <f>INDEX('Base de données Mono'!A:A,MATCH(B543,'Base de données Mono'!D:D,0))</f>
        <v>AD</v>
      </c>
      <c r="E543" s="37" t="s">
        <v>303</v>
      </c>
      <c r="F543" s="41">
        <f t="shared" si="55"/>
        <v>14</v>
      </c>
      <c r="G543" s="41">
        <f t="shared" si="56"/>
        <v>4</v>
      </c>
      <c r="H543">
        <v>8</v>
      </c>
      <c r="I543" s="131">
        <f>INDEX('Base de données Mono'!K:K,MATCH(B543,'Base de données Mono'!D:D,0))</f>
        <v>0.26041666666666669</v>
      </c>
      <c r="J543" s="131">
        <f>INDEX('Base de données Mono'!L:L,MATCH(B543,'Base de données Mono'!D:D,0))</f>
        <v>0.92708333333333337</v>
      </c>
      <c r="K543" s="131">
        <f>INDEX('Base de données Mono'!M:M,MATCH(B543,'Base de données Mono'!D:D,0))</f>
        <v>0.27777777777777779</v>
      </c>
      <c r="L543" s="131">
        <f>INDEX('Base de données Mono'!N:N,MATCH(B543,'Base de données Mono'!D:D,0))</f>
        <v>0.59375</v>
      </c>
      <c r="M543" s="33" t="s">
        <v>46</v>
      </c>
      <c r="N543" s="33">
        <f>IF(AND(E543="Electricité",M543="Hiver"),INDEX('Base de données Mono'!E:E,MATCH(B543,'Base de données Mono'!D:D,0)),IF(AND(E543="Electricité",M543="Mi-saison"),INDEX('Base de données Mono'!F:F,MATCH(B543,'Base de données Mono'!D:D,0)),IF(AND(E543="Electricité",M543="Eté"),INDEX('Base de données Mono'!G:G,MATCH(B543,'Base de données Mono'!D:D,0)),IF(AND(E543="Gaz",M543="Hiver"),INDEX('Base de données Mono'!J:J,MATCH(B543,'Base de données Mono'!D:D,0)),IF(AND(E543="Gaz",M543="Mi-saison"),INDEX('Base de données Mono'!#REF!,MATCH(B543,'Base de données Mono'!D:D,0)),IF(AND(E543="Gaz",M543="Eté"),INDEX('Base de données Mono'!#REF!,MATCH(B543,'Base de données Mono'!D:D,0)),"-"))))))</f>
        <v>65</v>
      </c>
      <c r="O543" s="123">
        <v>45383</v>
      </c>
      <c r="P543" s="123">
        <v>45387</v>
      </c>
      <c r="Q543" s="34">
        <v>95</v>
      </c>
      <c r="R543" s="33">
        <f t="shared" si="57"/>
        <v>30</v>
      </c>
      <c r="S543" s="34">
        <v>8</v>
      </c>
      <c r="T543" s="34">
        <f t="shared" si="58"/>
        <v>4</v>
      </c>
      <c r="U543" s="33">
        <f t="shared" si="59"/>
        <v>960</v>
      </c>
      <c r="V543" s="38" t="s">
        <v>827</v>
      </c>
      <c r="W543" s="39">
        <f t="shared" si="60"/>
        <v>0.46153846153846156</v>
      </c>
      <c r="X543" s="40" t="s">
        <v>304</v>
      </c>
      <c r="Y543" s="40" t="s">
        <v>284</v>
      </c>
      <c r="Z543" s="40" t="s">
        <v>305</v>
      </c>
      <c r="AA543" s="33" t="s">
        <v>771</v>
      </c>
      <c r="AB543" s="95"/>
      <c r="AC543" s="95"/>
    </row>
    <row r="544" spans="1:29" ht="14.45" hidden="1" customHeight="1" x14ac:dyDescent="0.25">
      <c r="A544" s="36" t="str">
        <f>INDEX('Base de données Mono'!C:C,MATCH(B544,'Base de données Mono'!D:D,0))</f>
        <v>RUEIL MALMAISON</v>
      </c>
      <c r="B544" t="s">
        <v>31</v>
      </c>
      <c r="C544" s="36" t="str">
        <f>INDEX('Base de données Mono'!B:B,MATCH(B544,'Base de données Mono'!D:D,0))</f>
        <v>SES8</v>
      </c>
      <c r="D544" s="36" t="str">
        <f>INDEX('Base de données Mono'!A:A,MATCH(B544,'Base de données Mono'!D:D,0))</f>
        <v>AD</v>
      </c>
      <c r="E544" s="37" t="s">
        <v>303</v>
      </c>
      <c r="F544" s="41">
        <f t="shared" si="55"/>
        <v>14</v>
      </c>
      <c r="G544" s="41">
        <f t="shared" si="56"/>
        <v>4</v>
      </c>
      <c r="H544">
        <v>8</v>
      </c>
      <c r="I544" s="131">
        <f>INDEX('Base de données Mono'!K:K,MATCH(B544,'Base de données Mono'!D:D,0))</f>
        <v>0.26041666666666669</v>
      </c>
      <c r="J544" s="131">
        <f>INDEX('Base de données Mono'!L:L,MATCH(B544,'Base de données Mono'!D:D,0))</f>
        <v>0.92708333333333337</v>
      </c>
      <c r="K544" s="131">
        <f>INDEX('Base de données Mono'!M:M,MATCH(B544,'Base de données Mono'!D:D,0))</f>
        <v>0.27777777777777779</v>
      </c>
      <c r="L544" s="131">
        <f>INDEX('Base de données Mono'!N:N,MATCH(B544,'Base de données Mono'!D:D,0))</f>
        <v>0.59375</v>
      </c>
      <c r="M544" s="33" t="s">
        <v>46</v>
      </c>
      <c r="N544" s="33">
        <f>IF(AND(E544="Electricité",M544="Hiver"),INDEX('Base de données Mono'!E:E,MATCH(B544,'Base de données Mono'!D:D,0)),IF(AND(E544="Electricité",M544="Mi-saison"),INDEX('Base de données Mono'!F:F,MATCH(B544,'Base de données Mono'!D:D,0)),IF(AND(E544="Electricité",M544="Eté"),INDEX('Base de données Mono'!G:G,MATCH(B544,'Base de données Mono'!D:D,0)),IF(AND(E544="Gaz",M544="Hiver"),INDEX('Base de données Mono'!J:J,MATCH(B544,'Base de données Mono'!D:D,0)),IF(AND(E544="Gaz",M544="Mi-saison"),INDEX('Base de données Mono'!#REF!,MATCH(B544,'Base de données Mono'!D:D,0)),IF(AND(E544="Gaz",M544="Eté"),INDEX('Base de données Mono'!#REF!,MATCH(B544,'Base de données Mono'!D:D,0)),"-"))))))</f>
        <v>65</v>
      </c>
      <c r="O544" s="123">
        <v>45388</v>
      </c>
      <c r="P544" s="123">
        <v>45389</v>
      </c>
      <c r="Q544" s="34">
        <v>95</v>
      </c>
      <c r="R544" s="33">
        <f t="shared" si="57"/>
        <v>30</v>
      </c>
      <c r="S544" s="34">
        <v>0.5</v>
      </c>
      <c r="T544" s="34">
        <f t="shared" si="58"/>
        <v>1</v>
      </c>
      <c r="U544" s="33">
        <f t="shared" si="59"/>
        <v>15</v>
      </c>
      <c r="V544" s="38" t="s">
        <v>827</v>
      </c>
      <c r="W544" s="39">
        <f t="shared" si="60"/>
        <v>0.46153846153846156</v>
      </c>
      <c r="X544" s="40" t="s">
        <v>304</v>
      </c>
      <c r="Y544" s="40" t="s">
        <v>284</v>
      </c>
      <c r="Z544" s="40" t="s">
        <v>305</v>
      </c>
      <c r="AA544" s="33" t="s">
        <v>771</v>
      </c>
      <c r="AB544" s="95"/>
      <c r="AC544" s="95"/>
    </row>
    <row r="545" spans="1:29" ht="14.45" hidden="1" customHeight="1" x14ac:dyDescent="0.25">
      <c r="A545" s="36" t="str">
        <f>INDEX('Base de données Mono'!C:C,MATCH(B545,'Base de données Mono'!D:D,0))</f>
        <v>RUEIL MALMAISON</v>
      </c>
      <c r="B545" t="s">
        <v>31</v>
      </c>
      <c r="C545" s="36" t="str">
        <f>INDEX('Base de données Mono'!B:B,MATCH(B545,'Base de données Mono'!D:D,0))</f>
        <v>SES8</v>
      </c>
      <c r="D545" s="36" t="str">
        <f>INDEX('Base de données Mono'!A:A,MATCH(B545,'Base de données Mono'!D:D,0))</f>
        <v>AD</v>
      </c>
      <c r="E545" s="37" t="s">
        <v>303</v>
      </c>
      <c r="F545" s="41">
        <f t="shared" si="55"/>
        <v>14</v>
      </c>
      <c r="G545" s="41">
        <f t="shared" si="56"/>
        <v>4</v>
      </c>
      <c r="H545">
        <v>8</v>
      </c>
      <c r="I545" s="131">
        <f>INDEX('Base de données Mono'!K:K,MATCH(B545,'Base de données Mono'!D:D,0))</f>
        <v>0.26041666666666669</v>
      </c>
      <c r="J545" s="131">
        <f>INDEX('Base de données Mono'!L:L,MATCH(B545,'Base de données Mono'!D:D,0))</f>
        <v>0.92708333333333337</v>
      </c>
      <c r="K545" s="131">
        <f>INDEX('Base de données Mono'!M:M,MATCH(B545,'Base de données Mono'!D:D,0))</f>
        <v>0.27777777777777779</v>
      </c>
      <c r="L545" s="131">
        <f>INDEX('Base de données Mono'!N:N,MATCH(B545,'Base de données Mono'!D:D,0))</f>
        <v>0.59375</v>
      </c>
      <c r="M545" s="33" t="s">
        <v>46</v>
      </c>
      <c r="N545" s="33">
        <f>IF(AND(E545="Electricité",M545="Hiver"),INDEX('Base de données Mono'!E:E,MATCH(B545,'Base de données Mono'!D:D,0)),IF(AND(E545="Electricité",M545="Mi-saison"),INDEX('Base de données Mono'!F:F,MATCH(B545,'Base de données Mono'!D:D,0)),IF(AND(E545="Electricité",M545="Eté"),INDEX('Base de données Mono'!G:G,MATCH(B545,'Base de données Mono'!D:D,0)),IF(AND(E545="Gaz",M545="Hiver"),INDEX('Base de données Mono'!J:J,MATCH(B545,'Base de données Mono'!D:D,0)),IF(AND(E545="Gaz",M545="Mi-saison"),INDEX('Base de données Mono'!#REF!,MATCH(B545,'Base de données Mono'!D:D,0)),IF(AND(E545="Gaz",M545="Eté"),INDEX('Base de données Mono'!#REF!,MATCH(B545,'Base de données Mono'!D:D,0)),"-"))))))</f>
        <v>65</v>
      </c>
      <c r="O545" s="123">
        <v>45389</v>
      </c>
      <c r="P545" s="123">
        <v>45389</v>
      </c>
      <c r="Q545" s="34">
        <v>90</v>
      </c>
      <c r="R545" s="33">
        <f t="shared" si="57"/>
        <v>25</v>
      </c>
      <c r="S545" s="34">
        <v>6.2</v>
      </c>
      <c r="T545" s="34">
        <v>1</v>
      </c>
      <c r="U545" s="33">
        <f t="shared" si="59"/>
        <v>155</v>
      </c>
      <c r="V545" s="38" t="s">
        <v>827</v>
      </c>
      <c r="W545" s="39">
        <f t="shared" si="60"/>
        <v>0.38461538461538464</v>
      </c>
      <c r="X545" s="40" t="s">
        <v>730</v>
      </c>
      <c r="Y545" s="40" t="s">
        <v>284</v>
      </c>
      <c r="Z545" s="40" t="s">
        <v>305</v>
      </c>
      <c r="AA545" s="33" t="s">
        <v>771</v>
      </c>
      <c r="AB545" s="95"/>
      <c r="AC545" s="95"/>
    </row>
    <row r="546" spans="1:29" ht="14.45" hidden="1" customHeight="1" x14ac:dyDescent="0.25">
      <c r="A546" s="36" t="str">
        <f>INDEX('Base de données Mono'!C:C,MATCH(B546,'Base de données Mono'!D:D,0))</f>
        <v>MOULINS LES HALLES</v>
      </c>
      <c r="B546" t="s">
        <v>26</v>
      </c>
      <c r="C546" s="36" t="str">
        <f>INDEX('Base de données Mono'!B:B,MATCH(B546,'Base de données Mono'!D:D,0))</f>
        <v>SES8</v>
      </c>
      <c r="D546" s="36" t="str">
        <f>INDEX('Base de données Mono'!A:A,MATCH(B546,'Base de données Mono'!D:D,0))</f>
        <v>AD</v>
      </c>
      <c r="E546" s="37" t="s">
        <v>303</v>
      </c>
      <c r="F546" s="41">
        <f t="shared" si="55"/>
        <v>14</v>
      </c>
      <c r="G546" s="41">
        <f t="shared" si="56"/>
        <v>4</v>
      </c>
      <c r="H546">
        <v>8.33</v>
      </c>
      <c r="I546" s="131">
        <f>INDEX('Base de données Mono'!K:K,MATCH(B546,'Base de données Mono'!D:D,0))</f>
        <v>0.20138888888888887</v>
      </c>
      <c r="J546" s="131">
        <f>INDEX('Base de données Mono'!L:L,MATCH(B546,'Base de données Mono'!D:D,0))</f>
        <v>0.85416666666666663</v>
      </c>
      <c r="K546" s="131">
        <f>INDEX('Base de données Mono'!M:M,MATCH(B546,'Base de données Mono'!D:D,0))</f>
        <v>0.20833333333333334</v>
      </c>
      <c r="L546" s="131">
        <f>INDEX('Base de données Mono'!N:N,MATCH(B546,'Base de données Mono'!D:D,0))</f>
        <v>0.54166666666666663</v>
      </c>
      <c r="M546" s="33" t="s">
        <v>46</v>
      </c>
      <c r="N546" s="33">
        <f>IF(AND(E546="Electricité",M546="Hiver"),INDEX('Base de données Mono'!E:E,MATCH(B546,'Base de données Mono'!D:D,0)),IF(AND(E546="Electricité",M546="Mi-saison"),INDEX('Base de données Mono'!F:F,MATCH(B546,'Base de données Mono'!D:D,0)),IF(AND(E546="Electricité",M546="Eté"),INDEX('Base de données Mono'!G:G,MATCH(B546,'Base de données Mono'!D:D,0)),IF(AND(E546="Gaz",M546="Hiver"),INDEX('Base de données Mono'!J:J,MATCH(B546,'Base de données Mono'!D:D,0)),IF(AND(E546="Gaz",M546="Mi-saison"),INDEX('Base de données Mono'!#REF!,MATCH(B546,'Base de données Mono'!D:D,0)),IF(AND(E546="Gaz",M546="Eté"),INDEX('Base de données Mono'!#REF!,MATCH(B546,'Base de données Mono'!D:D,0)),"-"))))))</f>
        <v>35</v>
      </c>
      <c r="O546" s="123">
        <v>45386</v>
      </c>
      <c r="P546" s="123">
        <v>45387</v>
      </c>
      <c r="Q546" s="34">
        <v>60</v>
      </c>
      <c r="R546" s="33">
        <f t="shared" si="57"/>
        <v>25</v>
      </c>
      <c r="S546" s="34">
        <v>3</v>
      </c>
      <c r="T546" s="34">
        <f t="shared" si="58"/>
        <v>1</v>
      </c>
      <c r="U546" s="33">
        <f t="shared" si="59"/>
        <v>75</v>
      </c>
      <c r="V546" s="38" t="s">
        <v>827</v>
      </c>
      <c r="W546" s="39">
        <f t="shared" si="60"/>
        <v>0.7142857142857143</v>
      </c>
      <c r="X546" s="40" t="s">
        <v>304</v>
      </c>
      <c r="Y546" s="40" t="s">
        <v>284</v>
      </c>
      <c r="Z546" s="40" t="s">
        <v>311</v>
      </c>
      <c r="AA546" s="33" t="s">
        <v>775</v>
      </c>
      <c r="AB546" s="95"/>
      <c r="AC546" s="95"/>
    </row>
    <row r="547" spans="1:29" ht="14.45" hidden="1" customHeight="1" x14ac:dyDescent="0.25">
      <c r="A547" s="36" t="str">
        <f>INDEX('Base de données Mono'!C:C,MATCH(B547,'Base de données Mono'!D:D,0))</f>
        <v>MANTES LA JOLIE</v>
      </c>
      <c r="B547" t="s">
        <v>23</v>
      </c>
      <c r="C547" s="36" t="str">
        <f>INDEX('Base de données Mono'!B:B,MATCH(B547,'Base de données Mono'!D:D,0))</f>
        <v>SES8</v>
      </c>
      <c r="D547" s="36" t="str">
        <f>INDEX('Base de données Mono'!A:A,MATCH(B547,'Base de données Mono'!D:D,0))</f>
        <v>AD</v>
      </c>
      <c r="E547" s="37" t="s">
        <v>303</v>
      </c>
      <c r="F547" s="41">
        <f t="shared" ref="F547:F603" si="61">IF(O547="","-",IF(AND(X547="Nuit",WEEKDAY(O547,2)=7,O547&lt;&gt;P547),WEEKNUM(O547,2),WEEKNUM(O547,2)-1))+1</f>
        <v>14</v>
      </c>
      <c r="G547" s="41">
        <f t="shared" ref="G547:G603" si="62">IF(O547="","-",MONTH(O547))</f>
        <v>4</v>
      </c>
      <c r="H547">
        <v>7.83</v>
      </c>
      <c r="I547" s="131">
        <f>INDEX('Base de données Mono'!K:K,MATCH(B547,'Base de données Mono'!D:D,0))</f>
        <v>0.20138888888888887</v>
      </c>
      <c r="J547" s="131">
        <f>INDEX('Base de données Mono'!L:L,MATCH(B547,'Base de données Mono'!D:D,0))</f>
        <v>0.875</v>
      </c>
      <c r="K547" s="131">
        <f>INDEX('Base de données Mono'!M:M,MATCH(B547,'Base de données Mono'!D:D,0))</f>
        <v>0.24305555555555555</v>
      </c>
      <c r="L547" s="131">
        <f>INDEX('Base de données Mono'!N:N,MATCH(B547,'Base de données Mono'!D:D,0))</f>
        <v>0.83333333333333337</v>
      </c>
      <c r="M547" s="33" t="s">
        <v>46</v>
      </c>
      <c r="N547" s="33">
        <f>IF(AND(E547="Electricité",M547="Hiver"),INDEX('Base de données Mono'!E:E,MATCH(B547,'Base de données Mono'!D:D,0)),IF(AND(E547="Electricité",M547="Mi-saison"),INDEX('Base de données Mono'!F:F,MATCH(B547,'Base de données Mono'!D:D,0)),IF(AND(E547="Electricité",M547="Eté"),INDEX('Base de données Mono'!G:G,MATCH(B547,'Base de données Mono'!D:D,0)),IF(AND(E547="Gaz",M547="Hiver"),INDEX('Base de données Mono'!J:J,MATCH(B547,'Base de données Mono'!D:D,0)),IF(AND(E547="Gaz",M547="Mi-saison"),INDEX('Base de données Mono'!#REF!,MATCH(B547,'Base de données Mono'!D:D,0)),IF(AND(E547="Gaz",M547="Eté"),INDEX('Base de données Mono'!#REF!,MATCH(B547,'Base de données Mono'!D:D,0)),"-"))))))</f>
        <v>35</v>
      </c>
      <c r="O547" s="123">
        <v>45384</v>
      </c>
      <c r="P547" s="123">
        <v>45386</v>
      </c>
      <c r="Q547" s="34">
        <v>40</v>
      </c>
      <c r="R547" s="33">
        <f t="shared" ref="R547:R603" si="63">IF(Q547="","",Q547-N547)</f>
        <v>5</v>
      </c>
      <c r="S547" s="34">
        <v>7.8</v>
      </c>
      <c r="T547" s="34">
        <f t="shared" si="58"/>
        <v>2</v>
      </c>
      <c r="U547" s="33">
        <f t="shared" ref="U547:U603" si="64">R547*S547*T547</f>
        <v>78</v>
      </c>
      <c r="V547" s="38" t="s">
        <v>827</v>
      </c>
      <c r="W547" s="39">
        <f t="shared" ref="W547:W603" si="65">IFERROR(IF(E547="Gaz","-",R547/N547),"-")</f>
        <v>0.14285714285714285</v>
      </c>
      <c r="X547" s="40" t="s">
        <v>304</v>
      </c>
      <c r="Y547" s="40" t="s">
        <v>283</v>
      </c>
      <c r="Z547" s="40" t="s">
        <v>749</v>
      </c>
      <c r="AA547" s="33" t="s">
        <v>749</v>
      </c>
      <c r="AB547" s="95"/>
      <c r="AC547" s="95"/>
    </row>
    <row r="548" spans="1:29" ht="14.45" hidden="1" customHeight="1" x14ac:dyDescent="0.25">
      <c r="A548" s="36" t="str">
        <f>INDEX('Base de données Mono'!C:C,MATCH(B548,'Base de données Mono'!D:D,0))</f>
        <v>MANTES LA JOLIE</v>
      </c>
      <c r="B548" t="s">
        <v>23</v>
      </c>
      <c r="C548" s="36" t="str">
        <f>INDEX('Base de données Mono'!B:B,MATCH(B548,'Base de données Mono'!D:D,0))</f>
        <v>SES8</v>
      </c>
      <c r="D548" s="36" t="str">
        <f>INDEX('Base de données Mono'!A:A,MATCH(B548,'Base de données Mono'!D:D,0))</f>
        <v>AD</v>
      </c>
      <c r="E548" s="37" t="s">
        <v>303</v>
      </c>
      <c r="F548" s="41">
        <f t="shared" si="61"/>
        <v>14</v>
      </c>
      <c r="G548" s="41">
        <f t="shared" si="62"/>
        <v>4</v>
      </c>
      <c r="H548">
        <v>7.83</v>
      </c>
      <c r="I548" s="131">
        <f>INDEX('Base de données Mono'!K:K,MATCH(B548,'Base de données Mono'!D:D,0))</f>
        <v>0.20138888888888887</v>
      </c>
      <c r="J548" s="131">
        <f>INDEX('Base de données Mono'!L:L,MATCH(B548,'Base de données Mono'!D:D,0))</f>
        <v>0.875</v>
      </c>
      <c r="K548" s="131">
        <f>INDEX('Base de données Mono'!M:M,MATCH(B548,'Base de données Mono'!D:D,0))</f>
        <v>0.24305555555555555</v>
      </c>
      <c r="L548" s="131">
        <f>INDEX('Base de données Mono'!N:N,MATCH(B548,'Base de données Mono'!D:D,0))</f>
        <v>0.83333333333333337</v>
      </c>
      <c r="M548" s="33" t="s">
        <v>46</v>
      </c>
      <c r="N548" s="33">
        <f>IF(AND(E548="Electricité",M548="Hiver"),INDEX('Base de données Mono'!E:E,MATCH(B548,'Base de données Mono'!D:D,0)),IF(AND(E548="Electricité",M548="Mi-saison"),INDEX('Base de données Mono'!F:F,MATCH(B548,'Base de données Mono'!D:D,0)),IF(AND(E548="Electricité",M548="Eté"),INDEX('Base de données Mono'!G:G,MATCH(B548,'Base de données Mono'!D:D,0)),IF(AND(E548="Gaz",M548="Hiver"),INDEX('Base de données Mono'!J:J,MATCH(B548,'Base de données Mono'!D:D,0)),IF(AND(E548="Gaz",M548="Mi-saison"),INDEX('Base de données Mono'!#REF!,MATCH(B548,'Base de données Mono'!D:D,0)),IF(AND(E548="Gaz",M548="Eté"),INDEX('Base de données Mono'!#REF!,MATCH(B548,'Base de données Mono'!D:D,0)),"-"))))))</f>
        <v>35</v>
      </c>
      <c r="O548" s="123">
        <v>45386</v>
      </c>
      <c r="P548" s="123">
        <v>45389</v>
      </c>
      <c r="Q548" s="34">
        <v>45</v>
      </c>
      <c r="R548" s="33">
        <f t="shared" si="63"/>
        <v>10</v>
      </c>
      <c r="S548" s="34">
        <v>7.8</v>
      </c>
      <c r="T548" s="34">
        <f t="shared" si="58"/>
        <v>3</v>
      </c>
      <c r="U548" s="33">
        <f t="shared" si="64"/>
        <v>234</v>
      </c>
      <c r="V548" s="38" t="s">
        <v>827</v>
      </c>
      <c r="W548" s="39">
        <f t="shared" si="65"/>
        <v>0.2857142857142857</v>
      </c>
      <c r="X548" s="40" t="s">
        <v>304</v>
      </c>
      <c r="Y548" s="40" t="s">
        <v>283</v>
      </c>
      <c r="Z548" s="40" t="s">
        <v>749</v>
      </c>
      <c r="AA548" s="33" t="s">
        <v>749</v>
      </c>
      <c r="AB548" s="95"/>
      <c r="AC548" s="95"/>
    </row>
    <row r="549" spans="1:29" ht="14.45" hidden="1" customHeight="1" x14ac:dyDescent="0.25">
      <c r="A549" s="36" t="str">
        <f>INDEX('Base de données Mono'!C:C,MATCH(B549,'Base de données Mono'!D:D,0))</f>
        <v>LYON LA PART DIEU</v>
      </c>
      <c r="B549" t="s">
        <v>21</v>
      </c>
      <c r="C549" s="36" t="str">
        <f>INDEX('Base de données Mono'!B:B,MATCH(B549,'Base de données Mono'!D:D,0))</f>
        <v>SES8</v>
      </c>
      <c r="D549" s="36" t="str">
        <f>INDEX('Base de données Mono'!A:A,MATCH(B549,'Base de données Mono'!D:D,0))</f>
        <v>JG</v>
      </c>
      <c r="E549" s="37" t="s">
        <v>303</v>
      </c>
      <c r="F549" s="41">
        <f>IF(O549="","-",IF(AND(X549="Nuit",WEEKDAY(O549,2)=7,O549&lt;&gt;P549),WEEKNUM(O549,2),WEEKNUM(O549,2)-1))+1</f>
        <v>14</v>
      </c>
      <c r="G549" s="41">
        <f>IF(O549="","-",MONTH(O549))</f>
        <v>4</v>
      </c>
      <c r="H549">
        <v>8.5</v>
      </c>
      <c r="I549" s="131">
        <f>INDEX('Base de données Mono'!K:K,MATCH(B549,'Base de données Mono'!D:D,0))</f>
        <v>0.1875</v>
      </c>
      <c r="J549" s="131">
        <f>INDEX('Base de données Mono'!L:L,MATCH(B549,'Base de données Mono'!D:D,0))</f>
        <v>0.83333333333333337</v>
      </c>
      <c r="K549" s="131">
        <f>INDEX('Base de données Mono'!M:M,MATCH(B549,'Base de données Mono'!D:D,0))</f>
        <v>0.25</v>
      </c>
      <c r="L549" s="131">
        <f>INDEX('Base de données Mono'!N:N,MATCH(B549,'Base de données Mono'!D:D,0))</f>
        <v>0.5</v>
      </c>
      <c r="M549" s="33" t="s">
        <v>46</v>
      </c>
      <c r="N549" s="33">
        <f>IF(AND(E549="Electricité",M549="Hiver"),INDEX('Base de données Mono'!E:E,MATCH(B549,'Base de données Mono'!D:D,0)),IF(AND(E549="Electricité",M549="Mi-saison"),INDEX('Base de données Mono'!F:F,MATCH(B549,'Base de données Mono'!D:D,0)),IF(AND(E549="Electricité",M549="Eté"),INDEX('Base de données Mono'!G:G,MATCH(B549,'Base de données Mono'!D:D,0)),IF(AND(E549="Gaz",M549="Hiver"),INDEX('Base de données Mono'!J:J,MATCH(B549,'Base de données Mono'!D:D,0)),IF(AND(E549="Gaz",M549="Mi-saison"),INDEX('Base de données Mono'!#REF!,MATCH(B549,'Base de données Mono'!D:D,0)),IF(AND(E549="Gaz",M549="Eté"),INDEX('Base de données Mono'!#REF!,MATCH(B549,'Base de données Mono'!D:D,0)),"-"))))))</f>
        <v>45</v>
      </c>
      <c r="O549" s="123">
        <v>45383</v>
      </c>
      <c r="P549" s="123">
        <v>45384</v>
      </c>
      <c r="Q549" s="34">
        <v>55</v>
      </c>
      <c r="R549" s="33">
        <f>IF(Q549="","",Q549-N549)</f>
        <v>10</v>
      </c>
      <c r="S549" s="34">
        <v>8.5</v>
      </c>
      <c r="T549" s="34">
        <f>P549-O549</f>
        <v>1</v>
      </c>
      <c r="U549" s="33">
        <f>R549*S549*T549</f>
        <v>85</v>
      </c>
      <c r="V549" s="38" t="s">
        <v>827</v>
      </c>
      <c r="W549" s="39">
        <f>IFERROR(IF(E549="Gaz","-",R549/N549),"-")</f>
        <v>0.22222222222222221</v>
      </c>
      <c r="X549" s="40" t="s">
        <v>304</v>
      </c>
      <c r="Y549" s="40" t="s">
        <v>284</v>
      </c>
      <c r="Z549" s="40" t="s">
        <v>305</v>
      </c>
      <c r="AA549" s="33" t="s">
        <v>771</v>
      </c>
      <c r="AB549" s="95"/>
      <c r="AC549" s="95"/>
    </row>
    <row r="550" spans="1:29" ht="14.45" hidden="1" customHeight="1" x14ac:dyDescent="0.25">
      <c r="A550" s="36" t="str">
        <f>INDEX('Base de données Mono'!C:C,MATCH(B550,'Base de données Mono'!D:D,0))</f>
        <v>LYON LA PART DIEU</v>
      </c>
      <c r="B550" t="s">
        <v>21</v>
      </c>
      <c r="C550" s="36" t="str">
        <f>INDEX('Base de données Mono'!B:B,MATCH(B550,'Base de données Mono'!D:D,0))</f>
        <v>SES8</v>
      </c>
      <c r="D550" s="36" t="str">
        <f>INDEX('Base de données Mono'!A:A,MATCH(B550,'Base de données Mono'!D:D,0))</f>
        <v>JG</v>
      </c>
      <c r="E550" s="37" t="s">
        <v>303</v>
      </c>
      <c r="F550" s="41">
        <f>IF(O550="","-",IF(AND(X550="Nuit",WEEKDAY(O550,2)=7,O550&lt;&gt;P550),WEEKNUM(O550,2),WEEKNUM(O550,2)-1))+1</f>
        <v>14</v>
      </c>
      <c r="G550" s="41">
        <f>IF(O550="","-",MONTH(O550))</f>
        <v>4</v>
      </c>
      <c r="H550">
        <v>8.5</v>
      </c>
      <c r="I550" s="131">
        <f>INDEX('Base de données Mono'!K:K,MATCH(B550,'Base de données Mono'!D:D,0))</f>
        <v>0.1875</v>
      </c>
      <c r="J550" s="131">
        <f>INDEX('Base de données Mono'!L:L,MATCH(B550,'Base de données Mono'!D:D,0))</f>
        <v>0.83333333333333337</v>
      </c>
      <c r="K550" s="131">
        <f>INDEX('Base de données Mono'!M:M,MATCH(B550,'Base de données Mono'!D:D,0))</f>
        <v>0.25</v>
      </c>
      <c r="L550" s="131">
        <f>INDEX('Base de données Mono'!N:N,MATCH(B550,'Base de données Mono'!D:D,0))</f>
        <v>0.5</v>
      </c>
      <c r="M550" s="33" t="s">
        <v>46</v>
      </c>
      <c r="N550" s="33">
        <f>IF(AND(E550="Electricité",M550="Hiver"),INDEX('Base de données Mono'!E:E,MATCH(B550,'Base de données Mono'!D:D,0)),IF(AND(E550="Electricité",M550="Mi-saison"),INDEX('Base de données Mono'!F:F,MATCH(B550,'Base de données Mono'!D:D,0)),IF(AND(E550="Electricité",M550="Eté"),INDEX('Base de données Mono'!G:G,MATCH(B550,'Base de données Mono'!D:D,0)),IF(AND(E550="Gaz",M550="Hiver"),INDEX('Base de données Mono'!J:J,MATCH(B550,'Base de données Mono'!D:D,0)),IF(AND(E550="Gaz",M550="Mi-saison"),INDEX('Base de données Mono'!#REF!,MATCH(B550,'Base de données Mono'!D:D,0)),IF(AND(E550="Gaz",M550="Eté"),INDEX('Base de données Mono'!#REF!,MATCH(B550,'Base de données Mono'!D:D,0)),"-"))))))</f>
        <v>45</v>
      </c>
      <c r="O550" s="123">
        <v>45384</v>
      </c>
      <c r="P550" s="123">
        <v>45389</v>
      </c>
      <c r="Q550" s="34">
        <v>115</v>
      </c>
      <c r="R550" s="33">
        <f>IF(Q550="","",Q550-N550)</f>
        <v>70</v>
      </c>
      <c r="S550" s="34">
        <v>0.8</v>
      </c>
      <c r="T550" s="34">
        <f>P550-O550</f>
        <v>5</v>
      </c>
      <c r="U550" s="33">
        <f>R550*S550*T550</f>
        <v>280</v>
      </c>
      <c r="V550" s="38" t="s">
        <v>827</v>
      </c>
      <c r="W550" s="39">
        <f>IFERROR(IF(E550="Gaz","-",R550/N550),"-")</f>
        <v>1.5555555555555556</v>
      </c>
      <c r="X550" s="40" t="s">
        <v>304</v>
      </c>
      <c r="Y550" s="40" t="s">
        <v>284</v>
      </c>
      <c r="Z550" s="40" t="s">
        <v>307</v>
      </c>
      <c r="AA550" s="33" t="s">
        <v>313</v>
      </c>
      <c r="AB550" s="95"/>
      <c r="AC550" s="95"/>
    </row>
    <row r="551" spans="1:29" ht="14.45" hidden="1" customHeight="1" x14ac:dyDescent="0.25">
      <c r="A551" s="36" t="str">
        <f>INDEX('Base de données Mono'!C:C,MATCH(B551,'Base de données Mono'!D:D,0))</f>
        <v>LYON LA PART DIEU</v>
      </c>
      <c r="B551" t="s">
        <v>21</v>
      </c>
      <c r="C551" s="36" t="str">
        <f>INDEX('Base de données Mono'!B:B,MATCH(B551,'Base de données Mono'!D:D,0))</f>
        <v>SES8</v>
      </c>
      <c r="D551" s="36" t="str">
        <f>INDEX('Base de données Mono'!A:A,MATCH(B551,'Base de données Mono'!D:D,0))</f>
        <v>JG</v>
      </c>
      <c r="E551" s="37" t="s">
        <v>303</v>
      </c>
      <c r="F551" s="41">
        <f>IF(O551="","-",IF(AND(X551="Nuit",WEEKDAY(O551,2)=7,O551&lt;&gt;P551),WEEKNUM(O551,2),WEEKNUM(O551,2)-1))+1</f>
        <v>14</v>
      </c>
      <c r="G551" s="41">
        <f>IF(O551="","-",MONTH(O551))</f>
        <v>4</v>
      </c>
      <c r="H551">
        <v>8.5</v>
      </c>
      <c r="I551" s="131">
        <f>INDEX('Base de données Mono'!K:K,MATCH(B551,'Base de données Mono'!D:D,0))</f>
        <v>0.1875</v>
      </c>
      <c r="J551" s="131">
        <f>INDEX('Base de données Mono'!L:L,MATCH(B551,'Base de données Mono'!D:D,0))</f>
        <v>0.83333333333333337</v>
      </c>
      <c r="K551" s="131">
        <f>INDEX('Base de données Mono'!M:M,MATCH(B551,'Base de données Mono'!D:D,0))</f>
        <v>0.25</v>
      </c>
      <c r="L551" s="131">
        <f>INDEX('Base de données Mono'!N:N,MATCH(B551,'Base de données Mono'!D:D,0))</f>
        <v>0.5</v>
      </c>
      <c r="M551" s="33" t="s">
        <v>46</v>
      </c>
      <c r="N551" s="33">
        <f>IF(AND(E551="Electricité",M551="Hiver"),INDEX('Base de données Mono'!E:E,MATCH(B551,'Base de données Mono'!D:D,0)),IF(AND(E551="Electricité",M551="Mi-saison"),INDEX('Base de données Mono'!F:F,MATCH(B551,'Base de données Mono'!D:D,0)),IF(AND(E551="Electricité",M551="Eté"),INDEX('Base de données Mono'!G:G,MATCH(B551,'Base de données Mono'!D:D,0)),IF(AND(E551="Gaz",M551="Hiver"),INDEX('Base de données Mono'!J:J,MATCH(B551,'Base de données Mono'!D:D,0)),IF(AND(E551="Gaz",M551="Mi-saison"),INDEX('Base de données Mono'!#REF!,MATCH(B551,'Base de données Mono'!D:D,0)),IF(AND(E551="Gaz",M551="Eté"),INDEX('Base de données Mono'!#REF!,MATCH(B551,'Base de données Mono'!D:D,0)),"-"))))))</f>
        <v>45</v>
      </c>
      <c r="O551" s="123">
        <v>45384</v>
      </c>
      <c r="P551" s="123">
        <v>45388</v>
      </c>
      <c r="Q551" s="34">
        <v>60</v>
      </c>
      <c r="R551" s="33">
        <f>IF(Q551="","",Q551-N551)</f>
        <v>15</v>
      </c>
      <c r="S551" s="34">
        <v>7.7</v>
      </c>
      <c r="T551" s="34">
        <f>P551-O551</f>
        <v>4</v>
      </c>
      <c r="U551" s="33">
        <f>R551*S551*T551</f>
        <v>462</v>
      </c>
      <c r="V551" s="38" t="s">
        <v>827</v>
      </c>
      <c r="W551" s="39">
        <f>IFERROR(IF(E551="Gaz","-",R551/N551),"-")</f>
        <v>0.33333333333333331</v>
      </c>
      <c r="X551" s="40" t="s">
        <v>304</v>
      </c>
      <c r="Y551" s="40" t="s">
        <v>284</v>
      </c>
      <c r="Z551" s="40" t="s">
        <v>305</v>
      </c>
      <c r="AA551" s="33" t="s">
        <v>771</v>
      </c>
      <c r="AB551" s="95"/>
      <c r="AC551" s="95"/>
    </row>
    <row r="552" spans="1:29" ht="14.45" hidden="1" customHeight="1" x14ac:dyDescent="0.25">
      <c r="A552" s="36" t="str">
        <f>INDEX('Base de données Mono'!C:C,MATCH(B552,'Base de données Mono'!D:D,0))</f>
        <v>LYON LA PART DIEU</v>
      </c>
      <c r="B552" t="s">
        <v>21</v>
      </c>
      <c r="C552" s="36" t="str">
        <f>INDEX('Base de données Mono'!B:B,MATCH(B552,'Base de données Mono'!D:D,0))</f>
        <v>SES8</v>
      </c>
      <c r="D552" s="36" t="str">
        <f>INDEX('Base de données Mono'!A:A,MATCH(B552,'Base de données Mono'!D:D,0))</f>
        <v>JG</v>
      </c>
      <c r="E552" s="37" t="s">
        <v>303</v>
      </c>
      <c r="F552" s="41">
        <f>IF(O552="","-",IF(AND(X552="Nuit",WEEKDAY(O552,2)=7,O552&lt;&gt;P552),WEEKNUM(O552,2),WEEKNUM(O552,2)-1))+1</f>
        <v>14</v>
      </c>
      <c r="G552" s="41">
        <f>IF(O552="","-",MONTH(O552))</f>
        <v>4</v>
      </c>
      <c r="H552">
        <v>8.5</v>
      </c>
      <c r="I552" s="131">
        <f>INDEX('Base de données Mono'!K:K,MATCH(B552,'Base de données Mono'!D:D,0))</f>
        <v>0.1875</v>
      </c>
      <c r="J552" s="131">
        <f>INDEX('Base de données Mono'!L:L,MATCH(B552,'Base de données Mono'!D:D,0))</f>
        <v>0.83333333333333337</v>
      </c>
      <c r="K552" s="131">
        <f>INDEX('Base de données Mono'!M:M,MATCH(B552,'Base de données Mono'!D:D,0))</f>
        <v>0.25</v>
      </c>
      <c r="L552" s="131">
        <f>INDEX('Base de données Mono'!N:N,MATCH(B552,'Base de données Mono'!D:D,0))</f>
        <v>0.5</v>
      </c>
      <c r="M552" s="33" t="s">
        <v>46</v>
      </c>
      <c r="N552" s="33">
        <f>IF(AND(E552="Electricité",M552="Hiver"),INDEX('Base de données Mono'!E:E,MATCH(B552,'Base de données Mono'!D:D,0)),IF(AND(E552="Electricité",M552="Mi-saison"),INDEX('Base de données Mono'!F:F,MATCH(B552,'Base de données Mono'!D:D,0)),IF(AND(E552="Electricité",M552="Eté"),INDEX('Base de données Mono'!G:G,MATCH(B552,'Base de données Mono'!D:D,0)),IF(AND(E552="Gaz",M552="Hiver"),INDEX('Base de données Mono'!J:J,MATCH(B552,'Base de données Mono'!D:D,0)),IF(AND(E552="Gaz",M552="Mi-saison"),INDEX('Base de données Mono'!#REF!,MATCH(B552,'Base de données Mono'!D:D,0)),IF(AND(E552="Gaz",M552="Eté"),INDEX('Base de données Mono'!#REF!,MATCH(B552,'Base de données Mono'!D:D,0)),"-"))))))</f>
        <v>45</v>
      </c>
      <c r="O552" s="123">
        <v>45388</v>
      </c>
      <c r="P552" s="123">
        <v>45389</v>
      </c>
      <c r="Q552" s="34">
        <v>60</v>
      </c>
      <c r="R552" s="33">
        <f>IF(Q552="","",Q552-N552)</f>
        <v>15</v>
      </c>
      <c r="S552" s="34">
        <v>9.1999999999999993</v>
      </c>
      <c r="T552" s="34">
        <f>P552-O552</f>
        <v>1</v>
      </c>
      <c r="U552" s="33">
        <f>R552*S552*T552</f>
        <v>138</v>
      </c>
      <c r="V552" s="38" t="s">
        <v>827</v>
      </c>
      <c r="W552" s="39">
        <f>IFERROR(IF(E552="Gaz","-",R552/N552),"-")</f>
        <v>0.33333333333333331</v>
      </c>
      <c r="X552" s="40" t="s">
        <v>304</v>
      </c>
      <c r="Y552" s="40" t="s">
        <v>284</v>
      </c>
      <c r="Z552" s="40" t="s">
        <v>305</v>
      </c>
      <c r="AA552" s="33" t="s">
        <v>771</v>
      </c>
      <c r="AB552" s="95"/>
      <c r="AC552" s="95"/>
    </row>
    <row r="553" spans="1:29" ht="14.45" hidden="1" customHeight="1" x14ac:dyDescent="0.25">
      <c r="A553" s="36" t="str">
        <f>INDEX('Base de données Mono'!C:C,MATCH(B553,'Base de données Mono'!D:D,0))</f>
        <v>LYON LA PART DIEU</v>
      </c>
      <c r="B553" t="s">
        <v>21</v>
      </c>
      <c r="C553" s="36" t="str">
        <f>INDEX('Base de données Mono'!B:B,MATCH(B553,'Base de données Mono'!D:D,0))</f>
        <v>SES8</v>
      </c>
      <c r="D553" s="36" t="str">
        <f>INDEX('Base de données Mono'!A:A,MATCH(B553,'Base de données Mono'!D:D,0))</f>
        <v>JG</v>
      </c>
      <c r="E553" s="37" t="s">
        <v>303</v>
      </c>
      <c r="F553" s="41">
        <f t="shared" si="61"/>
        <v>14</v>
      </c>
      <c r="G553" s="41">
        <f t="shared" si="62"/>
        <v>4</v>
      </c>
      <c r="H553">
        <v>8.5</v>
      </c>
      <c r="I553" s="131">
        <f>INDEX('Base de données Mono'!K:K,MATCH(B553,'Base de données Mono'!D:D,0))</f>
        <v>0.1875</v>
      </c>
      <c r="J553" s="131">
        <f>INDEX('Base de données Mono'!L:L,MATCH(B553,'Base de données Mono'!D:D,0))</f>
        <v>0.83333333333333337</v>
      </c>
      <c r="K553" s="131">
        <f>INDEX('Base de données Mono'!M:M,MATCH(B553,'Base de données Mono'!D:D,0))</f>
        <v>0.25</v>
      </c>
      <c r="L553" s="131">
        <f>INDEX('Base de données Mono'!N:N,MATCH(B553,'Base de données Mono'!D:D,0))</f>
        <v>0.5</v>
      </c>
      <c r="M553" s="33" t="s">
        <v>46</v>
      </c>
      <c r="N553" s="33">
        <f>IF(AND(E553="Electricité",M553="Hiver"),INDEX('Base de données Mono'!E:E,MATCH(B553,'Base de données Mono'!D:D,0)),IF(AND(E553="Electricité",M553="Mi-saison"),INDEX('Base de données Mono'!F:F,MATCH(B553,'Base de données Mono'!D:D,0)),IF(AND(E553="Electricité",M553="Eté"),INDEX('Base de données Mono'!G:G,MATCH(B553,'Base de données Mono'!D:D,0)),IF(AND(E553="Gaz",M553="Hiver"),INDEX('Base de données Mono'!J:J,MATCH(B553,'Base de données Mono'!D:D,0)),IF(AND(E553="Gaz",M553="Mi-saison"),INDEX('Base de données Mono'!#REF!,MATCH(B553,'Base de données Mono'!D:D,0)),IF(AND(E553="Gaz",M553="Eté"),INDEX('Base de données Mono'!#REF!,MATCH(B553,'Base de données Mono'!D:D,0)),"-"))))))</f>
        <v>45</v>
      </c>
      <c r="O553" s="123">
        <v>45389</v>
      </c>
      <c r="P553" s="123">
        <v>45389</v>
      </c>
      <c r="Q553" s="34">
        <v>70</v>
      </c>
      <c r="R553" s="33">
        <f t="shared" si="63"/>
        <v>25</v>
      </c>
      <c r="S553" s="34">
        <v>8</v>
      </c>
      <c r="T553" s="34">
        <v>1</v>
      </c>
      <c r="U553" s="33">
        <f>R553*S553*T553</f>
        <v>200</v>
      </c>
      <c r="V553" s="38" t="s">
        <v>827</v>
      </c>
      <c r="W553" s="39">
        <f>IFERROR(IF(E553="Gaz","-",R553/N553),"-")</f>
        <v>0.55555555555555558</v>
      </c>
      <c r="X553" s="40" t="s">
        <v>730</v>
      </c>
      <c r="Y553" s="40" t="s">
        <v>284</v>
      </c>
      <c r="Z553" s="40" t="s">
        <v>305</v>
      </c>
      <c r="AA553" s="33" t="s">
        <v>771</v>
      </c>
      <c r="AB553" s="95"/>
      <c r="AC553" s="95"/>
    </row>
    <row r="554" spans="1:29" ht="14.45" hidden="1" customHeight="1" x14ac:dyDescent="0.25">
      <c r="A554" s="36" t="str">
        <f>INDEX('Base de données Mono'!C:C,MATCH(B554,'Base de données Mono'!D:D,0))</f>
        <v>ROCHEFORT</v>
      </c>
      <c r="B554" t="s">
        <v>223</v>
      </c>
      <c r="C554" s="36" t="str">
        <f>INDEX('Base de données Mono'!B:B,MATCH(B554,'Base de données Mono'!D:D,0))</f>
        <v>Monoprix</v>
      </c>
      <c r="D554" s="36" t="str">
        <f>INDEX('Base de données Mono'!A:A,MATCH(B554,'Base de données Mono'!D:D,0))</f>
        <v>AD</v>
      </c>
      <c r="E554" s="37" t="s">
        <v>303</v>
      </c>
      <c r="F554" s="41">
        <f t="shared" si="61"/>
        <v>14</v>
      </c>
      <c r="G554" s="41">
        <f t="shared" si="62"/>
        <v>4</v>
      </c>
      <c r="H554">
        <v>10</v>
      </c>
      <c r="I554" s="131">
        <f>INDEX('Base de données Mono'!K:K,MATCH(B554,'Base de données Mono'!D:D,0))</f>
        <v>0.25</v>
      </c>
      <c r="J554" s="131">
        <f>INDEX('Base de données Mono'!L:L,MATCH(B554,'Base de données Mono'!D:D,0))</f>
        <v>0.83333333333333337</v>
      </c>
      <c r="K554" s="131">
        <f>INDEX('Base de données Mono'!M:M,MATCH(B554,'Base de données Mono'!D:D,0))</f>
        <v>0.3263888888888889</v>
      </c>
      <c r="L554" s="131">
        <f>INDEX('Base de données Mono'!N:N,MATCH(B554,'Base de données Mono'!D:D,0))</f>
        <v>0.55208333333333337</v>
      </c>
      <c r="M554" s="33" t="s">
        <v>46</v>
      </c>
      <c r="N554" s="33">
        <f>IF(AND(E554="Electricité",M554="Hiver"),INDEX('Base de données Mono'!E:E,MATCH(B554,'Base de données Mono'!D:D,0)),IF(AND(E554="Electricité",M554="Mi-saison"),INDEX('Base de données Mono'!F:F,MATCH(B554,'Base de données Mono'!D:D,0)),IF(AND(E554="Electricité",M554="Eté"),INDEX('Base de données Mono'!G:G,MATCH(B554,'Base de données Mono'!D:D,0)),IF(AND(E554="Gaz",M554="Hiver"),INDEX('Base de données Mono'!J:J,MATCH(B554,'Base de données Mono'!D:D,0)),IF(AND(E554="Gaz",M554="Mi-saison"),INDEX('Base de données Mono'!#REF!,MATCH(B554,'Base de données Mono'!D:D,0)),IF(AND(E554="Gaz",M554="Eté"),INDEX('Base de données Mono'!#REF!,MATCH(B554,'Base de données Mono'!D:D,0)),"-"))))))</f>
        <v>25</v>
      </c>
      <c r="O554" s="123">
        <v>45383</v>
      </c>
      <c r="P554" s="123">
        <v>45385</v>
      </c>
      <c r="Q554" s="34">
        <v>30</v>
      </c>
      <c r="R554" s="33">
        <f t="shared" si="63"/>
        <v>5</v>
      </c>
      <c r="S554" s="34">
        <v>9</v>
      </c>
      <c r="T554" s="34">
        <f t="shared" ref="T554:T603" si="66">P554-O554</f>
        <v>2</v>
      </c>
      <c r="U554" s="33">
        <f t="shared" si="64"/>
        <v>90</v>
      </c>
      <c r="V554" s="38" t="s">
        <v>827</v>
      </c>
      <c r="W554" s="39">
        <f t="shared" si="65"/>
        <v>0.2</v>
      </c>
      <c r="X554" s="40" t="s">
        <v>304</v>
      </c>
      <c r="Y554" s="40" t="s">
        <v>283</v>
      </c>
      <c r="Z554" s="40" t="s">
        <v>749</v>
      </c>
      <c r="AA554" s="33" t="s">
        <v>749</v>
      </c>
      <c r="AB554" s="95"/>
      <c r="AC554" s="95"/>
    </row>
    <row r="555" spans="1:29" ht="14.45" hidden="1" customHeight="1" x14ac:dyDescent="0.25">
      <c r="A555" s="36" t="str">
        <f>INDEX('Base de données Mono'!C:C,MATCH(B555,'Base de données Mono'!D:D,0))</f>
        <v>NEVERS</v>
      </c>
      <c r="B555" t="s">
        <v>192</v>
      </c>
      <c r="C555" s="36" t="str">
        <f>INDEX('Base de données Mono'!B:B,MATCH(B555,'Base de données Mono'!D:D,0))</f>
        <v>Monoprix</v>
      </c>
      <c r="D555" s="36" t="str">
        <f>INDEX('Base de données Mono'!A:A,MATCH(B555,'Base de données Mono'!D:D,0))</f>
        <v>JG</v>
      </c>
      <c r="E555" s="37" t="s">
        <v>303</v>
      </c>
      <c r="F555" s="41">
        <f t="shared" si="61"/>
        <v>14</v>
      </c>
      <c r="G555" s="41">
        <f t="shared" si="62"/>
        <v>4</v>
      </c>
      <c r="H555">
        <v>9.83</v>
      </c>
      <c r="I555" s="131">
        <f>INDEX('Base de données Mono'!K:K,MATCH(B555,'Base de données Mono'!D:D,0))</f>
        <v>0.24305555555555555</v>
      </c>
      <c r="J555" s="131">
        <f>INDEX('Base de données Mono'!L:L,MATCH(B555,'Base de données Mono'!D:D,0))</f>
        <v>0.83333333333333337</v>
      </c>
      <c r="K555" s="131">
        <f>INDEX('Base de données Mono'!M:M,MATCH(B555,'Base de données Mono'!D:D,0))</f>
        <v>0.29166666666666669</v>
      </c>
      <c r="L555" s="131">
        <f>INDEX('Base de données Mono'!N:N,MATCH(B555,'Base de données Mono'!D:D,0))</f>
        <v>0.53125</v>
      </c>
      <c r="M555" s="33" t="s">
        <v>46</v>
      </c>
      <c r="N555" s="33">
        <f>IF(AND(E555="Electricité",M555="Hiver"),INDEX('Base de données Mono'!E:E,MATCH(B555,'Base de données Mono'!D:D,0)),IF(AND(E555="Electricité",M555="Mi-saison"),INDEX('Base de données Mono'!F:F,MATCH(B555,'Base de données Mono'!D:D,0)),IF(AND(E555="Electricité",M555="Eté"),INDEX('Base de données Mono'!G:G,MATCH(B555,'Base de données Mono'!D:D,0)),IF(AND(E555="Gaz",M555="Hiver"),INDEX('Base de données Mono'!J:J,MATCH(B555,'Base de données Mono'!D:D,0)),IF(AND(E555="Gaz",M555="Mi-saison"),INDEX('Base de données Mono'!#REF!,MATCH(B555,'Base de données Mono'!D:D,0)),IF(AND(E555="Gaz",M555="Eté"),INDEX('Base de données Mono'!#REF!,MATCH(B555,'Base de données Mono'!D:D,0)),"-"))))))</f>
        <v>25</v>
      </c>
      <c r="O555" s="123">
        <v>45388</v>
      </c>
      <c r="P555" s="123">
        <v>45389</v>
      </c>
      <c r="Q555" s="34">
        <v>30</v>
      </c>
      <c r="R555" s="33">
        <f t="shared" si="63"/>
        <v>5</v>
      </c>
      <c r="S555" s="34">
        <v>1</v>
      </c>
      <c r="T555" s="34">
        <f t="shared" si="66"/>
        <v>1</v>
      </c>
      <c r="U555" s="33">
        <f t="shared" si="64"/>
        <v>5</v>
      </c>
      <c r="V555" s="38" t="s">
        <v>827</v>
      </c>
      <c r="W555" s="39">
        <f t="shared" si="65"/>
        <v>0.2</v>
      </c>
      <c r="X555" s="40" t="s">
        <v>304</v>
      </c>
      <c r="Y555" s="40" t="s">
        <v>283</v>
      </c>
      <c r="Z555" s="40" t="s">
        <v>749</v>
      </c>
      <c r="AA555" s="33" t="s">
        <v>749</v>
      </c>
      <c r="AB555" s="95"/>
      <c r="AC555" s="95"/>
    </row>
    <row r="556" spans="1:29" ht="14.45" hidden="1" customHeight="1" x14ac:dyDescent="0.25">
      <c r="A556" s="36" t="str">
        <f>INDEX('Base de données Mono'!C:C,MATCH(B556,'Base de données Mono'!D:D,0))</f>
        <v>ROCHEFORT</v>
      </c>
      <c r="B556" t="s">
        <v>223</v>
      </c>
      <c r="C556" s="36" t="str">
        <f>INDEX('Base de données Mono'!B:B,MATCH(B556,'Base de données Mono'!D:D,0))</f>
        <v>Monoprix</v>
      </c>
      <c r="D556" s="36" t="str">
        <f>INDEX('Base de données Mono'!A:A,MATCH(B556,'Base de données Mono'!D:D,0))</f>
        <v>AD</v>
      </c>
      <c r="E556" s="37" t="s">
        <v>303</v>
      </c>
      <c r="F556" s="41">
        <f t="shared" si="61"/>
        <v>14</v>
      </c>
      <c r="G556" s="41">
        <f t="shared" si="62"/>
        <v>4</v>
      </c>
      <c r="H556">
        <v>10</v>
      </c>
      <c r="I556" s="131">
        <f>INDEX('Base de données Mono'!K:K,MATCH(B556,'Base de données Mono'!D:D,0))</f>
        <v>0.25</v>
      </c>
      <c r="J556" s="131">
        <f>INDEX('Base de données Mono'!L:L,MATCH(B556,'Base de données Mono'!D:D,0))</f>
        <v>0.83333333333333337</v>
      </c>
      <c r="K556" s="131">
        <f>INDEX('Base de données Mono'!M:M,MATCH(B556,'Base de données Mono'!D:D,0))</f>
        <v>0.3263888888888889</v>
      </c>
      <c r="L556" s="131">
        <f>INDEX('Base de données Mono'!N:N,MATCH(B556,'Base de données Mono'!D:D,0))</f>
        <v>0.55208333333333337</v>
      </c>
      <c r="M556" s="33" t="s">
        <v>46</v>
      </c>
      <c r="N556" s="33">
        <f>IF(AND(E556="Electricité",M556="Hiver"),INDEX('Base de données Mono'!E:E,MATCH(B556,'Base de données Mono'!D:D,0)),IF(AND(E556="Electricité",M556="Mi-saison"),INDEX('Base de données Mono'!F:F,MATCH(B556,'Base de données Mono'!D:D,0)),IF(AND(E556="Electricité",M556="Eté"),INDEX('Base de données Mono'!G:G,MATCH(B556,'Base de données Mono'!D:D,0)),IF(AND(E556="Gaz",M556="Hiver"),INDEX('Base de données Mono'!J:J,MATCH(B556,'Base de données Mono'!D:D,0)),IF(AND(E556="Gaz",M556="Mi-saison"),INDEX('Base de données Mono'!#REF!,MATCH(B556,'Base de données Mono'!D:D,0)),IF(AND(E556="Gaz",M556="Eté"),INDEX('Base de données Mono'!#REF!,MATCH(B556,'Base de données Mono'!D:D,0)),"-"))))))</f>
        <v>25</v>
      </c>
      <c r="O556" s="123">
        <v>45383</v>
      </c>
      <c r="P556" s="123">
        <v>45384</v>
      </c>
      <c r="Q556" s="34">
        <v>75</v>
      </c>
      <c r="R556" s="33">
        <f t="shared" si="63"/>
        <v>50</v>
      </c>
      <c r="S556" s="34">
        <v>1</v>
      </c>
      <c r="T556" s="34">
        <f t="shared" si="66"/>
        <v>1</v>
      </c>
      <c r="U556" s="33">
        <f t="shared" si="64"/>
        <v>50</v>
      </c>
      <c r="V556" s="38" t="s">
        <v>827</v>
      </c>
      <c r="W556" s="39">
        <f t="shared" si="65"/>
        <v>2</v>
      </c>
      <c r="X556" s="40" t="s">
        <v>304</v>
      </c>
      <c r="Y556" s="40" t="s">
        <v>283</v>
      </c>
      <c r="Z556" s="40" t="s">
        <v>749</v>
      </c>
      <c r="AA556" s="33" t="s">
        <v>749</v>
      </c>
      <c r="AB556" s="95"/>
      <c r="AC556" s="95"/>
    </row>
    <row r="557" spans="1:29" ht="14.45" hidden="1" customHeight="1" x14ac:dyDescent="0.25">
      <c r="A557" s="36" t="str">
        <f>INDEX('Base de données Mono'!C:C,MATCH(B557,'Base de données Mono'!D:D,0))</f>
        <v>ROCHEFORT</v>
      </c>
      <c r="B557" t="s">
        <v>223</v>
      </c>
      <c r="C557" s="36" t="str">
        <f>INDEX('Base de données Mono'!B:B,MATCH(B557,'Base de données Mono'!D:D,0))</f>
        <v>Monoprix</v>
      </c>
      <c r="D557" s="36" t="str">
        <f>INDEX('Base de données Mono'!A:A,MATCH(B557,'Base de données Mono'!D:D,0))</f>
        <v>AD</v>
      </c>
      <c r="E557" s="37" t="s">
        <v>303</v>
      </c>
      <c r="F557" s="41">
        <f t="shared" si="61"/>
        <v>14</v>
      </c>
      <c r="G557" s="41">
        <f t="shared" si="62"/>
        <v>4</v>
      </c>
      <c r="H557">
        <v>10</v>
      </c>
      <c r="I557" s="131">
        <f>INDEX('Base de données Mono'!K:K,MATCH(B557,'Base de données Mono'!D:D,0))</f>
        <v>0.25</v>
      </c>
      <c r="J557" s="131">
        <f>INDEX('Base de données Mono'!L:L,MATCH(B557,'Base de données Mono'!D:D,0))</f>
        <v>0.83333333333333337</v>
      </c>
      <c r="K557" s="131">
        <f>INDEX('Base de données Mono'!M:M,MATCH(B557,'Base de données Mono'!D:D,0))</f>
        <v>0.3263888888888889</v>
      </c>
      <c r="L557" s="131">
        <f>INDEX('Base de données Mono'!N:N,MATCH(B557,'Base de données Mono'!D:D,0))</f>
        <v>0.55208333333333337</v>
      </c>
      <c r="M557" s="33" t="s">
        <v>46</v>
      </c>
      <c r="N557" s="33">
        <f>IF(AND(E557="Electricité",M557="Hiver"),INDEX('Base de données Mono'!E:E,MATCH(B557,'Base de données Mono'!D:D,0)),IF(AND(E557="Electricité",M557="Mi-saison"),INDEX('Base de données Mono'!F:F,MATCH(B557,'Base de données Mono'!D:D,0)),IF(AND(E557="Electricité",M557="Eté"),INDEX('Base de données Mono'!G:G,MATCH(B557,'Base de données Mono'!D:D,0)),IF(AND(E557="Gaz",M557="Hiver"),INDEX('Base de données Mono'!J:J,MATCH(B557,'Base de données Mono'!D:D,0)),IF(AND(E557="Gaz",M557="Mi-saison"),INDEX('Base de données Mono'!#REF!,MATCH(B557,'Base de données Mono'!D:D,0)),IF(AND(E557="Gaz",M557="Eté"),INDEX('Base de données Mono'!#REF!,MATCH(B557,'Base de données Mono'!D:D,0)),"-"))))))</f>
        <v>25</v>
      </c>
      <c r="O557" s="123">
        <v>45384</v>
      </c>
      <c r="P557" s="123">
        <v>45385</v>
      </c>
      <c r="Q557" s="34">
        <v>65</v>
      </c>
      <c r="R557" s="33">
        <f t="shared" si="63"/>
        <v>40</v>
      </c>
      <c r="S557" s="34">
        <v>1</v>
      </c>
      <c r="T557" s="34">
        <f t="shared" si="66"/>
        <v>1</v>
      </c>
      <c r="U557" s="33">
        <f t="shared" si="64"/>
        <v>40</v>
      </c>
      <c r="V557" s="38" t="s">
        <v>827</v>
      </c>
      <c r="W557" s="39">
        <f t="shared" si="65"/>
        <v>1.6</v>
      </c>
      <c r="X557" s="40" t="s">
        <v>304</v>
      </c>
      <c r="Y557" s="40" t="s">
        <v>283</v>
      </c>
      <c r="Z557" s="40" t="s">
        <v>749</v>
      </c>
      <c r="AA557" s="33" t="s">
        <v>749</v>
      </c>
      <c r="AB557" s="95"/>
      <c r="AC557" s="95"/>
    </row>
    <row r="558" spans="1:29" ht="14.45" hidden="1" customHeight="1" x14ac:dyDescent="0.25">
      <c r="A558" s="36" t="str">
        <f>INDEX('Base de données Mono'!C:C,MATCH(B558,'Base de données Mono'!D:D,0))</f>
        <v>ROCHEFORT</v>
      </c>
      <c r="B558" t="s">
        <v>223</v>
      </c>
      <c r="C558" s="36" t="str">
        <f>INDEX('Base de données Mono'!B:B,MATCH(B558,'Base de données Mono'!D:D,0))</f>
        <v>Monoprix</v>
      </c>
      <c r="D558" s="36" t="str">
        <f>INDEX('Base de données Mono'!A:A,MATCH(B558,'Base de données Mono'!D:D,0))</f>
        <v>AD</v>
      </c>
      <c r="E558" s="37" t="s">
        <v>303</v>
      </c>
      <c r="F558" s="41">
        <f t="shared" si="61"/>
        <v>14</v>
      </c>
      <c r="G558" s="41">
        <f t="shared" si="62"/>
        <v>4</v>
      </c>
      <c r="H558">
        <v>10</v>
      </c>
      <c r="I558" s="131">
        <f>INDEX('Base de données Mono'!K:K,MATCH(B558,'Base de données Mono'!D:D,0))</f>
        <v>0.25</v>
      </c>
      <c r="J558" s="131">
        <f>INDEX('Base de données Mono'!L:L,MATCH(B558,'Base de données Mono'!D:D,0))</f>
        <v>0.83333333333333337</v>
      </c>
      <c r="K558" s="131">
        <f>INDEX('Base de données Mono'!M:M,MATCH(B558,'Base de données Mono'!D:D,0))</f>
        <v>0.3263888888888889</v>
      </c>
      <c r="L558" s="131">
        <f>INDEX('Base de données Mono'!N:N,MATCH(B558,'Base de données Mono'!D:D,0))</f>
        <v>0.55208333333333337</v>
      </c>
      <c r="M558" s="33" t="s">
        <v>46</v>
      </c>
      <c r="N558" s="33">
        <f>IF(AND(E558="Electricité",M558="Hiver"),INDEX('Base de données Mono'!E:E,MATCH(B558,'Base de données Mono'!D:D,0)),IF(AND(E558="Electricité",M558="Mi-saison"),INDEX('Base de données Mono'!F:F,MATCH(B558,'Base de données Mono'!D:D,0)),IF(AND(E558="Electricité",M558="Eté"),INDEX('Base de données Mono'!G:G,MATCH(B558,'Base de données Mono'!D:D,0)),IF(AND(E558="Gaz",M558="Hiver"),INDEX('Base de données Mono'!J:J,MATCH(B558,'Base de données Mono'!D:D,0)),IF(AND(E558="Gaz",M558="Mi-saison"),INDEX('Base de données Mono'!#REF!,MATCH(B558,'Base de données Mono'!D:D,0)),IF(AND(E558="Gaz",M558="Eté"),INDEX('Base de données Mono'!#REF!,MATCH(B558,'Base de données Mono'!D:D,0)),"-"))))))</f>
        <v>25</v>
      </c>
      <c r="O558" s="123">
        <v>45385</v>
      </c>
      <c r="P558" s="123">
        <v>45387</v>
      </c>
      <c r="Q558" s="34">
        <v>35</v>
      </c>
      <c r="R558" s="33">
        <f t="shared" si="63"/>
        <v>10</v>
      </c>
      <c r="S558" s="34">
        <v>9</v>
      </c>
      <c r="T558" s="34">
        <f t="shared" si="66"/>
        <v>2</v>
      </c>
      <c r="U558" s="33">
        <f t="shared" si="64"/>
        <v>180</v>
      </c>
      <c r="V558" s="38" t="s">
        <v>827</v>
      </c>
      <c r="W558" s="39">
        <f t="shared" si="65"/>
        <v>0.4</v>
      </c>
      <c r="X558" s="40" t="s">
        <v>304</v>
      </c>
      <c r="Y558" s="40" t="s">
        <v>283</v>
      </c>
      <c r="Z558" s="40" t="s">
        <v>749</v>
      </c>
      <c r="AA558" s="33" t="s">
        <v>749</v>
      </c>
      <c r="AB558" s="95"/>
      <c r="AC558" s="95"/>
    </row>
    <row r="559" spans="1:29" ht="14.45" hidden="1" customHeight="1" x14ac:dyDescent="0.25">
      <c r="A559" s="36" t="str">
        <f>INDEX('Base de données Mono'!C:C,MATCH(B559,'Base de données Mono'!D:D,0))</f>
        <v>ROCHEFORT</v>
      </c>
      <c r="B559" t="s">
        <v>223</v>
      </c>
      <c r="C559" s="36" t="str">
        <f>INDEX('Base de données Mono'!B:B,MATCH(B559,'Base de données Mono'!D:D,0))</f>
        <v>Monoprix</v>
      </c>
      <c r="D559" s="36" t="str">
        <f>INDEX('Base de données Mono'!A:A,MATCH(B559,'Base de données Mono'!D:D,0))</f>
        <v>AD</v>
      </c>
      <c r="E559" s="37" t="s">
        <v>303</v>
      </c>
      <c r="F559" s="41">
        <f t="shared" si="61"/>
        <v>14</v>
      </c>
      <c r="G559" s="41">
        <f t="shared" si="62"/>
        <v>4</v>
      </c>
      <c r="H559">
        <v>10</v>
      </c>
      <c r="I559" s="131">
        <f>INDEX('Base de données Mono'!K:K,MATCH(B559,'Base de données Mono'!D:D,0))</f>
        <v>0.25</v>
      </c>
      <c r="J559" s="131">
        <f>INDEX('Base de données Mono'!L:L,MATCH(B559,'Base de données Mono'!D:D,0))</f>
        <v>0.83333333333333337</v>
      </c>
      <c r="K559" s="131">
        <f>INDEX('Base de données Mono'!M:M,MATCH(B559,'Base de données Mono'!D:D,0))</f>
        <v>0.3263888888888889</v>
      </c>
      <c r="L559" s="131">
        <f>INDEX('Base de données Mono'!N:N,MATCH(B559,'Base de données Mono'!D:D,0))</f>
        <v>0.55208333333333337</v>
      </c>
      <c r="M559" s="33" t="s">
        <v>46</v>
      </c>
      <c r="N559" s="33">
        <f>IF(AND(E559="Electricité",M559="Hiver"),INDEX('Base de données Mono'!E:E,MATCH(B559,'Base de données Mono'!D:D,0)),IF(AND(E559="Electricité",M559="Mi-saison"),INDEX('Base de données Mono'!F:F,MATCH(B559,'Base de données Mono'!D:D,0)),IF(AND(E559="Electricité",M559="Eté"),INDEX('Base de données Mono'!G:G,MATCH(B559,'Base de données Mono'!D:D,0)),IF(AND(E559="Gaz",M559="Hiver"),INDEX('Base de données Mono'!J:J,MATCH(B559,'Base de données Mono'!D:D,0)),IF(AND(E559="Gaz",M559="Mi-saison"),INDEX('Base de données Mono'!#REF!,MATCH(B559,'Base de données Mono'!D:D,0)),IF(AND(E559="Gaz",M559="Eté"),INDEX('Base de données Mono'!#REF!,MATCH(B559,'Base de données Mono'!D:D,0)),"-"))))))</f>
        <v>25</v>
      </c>
      <c r="O559" s="123">
        <v>45385</v>
      </c>
      <c r="P559" s="123">
        <v>45386</v>
      </c>
      <c r="Q559" s="34">
        <v>60</v>
      </c>
      <c r="R559" s="33">
        <f t="shared" si="63"/>
        <v>35</v>
      </c>
      <c r="S559" s="34">
        <v>1</v>
      </c>
      <c r="T559" s="34">
        <f t="shared" si="66"/>
        <v>1</v>
      </c>
      <c r="U559" s="33">
        <f t="shared" si="64"/>
        <v>35</v>
      </c>
      <c r="V559" s="38" t="s">
        <v>827</v>
      </c>
      <c r="W559" s="39">
        <f t="shared" si="65"/>
        <v>1.4</v>
      </c>
      <c r="X559" s="40" t="s">
        <v>304</v>
      </c>
      <c r="Y559" s="40" t="s">
        <v>283</v>
      </c>
      <c r="Z559" s="40" t="s">
        <v>749</v>
      </c>
      <c r="AA559" s="33" t="s">
        <v>749</v>
      </c>
      <c r="AB559" s="95"/>
      <c r="AC559" s="95"/>
    </row>
    <row r="560" spans="1:29" ht="14.45" hidden="1" customHeight="1" x14ac:dyDescent="0.25">
      <c r="A560" s="36" t="str">
        <f>INDEX('Base de données Mono'!C:C,MATCH(B560,'Base de données Mono'!D:D,0))</f>
        <v>ROCHEFORT</v>
      </c>
      <c r="B560" t="s">
        <v>223</v>
      </c>
      <c r="C560" s="36" t="str">
        <f>INDEX('Base de données Mono'!B:B,MATCH(B560,'Base de données Mono'!D:D,0))</f>
        <v>Monoprix</v>
      </c>
      <c r="D560" s="36" t="str">
        <f>INDEX('Base de données Mono'!A:A,MATCH(B560,'Base de données Mono'!D:D,0))</f>
        <v>AD</v>
      </c>
      <c r="E560" s="37" t="s">
        <v>303</v>
      </c>
      <c r="F560" s="41">
        <f t="shared" si="61"/>
        <v>14</v>
      </c>
      <c r="G560" s="41">
        <f t="shared" si="62"/>
        <v>4</v>
      </c>
      <c r="H560">
        <v>10</v>
      </c>
      <c r="I560" s="131">
        <f>INDEX('Base de données Mono'!K:K,MATCH(B560,'Base de données Mono'!D:D,0))</f>
        <v>0.25</v>
      </c>
      <c r="J560" s="131">
        <f>INDEX('Base de données Mono'!L:L,MATCH(B560,'Base de données Mono'!D:D,0))</f>
        <v>0.83333333333333337</v>
      </c>
      <c r="K560" s="131">
        <f>INDEX('Base de données Mono'!M:M,MATCH(B560,'Base de données Mono'!D:D,0))</f>
        <v>0.3263888888888889</v>
      </c>
      <c r="L560" s="131">
        <f>INDEX('Base de données Mono'!N:N,MATCH(B560,'Base de données Mono'!D:D,0))</f>
        <v>0.55208333333333337</v>
      </c>
      <c r="M560" s="33" t="s">
        <v>46</v>
      </c>
      <c r="N560" s="33">
        <f>IF(AND(E560="Electricité",M560="Hiver"),INDEX('Base de données Mono'!E:E,MATCH(B560,'Base de données Mono'!D:D,0)),IF(AND(E560="Electricité",M560="Mi-saison"),INDEX('Base de données Mono'!F:F,MATCH(B560,'Base de données Mono'!D:D,0)),IF(AND(E560="Electricité",M560="Eté"),INDEX('Base de données Mono'!G:G,MATCH(B560,'Base de données Mono'!D:D,0)),IF(AND(E560="Gaz",M560="Hiver"),INDEX('Base de données Mono'!J:J,MATCH(B560,'Base de données Mono'!D:D,0)),IF(AND(E560="Gaz",M560="Mi-saison"),INDEX('Base de données Mono'!#REF!,MATCH(B560,'Base de données Mono'!D:D,0)),IF(AND(E560="Gaz",M560="Eté"),INDEX('Base de données Mono'!#REF!,MATCH(B560,'Base de données Mono'!D:D,0)),"-"))))))</f>
        <v>25</v>
      </c>
      <c r="O560" s="123">
        <v>45386</v>
      </c>
      <c r="P560" s="123">
        <v>45387</v>
      </c>
      <c r="Q560" s="34">
        <v>70</v>
      </c>
      <c r="R560" s="33">
        <f t="shared" si="63"/>
        <v>45</v>
      </c>
      <c r="S560" s="34">
        <v>1</v>
      </c>
      <c r="T560" s="34">
        <f t="shared" si="66"/>
        <v>1</v>
      </c>
      <c r="U560" s="33">
        <f t="shared" si="64"/>
        <v>45</v>
      </c>
      <c r="V560" s="38" t="s">
        <v>827</v>
      </c>
      <c r="W560" s="39">
        <f t="shared" si="65"/>
        <v>1.8</v>
      </c>
      <c r="X560" s="40" t="s">
        <v>304</v>
      </c>
      <c r="Y560" s="40" t="s">
        <v>283</v>
      </c>
      <c r="Z560" s="40" t="s">
        <v>749</v>
      </c>
      <c r="AA560" s="33" t="s">
        <v>749</v>
      </c>
      <c r="AB560" s="95"/>
      <c r="AC560" s="95"/>
    </row>
    <row r="561" spans="1:29" ht="14.45" hidden="1" customHeight="1" x14ac:dyDescent="0.25">
      <c r="A561" s="36" t="str">
        <f>INDEX('Base de données Mono'!C:C,MATCH(B561,'Base de données Mono'!D:D,0))</f>
        <v>ROCHEFORT</v>
      </c>
      <c r="B561" t="s">
        <v>223</v>
      </c>
      <c r="C561" s="36" t="str">
        <f>INDEX('Base de données Mono'!B:B,MATCH(B561,'Base de données Mono'!D:D,0))</f>
        <v>Monoprix</v>
      </c>
      <c r="D561" s="36" t="str">
        <f>INDEX('Base de données Mono'!A:A,MATCH(B561,'Base de données Mono'!D:D,0))</f>
        <v>AD</v>
      </c>
      <c r="E561" s="37" t="s">
        <v>303</v>
      </c>
      <c r="F561" s="41">
        <f t="shared" si="61"/>
        <v>14</v>
      </c>
      <c r="G561" s="41">
        <f t="shared" si="62"/>
        <v>4</v>
      </c>
      <c r="H561">
        <v>10</v>
      </c>
      <c r="I561" s="131">
        <f>INDEX('Base de données Mono'!K:K,MATCH(B561,'Base de données Mono'!D:D,0))</f>
        <v>0.25</v>
      </c>
      <c r="J561" s="131">
        <f>INDEX('Base de données Mono'!L:L,MATCH(B561,'Base de données Mono'!D:D,0))</f>
        <v>0.83333333333333337</v>
      </c>
      <c r="K561" s="131">
        <f>INDEX('Base de données Mono'!M:M,MATCH(B561,'Base de données Mono'!D:D,0))</f>
        <v>0.3263888888888889</v>
      </c>
      <c r="L561" s="131">
        <f>INDEX('Base de données Mono'!N:N,MATCH(B561,'Base de données Mono'!D:D,0))</f>
        <v>0.55208333333333337</v>
      </c>
      <c r="M561" s="33" t="s">
        <v>46</v>
      </c>
      <c r="N561" s="33">
        <f>IF(AND(E561="Electricité",M561="Hiver"),INDEX('Base de données Mono'!E:E,MATCH(B561,'Base de données Mono'!D:D,0)),IF(AND(E561="Electricité",M561="Mi-saison"),INDEX('Base de données Mono'!F:F,MATCH(B561,'Base de données Mono'!D:D,0)),IF(AND(E561="Electricité",M561="Eté"),INDEX('Base de données Mono'!G:G,MATCH(B561,'Base de données Mono'!D:D,0)),IF(AND(E561="Gaz",M561="Hiver"),INDEX('Base de données Mono'!J:J,MATCH(B561,'Base de données Mono'!D:D,0)),IF(AND(E561="Gaz",M561="Mi-saison"),INDEX('Base de données Mono'!#REF!,MATCH(B561,'Base de données Mono'!D:D,0)),IF(AND(E561="Gaz",M561="Eté"),INDEX('Base de données Mono'!#REF!,MATCH(B561,'Base de données Mono'!D:D,0)),"-"))))))</f>
        <v>25</v>
      </c>
      <c r="O561" s="123">
        <v>45387</v>
      </c>
      <c r="P561" s="123">
        <v>45389</v>
      </c>
      <c r="Q561" s="34">
        <v>35</v>
      </c>
      <c r="R561" s="33">
        <f t="shared" si="63"/>
        <v>10</v>
      </c>
      <c r="S561" s="34">
        <v>10</v>
      </c>
      <c r="T561" s="34">
        <f t="shared" si="66"/>
        <v>2</v>
      </c>
      <c r="U561" s="33">
        <f t="shared" si="64"/>
        <v>200</v>
      </c>
      <c r="V561" s="38" t="s">
        <v>827</v>
      </c>
      <c r="W561" s="39">
        <f t="shared" si="65"/>
        <v>0.4</v>
      </c>
      <c r="X561" s="40" t="s">
        <v>304</v>
      </c>
      <c r="Y561" s="40" t="s">
        <v>283</v>
      </c>
      <c r="Z561" s="40" t="s">
        <v>749</v>
      </c>
      <c r="AA561" s="33" t="s">
        <v>749</v>
      </c>
      <c r="AB561" s="95"/>
      <c r="AC561" s="95"/>
    </row>
    <row r="562" spans="1:29" ht="14.45" hidden="1" customHeight="1" x14ac:dyDescent="0.25">
      <c r="A562" s="36" t="str">
        <f>INDEX('Base de données Mono'!C:C,MATCH(B562,'Base de données Mono'!D:D,0))</f>
        <v>ROCHEFORT</v>
      </c>
      <c r="B562" t="s">
        <v>223</v>
      </c>
      <c r="C562" s="36" t="str">
        <f>INDEX('Base de données Mono'!B:B,MATCH(B562,'Base de données Mono'!D:D,0))</f>
        <v>Monoprix</v>
      </c>
      <c r="D562" s="36" t="str">
        <f>INDEX('Base de données Mono'!A:A,MATCH(B562,'Base de données Mono'!D:D,0))</f>
        <v>AD</v>
      </c>
      <c r="E562" s="37" t="s">
        <v>303</v>
      </c>
      <c r="F562" s="41">
        <f t="shared" si="61"/>
        <v>14</v>
      </c>
      <c r="G562" s="41">
        <f t="shared" si="62"/>
        <v>4</v>
      </c>
      <c r="H562">
        <v>10</v>
      </c>
      <c r="I562" s="131">
        <f>INDEX('Base de données Mono'!K:K,MATCH(B562,'Base de données Mono'!D:D,0))</f>
        <v>0.25</v>
      </c>
      <c r="J562" s="131">
        <f>INDEX('Base de données Mono'!L:L,MATCH(B562,'Base de données Mono'!D:D,0))</f>
        <v>0.83333333333333337</v>
      </c>
      <c r="K562" s="131">
        <f>INDEX('Base de données Mono'!M:M,MATCH(B562,'Base de données Mono'!D:D,0))</f>
        <v>0.3263888888888889</v>
      </c>
      <c r="L562" s="131">
        <f>INDEX('Base de données Mono'!N:N,MATCH(B562,'Base de données Mono'!D:D,0))</f>
        <v>0.55208333333333337</v>
      </c>
      <c r="M562" s="33" t="s">
        <v>46</v>
      </c>
      <c r="N562" s="33">
        <f>IF(AND(E562="Electricité",M562="Hiver"),INDEX('Base de données Mono'!E:E,MATCH(B562,'Base de données Mono'!D:D,0)),IF(AND(E562="Electricité",M562="Mi-saison"),INDEX('Base de données Mono'!F:F,MATCH(B562,'Base de données Mono'!D:D,0)),IF(AND(E562="Electricité",M562="Eté"),INDEX('Base de données Mono'!G:G,MATCH(B562,'Base de données Mono'!D:D,0)),IF(AND(E562="Gaz",M562="Hiver"),INDEX('Base de données Mono'!J:J,MATCH(B562,'Base de données Mono'!D:D,0)),IF(AND(E562="Gaz",M562="Mi-saison"),INDEX('Base de données Mono'!#REF!,MATCH(B562,'Base de données Mono'!D:D,0)),IF(AND(E562="Gaz",M562="Eté"),INDEX('Base de données Mono'!#REF!,MATCH(B562,'Base de données Mono'!D:D,0)),"-"))))))</f>
        <v>25</v>
      </c>
      <c r="O562" s="123">
        <v>45387</v>
      </c>
      <c r="P562" s="123">
        <v>45388</v>
      </c>
      <c r="Q562" s="34">
        <v>75</v>
      </c>
      <c r="R562" s="33">
        <f t="shared" si="63"/>
        <v>50</v>
      </c>
      <c r="S562" s="34">
        <v>1</v>
      </c>
      <c r="T562" s="34">
        <f t="shared" si="66"/>
        <v>1</v>
      </c>
      <c r="U562" s="33">
        <f t="shared" si="64"/>
        <v>50</v>
      </c>
      <c r="V562" s="38" t="s">
        <v>827</v>
      </c>
      <c r="W562" s="39">
        <f t="shared" si="65"/>
        <v>2</v>
      </c>
      <c r="X562" s="40" t="s">
        <v>304</v>
      </c>
      <c r="Y562" s="40" t="s">
        <v>283</v>
      </c>
      <c r="Z562" s="40" t="s">
        <v>749</v>
      </c>
      <c r="AA562" s="33" t="s">
        <v>749</v>
      </c>
      <c r="AB562" s="95"/>
      <c r="AC562" s="95"/>
    </row>
    <row r="563" spans="1:29" ht="14.45" hidden="1" customHeight="1" x14ac:dyDescent="0.25">
      <c r="A563" s="36" t="str">
        <f>INDEX('Base de données Mono'!C:C,MATCH(B563,'Base de données Mono'!D:D,0))</f>
        <v>NICE VICTOIRE</v>
      </c>
      <c r="B563" t="s">
        <v>28</v>
      </c>
      <c r="C563" s="36" t="str">
        <f>INDEX('Base de données Mono'!B:B,MATCH(B563,'Base de données Mono'!D:D,0))</f>
        <v>SES8</v>
      </c>
      <c r="D563" s="36" t="str">
        <f>INDEX('Base de données Mono'!A:A,MATCH(B563,'Base de données Mono'!D:D,0))</f>
        <v>JG</v>
      </c>
      <c r="E563" s="37" t="s">
        <v>303</v>
      </c>
      <c r="F563" s="41">
        <f t="shared" si="61"/>
        <v>14</v>
      </c>
      <c r="G563" s="41">
        <f t="shared" si="62"/>
        <v>4</v>
      </c>
      <c r="H563">
        <v>7.33</v>
      </c>
      <c r="I563" s="131">
        <f>INDEX('Base de données Mono'!K:K,MATCH(B563,'Base de données Mono'!D:D,0))</f>
        <v>0.20138888888888887</v>
      </c>
      <c r="J563" s="131">
        <f>INDEX('Base de données Mono'!L:L,MATCH(B563,'Base de données Mono'!D:D,0))</f>
        <v>0.89583333333333337</v>
      </c>
      <c r="K563" s="131">
        <f>INDEX('Base de données Mono'!M:M,MATCH(B563,'Base de données Mono'!D:D,0))</f>
        <v>0.28472222222222221</v>
      </c>
      <c r="L563" s="131">
        <f>INDEX('Base de données Mono'!N:N,MATCH(B563,'Base de données Mono'!D:D,0))</f>
        <v>0.85416666666666663</v>
      </c>
      <c r="M563" s="33" t="s">
        <v>46</v>
      </c>
      <c r="N563" s="33">
        <f>IF(AND(E563="Electricité",M563="Hiver"),INDEX('Base de données Mono'!E:E,MATCH(B563,'Base de données Mono'!D:D,0)),IF(AND(E563="Electricité",M563="Mi-saison"),INDEX('Base de données Mono'!F:F,MATCH(B563,'Base de données Mono'!D:D,0)),IF(AND(E563="Electricité",M563="Eté"),INDEX('Base de données Mono'!G:G,MATCH(B563,'Base de données Mono'!D:D,0)),IF(AND(E563="Gaz",M563="Hiver"),INDEX('Base de données Mono'!J:J,MATCH(B563,'Base de données Mono'!D:D,0)),IF(AND(E563="Gaz",M563="Mi-saison"),INDEX('Base de données Mono'!#REF!,MATCH(B563,'Base de données Mono'!D:D,0)),IF(AND(E563="Gaz",M563="Eté"),INDEX('Base de données Mono'!#REF!,MATCH(B563,'Base de données Mono'!D:D,0)),"-"))))))</f>
        <v>110</v>
      </c>
      <c r="O563" s="123">
        <v>45383</v>
      </c>
      <c r="P563" s="123">
        <v>45388</v>
      </c>
      <c r="Q563" s="34">
        <v>195</v>
      </c>
      <c r="R563" s="33">
        <f t="shared" si="63"/>
        <v>85</v>
      </c>
      <c r="S563" s="34">
        <v>1</v>
      </c>
      <c r="T563" s="34">
        <f t="shared" si="66"/>
        <v>5</v>
      </c>
      <c r="U563" s="33">
        <f t="shared" si="64"/>
        <v>425</v>
      </c>
      <c r="V563" s="38" t="s">
        <v>827</v>
      </c>
      <c r="W563" s="39">
        <f t="shared" si="65"/>
        <v>0.77272727272727271</v>
      </c>
      <c r="X563" s="40" t="s">
        <v>304</v>
      </c>
      <c r="Y563" s="40" t="s">
        <v>284</v>
      </c>
      <c r="Z563" s="40" t="s">
        <v>307</v>
      </c>
      <c r="AA563" s="33" t="s">
        <v>414</v>
      </c>
      <c r="AB563" s="95"/>
      <c r="AC563" s="95"/>
    </row>
    <row r="564" spans="1:29" ht="14.45" hidden="1" customHeight="1" x14ac:dyDescent="0.25">
      <c r="A564" s="36" t="str">
        <f>INDEX('Base de données Mono'!C:C,MATCH(B564,'Base de données Mono'!D:D,0))</f>
        <v>NICE VICTOIRE</v>
      </c>
      <c r="B564" t="s">
        <v>28</v>
      </c>
      <c r="C564" s="36" t="str">
        <f>INDEX('Base de données Mono'!B:B,MATCH(B564,'Base de données Mono'!D:D,0))</f>
        <v>SES8</v>
      </c>
      <c r="D564" s="36" t="str">
        <f>INDEX('Base de données Mono'!A:A,MATCH(B564,'Base de données Mono'!D:D,0))</f>
        <v>JG</v>
      </c>
      <c r="E564" s="37" t="s">
        <v>303</v>
      </c>
      <c r="F564" s="41">
        <f t="shared" si="61"/>
        <v>14</v>
      </c>
      <c r="G564" s="41">
        <f t="shared" si="62"/>
        <v>4</v>
      </c>
      <c r="H564">
        <v>7.33</v>
      </c>
      <c r="I564" s="131">
        <f>INDEX('Base de données Mono'!K:K,MATCH(B564,'Base de données Mono'!D:D,0))</f>
        <v>0.20138888888888887</v>
      </c>
      <c r="J564" s="131">
        <f>INDEX('Base de données Mono'!L:L,MATCH(B564,'Base de données Mono'!D:D,0))</f>
        <v>0.89583333333333337</v>
      </c>
      <c r="K564" s="131">
        <f>INDEX('Base de données Mono'!M:M,MATCH(B564,'Base de données Mono'!D:D,0))</f>
        <v>0.28472222222222221</v>
      </c>
      <c r="L564" s="131">
        <f>INDEX('Base de données Mono'!N:N,MATCH(B564,'Base de données Mono'!D:D,0))</f>
        <v>0.85416666666666663</v>
      </c>
      <c r="M564" s="33" t="s">
        <v>46</v>
      </c>
      <c r="N564" s="33">
        <f>IF(AND(E564="Electricité",M564="Hiver"),INDEX('Base de données Mono'!E:E,MATCH(B564,'Base de données Mono'!D:D,0)),IF(AND(E564="Electricité",M564="Mi-saison"),INDEX('Base de données Mono'!F:F,MATCH(B564,'Base de données Mono'!D:D,0)),IF(AND(E564="Electricité",M564="Eté"),INDEX('Base de données Mono'!G:G,MATCH(B564,'Base de données Mono'!D:D,0)),IF(AND(E564="Gaz",M564="Hiver"),INDEX('Base de données Mono'!J:J,MATCH(B564,'Base de données Mono'!D:D,0)),IF(AND(E564="Gaz",M564="Mi-saison"),INDEX('Base de données Mono'!#REF!,MATCH(B564,'Base de données Mono'!D:D,0)),IF(AND(E564="Gaz",M564="Eté"),INDEX('Base de données Mono'!#REF!,MATCH(B564,'Base de données Mono'!D:D,0)),"-"))))))</f>
        <v>110</v>
      </c>
      <c r="O564" s="123">
        <v>45385</v>
      </c>
      <c r="P564" s="123">
        <v>45387</v>
      </c>
      <c r="Q564" s="34">
        <v>120</v>
      </c>
      <c r="R564" s="33">
        <f t="shared" si="63"/>
        <v>10</v>
      </c>
      <c r="S564" s="34">
        <v>2</v>
      </c>
      <c r="T564" s="34">
        <f t="shared" si="66"/>
        <v>2</v>
      </c>
      <c r="U564" s="33">
        <f t="shared" si="64"/>
        <v>40</v>
      </c>
      <c r="V564" s="38" t="s">
        <v>827</v>
      </c>
      <c r="W564" s="39">
        <f t="shared" si="65"/>
        <v>9.0909090909090912E-2</v>
      </c>
      <c r="X564" s="40" t="s">
        <v>304</v>
      </c>
      <c r="Y564" s="40" t="s">
        <v>284</v>
      </c>
      <c r="Z564" s="40" t="s">
        <v>305</v>
      </c>
      <c r="AA564" s="33" t="s">
        <v>771</v>
      </c>
      <c r="AB564" s="95"/>
      <c r="AC564" s="95"/>
    </row>
    <row r="565" spans="1:29" ht="14.45" hidden="1" customHeight="1" x14ac:dyDescent="0.25">
      <c r="A565" s="36" t="str">
        <f>INDEX('Base de données Mono'!C:C,MATCH(B565,'Base de données Mono'!D:D,0))</f>
        <v>NICE VICTOIRE</v>
      </c>
      <c r="B565" t="s">
        <v>28</v>
      </c>
      <c r="C565" s="36" t="str">
        <f>INDEX('Base de données Mono'!B:B,MATCH(B565,'Base de données Mono'!D:D,0))</f>
        <v>SES8</v>
      </c>
      <c r="D565" s="36" t="str">
        <f>INDEX('Base de données Mono'!A:A,MATCH(B565,'Base de données Mono'!D:D,0))</f>
        <v>JG</v>
      </c>
      <c r="E565" s="37" t="s">
        <v>303</v>
      </c>
      <c r="F565" s="41">
        <f>IF(O565="","-",IF(AND(X565="Nuit",WEEKDAY(O565,2)=7,O565&lt;&gt;P565),WEEKNUM(O565,2),WEEKNUM(O565,2)-1))+1</f>
        <v>14</v>
      </c>
      <c r="G565" s="41">
        <f>IF(O565="","-",MONTH(O565))</f>
        <v>4</v>
      </c>
      <c r="H565">
        <v>7.33</v>
      </c>
      <c r="I565" s="131">
        <f>INDEX('Base de données Mono'!K:K,MATCH(B565,'Base de données Mono'!D:D,0))</f>
        <v>0.20138888888888887</v>
      </c>
      <c r="J565" s="131">
        <f>INDEX('Base de données Mono'!L:L,MATCH(B565,'Base de données Mono'!D:D,0))</f>
        <v>0.89583333333333337</v>
      </c>
      <c r="K565" s="131">
        <f>INDEX('Base de données Mono'!M:M,MATCH(B565,'Base de données Mono'!D:D,0))</f>
        <v>0.28472222222222221</v>
      </c>
      <c r="L565" s="131">
        <f>INDEX('Base de données Mono'!N:N,MATCH(B565,'Base de données Mono'!D:D,0))</f>
        <v>0.85416666666666663</v>
      </c>
      <c r="M565" s="33" t="s">
        <v>46</v>
      </c>
      <c r="N565" s="33">
        <f>IF(AND(E565="Electricité",M565="Hiver"),INDEX('Base de données Mono'!E:E,MATCH(B565,'Base de données Mono'!D:D,0)),IF(AND(E565="Electricité",M565="Mi-saison"),INDEX('Base de données Mono'!F:F,MATCH(B565,'Base de données Mono'!D:D,0)),IF(AND(E565="Electricité",M565="Eté"),INDEX('Base de données Mono'!G:G,MATCH(B565,'Base de données Mono'!D:D,0)),IF(AND(E565="Gaz",M565="Hiver"),INDEX('Base de données Mono'!J:J,MATCH(B565,'Base de données Mono'!D:D,0)),IF(AND(E565="Gaz",M565="Mi-saison"),INDEX('Base de données Mono'!#REF!,MATCH(B565,'Base de données Mono'!D:D,0)),IF(AND(E565="Gaz",M565="Eté"),INDEX('Base de données Mono'!#REF!,MATCH(B565,'Base de données Mono'!D:D,0)),"-"))))))</f>
        <v>110</v>
      </c>
      <c r="O565" s="123">
        <v>45387</v>
      </c>
      <c r="P565" s="123">
        <v>45388</v>
      </c>
      <c r="Q565" s="34">
        <v>160</v>
      </c>
      <c r="R565" s="33">
        <f>IF(Q565="","",Q565-N565)</f>
        <v>50</v>
      </c>
      <c r="S565" s="34">
        <v>6.3</v>
      </c>
      <c r="T565" s="34">
        <f>P565-O565</f>
        <v>1</v>
      </c>
      <c r="U565" s="33">
        <f>R565*S565*T565</f>
        <v>315</v>
      </c>
      <c r="V565" s="38" t="s">
        <v>827</v>
      </c>
      <c r="W565" s="39">
        <f>IFERROR(IF(E565="Gaz","-",R565/N565),"-")</f>
        <v>0.45454545454545453</v>
      </c>
      <c r="X565" s="40" t="s">
        <v>304</v>
      </c>
      <c r="Y565" s="40" t="s">
        <v>284</v>
      </c>
      <c r="Z565" s="40" t="s">
        <v>311</v>
      </c>
      <c r="AA565" s="33" t="s">
        <v>775</v>
      </c>
      <c r="AB565" s="95"/>
      <c r="AC565" s="95"/>
    </row>
    <row r="566" spans="1:29" ht="14.45" hidden="1" customHeight="1" x14ac:dyDescent="0.25">
      <c r="A566" s="36" t="str">
        <f>INDEX('Base de données Mono'!C:C,MATCH(B566,'Base de données Mono'!D:D,0))</f>
        <v>COURCELLES</v>
      </c>
      <c r="B566" t="s">
        <v>112</v>
      </c>
      <c r="C566" s="36" t="str">
        <f>INDEX('Base de données Mono'!B:B,MATCH(B566,'Base de données Mono'!D:D,0))</f>
        <v>SES8</v>
      </c>
      <c r="D566" s="36" t="str">
        <f>INDEX('Base de données Mono'!A:A,MATCH(B566,'Base de données Mono'!D:D,0))</f>
        <v>AD</v>
      </c>
      <c r="E566" s="37" t="s">
        <v>303</v>
      </c>
      <c r="F566" s="41">
        <f t="shared" si="61"/>
        <v>14</v>
      </c>
      <c r="G566" s="41">
        <f t="shared" si="62"/>
        <v>4</v>
      </c>
      <c r="H566">
        <v>9.25</v>
      </c>
      <c r="I566" s="131">
        <f>INDEX('Base de données Mono'!K:K,MATCH(B566,'Base de données Mono'!D:D,0))</f>
        <v>0.25</v>
      </c>
      <c r="J566" s="131">
        <f>INDEX('Base de données Mono'!L:L,MATCH(B566,'Base de données Mono'!D:D,0))</f>
        <v>0.86458333333333337</v>
      </c>
      <c r="K566" s="131" t="str">
        <f>INDEX('Base de données Mono'!M:M,MATCH(B566,'Base de données Mono'!D:D,0))</f>
        <v>-</v>
      </c>
      <c r="L566" s="131" t="str">
        <f>INDEX('Base de données Mono'!N:N,MATCH(B566,'Base de données Mono'!D:D,0))</f>
        <v>-</v>
      </c>
      <c r="M566" s="33" t="s">
        <v>46</v>
      </c>
      <c r="N566" s="33">
        <f>IF(AND(E566="Electricité",M566="Hiver"),INDEX('Base de données Mono'!E:E,MATCH(B566,'Base de données Mono'!D:D,0)),IF(AND(E566="Electricité",M566="Mi-saison"),INDEX('Base de données Mono'!F:F,MATCH(B566,'Base de données Mono'!D:D,0)),IF(AND(E566="Electricité",M566="Eté"),INDEX('Base de données Mono'!G:G,MATCH(B566,'Base de données Mono'!D:D,0)),IF(AND(E566="Gaz",M566="Hiver"),INDEX('Base de données Mono'!J:J,MATCH(B566,'Base de données Mono'!D:D,0)),IF(AND(E566="Gaz",M566="Mi-saison"),INDEX('Base de données Mono'!#REF!,MATCH(B566,'Base de données Mono'!D:D,0)),IF(AND(E566="Gaz",M566="Eté"),INDEX('Base de données Mono'!#REF!,MATCH(B566,'Base de données Mono'!D:D,0)),"-"))))))</f>
        <v>45</v>
      </c>
      <c r="O566" s="123">
        <v>45384</v>
      </c>
      <c r="P566" s="123">
        <v>45389</v>
      </c>
      <c r="Q566" s="34">
        <v>80</v>
      </c>
      <c r="R566" s="33">
        <f t="shared" si="63"/>
        <v>35</v>
      </c>
      <c r="S566" s="34">
        <v>1.2</v>
      </c>
      <c r="T566" s="34">
        <f t="shared" si="66"/>
        <v>5</v>
      </c>
      <c r="U566" s="33">
        <f t="shared" si="64"/>
        <v>210</v>
      </c>
      <c r="V566" s="38" t="s">
        <v>827</v>
      </c>
      <c r="W566" s="39">
        <f t="shared" si="65"/>
        <v>0.77777777777777779</v>
      </c>
      <c r="X566" s="40" t="s">
        <v>304</v>
      </c>
      <c r="Y566" s="40" t="s">
        <v>284</v>
      </c>
      <c r="Z566" s="40" t="s">
        <v>307</v>
      </c>
      <c r="AA566" s="33" t="s">
        <v>313</v>
      </c>
      <c r="AB566" s="95"/>
      <c r="AC566" s="95"/>
    </row>
    <row r="567" spans="1:29" ht="14.45" hidden="1" customHeight="1" x14ac:dyDescent="0.25">
      <c r="A567" s="36" t="str">
        <f>INDEX('Base de données Mono'!C:C,MATCH(B567,'Base de données Mono'!D:D,0))</f>
        <v>COURCELLES</v>
      </c>
      <c r="B567" t="s">
        <v>112</v>
      </c>
      <c r="C567" s="36" t="str">
        <f>INDEX('Base de données Mono'!B:B,MATCH(B567,'Base de données Mono'!D:D,0))</f>
        <v>SES8</v>
      </c>
      <c r="D567" s="36" t="str">
        <f>INDEX('Base de données Mono'!A:A,MATCH(B567,'Base de données Mono'!D:D,0))</f>
        <v>AD</v>
      </c>
      <c r="E567" s="37" t="s">
        <v>303</v>
      </c>
      <c r="F567" s="41">
        <f>IF(O567="","-",IF(AND(X567="Nuit",WEEKDAY(O567,2)=7,O567&lt;&gt;P567),WEEKNUM(O567,2),WEEKNUM(O567,2)-1))+1</f>
        <v>14</v>
      </c>
      <c r="G567" s="41">
        <f>IF(O567="","-",MONTH(O567))</f>
        <v>4</v>
      </c>
      <c r="H567">
        <v>9.25</v>
      </c>
      <c r="I567" s="131">
        <f>INDEX('Base de données Mono'!K:K,MATCH(B567,'Base de données Mono'!D:D,0))</f>
        <v>0.25</v>
      </c>
      <c r="J567" s="131">
        <f>INDEX('Base de données Mono'!L:L,MATCH(B567,'Base de données Mono'!D:D,0))</f>
        <v>0.86458333333333337</v>
      </c>
      <c r="K567" s="131" t="str">
        <f>INDEX('Base de données Mono'!M:M,MATCH(B567,'Base de données Mono'!D:D,0))</f>
        <v>-</v>
      </c>
      <c r="L567" s="131" t="str">
        <f>INDEX('Base de données Mono'!N:N,MATCH(B567,'Base de données Mono'!D:D,0))</f>
        <v>-</v>
      </c>
      <c r="M567" s="33" t="s">
        <v>46</v>
      </c>
      <c r="N567" s="33">
        <f>IF(AND(E567="Electricité",M567="Hiver"),INDEX('Base de données Mono'!E:E,MATCH(B567,'Base de données Mono'!D:D,0)),IF(AND(E567="Electricité",M567="Mi-saison"),INDEX('Base de données Mono'!F:F,MATCH(B567,'Base de données Mono'!D:D,0)),IF(AND(E567="Electricité",M567="Eté"),INDEX('Base de données Mono'!G:G,MATCH(B567,'Base de données Mono'!D:D,0)),IF(AND(E567="Gaz",M567="Hiver"),INDEX('Base de données Mono'!J:J,MATCH(B567,'Base de données Mono'!D:D,0)),IF(AND(E567="Gaz",M567="Mi-saison"),INDEX('Base de données Mono'!#REF!,MATCH(B567,'Base de données Mono'!D:D,0)),IF(AND(E567="Gaz",M567="Eté"),INDEX('Base de données Mono'!#REF!,MATCH(B567,'Base de données Mono'!D:D,0)),"-"))))))</f>
        <v>45</v>
      </c>
      <c r="O567" s="123">
        <v>45383</v>
      </c>
      <c r="P567" s="123">
        <v>45388</v>
      </c>
      <c r="Q567" s="34">
        <v>60</v>
      </c>
      <c r="R567" s="33">
        <f>IF(Q567="","",Q567-N567)</f>
        <v>15</v>
      </c>
      <c r="S567" s="34">
        <v>0.5</v>
      </c>
      <c r="T567" s="34">
        <f>P567-O567</f>
        <v>5</v>
      </c>
      <c r="U567" s="33">
        <f>R567*S567*T567</f>
        <v>37.5</v>
      </c>
      <c r="V567" s="38" t="s">
        <v>827</v>
      </c>
      <c r="W567" s="39">
        <f>IFERROR(IF(E567="Gaz","-",R567/N567),"-")</f>
        <v>0.33333333333333331</v>
      </c>
      <c r="X567" s="40" t="s">
        <v>304</v>
      </c>
      <c r="Y567" s="40" t="s">
        <v>284</v>
      </c>
      <c r="Z567" s="40" t="s">
        <v>307</v>
      </c>
      <c r="AA567" s="33" t="s">
        <v>414</v>
      </c>
      <c r="AB567" s="95"/>
      <c r="AC567" s="95"/>
    </row>
    <row r="568" spans="1:29" ht="14.45" hidden="1" customHeight="1" x14ac:dyDescent="0.25">
      <c r="A568" s="36" t="str">
        <f>INDEX('Base de données Mono'!C:C,MATCH(B568,'Base de données Mono'!D:D,0))</f>
        <v>COURCELLES</v>
      </c>
      <c r="B568" t="s">
        <v>112</v>
      </c>
      <c r="C568" s="36" t="str">
        <f>INDEX('Base de données Mono'!B:B,MATCH(B568,'Base de données Mono'!D:D,0))</f>
        <v>SES8</v>
      </c>
      <c r="D568" s="36" t="str">
        <f>INDEX('Base de données Mono'!A:A,MATCH(B568,'Base de données Mono'!D:D,0))</f>
        <v>AD</v>
      </c>
      <c r="E568" s="37" t="s">
        <v>303</v>
      </c>
      <c r="F568" s="41">
        <f t="shared" si="61"/>
        <v>14</v>
      </c>
      <c r="G568" s="41">
        <f t="shared" si="62"/>
        <v>4</v>
      </c>
      <c r="H568">
        <v>9.25</v>
      </c>
      <c r="I568" s="131">
        <f>INDEX('Base de données Mono'!K:K,MATCH(B568,'Base de données Mono'!D:D,0))</f>
        <v>0.25</v>
      </c>
      <c r="J568" s="131">
        <f>INDEX('Base de données Mono'!L:L,MATCH(B568,'Base de données Mono'!D:D,0))</f>
        <v>0.86458333333333337</v>
      </c>
      <c r="K568" s="131" t="str">
        <f>INDEX('Base de données Mono'!M:M,MATCH(B568,'Base de données Mono'!D:D,0))</f>
        <v>-</v>
      </c>
      <c r="L568" s="131" t="str">
        <f>INDEX('Base de données Mono'!N:N,MATCH(B568,'Base de données Mono'!D:D,0))</f>
        <v>-</v>
      </c>
      <c r="M568" s="33" t="s">
        <v>46</v>
      </c>
      <c r="N568" s="33">
        <f>IF(AND(E568="Electricité",M568="Hiver"),INDEX('Base de données Mono'!E:E,MATCH(B568,'Base de données Mono'!D:D,0)),IF(AND(E568="Electricité",M568="Mi-saison"),INDEX('Base de données Mono'!F:F,MATCH(B568,'Base de données Mono'!D:D,0)),IF(AND(E568="Electricité",M568="Eté"),INDEX('Base de données Mono'!G:G,MATCH(B568,'Base de données Mono'!D:D,0)),IF(AND(E568="Gaz",M568="Hiver"),INDEX('Base de données Mono'!J:J,MATCH(B568,'Base de données Mono'!D:D,0)),IF(AND(E568="Gaz",M568="Mi-saison"),INDEX('Base de données Mono'!#REF!,MATCH(B568,'Base de données Mono'!D:D,0)),IF(AND(E568="Gaz",M568="Eté"),INDEX('Base de données Mono'!#REF!,MATCH(B568,'Base de données Mono'!D:D,0)),"-"))))))</f>
        <v>45</v>
      </c>
      <c r="O568" s="123">
        <v>45387</v>
      </c>
      <c r="P568" s="123">
        <v>45389</v>
      </c>
      <c r="Q568" s="34">
        <v>50</v>
      </c>
      <c r="R568" s="33">
        <f t="shared" si="63"/>
        <v>5</v>
      </c>
      <c r="S568" s="34">
        <v>2</v>
      </c>
      <c r="T568" s="34">
        <f t="shared" si="66"/>
        <v>2</v>
      </c>
      <c r="U568" s="33">
        <f t="shared" si="64"/>
        <v>20</v>
      </c>
      <c r="V568" s="38" t="s">
        <v>827</v>
      </c>
      <c r="W568" s="39">
        <f t="shared" si="65"/>
        <v>0.1111111111111111</v>
      </c>
      <c r="X568" s="40" t="s">
        <v>304</v>
      </c>
      <c r="Y568" s="40" t="s">
        <v>284</v>
      </c>
      <c r="Z568" s="40" t="s">
        <v>305</v>
      </c>
      <c r="AA568" s="33" t="s">
        <v>771</v>
      </c>
      <c r="AB568" s="95"/>
      <c r="AC568" s="95"/>
    </row>
    <row r="569" spans="1:29" ht="14.45" hidden="1" customHeight="1" x14ac:dyDescent="0.25">
      <c r="A569" s="36" t="str">
        <f>INDEX('Base de données Mono'!C:C,MATCH(B569,'Base de données Mono'!D:D,0))</f>
        <v>COURCELLES</v>
      </c>
      <c r="B569" t="s">
        <v>112</v>
      </c>
      <c r="C569" s="36" t="str">
        <f>INDEX('Base de données Mono'!B:B,MATCH(B569,'Base de données Mono'!D:D,0))</f>
        <v>SES8</v>
      </c>
      <c r="D569" s="36" t="str">
        <f>INDEX('Base de données Mono'!A:A,MATCH(B569,'Base de données Mono'!D:D,0))</f>
        <v>AD</v>
      </c>
      <c r="E569" s="37" t="s">
        <v>303</v>
      </c>
      <c r="F569" s="41">
        <f t="shared" si="61"/>
        <v>14</v>
      </c>
      <c r="G569" s="41">
        <f t="shared" si="62"/>
        <v>4</v>
      </c>
      <c r="H569">
        <v>9.25</v>
      </c>
      <c r="I569" s="131">
        <f>INDEX('Base de données Mono'!K:K,MATCH(B569,'Base de données Mono'!D:D,0))</f>
        <v>0.25</v>
      </c>
      <c r="J569" s="131">
        <f>INDEX('Base de données Mono'!L:L,MATCH(B569,'Base de données Mono'!D:D,0))</f>
        <v>0.86458333333333337</v>
      </c>
      <c r="K569" s="131" t="str">
        <f>INDEX('Base de données Mono'!M:M,MATCH(B569,'Base de données Mono'!D:D,0))</f>
        <v>-</v>
      </c>
      <c r="L569" s="131" t="str">
        <f>INDEX('Base de données Mono'!N:N,MATCH(B569,'Base de données Mono'!D:D,0))</f>
        <v>-</v>
      </c>
      <c r="M569" s="33" t="s">
        <v>46</v>
      </c>
      <c r="N569" s="33">
        <f>IF(AND(E569="Electricité",M569="Hiver"),INDEX('Base de données Mono'!E:E,MATCH(B569,'Base de données Mono'!D:D,0)),IF(AND(E569="Electricité",M569="Mi-saison"),INDEX('Base de données Mono'!F:F,MATCH(B569,'Base de données Mono'!D:D,0)),IF(AND(E569="Electricité",M569="Eté"),INDEX('Base de données Mono'!G:G,MATCH(B569,'Base de données Mono'!D:D,0)),IF(AND(E569="Gaz",M569="Hiver"),INDEX('Base de données Mono'!J:J,MATCH(B569,'Base de données Mono'!D:D,0)),IF(AND(E569="Gaz",M569="Mi-saison"),INDEX('Base de données Mono'!#REF!,MATCH(B569,'Base de données Mono'!D:D,0)),IF(AND(E569="Gaz",M569="Eté"),INDEX('Base de données Mono'!#REF!,MATCH(B569,'Base de données Mono'!D:D,0)),"-"))))))</f>
        <v>45</v>
      </c>
      <c r="O569" s="123">
        <v>45389</v>
      </c>
      <c r="P569" s="123">
        <v>45389</v>
      </c>
      <c r="Q569" s="34">
        <v>80</v>
      </c>
      <c r="R569" s="33">
        <f t="shared" si="63"/>
        <v>35</v>
      </c>
      <c r="S569" s="34">
        <v>13</v>
      </c>
      <c r="T569" s="34">
        <v>1</v>
      </c>
      <c r="U569" s="33">
        <f t="shared" si="64"/>
        <v>455</v>
      </c>
      <c r="V569" s="38" t="s">
        <v>827</v>
      </c>
      <c r="W569" s="39">
        <f t="shared" si="65"/>
        <v>0.77777777777777779</v>
      </c>
      <c r="X569" s="40" t="s">
        <v>730</v>
      </c>
      <c r="Y569" s="40" t="s">
        <v>284</v>
      </c>
      <c r="Z569" s="40" t="s">
        <v>307</v>
      </c>
      <c r="AA569" s="33" t="s">
        <v>308</v>
      </c>
      <c r="AB569" s="95"/>
      <c r="AC569" s="95"/>
    </row>
    <row r="570" spans="1:29" ht="14.45" hidden="1" customHeight="1" x14ac:dyDescent="0.25">
      <c r="A570" s="36" t="str">
        <f>INDEX('Base de données Mono'!C:C,MATCH(B570,'Base de données Mono'!D:D,0))</f>
        <v>NICE GORBELLA</v>
      </c>
      <c r="B570" t="s">
        <v>196</v>
      </c>
      <c r="C570" s="36" t="str">
        <f>INDEX('Base de données Mono'!B:B,MATCH(B570,'Base de données Mono'!D:D,0))</f>
        <v>SES8</v>
      </c>
      <c r="D570" s="36" t="str">
        <f>INDEX('Base de données Mono'!A:A,MATCH(B570,'Base de données Mono'!D:D,0))</f>
        <v>JG</v>
      </c>
      <c r="E570" s="37" t="s">
        <v>303</v>
      </c>
      <c r="F570" s="41">
        <f t="shared" si="61"/>
        <v>14</v>
      </c>
      <c r="G570" s="41">
        <f t="shared" si="62"/>
        <v>4</v>
      </c>
      <c r="H570">
        <v>7.33</v>
      </c>
      <c r="I570" s="131">
        <f>INDEX('Base de données Mono'!K:K,MATCH(B570,'Base de données Mono'!D:D,0))</f>
        <v>0.20138888888888887</v>
      </c>
      <c r="J570" s="131">
        <f>INDEX('Base de données Mono'!L:L,MATCH(B570,'Base de données Mono'!D:D,0))</f>
        <v>0.89583333333333337</v>
      </c>
      <c r="K570" s="131">
        <f>INDEX('Base de données Mono'!M:M,MATCH(B570,'Base de données Mono'!D:D,0))</f>
        <v>0.27777777777777779</v>
      </c>
      <c r="L570" s="131">
        <f>INDEX('Base de données Mono'!N:N,MATCH(B570,'Base de données Mono'!D:D,0))</f>
        <v>0.55208333333333337</v>
      </c>
      <c r="M570" s="33" t="s">
        <v>46</v>
      </c>
      <c r="N570" s="33">
        <f>IF(AND(E570="Electricité",M570="Hiver"),INDEX('Base de données Mono'!E:E,MATCH(B570,'Base de données Mono'!D:D,0)),IF(AND(E570="Electricité",M570="Mi-saison"),INDEX('Base de données Mono'!F:F,MATCH(B570,'Base de données Mono'!D:D,0)),IF(AND(E570="Electricité",M570="Eté"),INDEX('Base de données Mono'!G:G,MATCH(B570,'Base de données Mono'!D:D,0)),IF(AND(E570="Gaz",M570="Hiver"),INDEX('Base de données Mono'!J:J,MATCH(B570,'Base de données Mono'!D:D,0)),IF(AND(E570="Gaz",M570="Mi-saison"),INDEX('Base de données Mono'!#REF!,MATCH(B570,'Base de données Mono'!D:D,0)),IF(AND(E570="Gaz",M570="Eté"),INDEX('Base de données Mono'!#REF!,MATCH(B570,'Base de données Mono'!D:D,0)),"-"))))))</f>
        <v>20</v>
      </c>
      <c r="O570" s="123">
        <v>45389</v>
      </c>
      <c r="P570" s="123">
        <v>45389</v>
      </c>
      <c r="Q570" s="34">
        <v>60</v>
      </c>
      <c r="R570" s="33">
        <f t="shared" si="63"/>
        <v>40</v>
      </c>
      <c r="S570" s="34">
        <v>7.5</v>
      </c>
      <c r="T570" s="34">
        <v>1</v>
      </c>
      <c r="U570" s="33">
        <f t="shared" si="64"/>
        <v>300</v>
      </c>
      <c r="V570" s="38" t="s">
        <v>148</v>
      </c>
      <c r="W570" s="39">
        <f t="shared" si="65"/>
        <v>2</v>
      </c>
      <c r="X570" s="40" t="s">
        <v>730</v>
      </c>
      <c r="Y570" s="40" t="s">
        <v>284</v>
      </c>
      <c r="Z570" s="40" t="s">
        <v>307</v>
      </c>
      <c r="AA570" s="33" t="s">
        <v>308</v>
      </c>
      <c r="AB570" s="95"/>
      <c r="AC570" s="95"/>
    </row>
    <row r="571" spans="1:29" ht="14.45" hidden="1" customHeight="1" x14ac:dyDescent="0.25">
      <c r="A571" s="36" t="str">
        <f>INDEX('Base de données Mono'!C:C,MATCH(B571,'Base de données Mono'!D:D,0))</f>
        <v>NICE CIMIEZ</v>
      </c>
      <c r="B571" t="s">
        <v>194</v>
      </c>
      <c r="C571" s="36" t="str">
        <f>INDEX('Base de données Mono'!B:B,MATCH(B571,'Base de données Mono'!D:D,0))</f>
        <v>SES8</v>
      </c>
      <c r="D571" s="36" t="str">
        <f>INDEX('Base de données Mono'!A:A,MATCH(B571,'Base de données Mono'!D:D,0))</f>
        <v>JG</v>
      </c>
      <c r="E571" s="37" t="s">
        <v>303</v>
      </c>
      <c r="F571" s="41">
        <f t="shared" si="61"/>
        <v>14</v>
      </c>
      <c r="G571" s="41">
        <f t="shared" si="62"/>
        <v>4</v>
      </c>
      <c r="H571">
        <v>8.67</v>
      </c>
      <c r="I571" s="131">
        <f>INDEX('Base de données Mono'!K:K,MATCH(B571,'Base de données Mono'!D:D,0))</f>
        <v>0.23611111111111113</v>
      </c>
      <c r="J571" s="131">
        <f>INDEX('Base de données Mono'!L:L,MATCH(B571,'Base de données Mono'!D:D,0))</f>
        <v>0.875</v>
      </c>
      <c r="K571" s="131">
        <f>INDEX('Base de données Mono'!M:M,MATCH(B571,'Base de données Mono'!D:D,0))</f>
        <v>0.28472222222222221</v>
      </c>
      <c r="L571" s="131">
        <f>INDEX('Base de données Mono'!N:N,MATCH(B571,'Base de données Mono'!D:D,0))</f>
        <v>0.54166666666666663</v>
      </c>
      <c r="M571" s="33" t="s">
        <v>46</v>
      </c>
      <c r="N571" s="33">
        <f>IF(AND(E571="Electricité",M571="Hiver"),INDEX('Base de données Mono'!E:E,MATCH(B571,'Base de données Mono'!D:D,0)),IF(AND(E571="Electricité",M571="Mi-saison"),INDEX('Base de données Mono'!F:F,MATCH(B571,'Base de données Mono'!D:D,0)),IF(AND(E571="Electricité",M571="Eté"),INDEX('Base de données Mono'!G:G,MATCH(B571,'Base de données Mono'!D:D,0)),IF(AND(E571="Gaz",M571="Hiver"),INDEX('Base de données Mono'!J:J,MATCH(B571,'Base de données Mono'!D:D,0)),IF(AND(E571="Gaz",M571="Mi-saison"),INDEX('Base de données Mono'!#REF!,MATCH(B571,'Base de données Mono'!D:D,0)),IF(AND(E571="Gaz",M571="Eté"),INDEX('Base de données Mono'!#REF!,MATCH(B571,'Base de données Mono'!D:D,0)),"-"))))))</f>
        <v>85</v>
      </c>
      <c r="O571" s="123">
        <v>45383</v>
      </c>
      <c r="P571" s="123">
        <v>45388</v>
      </c>
      <c r="Q571" s="34">
        <v>95</v>
      </c>
      <c r="R571" s="33">
        <f t="shared" si="63"/>
        <v>10</v>
      </c>
      <c r="S571" s="34">
        <v>8</v>
      </c>
      <c r="T571" s="34">
        <f t="shared" si="66"/>
        <v>5</v>
      </c>
      <c r="U571" s="33">
        <f t="shared" si="64"/>
        <v>400</v>
      </c>
      <c r="V571" s="38" t="s">
        <v>827</v>
      </c>
      <c r="W571" s="39">
        <f t="shared" si="65"/>
        <v>0.11764705882352941</v>
      </c>
      <c r="X571" s="40" t="s">
        <v>304</v>
      </c>
      <c r="Y571" s="40" t="s">
        <v>284</v>
      </c>
      <c r="Z571" s="40" t="s">
        <v>305</v>
      </c>
      <c r="AA571" s="33" t="s">
        <v>771</v>
      </c>
      <c r="AB571" s="95"/>
      <c r="AC571" s="95"/>
    </row>
    <row r="572" spans="1:29" ht="14.45" hidden="1" customHeight="1" x14ac:dyDescent="0.25">
      <c r="A572" s="36" t="str">
        <f>INDEX('Base de données Mono'!C:C,MATCH(B572,'Base de données Mono'!D:D,0))</f>
        <v>NICE CIMIEZ</v>
      </c>
      <c r="B572" t="s">
        <v>194</v>
      </c>
      <c r="C572" s="36" t="str">
        <f>INDEX('Base de données Mono'!B:B,MATCH(B572,'Base de données Mono'!D:D,0))</f>
        <v>SES8</v>
      </c>
      <c r="D572" s="36" t="str">
        <f>INDEX('Base de données Mono'!A:A,MATCH(B572,'Base de données Mono'!D:D,0))</f>
        <v>JG</v>
      </c>
      <c r="E572" s="37" t="s">
        <v>303</v>
      </c>
      <c r="F572" s="41">
        <f t="shared" si="61"/>
        <v>14</v>
      </c>
      <c r="G572" s="41">
        <f t="shared" si="62"/>
        <v>4</v>
      </c>
      <c r="H572">
        <v>8.67</v>
      </c>
      <c r="I572" s="131">
        <f>INDEX('Base de données Mono'!K:K,MATCH(B572,'Base de données Mono'!D:D,0))</f>
        <v>0.23611111111111113</v>
      </c>
      <c r="J572" s="131">
        <f>INDEX('Base de données Mono'!L:L,MATCH(B572,'Base de données Mono'!D:D,0))</f>
        <v>0.875</v>
      </c>
      <c r="K572" s="131">
        <f>INDEX('Base de données Mono'!M:M,MATCH(B572,'Base de données Mono'!D:D,0))</f>
        <v>0.28472222222222221</v>
      </c>
      <c r="L572" s="131">
        <f>INDEX('Base de données Mono'!N:N,MATCH(B572,'Base de données Mono'!D:D,0))</f>
        <v>0.54166666666666663</v>
      </c>
      <c r="M572" s="33" t="s">
        <v>46</v>
      </c>
      <c r="N572" s="33">
        <f>IF(AND(E572="Electricité",M572="Hiver"),INDEX('Base de données Mono'!E:E,MATCH(B572,'Base de données Mono'!D:D,0)),IF(AND(E572="Electricité",M572="Mi-saison"),INDEX('Base de données Mono'!F:F,MATCH(B572,'Base de données Mono'!D:D,0)),IF(AND(E572="Electricité",M572="Eté"),INDEX('Base de données Mono'!G:G,MATCH(B572,'Base de données Mono'!D:D,0)),IF(AND(E572="Gaz",M572="Hiver"),INDEX('Base de données Mono'!J:J,MATCH(B572,'Base de données Mono'!D:D,0)),IF(AND(E572="Gaz",M572="Mi-saison"),INDEX('Base de données Mono'!#REF!,MATCH(B572,'Base de données Mono'!D:D,0)),IF(AND(E572="Gaz",M572="Eté"),INDEX('Base de données Mono'!#REF!,MATCH(B572,'Base de données Mono'!D:D,0)),"-"))))))</f>
        <v>85</v>
      </c>
      <c r="O572" s="123">
        <v>45383</v>
      </c>
      <c r="P572" s="123">
        <v>45388</v>
      </c>
      <c r="Q572" s="164">
        <v>130</v>
      </c>
      <c r="R572" s="33">
        <f t="shared" si="63"/>
        <v>45</v>
      </c>
      <c r="S572" s="164">
        <v>0.6</v>
      </c>
      <c r="T572" s="34">
        <f t="shared" si="66"/>
        <v>5</v>
      </c>
      <c r="U572" s="33">
        <f t="shared" si="64"/>
        <v>135</v>
      </c>
      <c r="V572" s="38" t="s">
        <v>148</v>
      </c>
      <c r="W572" s="39">
        <f t="shared" si="65"/>
        <v>0.52941176470588236</v>
      </c>
      <c r="X572" s="40" t="s">
        <v>304</v>
      </c>
      <c r="Y572" s="40" t="s">
        <v>284</v>
      </c>
      <c r="Z572" s="40" t="s">
        <v>307</v>
      </c>
      <c r="AA572" s="33" t="s">
        <v>414</v>
      </c>
      <c r="AB572" s="95"/>
      <c r="AC572" s="95"/>
    </row>
    <row r="573" spans="1:29" ht="14.45" hidden="1" customHeight="1" x14ac:dyDescent="0.25">
      <c r="A573" s="36" t="str">
        <f>INDEX('Base de données Mono'!C:C,MATCH(B573,'Base de données Mono'!D:D,0))</f>
        <v>NICE CIMIEZ</v>
      </c>
      <c r="B573" t="s">
        <v>194</v>
      </c>
      <c r="C573" s="36" t="str">
        <f>INDEX('Base de données Mono'!B:B,MATCH(B573,'Base de données Mono'!D:D,0))</f>
        <v>SES8</v>
      </c>
      <c r="D573" s="36" t="str">
        <f>INDEX('Base de données Mono'!A:A,MATCH(B573,'Base de données Mono'!D:D,0))</f>
        <v>JG</v>
      </c>
      <c r="E573" s="37" t="s">
        <v>303</v>
      </c>
      <c r="F573" s="41">
        <f>IF(O573="","-",IF(AND(X573="Nuit",WEEKDAY(O573,2)=7,O573&lt;&gt;P573),WEEKNUM(O573,2),WEEKNUM(O573,2)-1))+1</f>
        <v>14</v>
      </c>
      <c r="G573" s="41">
        <f>IF(O573="","-",MONTH(O573))</f>
        <v>4</v>
      </c>
      <c r="H573">
        <v>8.67</v>
      </c>
      <c r="I573" s="131">
        <f>INDEX('Base de données Mono'!K:K,MATCH(B573,'Base de données Mono'!D:D,0))</f>
        <v>0.23611111111111113</v>
      </c>
      <c r="J573" s="131">
        <f>INDEX('Base de données Mono'!L:L,MATCH(B573,'Base de données Mono'!D:D,0))</f>
        <v>0.875</v>
      </c>
      <c r="K573" s="131">
        <f>INDEX('Base de données Mono'!M:M,MATCH(B573,'Base de données Mono'!D:D,0))</f>
        <v>0.28472222222222221</v>
      </c>
      <c r="L573" s="131">
        <f>INDEX('Base de données Mono'!N:N,MATCH(B573,'Base de données Mono'!D:D,0))</f>
        <v>0.54166666666666663</v>
      </c>
      <c r="M573" s="33" t="s">
        <v>46</v>
      </c>
      <c r="N573" s="33">
        <f>IF(AND(E573="Electricité",M573="Hiver"),INDEX('Base de données Mono'!E:E,MATCH(B573,'Base de données Mono'!D:D,0)),IF(AND(E573="Electricité",M573="Mi-saison"),INDEX('Base de données Mono'!F:F,MATCH(B573,'Base de données Mono'!D:D,0)),IF(AND(E573="Electricité",M573="Eté"),INDEX('Base de données Mono'!G:G,MATCH(B573,'Base de données Mono'!D:D,0)),IF(AND(E573="Gaz",M573="Hiver"),INDEX('Base de données Mono'!J:J,MATCH(B573,'Base de données Mono'!D:D,0)),IF(AND(E573="Gaz",M573="Mi-saison"),INDEX('Base de données Mono'!#REF!,MATCH(B573,'Base de données Mono'!D:D,0)),IF(AND(E573="Gaz",M573="Eté"),INDEX('Base de données Mono'!#REF!,MATCH(B573,'Base de données Mono'!D:D,0)),"-"))))))</f>
        <v>85</v>
      </c>
      <c r="O573" s="123">
        <v>45388</v>
      </c>
      <c r="P573" s="123">
        <v>45389</v>
      </c>
      <c r="Q573" s="34">
        <v>95</v>
      </c>
      <c r="R573" s="33">
        <f>IF(Q573="","",Q573-N573)</f>
        <v>10</v>
      </c>
      <c r="S573" s="34">
        <v>7.6</v>
      </c>
      <c r="T573" s="34">
        <f>P573-O573</f>
        <v>1</v>
      </c>
      <c r="U573" s="33">
        <f>R573*S573*T573</f>
        <v>76</v>
      </c>
      <c r="V573" s="38" t="s">
        <v>827</v>
      </c>
      <c r="W573" s="39">
        <f>IFERROR(IF(E573="Gaz","-",R573/N573),"-")</f>
        <v>0.11764705882352941</v>
      </c>
      <c r="X573" s="40" t="s">
        <v>304</v>
      </c>
      <c r="Y573" s="40" t="s">
        <v>284</v>
      </c>
      <c r="Z573" s="40" t="s">
        <v>305</v>
      </c>
      <c r="AA573" s="33" t="s">
        <v>771</v>
      </c>
      <c r="AB573" s="95"/>
      <c r="AC573" s="95"/>
    </row>
    <row r="574" spans="1:29" ht="14.45" hidden="1" customHeight="1" x14ac:dyDescent="0.25">
      <c r="A574" s="36" t="str">
        <f>INDEX('Base de données Mono'!C:C,MATCH(B574,'Base de données Mono'!D:D,0))</f>
        <v>NICE CIMIEZ</v>
      </c>
      <c r="B574" t="s">
        <v>194</v>
      </c>
      <c r="C574" s="36" t="str">
        <f>INDEX('Base de données Mono'!B:B,MATCH(B574,'Base de données Mono'!D:D,0))</f>
        <v>SES8</v>
      </c>
      <c r="D574" s="36" t="str">
        <f>INDEX('Base de données Mono'!A:A,MATCH(B574,'Base de données Mono'!D:D,0))</f>
        <v>JG</v>
      </c>
      <c r="E574" s="37" t="s">
        <v>303</v>
      </c>
      <c r="F574" s="41">
        <f>IF(O574="","-",IF(AND(X574="Nuit",WEEKDAY(O574,2)=7,O574&lt;&gt;P574),WEEKNUM(O574,2),WEEKNUM(O574,2)-1))+1</f>
        <v>14</v>
      </c>
      <c r="G574" s="41">
        <f>IF(O574="","-",MONTH(O574))</f>
        <v>4</v>
      </c>
      <c r="H574">
        <v>8.67</v>
      </c>
      <c r="I574" s="131">
        <f>INDEX('Base de données Mono'!K:K,MATCH(B574,'Base de données Mono'!D:D,0))</f>
        <v>0.23611111111111113</v>
      </c>
      <c r="J574" s="131">
        <f>INDEX('Base de données Mono'!L:L,MATCH(B574,'Base de données Mono'!D:D,0))</f>
        <v>0.875</v>
      </c>
      <c r="K574" s="131">
        <f>INDEX('Base de données Mono'!M:M,MATCH(B574,'Base de données Mono'!D:D,0))</f>
        <v>0.28472222222222221</v>
      </c>
      <c r="L574" s="131">
        <f>INDEX('Base de données Mono'!N:N,MATCH(B574,'Base de données Mono'!D:D,0))</f>
        <v>0.54166666666666663</v>
      </c>
      <c r="M574" s="33" t="s">
        <v>46</v>
      </c>
      <c r="N574" s="33">
        <f>IF(AND(E574="Electricité",M574="Hiver"),INDEX('Base de données Mono'!E:E,MATCH(B574,'Base de données Mono'!D:D,0)),IF(AND(E574="Electricité",M574="Mi-saison"),INDEX('Base de données Mono'!F:F,MATCH(B574,'Base de données Mono'!D:D,0)),IF(AND(E574="Electricité",M574="Eté"),INDEX('Base de données Mono'!G:G,MATCH(B574,'Base de données Mono'!D:D,0)),IF(AND(E574="Gaz",M574="Hiver"),INDEX('Base de données Mono'!J:J,MATCH(B574,'Base de données Mono'!D:D,0)),IF(AND(E574="Gaz",M574="Mi-saison"),INDEX('Base de données Mono'!#REF!,MATCH(B574,'Base de données Mono'!D:D,0)),IF(AND(E574="Gaz",M574="Eté"),INDEX('Base de données Mono'!#REF!,MATCH(B574,'Base de données Mono'!D:D,0)),"-"))))))</f>
        <v>85</v>
      </c>
      <c r="O574" s="123">
        <v>45388</v>
      </c>
      <c r="P574" s="123">
        <v>45389</v>
      </c>
      <c r="Q574" s="34">
        <v>125</v>
      </c>
      <c r="R574" s="33">
        <f>IF(Q574="","",Q574-N574)</f>
        <v>40</v>
      </c>
      <c r="S574" s="34">
        <v>2</v>
      </c>
      <c r="T574" s="34">
        <f>P574-O574</f>
        <v>1</v>
      </c>
      <c r="U574" s="33">
        <f>R574*S574*T574</f>
        <v>80</v>
      </c>
      <c r="V574" s="38" t="s">
        <v>827</v>
      </c>
      <c r="W574" s="39">
        <f>IFERROR(IF(E574="Gaz","-",R574/N574),"-")</f>
        <v>0.47058823529411764</v>
      </c>
      <c r="X574" s="40" t="s">
        <v>304</v>
      </c>
      <c r="Y574" s="40" t="s">
        <v>284</v>
      </c>
      <c r="Z574" s="40" t="s">
        <v>307</v>
      </c>
      <c r="AA574" s="33" t="s">
        <v>414</v>
      </c>
      <c r="AB574" s="95"/>
      <c r="AC574" s="95"/>
    </row>
    <row r="575" spans="1:29" ht="14.45" hidden="1" customHeight="1" x14ac:dyDescent="0.25">
      <c r="A575" s="36" t="str">
        <f>INDEX('Base de données Mono'!C:C,MATCH(B575,'Base de données Mono'!D:D,0))</f>
        <v>NICE CIMIEZ</v>
      </c>
      <c r="B575" t="s">
        <v>194</v>
      </c>
      <c r="C575" s="36" t="str">
        <f>INDEX('Base de données Mono'!B:B,MATCH(B575,'Base de données Mono'!D:D,0))</f>
        <v>SES8</v>
      </c>
      <c r="D575" s="36" t="str">
        <f>INDEX('Base de données Mono'!A:A,MATCH(B575,'Base de données Mono'!D:D,0))</f>
        <v>JG</v>
      </c>
      <c r="E575" s="37" t="s">
        <v>303</v>
      </c>
      <c r="F575" s="41">
        <f t="shared" si="61"/>
        <v>14</v>
      </c>
      <c r="G575" s="41">
        <f t="shared" si="62"/>
        <v>4</v>
      </c>
      <c r="H575">
        <v>8.67</v>
      </c>
      <c r="I575" s="131">
        <f>INDEX('Base de données Mono'!K:K,MATCH(B575,'Base de données Mono'!D:D,0))</f>
        <v>0.23611111111111113</v>
      </c>
      <c r="J575" s="131">
        <f>INDEX('Base de données Mono'!L:L,MATCH(B575,'Base de données Mono'!D:D,0))</f>
        <v>0.875</v>
      </c>
      <c r="K575" s="131">
        <f>INDEX('Base de données Mono'!M:M,MATCH(B575,'Base de données Mono'!D:D,0))</f>
        <v>0.28472222222222221</v>
      </c>
      <c r="L575" s="131">
        <f>INDEX('Base de données Mono'!N:N,MATCH(B575,'Base de données Mono'!D:D,0))</f>
        <v>0.54166666666666663</v>
      </c>
      <c r="M575" s="33" t="s">
        <v>46</v>
      </c>
      <c r="N575" s="33">
        <f>IF(AND(E575="Electricité",M575="Hiver"),INDEX('Base de données Mono'!E:E,MATCH(B575,'Base de données Mono'!D:D,0)),IF(AND(E575="Electricité",M575="Mi-saison"),INDEX('Base de données Mono'!F:F,MATCH(B575,'Base de données Mono'!D:D,0)),IF(AND(E575="Electricité",M575="Eté"),INDEX('Base de données Mono'!G:G,MATCH(B575,'Base de données Mono'!D:D,0)),IF(AND(E575="Gaz",M575="Hiver"),INDEX('Base de données Mono'!J:J,MATCH(B575,'Base de données Mono'!D:D,0)),IF(AND(E575="Gaz",M575="Mi-saison"),INDEX('Base de données Mono'!#REF!,MATCH(B575,'Base de données Mono'!D:D,0)),IF(AND(E575="Gaz",M575="Eté"),INDEX('Base de données Mono'!#REF!,MATCH(B575,'Base de données Mono'!D:D,0)),"-"))))))</f>
        <v>85</v>
      </c>
      <c r="O575" s="123">
        <v>45389</v>
      </c>
      <c r="P575" s="123">
        <v>45389</v>
      </c>
      <c r="Q575" s="34">
        <v>130</v>
      </c>
      <c r="R575" s="33">
        <f>IF(Q575="","",Q575-N575)</f>
        <v>45</v>
      </c>
      <c r="S575" s="34">
        <v>8</v>
      </c>
      <c r="T575" s="34">
        <v>1</v>
      </c>
      <c r="U575" s="33">
        <f>R575*S575*T575</f>
        <v>360</v>
      </c>
      <c r="V575" s="38" t="s">
        <v>827</v>
      </c>
      <c r="W575" s="39">
        <f>IFERROR(IF(E575="Gaz","-",R575/N575),"-")</f>
        <v>0.52941176470588236</v>
      </c>
      <c r="X575" s="40" t="s">
        <v>730</v>
      </c>
      <c r="Y575" s="40" t="s">
        <v>284</v>
      </c>
      <c r="Z575" s="40" t="s">
        <v>307</v>
      </c>
      <c r="AA575" s="33" t="s">
        <v>308</v>
      </c>
      <c r="AB575" s="95"/>
      <c r="AC575" s="95"/>
    </row>
    <row r="576" spans="1:29" ht="14.45" hidden="1" customHeight="1" x14ac:dyDescent="0.25">
      <c r="A576" s="36" t="str">
        <f>INDEX('Base de données Mono'!C:C,MATCH(B576,'Base de données Mono'!D:D,0))</f>
        <v>CHALON SUR SAONE</v>
      </c>
      <c r="B576" t="s">
        <v>98</v>
      </c>
      <c r="C576" s="36" t="str">
        <f>INDEX('Base de données Mono'!B:B,MATCH(B576,'Base de données Mono'!D:D,0))</f>
        <v>SES8</v>
      </c>
      <c r="D576" s="36" t="str">
        <f>INDEX('Base de données Mono'!A:A,MATCH(B576,'Base de données Mono'!D:D,0))</f>
        <v>JG</v>
      </c>
      <c r="E576" s="37" t="s">
        <v>303</v>
      </c>
      <c r="F576" s="41">
        <f t="shared" si="61"/>
        <v>14</v>
      </c>
      <c r="G576" s="41">
        <f t="shared" si="62"/>
        <v>4</v>
      </c>
      <c r="H576">
        <v>10</v>
      </c>
      <c r="I576" s="131">
        <f>INDEX('Base de données Mono'!K:K,MATCH(B576,'Base de données Mono'!D:D,0))</f>
        <v>0.25</v>
      </c>
      <c r="J576" s="131">
        <f>INDEX('Base de données Mono'!L:L,MATCH(B576,'Base de données Mono'!D:D,0))</f>
        <v>0.83333333333333304</v>
      </c>
      <c r="K576" s="131" t="str">
        <f>INDEX('Base de données Mono'!M:M,MATCH(B576,'Base de données Mono'!D:D,0))</f>
        <v>-</v>
      </c>
      <c r="L576" s="131" t="str">
        <f>INDEX('Base de données Mono'!N:N,MATCH(B576,'Base de données Mono'!D:D,0))</f>
        <v>-</v>
      </c>
      <c r="M576" s="33" t="s">
        <v>46</v>
      </c>
      <c r="N576" s="33">
        <f>IF(AND(E576="Electricité",M576="Hiver"),INDEX('Base de données Mono'!E:E,MATCH(B576,'Base de données Mono'!D:D,0)),IF(AND(E576="Electricité",M576="Mi-saison"),INDEX('Base de données Mono'!F:F,MATCH(B576,'Base de données Mono'!D:D,0)),IF(AND(E576="Electricité",M576="Eté"),INDEX('Base de données Mono'!G:G,MATCH(B576,'Base de données Mono'!D:D,0)),IF(AND(E576="Gaz",M576="Hiver"),INDEX('Base de données Mono'!J:J,MATCH(B576,'Base de données Mono'!D:D,0)),IF(AND(E576="Gaz",M576="Mi-saison"),INDEX('Base de données Mono'!#REF!,MATCH(B576,'Base de données Mono'!D:D,0)),IF(AND(E576="Gaz",M576="Eté"),INDEX('Base de données Mono'!#REF!,MATCH(B576,'Base de données Mono'!D:D,0)),"-"))))))</f>
        <v>45</v>
      </c>
      <c r="O576" s="123">
        <v>45383</v>
      </c>
      <c r="P576" s="123">
        <v>45388</v>
      </c>
      <c r="Q576" s="34">
        <v>55</v>
      </c>
      <c r="R576" s="33">
        <f t="shared" si="63"/>
        <v>10</v>
      </c>
      <c r="S576" s="34">
        <v>2</v>
      </c>
      <c r="T576" s="34">
        <f t="shared" si="66"/>
        <v>5</v>
      </c>
      <c r="U576" s="33">
        <f t="shared" si="64"/>
        <v>100</v>
      </c>
      <c r="V576" s="38" t="s">
        <v>148</v>
      </c>
      <c r="W576" s="39">
        <f t="shared" si="65"/>
        <v>0.22222222222222221</v>
      </c>
      <c r="X576" s="40" t="s">
        <v>304</v>
      </c>
      <c r="Y576" s="40" t="s">
        <v>284</v>
      </c>
      <c r="Z576" s="40" t="s">
        <v>305</v>
      </c>
      <c r="AA576" s="33" t="s">
        <v>771</v>
      </c>
      <c r="AB576" s="95"/>
      <c r="AC576" s="95"/>
    </row>
    <row r="577" spans="1:29" ht="14.45" hidden="1" customHeight="1" x14ac:dyDescent="0.25">
      <c r="A577" s="36" t="str">
        <f>INDEX('Base de données Mono'!C:C,MATCH(B577,'Base de données Mono'!D:D,0))</f>
        <v>CHALON SUR SAONE</v>
      </c>
      <c r="B577" t="s">
        <v>98</v>
      </c>
      <c r="C577" s="36" t="str">
        <f>INDEX('Base de données Mono'!B:B,MATCH(B577,'Base de données Mono'!D:D,0))</f>
        <v>SES8</v>
      </c>
      <c r="D577" s="36" t="str">
        <f>INDEX('Base de données Mono'!A:A,MATCH(B577,'Base de données Mono'!D:D,0))</f>
        <v>JG</v>
      </c>
      <c r="E577" s="37" t="s">
        <v>303</v>
      </c>
      <c r="F577" s="41">
        <f t="shared" si="61"/>
        <v>14</v>
      </c>
      <c r="G577" s="41">
        <f t="shared" si="62"/>
        <v>4</v>
      </c>
      <c r="H577">
        <v>10</v>
      </c>
      <c r="I577" s="131">
        <f>INDEX('Base de données Mono'!K:K,MATCH(B577,'Base de données Mono'!D:D,0))</f>
        <v>0.25</v>
      </c>
      <c r="J577" s="131">
        <f>INDEX('Base de données Mono'!L:L,MATCH(B577,'Base de données Mono'!D:D,0))</f>
        <v>0.83333333333333304</v>
      </c>
      <c r="K577" s="131" t="str">
        <f>INDEX('Base de données Mono'!M:M,MATCH(B577,'Base de données Mono'!D:D,0))</f>
        <v>-</v>
      </c>
      <c r="L577" s="131" t="str">
        <f>INDEX('Base de données Mono'!N:N,MATCH(B577,'Base de données Mono'!D:D,0))</f>
        <v>-</v>
      </c>
      <c r="M577" s="33" t="s">
        <v>46</v>
      </c>
      <c r="N577" s="33">
        <f>IF(AND(E577="Electricité",M577="Hiver"),INDEX('Base de données Mono'!E:E,MATCH(B577,'Base de données Mono'!D:D,0)),IF(AND(E577="Electricité",M577="Mi-saison"),INDEX('Base de données Mono'!F:F,MATCH(B577,'Base de données Mono'!D:D,0)),IF(AND(E577="Electricité",M577="Eté"),INDEX('Base de données Mono'!G:G,MATCH(B577,'Base de données Mono'!D:D,0)),IF(AND(E577="Gaz",M577="Hiver"),INDEX('Base de données Mono'!J:J,MATCH(B577,'Base de données Mono'!D:D,0)),IF(AND(E577="Gaz",M577="Mi-saison"),INDEX('Base de données Mono'!#REF!,MATCH(B577,'Base de données Mono'!D:D,0)),IF(AND(E577="Gaz",M577="Eté"),INDEX('Base de données Mono'!#REF!,MATCH(B577,'Base de données Mono'!D:D,0)),"-"))))))</f>
        <v>45</v>
      </c>
      <c r="O577" s="123">
        <v>45388</v>
      </c>
      <c r="P577" s="123">
        <v>45389</v>
      </c>
      <c r="Q577" s="34">
        <v>65</v>
      </c>
      <c r="R577" s="33">
        <f t="shared" si="63"/>
        <v>20</v>
      </c>
      <c r="S577" s="34">
        <v>2</v>
      </c>
      <c r="T577" s="34">
        <f t="shared" si="66"/>
        <v>1</v>
      </c>
      <c r="U577" s="33">
        <f t="shared" si="64"/>
        <v>40</v>
      </c>
      <c r="V577" s="38" t="s">
        <v>827</v>
      </c>
      <c r="W577" s="39">
        <f t="shared" si="65"/>
        <v>0.44444444444444442</v>
      </c>
      <c r="X577" s="40" t="s">
        <v>304</v>
      </c>
      <c r="Y577" s="40" t="s">
        <v>283</v>
      </c>
      <c r="Z577" s="40" t="s">
        <v>749</v>
      </c>
      <c r="AA577" s="33" t="s">
        <v>749</v>
      </c>
      <c r="AB577" s="95"/>
      <c r="AC577" s="95"/>
    </row>
    <row r="578" spans="1:29" ht="14.45" hidden="1" customHeight="1" x14ac:dyDescent="0.25">
      <c r="A578" s="36" t="str">
        <f>INDEX('Base de données Mono'!C:C,MATCH(B578,'Base de données Mono'!D:D,0))</f>
        <v>DIJON</v>
      </c>
      <c r="B578" t="s">
        <v>119</v>
      </c>
      <c r="C578" s="36" t="str">
        <f>INDEX('Base de données Mono'!B:B,MATCH(B578,'Base de données Mono'!D:D,0))</f>
        <v>SES8</v>
      </c>
      <c r="D578" s="36" t="str">
        <f>INDEX('Base de données Mono'!A:A,MATCH(B578,'Base de données Mono'!D:D,0))</f>
        <v>JG</v>
      </c>
      <c r="E578" s="37" t="s">
        <v>303</v>
      </c>
      <c r="F578" s="41">
        <f t="shared" si="61"/>
        <v>14</v>
      </c>
      <c r="G578" s="41">
        <f t="shared" si="62"/>
        <v>4</v>
      </c>
      <c r="H578">
        <v>8.83</v>
      </c>
      <c r="I578" s="131">
        <f>INDEX('Base de données Mono'!K:K,MATCH(B578,'Base de données Mono'!D:D,0))</f>
        <v>0.24305555555555555</v>
      </c>
      <c r="J578" s="131">
        <f>INDEX('Base de données Mono'!L:L,MATCH(B578,'Base de données Mono'!D:D,0))</f>
        <v>0.875</v>
      </c>
      <c r="K578" s="131">
        <f>INDEX('Base de données Mono'!M:M,MATCH(B578,'Base de données Mono'!D:D,0))</f>
        <v>0.3125</v>
      </c>
      <c r="L578" s="131">
        <f>INDEX('Base de données Mono'!N:N,MATCH(B578,'Base de données Mono'!D:D,0))</f>
        <v>0.54166666666666663</v>
      </c>
      <c r="M578" s="33" t="s">
        <v>46</v>
      </c>
      <c r="N578" s="33">
        <f>IF(AND(E578="Electricité",M578="Hiver"),INDEX('Base de données Mono'!E:E,MATCH(B578,'Base de données Mono'!D:D,0)),IF(AND(E578="Electricité",M578="Mi-saison"),INDEX('Base de données Mono'!F:F,MATCH(B578,'Base de données Mono'!D:D,0)),IF(AND(E578="Electricité",M578="Eté"),INDEX('Base de données Mono'!G:G,MATCH(B578,'Base de données Mono'!D:D,0)),IF(AND(E578="Gaz",M578="Hiver"),INDEX('Base de données Mono'!J:J,MATCH(B578,'Base de données Mono'!D:D,0)),IF(AND(E578="Gaz",M578="Mi-saison"),INDEX('Base de données Mono'!#REF!,MATCH(B578,'Base de données Mono'!D:D,0)),IF(AND(E578="Gaz",M578="Eté"),INDEX('Base de données Mono'!#REF!,MATCH(B578,'Base de données Mono'!D:D,0)),"-"))))))</f>
        <v>55</v>
      </c>
      <c r="O578" s="123">
        <v>45383</v>
      </c>
      <c r="P578" s="123">
        <v>45388</v>
      </c>
      <c r="Q578" s="34">
        <v>70</v>
      </c>
      <c r="R578" s="33">
        <f t="shared" si="63"/>
        <v>15</v>
      </c>
      <c r="S578" s="34">
        <v>8.8000000000000007</v>
      </c>
      <c r="T578" s="34">
        <f t="shared" si="66"/>
        <v>5</v>
      </c>
      <c r="U578" s="33">
        <f t="shared" si="64"/>
        <v>660</v>
      </c>
      <c r="V578" s="38" t="s">
        <v>827</v>
      </c>
      <c r="W578" s="39">
        <f t="shared" si="65"/>
        <v>0.27272727272727271</v>
      </c>
      <c r="X578" s="40" t="s">
        <v>304</v>
      </c>
      <c r="Y578" s="40" t="s">
        <v>284</v>
      </c>
      <c r="Z578" s="40" t="s">
        <v>305</v>
      </c>
      <c r="AA578" s="33" t="s">
        <v>771</v>
      </c>
      <c r="AB578" s="95"/>
      <c r="AC578" s="95"/>
    </row>
    <row r="579" spans="1:29" ht="14.45" hidden="1" customHeight="1" x14ac:dyDescent="0.25">
      <c r="A579" s="36" t="str">
        <f>INDEX('Base de données Mono'!C:C,MATCH(B579,'Base de données Mono'!D:D,0))</f>
        <v>DIJON</v>
      </c>
      <c r="B579" t="s">
        <v>119</v>
      </c>
      <c r="C579" s="36" t="str">
        <f>INDEX('Base de données Mono'!B:B,MATCH(B579,'Base de données Mono'!D:D,0))</f>
        <v>SES8</v>
      </c>
      <c r="D579" s="36" t="str">
        <f>INDEX('Base de données Mono'!A:A,MATCH(B579,'Base de données Mono'!D:D,0))</f>
        <v>JG</v>
      </c>
      <c r="E579" s="37" t="s">
        <v>303</v>
      </c>
      <c r="F579" s="41">
        <f t="shared" si="61"/>
        <v>14</v>
      </c>
      <c r="G579" s="41">
        <f t="shared" si="62"/>
        <v>4</v>
      </c>
      <c r="H579">
        <v>8.83</v>
      </c>
      <c r="I579" s="131">
        <f>INDEX('Base de données Mono'!K:K,MATCH(B579,'Base de données Mono'!D:D,0))</f>
        <v>0.24305555555555555</v>
      </c>
      <c r="J579" s="131">
        <f>INDEX('Base de données Mono'!L:L,MATCH(B579,'Base de données Mono'!D:D,0))</f>
        <v>0.875</v>
      </c>
      <c r="K579" s="131">
        <f>INDEX('Base de données Mono'!M:M,MATCH(B579,'Base de données Mono'!D:D,0))</f>
        <v>0.3125</v>
      </c>
      <c r="L579" s="131">
        <f>INDEX('Base de données Mono'!N:N,MATCH(B579,'Base de données Mono'!D:D,0))</f>
        <v>0.54166666666666663</v>
      </c>
      <c r="M579" s="33" t="s">
        <v>46</v>
      </c>
      <c r="N579" s="33">
        <f>IF(AND(E579="Electricité",M579="Hiver"),INDEX('Base de données Mono'!E:E,MATCH(B579,'Base de données Mono'!D:D,0)),IF(AND(E579="Electricité",M579="Mi-saison"),INDEX('Base de données Mono'!F:F,MATCH(B579,'Base de données Mono'!D:D,0)),IF(AND(E579="Electricité",M579="Eté"),INDEX('Base de données Mono'!G:G,MATCH(B579,'Base de données Mono'!D:D,0)),IF(AND(E579="Gaz",M579="Hiver"),INDEX('Base de données Mono'!J:J,MATCH(B579,'Base de données Mono'!D:D,0)),IF(AND(E579="Gaz",M579="Mi-saison"),INDEX('Base de données Mono'!#REF!,MATCH(B579,'Base de données Mono'!D:D,0)),IF(AND(E579="Gaz",M579="Eté"),INDEX('Base de données Mono'!#REF!,MATCH(B579,'Base de données Mono'!D:D,0)),"-"))))))</f>
        <v>55</v>
      </c>
      <c r="O579" s="123">
        <v>45388</v>
      </c>
      <c r="P579" s="123">
        <v>45389</v>
      </c>
      <c r="Q579" s="34">
        <v>70</v>
      </c>
      <c r="R579" s="33">
        <f t="shared" si="63"/>
        <v>15</v>
      </c>
      <c r="S579" s="34">
        <v>10.3</v>
      </c>
      <c r="T579" s="34">
        <f t="shared" si="66"/>
        <v>1</v>
      </c>
      <c r="U579" s="33">
        <f t="shared" si="64"/>
        <v>154.5</v>
      </c>
      <c r="V579" s="38" t="s">
        <v>827</v>
      </c>
      <c r="W579" s="39">
        <f t="shared" si="65"/>
        <v>0.27272727272727271</v>
      </c>
      <c r="X579" s="40" t="s">
        <v>304</v>
      </c>
      <c r="Y579" s="40" t="s">
        <v>284</v>
      </c>
      <c r="Z579" s="40" t="s">
        <v>305</v>
      </c>
      <c r="AA579" s="33" t="s">
        <v>771</v>
      </c>
      <c r="AB579" s="95"/>
      <c r="AC579" s="95"/>
    </row>
    <row r="580" spans="1:29" ht="14.45" hidden="1" customHeight="1" x14ac:dyDescent="0.25">
      <c r="A580" s="36" t="str">
        <f>INDEX('Base de données Mono'!C:C,MATCH(B580,'Base de données Mono'!D:D,0))</f>
        <v>DIJON</v>
      </c>
      <c r="B580" t="s">
        <v>119</v>
      </c>
      <c r="C580" s="36" t="str">
        <f>INDEX('Base de données Mono'!B:B,MATCH(B580,'Base de données Mono'!D:D,0))</f>
        <v>SES8</v>
      </c>
      <c r="D580" s="36" t="str">
        <f>INDEX('Base de données Mono'!A:A,MATCH(B580,'Base de données Mono'!D:D,0))</f>
        <v>JG</v>
      </c>
      <c r="E580" s="37" t="s">
        <v>303</v>
      </c>
      <c r="F580" s="41">
        <f t="shared" si="61"/>
        <v>14</v>
      </c>
      <c r="G580" s="41">
        <f t="shared" si="62"/>
        <v>4</v>
      </c>
      <c r="H580">
        <v>8.83</v>
      </c>
      <c r="I580" s="131">
        <f>INDEX('Base de données Mono'!K:K,MATCH(B580,'Base de données Mono'!D:D,0))</f>
        <v>0.24305555555555555</v>
      </c>
      <c r="J580" s="131">
        <f>INDEX('Base de données Mono'!L:L,MATCH(B580,'Base de données Mono'!D:D,0))</f>
        <v>0.875</v>
      </c>
      <c r="K580" s="131">
        <f>INDEX('Base de données Mono'!M:M,MATCH(B580,'Base de données Mono'!D:D,0))</f>
        <v>0.3125</v>
      </c>
      <c r="L580" s="131">
        <f>INDEX('Base de données Mono'!N:N,MATCH(B580,'Base de données Mono'!D:D,0))</f>
        <v>0.54166666666666663</v>
      </c>
      <c r="M580" s="33" t="s">
        <v>46</v>
      </c>
      <c r="N580" s="33">
        <f>IF(AND(E580="Electricité",M580="Hiver"),INDEX('Base de données Mono'!E:E,MATCH(B580,'Base de données Mono'!D:D,0)),IF(AND(E580="Electricité",M580="Mi-saison"),INDEX('Base de données Mono'!F:F,MATCH(B580,'Base de données Mono'!D:D,0)),IF(AND(E580="Electricité",M580="Eté"),INDEX('Base de données Mono'!G:G,MATCH(B580,'Base de données Mono'!D:D,0)),IF(AND(E580="Gaz",M580="Hiver"),INDEX('Base de données Mono'!J:J,MATCH(B580,'Base de données Mono'!D:D,0)),IF(AND(E580="Gaz",M580="Mi-saison"),INDEX('Base de données Mono'!#REF!,MATCH(B580,'Base de données Mono'!D:D,0)),IF(AND(E580="Gaz",M580="Eté"),INDEX('Base de données Mono'!#REF!,MATCH(B580,'Base de données Mono'!D:D,0)),"-"))))))</f>
        <v>55</v>
      </c>
      <c r="O580" s="123">
        <v>45389</v>
      </c>
      <c r="P580" s="123">
        <v>45389</v>
      </c>
      <c r="Q580" s="34">
        <v>110</v>
      </c>
      <c r="R580" s="33">
        <f t="shared" si="63"/>
        <v>55</v>
      </c>
      <c r="S580" s="34">
        <v>7</v>
      </c>
      <c r="T580" s="34">
        <v>1</v>
      </c>
      <c r="U580" s="33">
        <f>R580*S580*T580</f>
        <v>385</v>
      </c>
      <c r="V580" s="38" t="s">
        <v>827</v>
      </c>
      <c r="W580" s="39">
        <f>IFERROR(IF(E580="Gaz","-",R580/N580),"-")</f>
        <v>1</v>
      </c>
      <c r="X580" s="40" t="s">
        <v>730</v>
      </c>
      <c r="Y580" s="40" t="s">
        <v>284</v>
      </c>
      <c r="Z580" s="40" t="s">
        <v>307</v>
      </c>
      <c r="AA580" s="33" t="s">
        <v>308</v>
      </c>
      <c r="AB580" s="95"/>
      <c r="AC580" s="95"/>
    </row>
    <row r="581" spans="1:29" ht="14.45" hidden="1" customHeight="1" x14ac:dyDescent="0.25">
      <c r="A581" s="36" t="str">
        <f>INDEX('Base de données Mono'!C:C,MATCH(B581,'Base de données Mono'!D:D,0))</f>
        <v>LYON VALMY</v>
      </c>
      <c r="B581" t="s">
        <v>22</v>
      </c>
      <c r="C581" s="36" t="str">
        <f>INDEX('Base de données Mono'!B:B,MATCH(B581,'Base de données Mono'!D:D,0))</f>
        <v>SES8</v>
      </c>
      <c r="D581" s="36" t="str">
        <f>INDEX('Base de données Mono'!A:A,MATCH(B581,'Base de données Mono'!D:D,0))</f>
        <v>JG</v>
      </c>
      <c r="E581" s="37" t="s">
        <v>303</v>
      </c>
      <c r="F581" s="41">
        <f t="shared" si="61"/>
        <v>14</v>
      </c>
      <c r="G581" s="41">
        <f t="shared" si="62"/>
        <v>4</v>
      </c>
      <c r="H581">
        <v>7.75</v>
      </c>
      <c r="I581" s="131">
        <f>INDEX('Base de données Mono'!K:K,MATCH(B581,'Base de données Mono'!D:D,0))</f>
        <v>0.20833333333333334</v>
      </c>
      <c r="J581" s="131">
        <f>INDEX('Base de données Mono'!L:L,MATCH(B581,'Base de données Mono'!D:D,0))</f>
        <v>0.88541666666666663</v>
      </c>
      <c r="K581" s="131">
        <f>INDEX('Base de données Mono'!M:M,MATCH(B581,'Base de données Mono'!D:D,0))</f>
        <v>0.31944444444444448</v>
      </c>
      <c r="L581" s="131">
        <f>INDEX('Base de données Mono'!N:N,MATCH(B581,'Base de données Mono'!D:D,0))</f>
        <v>0.55208333333333337</v>
      </c>
      <c r="M581" s="33" t="s">
        <v>46</v>
      </c>
      <c r="N581" s="33">
        <f>IF(AND(E581="Electricité",M581="Hiver"),INDEX('Base de données Mono'!E:E,MATCH(B581,'Base de données Mono'!D:D,0)),IF(AND(E581="Electricité",M581="Mi-saison"),INDEX('Base de données Mono'!F:F,MATCH(B581,'Base de données Mono'!D:D,0)),IF(AND(E581="Electricité",M581="Eté"),INDEX('Base de données Mono'!G:G,MATCH(B581,'Base de données Mono'!D:D,0)),IF(AND(E581="Gaz",M581="Hiver"),INDEX('Base de données Mono'!J:J,MATCH(B581,'Base de données Mono'!D:D,0)),IF(AND(E581="Gaz",M581="Mi-saison"),INDEX('Base de données Mono'!#REF!,MATCH(B581,'Base de données Mono'!D:D,0)),IF(AND(E581="Gaz",M581="Eté"),INDEX('Base de données Mono'!#REF!,MATCH(B581,'Base de données Mono'!D:D,0)),"-"))))))</f>
        <v>50</v>
      </c>
      <c r="O581" s="123">
        <v>45383</v>
      </c>
      <c r="P581" s="123">
        <v>45385</v>
      </c>
      <c r="Q581" s="34">
        <v>55</v>
      </c>
      <c r="R581" s="33">
        <f t="shared" si="63"/>
        <v>5</v>
      </c>
      <c r="S581" s="34">
        <v>7.7</v>
      </c>
      <c r="T581" s="34">
        <f t="shared" si="66"/>
        <v>2</v>
      </c>
      <c r="U581" s="33">
        <f t="shared" si="64"/>
        <v>77</v>
      </c>
      <c r="V581" s="38" t="s">
        <v>827</v>
      </c>
      <c r="W581" s="39">
        <f t="shared" si="65"/>
        <v>0.1</v>
      </c>
      <c r="X581" s="40" t="s">
        <v>304</v>
      </c>
      <c r="Y581" s="40" t="s">
        <v>284</v>
      </c>
      <c r="Z581" s="40" t="s">
        <v>305</v>
      </c>
      <c r="AA581" s="33" t="s">
        <v>771</v>
      </c>
      <c r="AB581" s="95"/>
      <c r="AC581" s="95"/>
    </row>
    <row r="582" spans="1:29" ht="14.45" hidden="1" customHeight="1" x14ac:dyDescent="0.25">
      <c r="A582" s="36" t="str">
        <f>INDEX('Base de données Mono'!C:C,MATCH(B582,'Base de données Mono'!D:D,0))</f>
        <v>LYON VALMY</v>
      </c>
      <c r="B582" t="s">
        <v>22</v>
      </c>
      <c r="C582" s="36" t="str">
        <f>INDEX('Base de données Mono'!B:B,MATCH(B582,'Base de données Mono'!D:D,0))</f>
        <v>SES8</v>
      </c>
      <c r="D582" s="36" t="str">
        <f>INDEX('Base de données Mono'!A:A,MATCH(B582,'Base de données Mono'!D:D,0))</f>
        <v>JG</v>
      </c>
      <c r="E582" s="37" t="s">
        <v>303</v>
      </c>
      <c r="F582" s="41">
        <f t="shared" si="61"/>
        <v>14</v>
      </c>
      <c r="G582" s="41">
        <f t="shared" si="62"/>
        <v>4</v>
      </c>
      <c r="H582">
        <v>7.75</v>
      </c>
      <c r="I582" s="131">
        <f>INDEX('Base de données Mono'!K:K,MATCH(B582,'Base de données Mono'!D:D,0))</f>
        <v>0.20833333333333334</v>
      </c>
      <c r="J582" s="131">
        <f>INDEX('Base de données Mono'!L:L,MATCH(B582,'Base de données Mono'!D:D,0))</f>
        <v>0.88541666666666663</v>
      </c>
      <c r="K582" s="131">
        <f>INDEX('Base de données Mono'!M:M,MATCH(B582,'Base de données Mono'!D:D,0))</f>
        <v>0.31944444444444448</v>
      </c>
      <c r="L582" s="131">
        <f>INDEX('Base de données Mono'!N:N,MATCH(B582,'Base de données Mono'!D:D,0))</f>
        <v>0.55208333333333337</v>
      </c>
      <c r="M582" s="33" t="s">
        <v>46</v>
      </c>
      <c r="N582" s="33">
        <f>IF(AND(E582="Electricité",M582="Hiver"),INDEX('Base de données Mono'!E:E,MATCH(B582,'Base de données Mono'!D:D,0)),IF(AND(E582="Electricité",M582="Mi-saison"),INDEX('Base de données Mono'!F:F,MATCH(B582,'Base de données Mono'!D:D,0)),IF(AND(E582="Electricité",M582="Eté"),INDEX('Base de données Mono'!G:G,MATCH(B582,'Base de données Mono'!D:D,0)),IF(AND(E582="Gaz",M582="Hiver"),INDEX('Base de données Mono'!J:J,MATCH(B582,'Base de données Mono'!D:D,0)),IF(AND(E582="Gaz",M582="Mi-saison"),INDEX('Base de données Mono'!#REF!,MATCH(B582,'Base de données Mono'!D:D,0)),IF(AND(E582="Gaz",M582="Eté"),INDEX('Base de données Mono'!#REF!,MATCH(B582,'Base de données Mono'!D:D,0)),"-"))))))</f>
        <v>50</v>
      </c>
      <c r="O582" s="123">
        <v>45385</v>
      </c>
      <c r="P582" s="123">
        <v>45388</v>
      </c>
      <c r="Q582" s="34">
        <v>60</v>
      </c>
      <c r="R582" s="33">
        <f t="shared" si="63"/>
        <v>10</v>
      </c>
      <c r="S582" s="34">
        <v>7.7</v>
      </c>
      <c r="T582" s="34">
        <f t="shared" si="66"/>
        <v>3</v>
      </c>
      <c r="U582" s="33">
        <f t="shared" si="64"/>
        <v>231</v>
      </c>
      <c r="V582" s="38" t="s">
        <v>827</v>
      </c>
      <c r="W582" s="39">
        <f t="shared" si="65"/>
        <v>0.2</v>
      </c>
      <c r="X582" s="40" t="s">
        <v>304</v>
      </c>
      <c r="Y582" s="40" t="s">
        <v>284</v>
      </c>
      <c r="Z582" s="40" t="s">
        <v>305</v>
      </c>
      <c r="AA582" s="33" t="s">
        <v>771</v>
      </c>
      <c r="AB582" s="95"/>
      <c r="AC582" s="95"/>
    </row>
    <row r="583" spans="1:29" ht="14.45" hidden="1" customHeight="1" x14ac:dyDescent="0.25">
      <c r="A583" s="36" t="str">
        <f>INDEX('Base de données Mono'!C:C,MATCH(B583,'Base de données Mono'!D:D,0))</f>
        <v>LYON VALMY</v>
      </c>
      <c r="B583" t="s">
        <v>22</v>
      </c>
      <c r="C583" s="36" t="str">
        <f>INDEX('Base de données Mono'!B:B,MATCH(B583,'Base de données Mono'!D:D,0))</f>
        <v>SES8</v>
      </c>
      <c r="D583" s="36" t="str">
        <f>INDEX('Base de données Mono'!A:A,MATCH(B583,'Base de données Mono'!D:D,0))</f>
        <v>JG</v>
      </c>
      <c r="E583" s="37" t="s">
        <v>303</v>
      </c>
      <c r="F583" s="41">
        <f t="shared" si="61"/>
        <v>14</v>
      </c>
      <c r="G583" s="41">
        <f t="shared" si="62"/>
        <v>4</v>
      </c>
      <c r="H583">
        <v>7.75</v>
      </c>
      <c r="I583" s="131">
        <f>INDEX('Base de données Mono'!K:K,MATCH(B583,'Base de données Mono'!D:D,0))</f>
        <v>0.20833333333333334</v>
      </c>
      <c r="J583" s="131">
        <f>INDEX('Base de données Mono'!L:L,MATCH(B583,'Base de données Mono'!D:D,0))</f>
        <v>0.88541666666666663</v>
      </c>
      <c r="K583" s="131">
        <f>INDEX('Base de données Mono'!M:M,MATCH(B583,'Base de données Mono'!D:D,0))</f>
        <v>0.31944444444444448</v>
      </c>
      <c r="L583" s="131">
        <f>INDEX('Base de données Mono'!N:N,MATCH(B583,'Base de données Mono'!D:D,0))</f>
        <v>0.55208333333333337</v>
      </c>
      <c r="M583" s="33" t="s">
        <v>46</v>
      </c>
      <c r="N583" s="33">
        <f>IF(AND(E583="Electricité",M583="Hiver"),INDEX('Base de données Mono'!E:E,MATCH(B583,'Base de données Mono'!D:D,0)),IF(AND(E583="Electricité",M583="Mi-saison"),INDEX('Base de données Mono'!F:F,MATCH(B583,'Base de données Mono'!D:D,0)),IF(AND(E583="Electricité",M583="Eté"),INDEX('Base de données Mono'!G:G,MATCH(B583,'Base de données Mono'!D:D,0)),IF(AND(E583="Gaz",M583="Hiver"),INDEX('Base de données Mono'!J:J,MATCH(B583,'Base de données Mono'!D:D,0)),IF(AND(E583="Gaz",M583="Mi-saison"),INDEX('Base de données Mono'!#REF!,MATCH(B583,'Base de données Mono'!D:D,0)),IF(AND(E583="Gaz",M583="Eté"),INDEX('Base de données Mono'!#REF!,MATCH(B583,'Base de données Mono'!D:D,0)),"-"))))))</f>
        <v>50</v>
      </c>
      <c r="O583" s="123">
        <v>45388</v>
      </c>
      <c r="P583" s="123">
        <v>45389</v>
      </c>
      <c r="Q583" s="34">
        <v>60</v>
      </c>
      <c r="R583" s="33">
        <f t="shared" si="63"/>
        <v>10</v>
      </c>
      <c r="S583" s="34">
        <v>6</v>
      </c>
      <c r="T583" s="34">
        <f t="shared" si="66"/>
        <v>1</v>
      </c>
      <c r="U583" s="33">
        <f t="shared" si="64"/>
        <v>60</v>
      </c>
      <c r="V583" s="38" t="s">
        <v>827</v>
      </c>
      <c r="W583" s="39">
        <f t="shared" si="65"/>
        <v>0.2</v>
      </c>
      <c r="X583" s="40" t="s">
        <v>304</v>
      </c>
      <c r="Y583" s="40" t="s">
        <v>284</v>
      </c>
      <c r="Z583" s="40" t="s">
        <v>305</v>
      </c>
      <c r="AA583" s="33" t="s">
        <v>771</v>
      </c>
      <c r="AB583" s="95"/>
      <c r="AC583" s="95"/>
    </row>
    <row r="584" spans="1:29" ht="14.45" hidden="1" customHeight="1" x14ac:dyDescent="0.25">
      <c r="A584" s="36" t="str">
        <f>INDEX('Base de données Mono'!C:C,MATCH(B584,'Base de données Mono'!D:D,0))</f>
        <v>LYON VALMY</v>
      </c>
      <c r="B584" t="s">
        <v>22</v>
      </c>
      <c r="C584" s="36" t="str">
        <f>INDEX('Base de données Mono'!B:B,MATCH(B584,'Base de données Mono'!D:D,0))</f>
        <v>SES8</v>
      </c>
      <c r="D584" s="36" t="str">
        <f>INDEX('Base de données Mono'!A:A,MATCH(B584,'Base de données Mono'!D:D,0))</f>
        <v>JG</v>
      </c>
      <c r="E584" s="37" t="s">
        <v>303</v>
      </c>
      <c r="F584" s="41">
        <f t="shared" si="61"/>
        <v>14</v>
      </c>
      <c r="G584" s="41">
        <f t="shared" si="62"/>
        <v>4</v>
      </c>
      <c r="H584">
        <v>7.75</v>
      </c>
      <c r="I584" s="131">
        <f>INDEX('Base de données Mono'!K:K,MATCH(B584,'Base de données Mono'!D:D,0))</f>
        <v>0.20833333333333334</v>
      </c>
      <c r="J584" s="131">
        <f>INDEX('Base de données Mono'!L:L,MATCH(B584,'Base de données Mono'!D:D,0))</f>
        <v>0.88541666666666663</v>
      </c>
      <c r="K584" s="131">
        <f>INDEX('Base de données Mono'!M:M,MATCH(B584,'Base de données Mono'!D:D,0))</f>
        <v>0.31944444444444448</v>
      </c>
      <c r="L584" s="131">
        <f>INDEX('Base de données Mono'!N:N,MATCH(B584,'Base de données Mono'!D:D,0))</f>
        <v>0.55208333333333337</v>
      </c>
      <c r="M584" s="33" t="s">
        <v>46</v>
      </c>
      <c r="N584" s="33">
        <f>IF(AND(E584="Electricité",M584="Hiver"),INDEX('Base de données Mono'!E:E,MATCH(B584,'Base de données Mono'!D:D,0)),IF(AND(E584="Electricité",M584="Mi-saison"),INDEX('Base de données Mono'!F:F,MATCH(B584,'Base de données Mono'!D:D,0)),IF(AND(E584="Electricité",M584="Eté"),INDEX('Base de données Mono'!G:G,MATCH(B584,'Base de données Mono'!D:D,0)),IF(AND(E584="Gaz",M584="Hiver"),INDEX('Base de données Mono'!J:J,MATCH(B584,'Base de données Mono'!D:D,0)),IF(AND(E584="Gaz",M584="Mi-saison"),INDEX('Base de données Mono'!#REF!,MATCH(B584,'Base de données Mono'!D:D,0)),IF(AND(E584="Gaz",M584="Eté"),INDEX('Base de données Mono'!#REF!,MATCH(B584,'Base de données Mono'!D:D,0)),"-"))))))</f>
        <v>50</v>
      </c>
      <c r="O584" s="123">
        <v>45389</v>
      </c>
      <c r="P584" s="123">
        <v>45389</v>
      </c>
      <c r="Q584" s="34">
        <v>95</v>
      </c>
      <c r="R584" s="33">
        <f t="shared" si="63"/>
        <v>45</v>
      </c>
      <c r="S584" s="34">
        <v>6.5</v>
      </c>
      <c r="T584" s="34">
        <v>1</v>
      </c>
      <c r="U584" s="33">
        <f t="shared" si="64"/>
        <v>292.5</v>
      </c>
      <c r="V584" s="38" t="s">
        <v>827</v>
      </c>
      <c r="W584" s="39">
        <f t="shared" si="65"/>
        <v>0.9</v>
      </c>
      <c r="X584" s="40" t="s">
        <v>730</v>
      </c>
      <c r="Y584" s="40" t="s">
        <v>284</v>
      </c>
      <c r="Z584" s="40" t="s">
        <v>307</v>
      </c>
      <c r="AA584" s="33" t="s">
        <v>308</v>
      </c>
      <c r="AB584" s="95"/>
      <c r="AC584" s="95"/>
    </row>
    <row r="585" spans="1:29" ht="14.45" hidden="1" customHeight="1" x14ac:dyDescent="0.25">
      <c r="A585" s="36" t="str">
        <f>INDEX('Base de données Mono'!C:C,MATCH(B585,'Base de données Mono'!D:D,0))</f>
        <v>LYON VALMY</v>
      </c>
      <c r="B585" t="s">
        <v>22</v>
      </c>
      <c r="C585" s="36" t="str">
        <f>INDEX('Base de données Mono'!B:B,MATCH(B585,'Base de données Mono'!D:D,0))</f>
        <v>SES8</v>
      </c>
      <c r="D585" s="36" t="str">
        <f>INDEX('Base de données Mono'!A:A,MATCH(B585,'Base de données Mono'!D:D,0))</f>
        <v>JG</v>
      </c>
      <c r="E585" s="37" t="s">
        <v>303</v>
      </c>
      <c r="F585" s="41">
        <f t="shared" si="61"/>
        <v>14</v>
      </c>
      <c r="G585" s="41">
        <f t="shared" si="62"/>
        <v>4</v>
      </c>
      <c r="H585">
        <v>7.75</v>
      </c>
      <c r="I585" s="131">
        <f>INDEX('Base de données Mono'!K:K,MATCH(B585,'Base de données Mono'!D:D,0))</f>
        <v>0.20833333333333334</v>
      </c>
      <c r="J585" s="131">
        <f>INDEX('Base de données Mono'!L:L,MATCH(B585,'Base de données Mono'!D:D,0))</f>
        <v>0.88541666666666663</v>
      </c>
      <c r="K585" s="131">
        <f>INDEX('Base de données Mono'!M:M,MATCH(B585,'Base de données Mono'!D:D,0))</f>
        <v>0.31944444444444448</v>
      </c>
      <c r="L585" s="131">
        <f>INDEX('Base de données Mono'!N:N,MATCH(B585,'Base de données Mono'!D:D,0))</f>
        <v>0.55208333333333337</v>
      </c>
      <c r="M585" s="33" t="s">
        <v>46</v>
      </c>
      <c r="N585" s="33">
        <f>IF(AND(E585="Electricité",M585="Hiver"),INDEX('Base de données Mono'!E:E,MATCH(B585,'Base de données Mono'!D:D,0)),IF(AND(E585="Electricité",M585="Mi-saison"),INDEX('Base de données Mono'!F:F,MATCH(B585,'Base de données Mono'!D:D,0)),IF(AND(E585="Electricité",M585="Eté"),INDEX('Base de données Mono'!G:G,MATCH(B585,'Base de données Mono'!D:D,0)),IF(AND(E585="Gaz",M585="Hiver"),INDEX('Base de données Mono'!J:J,MATCH(B585,'Base de données Mono'!D:D,0)),IF(AND(E585="Gaz",M585="Mi-saison"),INDEX('Base de données Mono'!#REF!,MATCH(B585,'Base de données Mono'!D:D,0)),IF(AND(E585="Gaz",M585="Eté"),INDEX('Base de données Mono'!#REF!,MATCH(B585,'Base de données Mono'!D:D,0)),"-"))))))</f>
        <v>50</v>
      </c>
      <c r="O585" s="123">
        <v>45389</v>
      </c>
      <c r="P585" s="123">
        <v>45389</v>
      </c>
      <c r="Q585" s="34">
        <v>75</v>
      </c>
      <c r="R585" s="33">
        <f t="shared" si="63"/>
        <v>25</v>
      </c>
      <c r="S585" s="34">
        <v>1.5</v>
      </c>
      <c r="T585" s="34">
        <v>1</v>
      </c>
      <c r="U585" s="33">
        <f t="shared" si="64"/>
        <v>37.5</v>
      </c>
      <c r="V585" s="38" t="s">
        <v>827</v>
      </c>
      <c r="W585" s="39">
        <f t="shared" si="65"/>
        <v>0.5</v>
      </c>
      <c r="X585" s="40" t="s">
        <v>730</v>
      </c>
      <c r="Y585" s="40" t="s">
        <v>284</v>
      </c>
      <c r="Z585" s="40" t="s">
        <v>305</v>
      </c>
      <c r="AA585" s="33" t="s">
        <v>771</v>
      </c>
      <c r="AB585" s="95"/>
      <c r="AC585" s="95"/>
    </row>
    <row r="586" spans="1:29" ht="14.45" hidden="1" customHeight="1" x14ac:dyDescent="0.25">
      <c r="A586" s="36" t="str">
        <f>INDEX('Base de données Mono'!C:C,MATCH(B586,'Base de données Mono'!D:D,0))</f>
        <v>GRENOBLE VALLIER</v>
      </c>
      <c r="B586" t="s">
        <v>137</v>
      </c>
      <c r="C586" s="36" t="str">
        <f>INDEX('Base de données Mono'!B:B,MATCH(B586,'Base de données Mono'!D:D,0))</f>
        <v>Monoprix</v>
      </c>
      <c r="D586" s="36" t="str">
        <f>INDEX('Base de données Mono'!A:A,MATCH(B586,'Base de données Mono'!D:D,0))</f>
        <v>JG</v>
      </c>
      <c r="E586" s="37" t="s">
        <v>303</v>
      </c>
      <c r="F586" s="41">
        <f t="shared" si="61"/>
        <v>14</v>
      </c>
      <c r="G586" s="41">
        <f t="shared" si="62"/>
        <v>4</v>
      </c>
      <c r="H586">
        <v>7.83</v>
      </c>
      <c r="I586" s="131">
        <f>INDEX('Base de données Mono'!K:K,MATCH(B586,'Base de données Mono'!D:D,0))</f>
        <v>0.24305555555555555</v>
      </c>
      <c r="J586" s="131">
        <f>INDEX('Base de données Mono'!L:L,MATCH(B586,'Base de données Mono'!D:D,0))</f>
        <v>0.91666666666666663</v>
      </c>
      <c r="K586" s="131">
        <f>INDEX('Base de données Mono'!M:M,MATCH(B586,'Base de données Mono'!D:D,0))</f>
        <v>0.24305555555555555</v>
      </c>
      <c r="L586" s="131">
        <f>INDEX('Base de données Mono'!N:N,MATCH(B586,'Base de données Mono'!D:D,0))</f>
        <v>0.5625</v>
      </c>
      <c r="M586" s="33" t="s">
        <v>46</v>
      </c>
      <c r="N586" s="33">
        <f>IF(AND(E586="Electricité",M586="Hiver"),INDEX('Base de données Mono'!E:E,MATCH(B586,'Base de données Mono'!D:D,0)),IF(AND(E586="Electricité",M586="Mi-saison"),INDEX('Base de données Mono'!F:F,MATCH(B586,'Base de données Mono'!D:D,0)),IF(AND(E586="Electricité",M586="Eté"),INDEX('Base de données Mono'!G:G,MATCH(B586,'Base de données Mono'!D:D,0)),IF(AND(E586="Gaz",M586="Hiver"),INDEX('Base de données Mono'!J:J,MATCH(B586,'Base de données Mono'!D:D,0)),IF(AND(E586="Gaz",M586="Mi-saison"),INDEX('Base de données Mono'!#REF!,MATCH(B586,'Base de données Mono'!D:D,0)),IF(AND(E586="Gaz",M586="Eté"),INDEX('Base de données Mono'!#REF!,MATCH(B586,'Base de données Mono'!D:D,0)),"-"))))))</f>
        <v>25</v>
      </c>
      <c r="O586" s="123">
        <v>45383</v>
      </c>
      <c r="P586" s="123">
        <v>45389</v>
      </c>
      <c r="Q586" s="34">
        <v>45</v>
      </c>
      <c r="R586" s="33">
        <f t="shared" si="63"/>
        <v>20</v>
      </c>
      <c r="S586" s="34">
        <v>7</v>
      </c>
      <c r="T586" s="34">
        <f t="shared" si="66"/>
        <v>6</v>
      </c>
      <c r="U586" s="33">
        <f t="shared" si="64"/>
        <v>840</v>
      </c>
      <c r="V586" s="38" t="s">
        <v>827</v>
      </c>
      <c r="W586" s="39">
        <f t="shared" si="65"/>
        <v>0.8</v>
      </c>
      <c r="X586" s="40" t="s">
        <v>304</v>
      </c>
      <c r="Y586" s="40" t="s">
        <v>283</v>
      </c>
      <c r="Z586" s="40" t="s">
        <v>749</v>
      </c>
      <c r="AA586" s="33" t="s">
        <v>749</v>
      </c>
      <c r="AB586" s="95"/>
      <c r="AC586" s="95"/>
    </row>
    <row r="587" spans="1:29" ht="14.45" hidden="1" customHeight="1" x14ac:dyDescent="0.25">
      <c r="A587" s="36" t="str">
        <f>INDEX('Base de données Mono'!C:C,MATCH(B587,'Base de données Mono'!D:D,0))</f>
        <v>LYON GBL</v>
      </c>
      <c r="B587" t="s">
        <v>167</v>
      </c>
      <c r="C587" s="36" t="str">
        <f>INDEX('Base de données Mono'!B:B,MATCH(B587,'Base de données Mono'!D:D,0))</f>
        <v>SES8</v>
      </c>
      <c r="D587" s="36" t="str">
        <f>INDEX('Base de données Mono'!A:A,MATCH(B587,'Base de données Mono'!D:D,0))</f>
        <v>JG</v>
      </c>
      <c r="E587" s="37" t="s">
        <v>303</v>
      </c>
      <c r="F587" s="41">
        <f>IF(O587="","-",IF(AND(X587="Nuit",WEEKDAY(O587,2)=7,O587&lt;&gt;P587),WEEKNUM(O587,2),WEEKNUM(O587,2)-1))+1</f>
        <v>14</v>
      </c>
      <c r="G587" s="41">
        <f>IF(O587="","-",MONTH(O587))</f>
        <v>4</v>
      </c>
      <c r="H587">
        <v>7.25</v>
      </c>
      <c r="I587" s="131">
        <f>INDEX('Base de données Mono'!K:K,MATCH(B587,'Base de données Mono'!D:D,0))</f>
        <v>0.19791666666666666</v>
      </c>
      <c r="J587" s="131">
        <f>INDEX('Base de données Mono'!L:L,MATCH(B587,'Base de données Mono'!D:D,0))</f>
        <v>0.89583333333333337</v>
      </c>
      <c r="K587" s="131">
        <f>INDEX('Base de données Mono'!M:M,MATCH(B587,'Base de données Mono'!D:D,0))</f>
        <v>0.27083333333333331</v>
      </c>
      <c r="L587" s="131">
        <f>INDEX('Base de données Mono'!N:N,MATCH(B587,'Base de données Mono'!D:D,0))</f>
        <v>0.54166666666666663</v>
      </c>
      <c r="M587" s="33" t="s">
        <v>46</v>
      </c>
      <c r="N587" s="33">
        <f>IF(AND(E587="Electricité",M587="Hiver"),INDEX('Base de données Mono'!E:E,MATCH(B587,'Base de données Mono'!D:D,0)),IF(AND(E587="Electricité",M587="Mi-saison"),INDEX('Base de données Mono'!F:F,MATCH(B587,'Base de données Mono'!D:D,0)),IF(AND(E587="Electricité",M587="Eté"),INDEX('Base de données Mono'!G:G,MATCH(B587,'Base de données Mono'!D:D,0)),IF(AND(E587="Gaz",M587="Hiver"),INDEX('Base de données Mono'!J:J,MATCH(B587,'Base de données Mono'!D:D,0)),IF(AND(E587="Gaz",M587="Mi-saison"),INDEX('Base de données Mono'!#REF!,MATCH(B587,'Base de données Mono'!D:D,0)),IF(AND(E587="Gaz",M587="Eté"),INDEX('Base de données Mono'!#REF!,MATCH(B587,'Base de données Mono'!D:D,0)),"-"))))))</f>
        <v>120</v>
      </c>
      <c r="O587" s="123">
        <v>45383</v>
      </c>
      <c r="P587" s="123">
        <v>45384</v>
      </c>
      <c r="Q587" s="34">
        <v>200</v>
      </c>
      <c r="R587" s="33">
        <f>IF(Q587="","",Q587-N587)</f>
        <v>80</v>
      </c>
      <c r="S587" s="34">
        <v>7.2</v>
      </c>
      <c r="T587" s="34">
        <f>P587-O587</f>
        <v>1</v>
      </c>
      <c r="U587" s="33">
        <f>R587*S587*T587</f>
        <v>576</v>
      </c>
      <c r="V587" s="38" t="s">
        <v>827</v>
      </c>
      <c r="W587" s="39">
        <f>IFERROR(IF(E587="Gaz","-",R587/N587),"-")</f>
        <v>0.66666666666666663</v>
      </c>
      <c r="X587" s="40" t="s">
        <v>304</v>
      </c>
      <c r="Y587" s="40" t="s">
        <v>283</v>
      </c>
      <c r="Z587" s="40" t="s">
        <v>749</v>
      </c>
      <c r="AA587" s="33" t="s">
        <v>749</v>
      </c>
      <c r="AB587" s="95"/>
      <c r="AC587" s="95" t="s">
        <v>838</v>
      </c>
    </row>
    <row r="588" spans="1:29" ht="14.45" hidden="1" customHeight="1" x14ac:dyDescent="0.25">
      <c r="A588" s="36" t="str">
        <f>INDEX('Base de données Mono'!C:C,MATCH(B588,'Base de données Mono'!D:D,0))</f>
        <v>LYON GBL</v>
      </c>
      <c r="B588" t="s">
        <v>167</v>
      </c>
      <c r="C588" s="36" t="str">
        <f>INDEX('Base de données Mono'!B:B,MATCH(B588,'Base de données Mono'!D:D,0))</f>
        <v>SES8</v>
      </c>
      <c r="D588" s="36" t="str">
        <f>INDEX('Base de données Mono'!A:A,MATCH(B588,'Base de données Mono'!D:D,0))</f>
        <v>JG</v>
      </c>
      <c r="E588" s="37" t="s">
        <v>303</v>
      </c>
      <c r="F588" s="41">
        <f t="shared" si="61"/>
        <v>14</v>
      </c>
      <c r="G588" s="41">
        <f t="shared" si="62"/>
        <v>4</v>
      </c>
      <c r="H588">
        <v>7.25</v>
      </c>
      <c r="I588" s="131">
        <f>INDEX('Base de données Mono'!K:K,MATCH(B588,'Base de données Mono'!D:D,0))</f>
        <v>0.19791666666666666</v>
      </c>
      <c r="J588" s="131">
        <f>INDEX('Base de données Mono'!L:L,MATCH(B588,'Base de données Mono'!D:D,0))</f>
        <v>0.89583333333333337</v>
      </c>
      <c r="K588" s="131">
        <f>INDEX('Base de données Mono'!M:M,MATCH(B588,'Base de données Mono'!D:D,0))</f>
        <v>0.27083333333333331</v>
      </c>
      <c r="L588" s="131">
        <f>INDEX('Base de données Mono'!N:N,MATCH(B588,'Base de données Mono'!D:D,0))</f>
        <v>0.54166666666666663</v>
      </c>
      <c r="M588" s="33" t="s">
        <v>46</v>
      </c>
      <c r="N588" s="33">
        <f>IF(AND(E588="Electricité",M588="Hiver"),INDEX('Base de données Mono'!E:E,MATCH(B588,'Base de données Mono'!D:D,0)),IF(AND(E588="Electricité",M588="Mi-saison"),INDEX('Base de données Mono'!F:F,MATCH(B588,'Base de données Mono'!D:D,0)),IF(AND(E588="Electricité",M588="Eté"),INDEX('Base de données Mono'!G:G,MATCH(B588,'Base de données Mono'!D:D,0)),IF(AND(E588="Gaz",M588="Hiver"),INDEX('Base de données Mono'!J:J,MATCH(B588,'Base de données Mono'!D:D,0)),IF(AND(E588="Gaz",M588="Mi-saison"),INDEX('Base de données Mono'!#REF!,MATCH(B588,'Base de données Mono'!D:D,0)),IF(AND(E588="Gaz",M588="Eté"),INDEX('Base de données Mono'!#REF!,MATCH(B588,'Base de données Mono'!D:D,0)),"-"))))))</f>
        <v>120</v>
      </c>
      <c r="O588" s="123">
        <v>45384</v>
      </c>
      <c r="P588" s="123">
        <v>45388</v>
      </c>
      <c r="Q588" s="34">
        <v>175</v>
      </c>
      <c r="R588" s="33">
        <f t="shared" si="63"/>
        <v>55</v>
      </c>
      <c r="S588" s="34">
        <v>7.2</v>
      </c>
      <c r="T588" s="34">
        <f>P588-O588</f>
        <v>4</v>
      </c>
      <c r="U588" s="33">
        <f t="shared" si="64"/>
        <v>1584</v>
      </c>
      <c r="V588" s="38" t="s">
        <v>827</v>
      </c>
      <c r="W588" s="39">
        <f t="shared" si="65"/>
        <v>0.45833333333333331</v>
      </c>
      <c r="X588" s="40" t="s">
        <v>304</v>
      </c>
      <c r="Y588" s="40" t="s">
        <v>283</v>
      </c>
      <c r="Z588" s="40" t="s">
        <v>749</v>
      </c>
      <c r="AA588" s="33" t="s">
        <v>749</v>
      </c>
      <c r="AB588" s="95"/>
      <c r="AC588" s="95"/>
    </row>
    <row r="589" spans="1:29" ht="14.45" hidden="1" customHeight="1" x14ac:dyDescent="0.25">
      <c r="A589" s="36" t="str">
        <f>INDEX('Base de données Mono'!C:C,MATCH(B589,'Base de données Mono'!D:D,0))</f>
        <v>STRASBOURG NEUDROF</v>
      </c>
      <c r="B589" t="s">
        <v>245</v>
      </c>
      <c r="C589" s="36" t="str">
        <f>INDEX('Base de données Mono'!B:B,MATCH(B589,'Base de données Mono'!D:D,0))</f>
        <v>Monoprix</v>
      </c>
      <c r="D589" s="36" t="str">
        <f>INDEX('Base de données Mono'!A:A,MATCH(B589,'Base de données Mono'!D:D,0))</f>
        <v>JG</v>
      </c>
      <c r="E589" s="37" t="s">
        <v>303</v>
      </c>
      <c r="F589" s="41">
        <f t="shared" si="61"/>
        <v>14</v>
      </c>
      <c r="G589" s="41">
        <f t="shared" si="62"/>
        <v>4</v>
      </c>
      <c r="H589">
        <v>9.25</v>
      </c>
      <c r="I589" s="131">
        <f>INDEX('Base de données Mono'!K:K,MATCH(B589,'Base de données Mono'!D:D,0))</f>
        <v>0.25</v>
      </c>
      <c r="J589" s="131">
        <f>INDEX('Base de données Mono'!L:L,MATCH(B589,'Base de données Mono'!D:D,0))</f>
        <v>0.86458333333333337</v>
      </c>
      <c r="K589" s="131" t="str">
        <f>INDEX('Base de données Mono'!M:M,MATCH(B589,'Base de données Mono'!D:D,0))</f>
        <v>-</v>
      </c>
      <c r="L589" s="131" t="str">
        <f>INDEX('Base de données Mono'!N:N,MATCH(B589,'Base de données Mono'!D:D,0))</f>
        <v>-</v>
      </c>
      <c r="M589" s="33" t="s">
        <v>46</v>
      </c>
      <c r="N589" s="33">
        <f>IF(AND(E589="Electricité",M589="Hiver"),INDEX('Base de données Mono'!E:E,MATCH(B589,'Base de données Mono'!D:D,0)),IF(AND(E589="Electricité",M589="Mi-saison"),INDEX('Base de données Mono'!F:F,MATCH(B589,'Base de données Mono'!D:D,0)),IF(AND(E589="Electricité",M589="Eté"),INDEX('Base de données Mono'!G:G,MATCH(B589,'Base de données Mono'!D:D,0)),IF(AND(E589="Gaz",M589="Hiver"),INDEX('Base de données Mono'!J:J,MATCH(B589,'Base de données Mono'!D:D,0)),IF(AND(E589="Gaz",M589="Mi-saison"),INDEX('Base de données Mono'!#REF!,MATCH(B589,'Base de données Mono'!D:D,0)),IF(AND(E589="Gaz",M589="Eté"),INDEX('Base de données Mono'!#REF!,MATCH(B589,'Base de données Mono'!D:D,0)),"-"))))))</f>
        <v>40</v>
      </c>
      <c r="O589" s="123">
        <v>45383</v>
      </c>
      <c r="P589" s="123">
        <v>45386</v>
      </c>
      <c r="Q589" s="34">
        <v>45</v>
      </c>
      <c r="R589" s="33">
        <f t="shared" si="63"/>
        <v>5</v>
      </c>
      <c r="S589" s="34">
        <v>1</v>
      </c>
      <c r="T589" s="34">
        <f t="shared" si="66"/>
        <v>3</v>
      </c>
      <c r="U589" s="33">
        <f t="shared" si="64"/>
        <v>15</v>
      </c>
      <c r="V589" s="38" t="s">
        <v>827</v>
      </c>
      <c r="W589" s="39">
        <f t="shared" si="65"/>
        <v>0.125</v>
      </c>
      <c r="X589" s="40" t="s">
        <v>304</v>
      </c>
      <c r="Y589" s="40" t="s">
        <v>283</v>
      </c>
      <c r="Z589" s="40" t="s">
        <v>749</v>
      </c>
      <c r="AA589" s="33" t="s">
        <v>749</v>
      </c>
      <c r="AB589" s="95"/>
      <c r="AC589" s="95"/>
    </row>
    <row r="590" spans="1:29" ht="14.45" hidden="1" customHeight="1" x14ac:dyDescent="0.25">
      <c r="A590" s="36" t="str">
        <f>INDEX('Base de données Mono'!C:C,MATCH(B590,'Base de données Mono'!D:D,0))</f>
        <v>STRASBOURG NEUDROF</v>
      </c>
      <c r="B590" t="s">
        <v>245</v>
      </c>
      <c r="C590" s="36" t="str">
        <f>INDEX('Base de données Mono'!B:B,MATCH(B590,'Base de données Mono'!D:D,0))</f>
        <v>Monoprix</v>
      </c>
      <c r="D590" s="36" t="str">
        <f>INDEX('Base de données Mono'!A:A,MATCH(B590,'Base de données Mono'!D:D,0))</f>
        <v>JG</v>
      </c>
      <c r="E590" s="37" t="s">
        <v>303</v>
      </c>
      <c r="F590" s="41">
        <f t="shared" si="61"/>
        <v>14</v>
      </c>
      <c r="G590" s="41">
        <f t="shared" si="62"/>
        <v>4</v>
      </c>
      <c r="H590">
        <v>9.25</v>
      </c>
      <c r="I590" s="131">
        <f>INDEX('Base de données Mono'!K:K,MATCH(B590,'Base de données Mono'!D:D,0))</f>
        <v>0.25</v>
      </c>
      <c r="J590" s="131">
        <f>INDEX('Base de données Mono'!L:L,MATCH(B590,'Base de données Mono'!D:D,0))</f>
        <v>0.86458333333333337</v>
      </c>
      <c r="K590" s="131" t="str">
        <f>INDEX('Base de données Mono'!M:M,MATCH(B590,'Base de données Mono'!D:D,0))</f>
        <v>-</v>
      </c>
      <c r="L590" s="131" t="str">
        <f>INDEX('Base de données Mono'!N:N,MATCH(B590,'Base de données Mono'!D:D,0))</f>
        <v>-</v>
      </c>
      <c r="M590" s="33" t="s">
        <v>46</v>
      </c>
      <c r="N590" s="33">
        <f>IF(AND(E590="Electricité",M590="Hiver"),INDEX('Base de données Mono'!E:E,MATCH(B590,'Base de données Mono'!D:D,0)),IF(AND(E590="Electricité",M590="Mi-saison"),INDEX('Base de données Mono'!F:F,MATCH(B590,'Base de données Mono'!D:D,0)),IF(AND(E590="Electricité",M590="Eté"),INDEX('Base de données Mono'!G:G,MATCH(B590,'Base de données Mono'!D:D,0)),IF(AND(E590="Gaz",M590="Hiver"),INDEX('Base de données Mono'!J:J,MATCH(B590,'Base de données Mono'!D:D,0)),IF(AND(E590="Gaz",M590="Mi-saison"),INDEX('Base de données Mono'!#REF!,MATCH(B590,'Base de données Mono'!D:D,0)),IF(AND(E590="Gaz",M590="Eté"),INDEX('Base de données Mono'!#REF!,MATCH(B590,'Base de données Mono'!D:D,0)),"-"))))))</f>
        <v>40</v>
      </c>
      <c r="O590" s="123">
        <v>45383</v>
      </c>
      <c r="P590" s="123">
        <v>45385</v>
      </c>
      <c r="Q590" s="34">
        <v>60</v>
      </c>
      <c r="R590" s="33">
        <f t="shared" si="63"/>
        <v>20</v>
      </c>
      <c r="S590" s="34">
        <v>1</v>
      </c>
      <c r="T590" s="34">
        <f t="shared" si="66"/>
        <v>2</v>
      </c>
      <c r="U590" s="33">
        <f t="shared" si="64"/>
        <v>40</v>
      </c>
      <c r="V590" s="38" t="s">
        <v>827</v>
      </c>
      <c r="W590" s="39">
        <f t="shared" si="65"/>
        <v>0.5</v>
      </c>
      <c r="X590" s="40" t="s">
        <v>304</v>
      </c>
      <c r="Y590" s="40" t="s">
        <v>283</v>
      </c>
      <c r="Z590" s="40" t="s">
        <v>749</v>
      </c>
      <c r="AA590" s="33" t="s">
        <v>749</v>
      </c>
      <c r="AB590" s="95"/>
      <c r="AC590" s="95"/>
    </row>
    <row r="591" spans="1:29" ht="14.45" hidden="1" customHeight="1" x14ac:dyDescent="0.25">
      <c r="A591" s="36" t="str">
        <f>INDEX('Base de données Mono'!C:C,MATCH(B591,'Base de données Mono'!D:D,0))</f>
        <v>STRASBOURG NEUDROF</v>
      </c>
      <c r="B591" t="s">
        <v>245</v>
      </c>
      <c r="C591" s="36" t="str">
        <f>INDEX('Base de données Mono'!B:B,MATCH(B591,'Base de données Mono'!D:D,0))</f>
        <v>Monoprix</v>
      </c>
      <c r="D591" s="36" t="str">
        <f>INDEX('Base de données Mono'!A:A,MATCH(B591,'Base de données Mono'!D:D,0))</f>
        <v>JG</v>
      </c>
      <c r="E591" s="37" t="s">
        <v>303</v>
      </c>
      <c r="F591" s="41">
        <f t="shared" si="61"/>
        <v>14</v>
      </c>
      <c r="G591" s="41">
        <f t="shared" si="62"/>
        <v>4</v>
      </c>
      <c r="H591">
        <v>9.25</v>
      </c>
      <c r="I591" s="131">
        <f>INDEX('Base de données Mono'!K:K,MATCH(B591,'Base de données Mono'!D:D,0))</f>
        <v>0.25</v>
      </c>
      <c r="J591" s="131">
        <f>INDEX('Base de données Mono'!L:L,MATCH(B591,'Base de données Mono'!D:D,0))</f>
        <v>0.86458333333333337</v>
      </c>
      <c r="K591" s="131" t="str">
        <f>INDEX('Base de données Mono'!M:M,MATCH(B591,'Base de données Mono'!D:D,0))</f>
        <v>-</v>
      </c>
      <c r="L591" s="131" t="str">
        <f>INDEX('Base de données Mono'!N:N,MATCH(B591,'Base de données Mono'!D:D,0))</f>
        <v>-</v>
      </c>
      <c r="M591" s="33" t="s">
        <v>46</v>
      </c>
      <c r="N591" s="33">
        <f>IF(AND(E591="Electricité",M591="Hiver"),INDEX('Base de données Mono'!E:E,MATCH(B591,'Base de données Mono'!D:D,0)),IF(AND(E591="Electricité",M591="Mi-saison"),INDEX('Base de données Mono'!F:F,MATCH(B591,'Base de données Mono'!D:D,0)),IF(AND(E591="Electricité",M591="Eté"),INDEX('Base de données Mono'!G:G,MATCH(B591,'Base de données Mono'!D:D,0)),IF(AND(E591="Gaz",M591="Hiver"),INDEX('Base de données Mono'!J:J,MATCH(B591,'Base de données Mono'!D:D,0)),IF(AND(E591="Gaz",M591="Mi-saison"),INDEX('Base de données Mono'!#REF!,MATCH(B591,'Base de données Mono'!D:D,0)),IF(AND(E591="Gaz",M591="Eté"),INDEX('Base de données Mono'!#REF!,MATCH(B591,'Base de données Mono'!D:D,0)),"-"))))))</f>
        <v>40</v>
      </c>
      <c r="O591" s="123">
        <v>45385</v>
      </c>
      <c r="P591" s="123">
        <v>45386</v>
      </c>
      <c r="Q591" s="34">
        <v>65</v>
      </c>
      <c r="R591" s="33">
        <f t="shared" si="63"/>
        <v>25</v>
      </c>
      <c r="S591" s="34">
        <v>1</v>
      </c>
      <c r="T591" s="34">
        <f t="shared" si="66"/>
        <v>1</v>
      </c>
      <c r="U591" s="33">
        <f t="shared" si="64"/>
        <v>25</v>
      </c>
      <c r="V591" s="38" t="s">
        <v>827</v>
      </c>
      <c r="W591" s="39">
        <f t="shared" si="65"/>
        <v>0.625</v>
      </c>
      <c r="X591" s="40" t="s">
        <v>304</v>
      </c>
      <c r="Y591" s="40" t="s">
        <v>283</v>
      </c>
      <c r="Z591" s="40" t="s">
        <v>749</v>
      </c>
      <c r="AA591" s="33" t="s">
        <v>749</v>
      </c>
      <c r="AB591" s="95"/>
      <c r="AC591" s="95"/>
    </row>
    <row r="592" spans="1:29" ht="14.45" hidden="1" customHeight="1" x14ac:dyDescent="0.25">
      <c r="A592" s="36" t="str">
        <f>INDEX('Base de données Mono'!C:C,MATCH(B592,'Base de données Mono'!D:D,0))</f>
        <v>STRASBOURG NEUDROF</v>
      </c>
      <c r="B592" t="s">
        <v>245</v>
      </c>
      <c r="C592" s="36" t="str">
        <f>INDEX('Base de données Mono'!B:B,MATCH(B592,'Base de données Mono'!D:D,0))</f>
        <v>Monoprix</v>
      </c>
      <c r="D592" s="36" t="str">
        <f>INDEX('Base de données Mono'!A:A,MATCH(B592,'Base de données Mono'!D:D,0))</f>
        <v>JG</v>
      </c>
      <c r="E592" s="37" t="s">
        <v>303</v>
      </c>
      <c r="F592" s="41">
        <f t="shared" si="61"/>
        <v>14</v>
      </c>
      <c r="G592" s="41">
        <f t="shared" si="62"/>
        <v>4</v>
      </c>
      <c r="H592">
        <v>9.25</v>
      </c>
      <c r="I592" s="131">
        <f>INDEX('Base de données Mono'!K:K,MATCH(B592,'Base de données Mono'!D:D,0))</f>
        <v>0.25</v>
      </c>
      <c r="J592" s="131">
        <f>INDEX('Base de données Mono'!L:L,MATCH(B592,'Base de données Mono'!D:D,0))</f>
        <v>0.86458333333333337</v>
      </c>
      <c r="K592" s="131" t="str">
        <f>INDEX('Base de données Mono'!M:M,MATCH(B592,'Base de données Mono'!D:D,0))</f>
        <v>-</v>
      </c>
      <c r="L592" s="131" t="str">
        <f>INDEX('Base de données Mono'!N:N,MATCH(B592,'Base de données Mono'!D:D,0))</f>
        <v>-</v>
      </c>
      <c r="M592" s="33" t="s">
        <v>46</v>
      </c>
      <c r="N592" s="33">
        <f>IF(AND(E592="Electricité",M592="Hiver"),INDEX('Base de données Mono'!E:E,MATCH(B592,'Base de données Mono'!D:D,0)),IF(AND(E592="Electricité",M592="Mi-saison"),INDEX('Base de données Mono'!F:F,MATCH(B592,'Base de données Mono'!D:D,0)),IF(AND(E592="Electricité",M592="Eté"),INDEX('Base de données Mono'!G:G,MATCH(B592,'Base de données Mono'!D:D,0)),IF(AND(E592="Gaz",M592="Hiver"),INDEX('Base de données Mono'!J:J,MATCH(B592,'Base de données Mono'!D:D,0)),IF(AND(E592="Gaz",M592="Mi-saison"),INDEX('Base de données Mono'!#REF!,MATCH(B592,'Base de données Mono'!D:D,0)),IF(AND(E592="Gaz",M592="Eté"),INDEX('Base de données Mono'!#REF!,MATCH(B592,'Base de données Mono'!D:D,0)),"-"))))))</f>
        <v>40</v>
      </c>
      <c r="O592" s="123">
        <v>45386</v>
      </c>
      <c r="P592" s="123">
        <v>45387</v>
      </c>
      <c r="Q592" s="34">
        <v>55</v>
      </c>
      <c r="R592" s="33">
        <f t="shared" si="63"/>
        <v>15</v>
      </c>
      <c r="S592" s="34">
        <v>4</v>
      </c>
      <c r="T592" s="34">
        <f t="shared" si="66"/>
        <v>1</v>
      </c>
      <c r="U592" s="33">
        <f t="shared" si="64"/>
        <v>60</v>
      </c>
      <c r="V592" s="38" t="s">
        <v>827</v>
      </c>
      <c r="W592" s="39">
        <f t="shared" si="65"/>
        <v>0.375</v>
      </c>
      <c r="X592" s="40" t="s">
        <v>304</v>
      </c>
      <c r="Y592" s="40" t="s">
        <v>283</v>
      </c>
      <c r="Z592" s="40" t="s">
        <v>749</v>
      </c>
      <c r="AA592" s="33" t="s">
        <v>749</v>
      </c>
      <c r="AB592" s="95"/>
      <c r="AC592" s="95"/>
    </row>
    <row r="593" spans="1:29" ht="14.45" hidden="1" customHeight="1" x14ac:dyDescent="0.25">
      <c r="A593" s="36" t="str">
        <f>INDEX('Base de données Mono'!C:C,MATCH(B593,'Base de données Mono'!D:D,0))</f>
        <v>STRASBOURG NEUDROF</v>
      </c>
      <c r="B593" t="s">
        <v>245</v>
      </c>
      <c r="C593" s="36" t="str">
        <f>INDEX('Base de données Mono'!B:B,MATCH(B593,'Base de données Mono'!D:D,0))</f>
        <v>Monoprix</v>
      </c>
      <c r="D593" s="36" t="str">
        <f>INDEX('Base de données Mono'!A:A,MATCH(B593,'Base de données Mono'!D:D,0))</f>
        <v>JG</v>
      </c>
      <c r="E593" s="37" t="s">
        <v>303</v>
      </c>
      <c r="F593" s="41">
        <f t="shared" si="61"/>
        <v>14</v>
      </c>
      <c r="G593" s="41">
        <f t="shared" si="62"/>
        <v>4</v>
      </c>
      <c r="H593">
        <v>9.25</v>
      </c>
      <c r="I593" s="131">
        <f>INDEX('Base de données Mono'!K:K,MATCH(B593,'Base de données Mono'!D:D,0))</f>
        <v>0.25</v>
      </c>
      <c r="J593" s="131">
        <f>INDEX('Base de données Mono'!L:L,MATCH(B593,'Base de données Mono'!D:D,0))</f>
        <v>0.86458333333333337</v>
      </c>
      <c r="K593" s="131" t="str">
        <f>INDEX('Base de données Mono'!M:M,MATCH(B593,'Base de données Mono'!D:D,0))</f>
        <v>-</v>
      </c>
      <c r="L593" s="131" t="str">
        <f>INDEX('Base de données Mono'!N:N,MATCH(B593,'Base de données Mono'!D:D,0))</f>
        <v>-</v>
      </c>
      <c r="M593" s="33" t="s">
        <v>46</v>
      </c>
      <c r="N593" s="33">
        <f>IF(AND(E593="Electricité",M593="Hiver"),INDEX('Base de données Mono'!E:E,MATCH(B593,'Base de données Mono'!D:D,0)),IF(AND(E593="Electricité",M593="Mi-saison"),INDEX('Base de données Mono'!F:F,MATCH(B593,'Base de données Mono'!D:D,0)),IF(AND(E593="Electricité",M593="Eté"),INDEX('Base de données Mono'!G:G,MATCH(B593,'Base de données Mono'!D:D,0)),IF(AND(E593="Gaz",M593="Hiver"),INDEX('Base de données Mono'!J:J,MATCH(B593,'Base de données Mono'!D:D,0)),IF(AND(E593="Gaz",M593="Mi-saison"),INDEX('Base de données Mono'!#REF!,MATCH(B593,'Base de données Mono'!D:D,0)),IF(AND(E593="Gaz",M593="Eté"),INDEX('Base de données Mono'!#REF!,MATCH(B593,'Base de données Mono'!D:D,0)),"-"))))))</f>
        <v>40</v>
      </c>
      <c r="O593" s="123">
        <v>45386</v>
      </c>
      <c r="P593" s="123">
        <v>45387</v>
      </c>
      <c r="Q593" s="34">
        <v>85</v>
      </c>
      <c r="R593" s="33">
        <f t="shared" si="63"/>
        <v>45</v>
      </c>
      <c r="S593" s="34">
        <v>1</v>
      </c>
      <c r="T593" s="34">
        <f t="shared" si="66"/>
        <v>1</v>
      </c>
      <c r="U593" s="33">
        <f t="shared" si="64"/>
        <v>45</v>
      </c>
      <c r="V593" s="38" t="s">
        <v>827</v>
      </c>
      <c r="W593" s="39">
        <f t="shared" si="65"/>
        <v>1.125</v>
      </c>
      <c r="X593" s="40" t="s">
        <v>304</v>
      </c>
      <c r="Y593" s="40" t="s">
        <v>283</v>
      </c>
      <c r="Z593" s="40" t="s">
        <v>749</v>
      </c>
      <c r="AA593" s="33" t="s">
        <v>749</v>
      </c>
      <c r="AB593" s="95"/>
      <c r="AC593" s="95"/>
    </row>
    <row r="594" spans="1:29" ht="14.45" hidden="1" customHeight="1" x14ac:dyDescent="0.25">
      <c r="A594" s="36" t="str">
        <f>INDEX('Base de données Mono'!C:C,MATCH(B594,'Base de données Mono'!D:D,0))</f>
        <v>STRASBOURG NEUDROF</v>
      </c>
      <c r="B594" t="s">
        <v>245</v>
      </c>
      <c r="C594" s="36" t="str">
        <f>INDEX('Base de données Mono'!B:B,MATCH(B594,'Base de données Mono'!D:D,0))</f>
        <v>Monoprix</v>
      </c>
      <c r="D594" s="36" t="str">
        <f>INDEX('Base de données Mono'!A:A,MATCH(B594,'Base de données Mono'!D:D,0))</f>
        <v>JG</v>
      </c>
      <c r="E594" s="37" t="s">
        <v>303</v>
      </c>
      <c r="F594" s="41">
        <f t="shared" si="61"/>
        <v>14</v>
      </c>
      <c r="G594" s="41">
        <f t="shared" si="62"/>
        <v>4</v>
      </c>
      <c r="H594">
        <v>9.25</v>
      </c>
      <c r="I594" s="131">
        <f>INDEX('Base de données Mono'!K:K,MATCH(B594,'Base de données Mono'!D:D,0))</f>
        <v>0.25</v>
      </c>
      <c r="J594" s="131">
        <f>INDEX('Base de données Mono'!L:L,MATCH(B594,'Base de données Mono'!D:D,0))</f>
        <v>0.86458333333333337</v>
      </c>
      <c r="K594" s="131" t="str">
        <f>INDEX('Base de données Mono'!M:M,MATCH(B594,'Base de données Mono'!D:D,0))</f>
        <v>-</v>
      </c>
      <c r="L594" s="131" t="str">
        <f>INDEX('Base de données Mono'!N:N,MATCH(B594,'Base de données Mono'!D:D,0))</f>
        <v>-</v>
      </c>
      <c r="M594" s="33" t="s">
        <v>46</v>
      </c>
      <c r="N594" s="33">
        <f>IF(AND(E594="Electricité",M594="Hiver"),INDEX('Base de données Mono'!E:E,MATCH(B594,'Base de données Mono'!D:D,0)),IF(AND(E594="Electricité",M594="Mi-saison"),INDEX('Base de données Mono'!F:F,MATCH(B594,'Base de données Mono'!D:D,0)),IF(AND(E594="Electricité",M594="Eté"),INDEX('Base de données Mono'!G:G,MATCH(B594,'Base de données Mono'!D:D,0)),IF(AND(E594="Gaz",M594="Hiver"),INDEX('Base de données Mono'!J:J,MATCH(B594,'Base de données Mono'!D:D,0)),IF(AND(E594="Gaz",M594="Mi-saison"),INDEX('Base de données Mono'!#REF!,MATCH(B594,'Base de données Mono'!D:D,0)),IF(AND(E594="Gaz",M594="Eté"),INDEX('Base de données Mono'!#REF!,MATCH(B594,'Base de données Mono'!D:D,0)),"-"))))))</f>
        <v>40</v>
      </c>
      <c r="O594" s="123">
        <v>45387</v>
      </c>
      <c r="P594" s="123">
        <v>45389</v>
      </c>
      <c r="Q594" s="34">
        <v>45</v>
      </c>
      <c r="R594" s="33">
        <f t="shared" si="63"/>
        <v>5</v>
      </c>
      <c r="S594" s="34">
        <v>9</v>
      </c>
      <c r="T594" s="34">
        <f t="shared" si="66"/>
        <v>2</v>
      </c>
      <c r="U594" s="33">
        <f t="shared" si="64"/>
        <v>90</v>
      </c>
      <c r="V594" s="38" t="s">
        <v>827</v>
      </c>
      <c r="W594" s="39">
        <f t="shared" si="65"/>
        <v>0.125</v>
      </c>
      <c r="X594" s="40" t="s">
        <v>304</v>
      </c>
      <c r="Y594" s="40" t="s">
        <v>283</v>
      </c>
      <c r="Z594" s="40" t="s">
        <v>749</v>
      </c>
      <c r="AA594" s="33" t="s">
        <v>749</v>
      </c>
      <c r="AB594" s="95"/>
      <c r="AC594" s="95"/>
    </row>
    <row r="595" spans="1:29" ht="14.45" hidden="1" customHeight="1" x14ac:dyDescent="0.25">
      <c r="A595" s="36" t="str">
        <f>INDEX('Base de données Mono'!C:C,MATCH(B595,'Base de données Mono'!D:D,0))</f>
        <v>STRASBOURG NEUDROF</v>
      </c>
      <c r="B595" t="s">
        <v>245</v>
      </c>
      <c r="C595" s="36" t="str">
        <f>INDEX('Base de données Mono'!B:B,MATCH(B595,'Base de données Mono'!D:D,0))</f>
        <v>Monoprix</v>
      </c>
      <c r="D595" s="36" t="str">
        <f>INDEX('Base de données Mono'!A:A,MATCH(B595,'Base de données Mono'!D:D,0))</f>
        <v>JG</v>
      </c>
      <c r="E595" s="37" t="s">
        <v>303</v>
      </c>
      <c r="F595" s="41">
        <f t="shared" si="61"/>
        <v>14</v>
      </c>
      <c r="G595" s="41">
        <f t="shared" si="62"/>
        <v>4</v>
      </c>
      <c r="H595">
        <v>9.25</v>
      </c>
      <c r="I595" s="131">
        <f>INDEX('Base de données Mono'!K:K,MATCH(B595,'Base de données Mono'!D:D,0))</f>
        <v>0.25</v>
      </c>
      <c r="J595" s="131">
        <f>INDEX('Base de données Mono'!L:L,MATCH(B595,'Base de données Mono'!D:D,0))</f>
        <v>0.86458333333333337</v>
      </c>
      <c r="K595" s="131" t="str">
        <f>INDEX('Base de données Mono'!M:M,MATCH(B595,'Base de données Mono'!D:D,0))</f>
        <v>-</v>
      </c>
      <c r="L595" s="131" t="str">
        <f>INDEX('Base de données Mono'!N:N,MATCH(B595,'Base de données Mono'!D:D,0))</f>
        <v>-</v>
      </c>
      <c r="M595" s="33" t="s">
        <v>46</v>
      </c>
      <c r="N595" s="33">
        <f>IF(AND(E595="Electricité",M595="Hiver"),INDEX('Base de données Mono'!E:E,MATCH(B595,'Base de données Mono'!D:D,0)),IF(AND(E595="Electricité",M595="Mi-saison"),INDEX('Base de données Mono'!F:F,MATCH(B595,'Base de données Mono'!D:D,0)),IF(AND(E595="Electricité",M595="Eté"),INDEX('Base de données Mono'!G:G,MATCH(B595,'Base de données Mono'!D:D,0)),IF(AND(E595="Gaz",M595="Hiver"),INDEX('Base de données Mono'!J:J,MATCH(B595,'Base de données Mono'!D:D,0)),IF(AND(E595="Gaz",M595="Mi-saison"),INDEX('Base de données Mono'!#REF!,MATCH(B595,'Base de données Mono'!D:D,0)),IF(AND(E595="Gaz",M595="Eté"),INDEX('Base de données Mono'!#REF!,MATCH(B595,'Base de données Mono'!D:D,0)),"-"))))))</f>
        <v>40</v>
      </c>
      <c r="O595" s="123">
        <v>45387</v>
      </c>
      <c r="P595" s="123">
        <v>45388</v>
      </c>
      <c r="Q595" s="34">
        <v>75</v>
      </c>
      <c r="R595" s="33">
        <f t="shared" si="63"/>
        <v>35</v>
      </c>
      <c r="S595" s="34">
        <v>1</v>
      </c>
      <c r="T595" s="34">
        <f t="shared" si="66"/>
        <v>1</v>
      </c>
      <c r="U595" s="33">
        <f t="shared" si="64"/>
        <v>35</v>
      </c>
      <c r="V595" s="38" t="s">
        <v>827</v>
      </c>
      <c r="W595" s="39">
        <f t="shared" si="65"/>
        <v>0.875</v>
      </c>
      <c r="X595" s="40" t="s">
        <v>304</v>
      </c>
      <c r="Y595" s="40" t="s">
        <v>283</v>
      </c>
      <c r="Z595" s="40" t="s">
        <v>749</v>
      </c>
      <c r="AA595" s="33" t="s">
        <v>749</v>
      </c>
      <c r="AB595" s="95"/>
      <c r="AC595" s="95"/>
    </row>
    <row r="596" spans="1:29" ht="14.45" hidden="1" customHeight="1" x14ac:dyDescent="0.25">
      <c r="A596" s="36" t="str">
        <f>INDEX('Base de données Mono'!C:C,MATCH(B596,'Base de données Mono'!D:D,0))</f>
        <v>NOYON</v>
      </c>
      <c r="B596" t="s">
        <v>199</v>
      </c>
      <c r="C596" s="36" t="str">
        <f>INDEX('Base de données Mono'!B:B,MATCH(B596,'Base de données Mono'!D:D,0))</f>
        <v>Monoprix</v>
      </c>
      <c r="D596" s="36" t="str">
        <f>INDEX('Base de données Mono'!A:A,MATCH(B596,'Base de données Mono'!D:D,0))</f>
        <v>JG</v>
      </c>
      <c r="E596" s="37" t="s">
        <v>303</v>
      </c>
      <c r="F596" s="41">
        <f t="shared" si="61"/>
        <v>14</v>
      </c>
      <c r="G596" s="41">
        <f t="shared" si="62"/>
        <v>4</v>
      </c>
      <c r="H596">
        <v>12.25</v>
      </c>
      <c r="I596" s="131">
        <f>INDEX('Base de données Mono'!K:K,MATCH(B596,'Base de données Mono'!D:D,0))</f>
        <v>0.3125</v>
      </c>
      <c r="J596" s="131">
        <f>INDEX('Base de données Mono'!L:L,MATCH(B596,'Base de données Mono'!D:D,0))</f>
        <v>0.80208333333333337</v>
      </c>
      <c r="K596" s="131">
        <f>INDEX('Base de données Mono'!M:M,MATCH(B596,'Base de données Mono'!D:D,0))</f>
        <v>0.36805555555555558</v>
      </c>
      <c r="L596" s="131">
        <f>INDEX('Base de données Mono'!N:N,MATCH(B596,'Base de données Mono'!D:D,0))</f>
        <v>0.52083333333333337</v>
      </c>
      <c r="M596" s="33" t="s">
        <v>46</v>
      </c>
      <c r="N596" s="33">
        <f>IF(AND(E596="Electricité",M596="Hiver"),INDEX('Base de données Mono'!E:E,MATCH(B596,'Base de données Mono'!D:D,0)),IF(AND(E596="Electricité",M596="Mi-saison"),INDEX('Base de données Mono'!F:F,MATCH(B596,'Base de données Mono'!D:D,0)),IF(AND(E596="Electricité",M596="Eté"),INDEX('Base de données Mono'!G:G,MATCH(B596,'Base de données Mono'!D:D,0)),IF(AND(E596="Gaz",M596="Hiver"),INDEX('Base de données Mono'!J:J,MATCH(B596,'Base de données Mono'!D:D,0)),IF(AND(E596="Gaz",M596="Mi-saison"),INDEX('Base de données Mono'!#REF!,MATCH(B596,'Base de données Mono'!D:D,0)),IF(AND(E596="Gaz",M596="Eté"),INDEX('Base de données Mono'!#REF!,MATCH(B596,'Base de données Mono'!D:D,0)),"-"))))))</f>
        <v>20</v>
      </c>
      <c r="O596" s="123">
        <v>45383</v>
      </c>
      <c r="P596" s="123">
        <v>45389</v>
      </c>
      <c r="Q596" s="34">
        <v>25</v>
      </c>
      <c r="R596" s="33">
        <f t="shared" si="63"/>
        <v>5</v>
      </c>
      <c r="S596" s="34">
        <v>11</v>
      </c>
      <c r="T596" s="34">
        <f t="shared" si="66"/>
        <v>6</v>
      </c>
      <c r="U596" s="33">
        <f t="shared" si="64"/>
        <v>330</v>
      </c>
      <c r="V596" s="38" t="s">
        <v>827</v>
      </c>
      <c r="W596" s="39">
        <f t="shared" si="65"/>
        <v>0.25</v>
      </c>
      <c r="X596" s="40" t="s">
        <v>304</v>
      </c>
      <c r="Y596" s="40" t="s">
        <v>283</v>
      </c>
      <c r="Z596" s="40" t="s">
        <v>749</v>
      </c>
      <c r="AA596" s="33" t="s">
        <v>749</v>
      </c>
      <c r="AB596" s="95"/>
      <c r="AC596" s="95"/>
    </row>
    <row r="597" spans="1:29" ht="14.45" hidden="1" customHeight="1" x14ac:dyDescent="0.25">
      <c r="A597" s="36" t="str">
        <f>INDEX('Base de données Mono'!C:C,MATCH(B597,'Base de données Mono'!D:D,0))</f>
        <v>VICTOR HUGO</v>
      </c>
      <c r="B597" t="s">
        <v>40</v>
      </c>
      <c r="C597" s="36" t="str">
        <f>INDEX('Base de données Mono'!B:B,MATCH(B597,'Base de données Mono'!D:D,0))</f>
        <v>Monop</v>
      </c>
      <c r="D597" s="36" t="str">
        <f>INDEX('Base de données Mono'!A:A,MATCH(B597,'Base de données Mono'!D:D,0))</f>
        <v>AD</v>
      </c>
      <c r="E597" s="37" t="s">
        <v>303</v>
      </c>
      <c r="F597" s="41">
        <f t="shared" si="61"/>
        <v>14</v>
      </c>
      <c r="G597" s="41">
        <f t="shared" si="62"/>
        <v>4</v>
      </c>
      <c r="H597">
        <v>9</v>
      </c>
      <c r="I597" s="131">
        <f>INDEX('Base de données Mono'!K:K,MATCH(B597,'Base de données Mono'!D:D,0))</f>
        <v>0.20833333333333334</v>
      </c>
      <c r="J597" s="131">
        <f>INDEX('Base de données Mono'!L:L,MATCH(B597,'Base de données Mono'!D:D,0))</f>
        <v>0.83333333333333337</v>
      </c>
      <c r="K597" s="131">
        <f>INDEX('Base de données Mono'!M:M,MATCH(B597,'Base de données Mono'!D:D,0))</f>
        <v>0.20833333333333334</v>
      </c>
      <c r="L597" s="131">
        <f>INDEX('Base de données Mono'!N:N,MATCH(B597,'Base de données Mono'!D:D,0))</f>
        <v>0.58333333333333337</v>
      </c>
      <c r="M597" s="33" t="s">
        <v>46</v>
      </c>
      <c r="N597" s="33">
        <f>IF(AND(E597="Electricité",M597="Hiver"),INDEX('Base de données Mono'!E:E,MATCH(B597,'Base de données Mono'!D:D,0)),IF(AND(E597="Electricité",M597="Mi-saison"),INDEX('Base de données Mono'!F:F,MATCH(B597,'Base de données Mono'!D:D,0)),IF(AND(E597="Electricité",M597="Eté"),INDEX('Base de données Mono'!G:G,MATCH(B597,'Base de données Mono'!D:D,0)),IF(AND(E597="Gaz",M597="Hiver"),INDEX('Base de données Mono'!J:J,MATCH(B597,'Base de données Mono'!D:D,0)),IF(AND(E597="Gaz",M597="Mi-saison"),INDEX('Base de données Mono'!#REF!,MATCH(B597,'Base de données Mono'!D:D,0)),IF(AND(E597="Gaz",M597="Eté"),INDEX('Base de données Mono'!#REF!,MATCH(B597,'Base de données Mono'!D:D,0)),"-"))))))</f>
        <v>20</v>
      </c>
      <c r="O597" s="123">
        <v>45383</v>
      </c>
      <c r="P597" s="123">
        <v>45385</v>
      </c>
      <c r="Q597" s="34">
        <v>55</v>
      </c>
      <c r="R597" s="33">
        <f t="shared" si="63"/>
        <v>35</v>
      </c>
      <c r="S597" s="34">
        <v>2</v>
      </c>
      <c r="T597" s="34">
        <f t="shared" si="66"/>
        <v>2</v>
      </c>
      <c r="U597" s="33">
        <f t="shared" si="64"/>
        <v>140</v>
      </c>
      <c r="V597" s="38" t="s">
        <v>827</v>
      </c>
      <c r="W597" s="39">
        <f t="shared" si="65"/>
        <v>1.75</v>
      </c>
      <c r="X597" s="40" t="s">
        <v>304</v>
      </c>
      <c r="Y597" s="40" t="s">
        <v>283</v>
      </c>
      <c r="Z597" s="40" t="s">
        <v>749</v>
      </c>
      <c r="AA597" s="33" t="s">
        <v>749</v>
      </c>
      <c r="AB597" s="95"/>
      <c r="AC597" s="95"/>
    </row>
    <row r="598" spans="1:29" ht="14.45" hidden="1" customHeight="1" x14ac:dyDescent="0.25">
      <c r="A598" s="36" t="str">
        <f>INDEX('Base de données Mono'!C:C,MATCH(B598,'Base de données Mono'!D:D,0))</f>
        <v>VICTOR HUGO</v>
      </c>
      <c r="B598" t="s">
        <v>40</v>
      </c>
      <c r="C598" s="36" t="str">
        <f>INDEX('Base de données Mono'!B:B,MATCH(B598,'Base de données Mono'!D:D,0))</f>
        <v>Monop</v>
      </c>
      <c r="D598" s="36" t="str">
        <f>INDEX('Base de données Mono'!A:A,MATCH(B598,'Base de données Mono'!D:D,0))</f>
        <v>AD</v>
      </c>
      <c r="E598" s="37" t="s">
        <v>303</v>
      </c>
      <c r="F598" s="41">
        <f t="shared" si="61"/>
        <v>14</v>
      </c>
      <c r="G598" s="41">
        <f t="shared" si="62"/>
        <v>4</v>
      </c>
      <c r="H598">
        <v>9</v>
      </c>
      <c r="I598" s="131">
        <f>INDEX('Base de données Mono'!K:K,MATCH(B598,'Base de données Mono'!D:D,0))</f>
        <v>0.20833333333333334</v>
      </c>
      <c r="J598" s="131">
        <f>INDEX('Base de données Mono'!L:L,MATCH(B598,'Base de données Mono'!D:D,0))</f>
        <v>0.83333333333333337</v>
      </c>
      <c r="K598" s="131">
        <f>INDEX('Base de données Mono'!M:M,MATCH(B598,'Base de données Mono'!D:D,0))</f>
        <v>0.20833333333333334</v>
      </c>
      <c r="L598" s="131">
        <f>INDEX('Base de données Mono'!N:N,MATCH(B598,'Base de données Mono'!D:D,0))</f>
        <v>0.58333333333333337</v>
      </c>
      <c r="M598" s="33" t="s">
        <v>46</v>
      </c>
      <c r="N598" s="33">
        <f>IF(AND(E598="Electricité",M598="Hiver"),INDEX('Base de données Mono'!E:E,MATCH(B598,'Base de données Mono'!D:D,0)),IF(AND(E598="Electricité",M598="Mi-saison"),INDEX('Base de données Mono'!F:F,MATCH(B598,'Base de données Mono'!D:D,0)),IF(AND(E598="Electricité",M598="Eté"),INDEX('Base de données Mono'!G:G,MATCH(B598,'Base de données Mono'!D:D,0)),IF(AND(E598="Gaz",M598="Hiver"),INDEX('Base de données Mono'!J:J,MATCH(B598,'Base de données Mono'!D:D,0)),IF(AND(E598="Gaz",M598="Mi-saison"),INDEX('Base de données Mono'!#REF!,MATCH(B598,'Base de données Mono'!D:D,0)),IF(AND(E598="Gaz",M598="Eté"),INDEX('Base de données Mono'!#REF!,MATCH(B598,'Base de données Mono'!D:D,0)),"-"))))))</f>
        <v>20</v>
      </c>
      <c r="O598" s="123">
        <v>45383</v>
      </c>
      <c r="P598" s="123">
        <v>45385</v>
      </c>
      <c r="Q598" s="34">
        <v>25</v>
      </c>
      <c r="R598" s="33">
        <f t="shared" si="63"/>
        <v>5</v>
      </c>
      <c r="S598" s="34">
        <v>1</v>
      </c>
      <c r="T598" s="34">
        <f t="shared" si="66"/>
        <v>2</v>
      </c>
      <c r="U598" s="33">
        <f t="shared" si="64"/>
        <v>10</v>
      </c>
      <c r="V598" s="38" t="s">
        <v>827</v>
      </c>
      <c r="W598" s="39">
        <f t="shared" si="65"/>
        <v>0.25</v>
      </c>
      <c r="X598" s="40" t="s">
        <v>304</v>
      </c>
      <c r="Y598" s="40" t="s">
        <v>283</v>
      </c>
      <c r="Z598" s="40" t="s">
        <v>749</v>
      </c>
      <c r="AA598" s="33" t="s">
        <v>749</v>
      </c>
      <c r="AB598" s="95"/>
      <c r="AC598" s="95"/>
    </row>
    <row r="599" spans="1:29" ht="14.45" hidden="1" customHeight="1" x14ac:dyDescent="0.25">
      <c r="A599" s="36" t="str">
        <f>INDEX('Base de données Mono'!C:C,MATCH(B599,'Base de données Mono'!D:D,0))</f>
        <v>VICTOR HUGO</v>
      </c>
      <c r="B599" t="s">
        <v>40</v>
      </c>
      <c r="C599" s="36" t="str">
        <f>INDEX('Base de données Mono'!B:B,MATCH(B599,'Base de données Mono'!D:D,0))</f>
        <v>Monop</v>
      </c>
      <c r="D599" s="36" t="str">
        <f>INDEX('Base de données Mono'!A:A,MATCH(B599,'Base de données Mono'!D:D,0))</f>
        <v>AD</v>
      </c>
      <c r="E599" s="37" t="s">
        <v>303</v>
      </c>
      <c r="F599" s="41">
        <f t="shared" si="61"/>
        <v>14</v>
      </c>
      <c r="G599" s="41">
        <f t="shared" si="62"/>
        <v>4</v>
      </c>
      <c r="H599">
        <v>9</v>
      </c>
      <c r="I599" s="131">
        <f>INDEX('Base de données Mono'!K:K,MATCH(B599,'Base de données Mono'!D:D,0))</f>
        <v>0.20833333333333334</v>
      </c>
      <c r="J599" s="131">
        <f>INDEX('Base de données Mono'!L:L,MATCH(B599,'Base de données Mono'!D:D,0))</f>
        <v>0.83333333333333337</v>
      </c>
      <c r="K599" s="131">
        <f>INDEX('Base de données Mono'!M:M,MATCH(B599,'Base de données Mono'!D:D,0))</f>
        <v>0.20833333333333334</v>
      </c>
      <c r="L599" s="131">
        <f>INDEX('Base de données Mono'!N:N,MATCH(B599,'Base de données Mono'!D:D,0))</f>
        <v>0.58333333333333337</v>
      </c>
      <c r="M599" s="33" t="s">
        <v>46</v>
      </c>
      <c r="N599" s="33">
        <f>IF(AND(E599="Electricité",M599="Hiver"),INDEX('Base de données Mono'!E:E,MATCH(B599,'Base de données Mono'!D:D,0)),IF(AND(E599="Electricité",M599="Mi-saison"),INDEX('Base de données Mono'!F:F,MATCH(B599,'Base de données Mono'!D:D,0)),IF(AND(E599="Electricité",M599="Eté"),INDEX('Base de données Mono'!G:G,MATCH(B599,'Base de données Mono'!D:D,0)),IF(AND(E599="Gaz",M599="Hiver"),INDEX('Base de données Mono'!J:J,MATCH(B599,'Base de données Mono'!D:D,0)),IF(AND(E599="Gaz",M599="Mi-saison"),INDEX('Base de données Mono'!#REF!,MATCH(B599,'Base de données Mono'!D:D,0)),IF(AND(E599="Gaz",M599="Eté"),INDEX('Base de données Mono'!#REF!,MATCH(B599,'Base de données Mono'!D:D,0)),"-"))))))</f>
        <v>20</v>
      </c>
      <c r="O599" s="123">
        <v>45385</v>
      </c>
      <c r="P599" s="123">
        <v>45386</v>
      </c>
      <c r="Q599" s="34">
        <v>40</v>
      </c>
      <c r="R599" s="33">
        <f t="shared" si="63"/>
        <v>20</v>
      </c>
      <c r="S599" s="34">
        <v>2</v>
      </c>
      <c r="T599" s="34">
        <f t="shared" si="66"/>
        <v>1</v>
      </c>
      <c r="U599" s="33">
        <f t="shared" si="64"/>
        <v>40</v>
      </c>
      <c r="V599" s="38" t="s">
        <v>827</v>
      </c>
      <c r="W599" s="39">
        <f t="shared" si="65"/>
        <v>1</v>
      </c>
      <c r="X599" s="40" t="s">
        <v>304</v>
      </c>
      <c r="Y599" s="40" t="s">
        <v>283</v>
      </c>
      <c r="Z599" s="40" t="s">
        <v>749</v>
      </c>
      <c r="AA599" s="33" t="s">
        <v>749</v>
      </c>
      <c r="AB599" s="95"/>
      <c r="AC599" s="95"/>
    </row>
    <row r="600" spans="1:29" ht="14.45" hidden="1" customHeight="1" x14ac:dyDescent="0.25">
      <c r="A600" s="36" t="str">
        <f>INDEX('Base de données Mono'!C:C,MATCH(B600,'Base de données Mono'!D:D,0))</f>
        <v>VICTOR HUGO</v>
      </c>
      <c r="B600" t="s">
        <v>40</v>
      </c>
      <c r="C600" s="36" t="str">
        <f>INDEX('Base de données Mono'!B:B,MATCH(B600,'Base de données Mono'!D:D,0))</f>
        <v>Monop</v>
      </c>
      <c r="D600" s="36" t="str">
        <f>INDEX('Base de données Mono'!A:A,MATCH(B600,'Base de données Mono'!D:D,0))</f>
        <v>AD</v>
      </c>
      <c r="E600" s="37" t="s">
        <v>303</v>
      </c>
      <c r="F600" s="41">
        <f t="shared" si="61"/>
        <v>14</v>
      </c>
      <c r="G600" s="41">
        <f t="shared" si="62"/>
        <v>4</v>
      </c>
      <c r="H600">
        <v>9</v>
      </c>
      <c r="I600" s="131">
        <f>INDEX('Base de données Mono'!K:K,MATCH(B600,'Base de données Mono'!D:D,0))</f>
        <v>0.20833333333333334</v>
      </c>
      <c r="J600" s="131">
        <f>INDEX('Base de données Mono'!L:L,MATCH(B600,'Base de données Mono'!D:D,0))</f>
        <v>0.83333333333333337</v>
      </c>
      <c r="K600" s="131">
        <f>INDEX('Base de données Mono'!M:M,MATCH(B600,'Base de données Mono'!D:D,0))</f>
        <v>0.20833333333333334</v>
      </c>
      <c r="L600" s="131">
        <f>INDEX('Base de données Mono'!N:N,MATCH(B600,'Base de données Mono'!D:D,0))</f>
        <v>0.58333333333333337</v>
      </c>
      <c r="M600" s="33" t="s">
        <v>46</v>
      </c>
      <c r="N600" s="33">
        <f>IF(AND(E600="Electricité",M600="Hiver"),INDEX('Base de données Mono'!E:E,MATCH(B600,'Base de données Mono'!D:D,0)),IF(AND(E600="Electricité",M600="Mi-saison"),INDEX('Base de données Mono'!F:F,MATCH(B600,'Base de données Mono'!D:D,0)),IF(AND(E600="Electricité",M600="Eté"),INDEX('Base de données Mono'!G:G,MATCH(B600,'Base de données Mono'!D:D,0)),IF(AND(E600="Gaz",M600="Hiver"),INDEX('Base de données Mono'!J:J,MATCH(B600,'Base de données Mono'!D:D,0)),IF(AND(E600="Gaz",M600="Mi-saison"),INDEX('Base de données Mono'!#REF!,MATCH(B600,'Base de données Mono'!D:D,0)),IF(AND(E600="Gaz",M600="Eté"),INDEX('Base de données Mono'!#REF!,MATCH(B600,'Base de données Mono'!D:D,0)),"-"))))))</f>
        <v>20</v>
      </c>
      <c r="O600" s="123">
        <v>45385</v>
      </c>
      <c r="P600" s="123">
        <v>45386</v>
      </c>
      <c r="Q600" s="34">
        <v>55</v>
      </c>
      <c r="R600" s="33">
        <f t="shared" si="63"/>
        <v>35</v>
      </c>
      <c r="S600" s="34">
        <v>1</v>
      </c>
      <c r="T600" s="34">
        <f t="shared" si="66"/>
        <v>1</v>
      </c>
      <c r="U600" s="33">
        <f t="shared" si="64"/>
        <v>35</v>
      </c>
      <c r="V600" s="38" t="s">
        <v>827</v>
      </c>
      <c r="W600" s="39">
        <f t="shared" si="65"/>
        <v>1.75</v>
      </c>
      <c r="X600" s="40" t="s">
        <v>304</v>
      </c>
      <c r="Y600" s="40" t="s">
        <v>283</v>
      </c>
      <c r="Z600" s="40" t="s">
        <v>749</v>
      </c>
      <c r="AA600" s="33" t="s">
        <v>749</v>
      </c>
      <c r="AB600" s="95"/>
      <c r="AC600" s="95"/>
    </row>
    <row r="601" spans="1:29" ht="14.45" hidden="1" customHeight="1" x14ac:dyDescent="0.25">
      <c r="A601" s="36" t="str">
        <f>INDEX('Base de données Mono'!C:C,MATCH(B601,'Base de données Mono'!D:D,0))</f>
        <v>VICTOR HUGO</v>
      </c>
      <c r="B601" t="s">
        <v>40</v>
      </c>
      <c r="C601" s="36" t="str">
        <f>INDEX('Base de données Mono'!B:B,MATCH(B601,'Base de données Mono'!D:D,0))</f>
        <v>Monop</v>
      </c>
      <c r="D601" s="36" t="str">
        <f>INDEX('Base de données Mono'!A:A,MATCH(B601,'Base de données Mono'!D:D,0))</f>
        <v>AD</v>
      </c>
      <c r="E601" s="37" t="s">
        <v>303</v>
      </c>
      <c r="F601" s="41">
        <f t="shared" si="61"/>
        <v>14</v>
      </c>
      <c r="G601" s="41">
        <f t="shared" si="62"/>
        <v>4</v>
      </c>
      <c r="H601">
        <v>9</v>
      </c>
      <c r="I601" s="131">
        <f>INDEX('Base de données Mono'!K:K,MATCH(B601,'Base de données Mono'!D:D,0))</f>
        <v>0.20833333333333334</v>
      </c>
      <c r="J601" s="131">
        <f>INDEX('Base de données Mono'!L:L,MATCH(B601,'Base de données Mono'!D:D,0))</f>
        <v>0.83333333333333337</v>
      </c>
      <c r="K601" s="131">
        <f>INDEX('Base de données Mono'!M:M,MATCH(B601,'Base de données Mono'!D:D,0))</f>
        <v>0.20833333333333334</v>
      </c>
      <c r="L601" s="131">
        <f>INDEX('Base de données Mono'!N:N,MATCH(B601,'Base de données Mono'!D:D,0))</f>
        <v>0.58333333333333337</v>
      </c>
      <c r="M601" s="33" t="s">
        <v>46</v>
      </c>
      <c r="N601" s="33">
        <f>IF(AND(E601="Electricité",M601="Hiver"),INDEX('Base de données Mono'!E:E,MATCH(B601,'Base de données Mono'!D:D,0)),IF(AND(E601="Electricité",M601="Mi-saison"),INDEX('Base de données Mono'!F:F,MATCH(B601,'Base de données Mono'!D:D,0)),IF(AND(E601="Electricité",M601="Eté"),INDEX('Base de données Mono'!G:G,MATCH(B601,'Base de données Mono'!D:D,0)),IF(AND(E601="Gaz",M601="Hiver"),INDEX('Base de données Mono'!J:J,MATCH(B601,'Base de données Mono'!D:D,0)),IF(AND(E601="Gaz",M601="Mi-saison"),INDEX('Base de données Mono'!#REF!,MATCH(B601,'Base de données Mono'!D:D,0)),IF(AND(E601="Gaz",M601="Eté"),INDEX('Base de données Mono'!#REF!,MATCH(B601,'Base de données Mono'!D:D,0)),"-"))))))</f>
        <v>20</v>
      </c>
      <c r="O601" s="123">
        <v>45385</v>
      </c>
      <c r="P601" s="123">
        <v>45387</v>
      </c>
      <c r="Q601" s="34">
        <v>25</v>
      </c>
      <c r="R601" s="33">
        <f t="shared" si="63"/>
        <v>5</v>
      </c>
      <c r="S601" s="34">
        <v>1</v>
      </c>
      <c r="T601" s="34">
        <f t="shared" si="66"/>
        <v>2</v>
      </c>
      <c r="U601" s="33">
        <f t="shared" si="64"/>
        <v>10</v>
      </c>
      <c r="V601" s="38" t="s">
        <v>827</v>
      </c>
      <c r="W601" s="39">
        <f t="shared" si="65"/>
        <v>0.25</v>
      </c>
      <c r="X601" s="40" t="s">
        <v>304</v>
      </c>
      <c r="Y601" s="40" t="s">
        <v>283</v>
      </c>
      <c r="Z601" s="40" t="s">
        <v>749</v>
      </c>
      <c r="AA601" s="33" t="s">
        <v>749</v>
      </c>
      <c r="AB601" s="95"/>
      <c r="AC601" s="95"/>
    </row>
    <row r="602" spans="1:29" ht="14.45" hidden="1" customHeight="1" x14ac:dyDescent="0.25">
      <c r="A602" s="36" t="str">
        <f>INDEX('Base de données Mono'!C:C,MATCH(B602,'Base de données Mono'!D:D,0))</f>
        <v>VICTOR HUGO</v>
      </c>
      <c r="B602" t="s">
        <v>40</v>
      </c>
      <c r="C602" s="36" t="str">
        <f>INDEX('Base de données Mono'!B:B,MATCH(B602,'Base de données Mono'!D:D,0))</f>
        <v>Monop</v>
      </c>
      <c r="D602" s="36" t="str">
        <f>INDEX('Base de données Mono'!A:A,MATCH(B602,'Base de données Mono'!D:D,0))</f>
        <v>AD</v>
      </c>
      <c r="E602" s="37" t="s">
        <v>303</v>
      </c>
      <c r="F602" s="41">
        <f t="shared" si="61"/>
        <v>14</v>
      </c>
      <c r="G602" s="41">
        <f t="shared" si="62"/>
        <v>4</v>
      </c>
      <c r="H602">
        <v>9</v>
      </c>
      <c r="I602" s="131">
        <f>INDEX('Base de données Mono'!K:K,MATCH(B602,'Base de données Mono'!D:D,0))</f>
        <v>0.20833333333333334</v>
      </c>
      <c r="J602" s="131">
        <f>INDEX('Base de données Mono'!L:L,MATCH(B602,'Base de données Mono'!D:D,0))</f>
        <v>0.83333333333333337</v>
      </c>
      <c r="K602" s="131">
        <f>INDEX('Base de données Mono'!M:M,MATCH(B602,'Base de données Mono'!D:D,0))</f>
        <v>0.20833333333333334</v>
      </c>
      <c r="L602" s="131">
        <f>INDEX('Base de données Mono'!N:N,MATCH(B602,'Base de données Mono'!D:D,0))</f>
        <v>0.58333333333333337</v>
      </c>
      <c r="M602" s="33" t="s">
        <v>46</v>
      </c>
      <c r="N602" s="33">
        <f>IF(AND(E602="Electricité",M602="Hiver"),INDEX('Base de données Mono'!E:E,MATCH(B602,'Base de données Mono'!D:D,0)),IF(AND(E602="Electricité",M602="Mi-saison"),INDEX('Base de données Mono'!F:F,MATCH(B602,'Base de données Mono'!D:D,0)),IF(AND(E602="Electricité",M602="Eté"),INDEX('Base de données Mono'!G:G,MATCH(B602,'Base de données Mono'!D:D,0)),IF(AND(E602="Gaz",M602="Hiver"),INDEX('Base de données Mono'!J:J,MATCH(B602,'Base de données Mono'!D:D,0)),IF(AND(E602="Gaz",M602="Mi-saison"),INDEX('Base de données Mono'!#REF!,MATCH(B602,'Base de données Mono'!D:D,0)),IF(AND(E602="Gaz",M602="Eté"),INDEX('Base de données Mono'!#REF!,MATCH(B602,'Base de données Mono'!D:D,0)),"-"))))))</f>
        <v>20</v>
      </c>
      <c r="O602" s="123">
        <v>45386</v>
      </c>
      <c r="P602" s="123">
        <v>45387</v>
      </c>
      <c r="Q602" s="34">
        <v>40</v>
      </c>
      <c r="R602" s="33">
        <f t="shared" si="63"/>
        <v>20</v>
      </c>
      <c r="S602" s="34">
        <v>3</v>
      </c>
      <c r="T602" s="34">
        <f t="shared" si="66"/>
        <v>1</v>
      </c>
      <c r="U602" s="33">
        <f t="shared" si="64"/>
        <v>60</v>
      </c>
      <c r="V602" s="38" t="s">
        <v>827</v>
      </c>
      <c r="W602" s="39">
        <f t="shared" si="65"/>
        <v>1</v>
      </c>
      <c r="X602" s="40" t="s">
        <v>304</v>
      </c>
      <c r="Y602" s="40" t="s">
        <v>283</v>
      </c>
      <c r="Z602" s="40" t="s">
        <v>749</v>
      </c>
      <c r="AA602" s="33" t="s">
        <v>749</v>
      </c>
      <c r="AB602" s="95"/>
      <c r="AC602" s="95"/>
    </row>
    <row r="603" spans="1:29" ht="14.45" hidden="1" customHeight="1" x14ac:dyDescent="0.25">
      <c r="A603" s="36" t="str">
        <f>INDEX('Base de données Mono'!C:C,MATCH(B603,'Base de données Mono'!D:D,0))</f>
        <v>VICTOR HUGO</v>
      </c>
      <c r="B603" t="s">
        <v>40</v>
      </c>
      <c r="C603" s="36" t="str">
        <f>INDEX('Base de données Mono'!B:B,MATCH(B603,'Base de données Mono'!D:D,0))</f>
        <v>Monop</v>
      </c>
      <c r="D603" s="36" t="str">
        <f>INDEX('Base de données Mono'!A:A,MATCH(B603,'Base de données Mono'!D:D,0))</f>
        <v>AD</v>
      </c>
      <c r="E603" s="37" t="s">
        <v>303</v>
      </c>
      <c r="F603" s="41">
        <f t="shared" si="61"/>
        <v>14</v>
      </c>
      <c r="G603" s="41">
        <f t="shared" si="62"/>
        <v>4</v>
      </c>
      <c r="H603">
        <v>9</v>
      </c>
      <c r="I603" s="131">
        <f>INDEX('Base de données Mono'!K:K,MATCH(B603,'Base de données Mono'!D:D,0))</f>
        <v>0.20833333333333334</v>
      </c>
      <c r="J603" s="131">
        <f>INDEX('Base de données Mono'!L:L,MATCH(B603,'Base de données Mono'!D:D,0))</f>
        <v>0.83333333333333337</v>
      </c>
      <c r="K603" s="131">
        <f>INDEX('Base de données Mono'!M:M,MATCH(B603,'Base de données Mono'!D:D,0))</f>
        <v>0.20833333333333334</v>
      </c>
      <c r="L603" s="131">
        <f>INDEX('Base de données Mono'!N:N,MATCH(B603,'Base de données Mono'!D:D,0))</f>
        <v>0.58333333333333337</v>
      </c>
      <c r="M603" s="33" t="s">
        <v>46</v>
      </c>
      <c r="N603" s="33">
        <f>IF(AND(E603="Electricité",M603="Hiver"),INDEX('Base de données Mono'!E:E,MATCH(B603,'Base de données Mono'!D:D,0)),IF(AND(E603="Electricité",M603="Mi-saison"),INDEX('Base de données Mono'!F:F,MATCH(B603,'Base de données Mono'!D:D,0)),IF(AND(E603="Electricité",M603="Eté"),INDEX('Base de données Mono'!G:G,MATCH(B603,'Base de données Mono'!D:D,0)),IF(AND(E603="Gaz",M603="Hiver"),INDEX('Base de données Mono'!J:J,MATCH(B603,'Base de données Mono'!D:D,0)),IF(AND(E603="Gaz",M603="Mi-saison"),INDEX('Base de données Mono'!#REF!,MATCH(B603,'Base de données Mono'!D:D,0)),IF(AND(E603="Gaz",M603="Eté"),INDEX('Base de données Mono'!#REF!,MATCH(B603,'Base de données Mono'!D:D,0)),"-"))))))</f>
        <v>20</v>
      </c>
      <c r="O603" s="123">
        <v>45387</v>
      </c>
      <c r="P603" s="123">
        <v>45389</v>
      </c>
      <c r="Q603" s="34">
        <v>30</v>
      </c>
      <c r="R603" s="33">
        <f t="shared" si="63"/>
        <v>10</v>
      </c>
      <c r="S603" s="34">
        <v>1</v>
      </c>
      <c r="T603" s="34">
        <f t="shared" si="66"/>
        <v>2</v>
      </c>
      <c r="U603" s="33">
        <f t="shared" si="64"/>
        <v>20</v>
      </c>
      <c r="V603" s="38" t="s">
        <v>827</v>
      </c>
      <c r="W603" s="39">
        <f t="shared" si="65"/>
        <v>0.5</v>
      </c>
      <c r="X603" s="40" t="s">
        <v>304</v>
      </c>
      <c r="Y603" s="40" t="s">
        <v>283</v>
      </c>
      <c r="Z603" s="40" t="s">
        <v>749</v>
      </c>
      <c r="AA603" s="33" t="s">
        <v>749</v>
      </c>
      <c r="AB603" s="95"/>
      <c r="AC603" s="95"/>
    </row>
    <row r="604" spans="1:29" ht="14.45" hidden="1" customHeight="1" x14ac:dyDescent="0.25">
      <c r="A604" s="36" t="str">
        <f>INDEX('Base de données Mono'!C:C,MATCH(B604,'Base de données Mono'!D:D,0))</f>
        <v>VICTOR HUGO</v>
      </c>
      <c r="B604" t="s">
        <v>40</v>
      </c>
      <c r="C604" s="36" t="str">
        <f>INDEX('Base de données Mono'!B:B,MATCH(B604,'Base de données Mono'!D:D,0))</f>
        <v>Monop</v>
      </c>
      <c r="D604" s="36" t="str">
        <f>INDEX('Base de données Mono'!A:A,MATCH(B604,'Base de données Mono'!D:D,0))</f>
        <v>AD</v>
      </c>
      <c r="E604" s="37" t="s">
        <v>303</v>
      </c>
      <c r="F604" s="41">
        <f t="shared" ref="F604:F656" si="67">IF(O604="","-",IF(AND(X604="Nuit",WEEKDAY(O604,2)=7,O604&lt;&gt;P604),WEEKNUM(O604,2),WEEKNUM(O604,2)-1))+1</f>
        <v>14</v>
      </c>
      <c r="G604" s="41">
        <f t="shared" ref="G604:G656" si="68">IF(O604="","-",MONTH(O604))</f>
        <v>4</v>
      </c>
      <c r="H604">
        <v>9</v>
      </c>
      <c r="I604" s="131">
        <f>INDEX('Base de données Mono'!K:K,MATCH(B604,'Base de données Mono'!D:D,0))</f>
        <v>0.20833333333333334</v>
      </c>
      <c r="J604" s="131">
        <f>INDEX('Base de données Mono'!L:L,MATCH(B604,'Base de données Mono'!D:D,0))</f>
        <v>0.83333333333333337</v>
      </c>
      <c r="K604" s="131">
        <f>INDEX('Base de données Mono'!M:M,MATCH(B604,'Base de données Mono'!D:D,0))</f>
        <v>0.20833333333333334</v>
      </c>
      <c r="L604" s="131">
        <f>INDEX('Base de données Mono'!N:N,MATCH(B604,'Base de données Mono'!D:D,0))</f>
        <v>0.58333333333333337</v>
      </c>
      <c r="M604" s="33" t="s">
        <v>46</v>
      </c>
      <c r="N604" s="33">
        <f>IF(AND(E604="Electricité",M604="Hiver"),INDEX('Base de données Mono'!E:E,MATCH(B604,'Base de données Mono'!D:D,0)),IF(AND(E604="Electricité",M604="Mi-saison"),INDEX('Base de données Mono'!F:F,MATCH(B604,'Base de données Mono'!D:D,0)),IF(AND(E604="Electricité",M604="Eté"),INDEX('Base de données Mono'!G:G,MATCH(B604,'Base de données Mono'!D:D,0)),IF(AND(E604="Gaz",M604="Hiver"),INDEX('Base de données Mono'!J:J,MATCH(B604,'Base de données Mono'!D:D,0)),IF(AND(E604="Gaz",M604="Mi-saison"),INDEX('Base de données Mono'!#REF!,MATCH(B604,'Base de données Mono'!D:D,0)),IF(AND(E604="Gaz",M604="Eté"),INDEX('Base de données Mono'!#REF!,MATCH(B604,'Base de données Mono'!D:D,0)),"-"))))))</f>
        <v>20</v>
      </c>
      <c r="O604" s="123">
        <v>45388</v>
      </c>
      <c r="P604" s="123">
        <v>45389</v>
      </c>
      <c r="Q604" s="34">
        <v>40</v>
      </c>
      <c r="R604" s="33">
        <f t="shared" ref="R604:R656" si="69">IF(Q604="","",Q604-N604)</f>
        <v>20</v>
      </c>
      <c r="S604" s="34">
        <v>3</v>
      </c>
      <c r="T604" s="34">
        <f t="shared" ref="T604:T656" si="70">P604-O604</f>
        <v>1</v>
      </c>
      <c r="U604" s="33">
        <f t="shared" ref="U604:U656" si="71">R604*S604*T604</f>
        <v>60</v>
      </c>
      <c r="V604" s="38" t="s">
        <v>827</v>
      </c>
      <c r="W604" s="39">
        <f t="shared" ref="W604:W656" si="72">IFERROR(IF(E604="Gaz","-",R604/N604),"-")</f>
        <v>1</v>
      </c>
      <c r="X604" s="40" t="s">
        <v>304</v>
      </c>
      <c r="Y604" s="40" t="s">
        <v>283</v>
      </c>
      <c r="Z604" s="40" t="s">
        <v>749</v>
      </c>
      <c r="AA604" s="33" t="s">
        <v>749</v>
      </c>
      <c r="AB604" s="95"/>
      <c r="AC604" s="95"/>
    </row>
    <row r="605" spans="1:29" ht="14.45" hidden="1" customHeight="1" x14ac:dyDescent="0.25">
      <c r="A605" s="36" t="str">
        <f>INDEX('Base de données Mono'!C:C,MATCH(B605,'Base de données Mono'!D:D,0))</f>
        <v>Passy Plaza</v>
      </c>
      <c r="B605" t="s">
        <v>484</v>
      </c>
      <c r="C605" s="36" t="str">
        <f>INDEX('Base de données Mono'!B:B,MATCH(B605,'Base de données Mono'!D:D,0))</f>
        <v>Monoprix</v>
      </c>
      <c r="D605" s="36" t="str">
        <f>INDEX('Base de données Mono'!A:A,MATCH(B605,'Base de données Mono'!D:D,0))</f>
        <v>AD</v>
      </c>
      <c r="E605" s="37" t="s">
        <v>303</v>
      </c>
      <c r="F605" s="41">
        <f t="shared" si="67"/>
        <v>14</v>
      </c>
      <c r="G605" s="41">
        <f t="shared" si="68"/>
        <v>4</v>
      </c>
      <c r="H605">
        <v>8</v>
      </c>
      <c r="I605" s="131">
        <f>INDEX('Base de données Mono'!K:K,MATCH(B605,'Base de données Mono'!D:D,0))</f>
        <v>0.20833333333333334</v>
      </c>
      <c r="J605" s="131">
        <f>INDEX('Base de données Mono'!L:L,MATCH(B605,'Base de données Mono'!D:D,0))</f>
        <v>0.875</v>
      </c>
      <c r="K605" s="131">
        <f>INDEX('Base de données Mono'!M:M,MATCH(B605,'Base de données Mono'!D:D,0))</f>
        <v>0.25</v>
      </c>
      <c r="L605" s="131">
        <f>INDEX('Base de données Mono'!N:N,MATCH(B605,'Base de données Mono'!D:D,0))</f>
        <v>0.83333333333333337</v>
      </c>
      <c r="M605" s="33" t="s">
        <v>46</v>
      </c>
      <c r="N605" s="33">
        <f>IF(AND(E605="Electricité",M605="Hiver"),INDEX('Base de données Mono'!E:E,MATCH(B605,'Base de données Mono'!D:D,0)),IF(AND(E605="Electricité",M605="Mi-saison"),INDEX('Base de données Mono'!F:F,MATCH(B605,'Base de données Mono'!D:D,0)),IF(AND(E605="Electricité",M605="Eté"),INDEX('Base de données Mono'!G:G,MATCH(B605,'Base de données Mono'!D:D,0)),IF(AND(E605="Gaz",M605="Hiver"),INDEX('Base de données Mono'!J:J,MATCH(B605,'Base de données Mono'!D:D,0)),IF(AND(E605="Gaz",M605="Mi-saison"),INDEX('Base de données Mono'!#REF!,MATCH(B605,'Base de données Mono'!D:D,0)),IF(AND(E605="Gaz",M605="Eté"),INDEX('Base de données Mono'!#REF!,MATCH(B605,'Base de données Mono'!D:D,0)),"-"))))))</f>
        <v>70</v>
      </c>
      <c r="O605" s="123">
        <v>45383</v>
      </c>
      <c r="P605" s="123">
        <v>45389</v>
      </c>
      <c r="Q605" s="34">
        <v>100</v>
      </c>
      <c r="R605" s="33">
        <f t="shared" si="69"/>
        <v>30</v>
      </c>
      <c r="S605" s="34">
        <v>8</v>
      </c>
      <c r="T605" s="34">
        <f t="shared" si="70"/>
        <v>6</v>
      </c>
      <c r="U605" s="33">
        <f t="shared" si="71"/>
        <v>1440</v>
      </c>
      <c r="V605" s="38" t="s">
        <v>827</v>
      </c>
      <c r="W605" s="39">
        <f t="shared" si="72"/>
        <v>0.42857142857142855</v>
      </c>
      <c r="X605" s="40" t="s">
        <v>304</v>
      </c>
      <c r="Y605" s="40" t="s">
        <v>283</v>
      </c>
      <c r="Z605" s="40" t="s">
        <v>749</v>
      </c>
      <c r="AA605" s="33" t="s">
        <v>749</v>
      </c>
      <c r="AB605" s="95"/>
      <c r="AC605" s="95"/>
    </row>
    <row r="606" spans="1:29" ht="14.45" hidden="1" customHeight="1" x14ac:dyDescent="0.25">
      <c r="A606" s="36" t="str">
        <f>INDEX('Base de données Mono'!C:C,MATCH(B606,'Base de données Mono'!D:D,0))</f>
        <v>PLEYEL</v>
      </c>
      <c r="B606" t="s">
        <v>344</v>
      </c>
      <c r="C606" s="36" t="str">
        <f>INDEX('Base de données Mono'!B:B,MATCH(B606,'Base de données Mono'!D:D,0))</f>
        <v>Monop</v>
      </c>
      <c r="D606" s="36" t="str">
        <f>INDEX('Base de données Mono'!A:A,MATCH(B606,'Base de données Mono'!D:D,0))</f>
        <v>JG</v>
      </c>
      <c r="E606" s="37" t="s">
        <v>303</v>
      </c>
      <c r="F606" s="41">
        <f t="shared" si="67"/>
        <v>14</v>
      </c>
      <c r="G606" s="41">
        <f t="shared" si="68"/>
        <v>4</v>
      </c>
      <c r="H606">
        <v>7.5</v>
      </c>
      <c r="I606" s="131">
        <f>INDEX('Base de données Mono'!K:K,MATCH(B606,'Base de données Mono'!D:D,0))</f>
        <v>0.25</v>
      </c>
      <c r="J606" s="131">
        <f>INDEX('Base de données Mono'!L:L,MATCH(B606,'Base de données Mono'!D:D,0))</f>
        <v>0.9375</v>
      </c>
      <c r="K606" s="131" t="str">
        <f>INDEX('Base de données Mono'!M:M,MATCH(B606,'Base de données Mono'!D:D,0))</f>
        <v>-</v>
      </c>
      <c r="L606" s="131" t="str">
        <f>INDEX('Base de données Mono'!N:N,MATCH(B606,'Base de données Mono'!D:D,0))</f>
        <v>-</v>
      </c>
      <c r="M606" s="33" t="s">
        <v>46</v>
      </c>
      <c r="N606" s="33">
        <f>IF(AND(E606="Electricité",M606="Hiver"),INDEX('Base de données Mono'!E:E,MATCH(B606,'Base de données Mono'!D:D,0)),IF(AND(E606="Electricité",M606="Mi-saison"),INDEX('Base de données Mono'!F:F,MATCH(B606,'Base de données Mono'!D:D,0)),IF(AND(E606="Electricité",M606="Eté"),INDEX('Base de données Mono'!G:G,MATCH(B606,'Base de données Mono'!D:D,0)),IF(AND(E606="Gaz",M606="Hiver"),INDEX('Base de données Mono'!J:J,MATCH(B606,'Base de données Mono'!D:D,0)),IF(AND(E606="Gaz",M606="Mi-saison"),INDEX('Base de données Mono'!#REF!,MATCH(B606,'Base de données Mono'!D:D,0)),IF(AND(E606="Gaz",M606="Eté"),INDEX('Base de données Mono'!#REF!,MATCH(B606,'Base de données Mono'!D:D,0)),"-"))))))</f>
        <v>15</v>
      </c>
      <c r="O606" s="123">
        <v>45383</v>
      </c>
      <c r="P606" s="123">
        <v>45385</v>
      </c>
      <c r="Q606" s="34">
        <v>20</v>
      </c>
      <c r="R606" s="33">
        <f t="shared" si="69"/>
        <v>5</v>
      </c>
      <c r="S606" s="34">
        <v>7</v>
      </c>
      <c r="T606" s="34">
        <f t="shared" si="70"/>
        <v>2</v>
      </c>
      <c r="U606" s="33">
        <f t="shared" si="71"/>
        <v>70</v>
      </c>
      <c r="V606" s="38" t="s">
        <v>827</v>
      </c>
      <c r="W606" s="39">
        <f t="shared" si="72"/>
        <v>0.33333333333333331</v>
      </c>
      <c r="X606" s="40" t="s">
        <v>304</v>
      </c>
      <c r="Y606" s="40" t="s">
        <v>283</v>
      </c>
      <c r="Z606" s="40" t="s">
        <v>749</v>
      </c>
      <c r="AA606" s="33" t="s">
        <v>749</v>
      </c>
      <c r="AB606" s="95"/>
      <c r="AC606" s="95"/>
    </row>
    <row r="607" spans="1:29" ht="14.45" hidden="1" customHeight="1" x14ac:dyDescent="0.25">
      <c r="A607" s="36" t="str">
        <f>INDEX('Base de données Mono'!C:C,MATCH(B607,'Base de données Mono'!D:D,0))</f>
        <v>PLEYEL</v>
      </c>
      <c r="B607" t="s">
        <v>344</v>
      </c>
      <c r="C607" s="36" t="str">
        <f>INDEX('Base de données Mono'!B:B,MATCH(B607,'Base de données Mono'!D:D,0))</f>
        <v>Monop</v>
      </c>
      <c r="D607" s="36" t="str">
        <f>INDEX('Base de données Mono'!A:A,MATCH(B607,'Base de données Mono'!D:D,0))</f>
        <v>JG</v>
      </c>
      <c r="E607" s="37" t="s">
        <v>303</v>
      </c>
      <c r="F607" s="41">
        <f t="shared" si="67"/>
        <v>14</v>
      </c>
      <c r="G607" s="41">
        <f t="shared" si="68"/>
        <v>4</v>
      </c>
      <c r="H607">
        <v>7.5</v>
      </c>
      <c r="I607" s="131">
        <f>INDEX('Base de données Mono'!K:K,MATCH(B607,'Base de données Mono'!D:D,0))</f>
        <v>0.25</v>
      </c>
      <c r="J607" s="131">
        <f>INDEX('Base de données Mono'!L:L,MATCH(B607,'Base de données Mono'!D:D,0))</f>
        <v>0.9375</v>
      </c>
      <c r="K607" s="131" t="str">
        <f>INDEX('Base de données Mono'!M:M,MATCH(B607,'Base de données Mono'!D:D,0))</f>
        <v>-</v>
      </c>
      <c r="L607" s="131" t="str">
        <f>INDEX('Base de données Mono'!N:N,MATCH(B607,'Base de données Mono'!D:D,0))</f>
        <v>-</v>
      </c>
      <c r="M607" s="33" t="s">
        <v>46</v>
      </c>
      <c r="N607" s="33">
        <f>IF(AND(E607="Electricité",M607="Hiver"),INDEX('Base de données Mono'!E:E,MATCH(B607,'Base de données Mono'!D:D,0)),IF(AND(E607="Electricité",M607="Mi-saison"),INDEX('Base de données Mono'!F:F,MATCH(B607,'Base de données Mono'!D:D,0)),IF(AND(E607="Electricité",M607="Eté"),INDEX('Base de données Mono'!G:G,MATCH(B607,'Base de données Mono'!D:D,0)),IF(AND(E607="Gaz",M607="Hiver"),INDEX('Base de données Mono'!J:J,MATCH(B607,'Base de données Mono'!D:D,0)),IF(AND(E607="Gaz",M607="Mi-saison"),INDEX('Base de données Mono'!#REF!,MATCH(B607,'Base de données Mono'!D:D,0)),IF(AND(E607="Gaz",M607="Eté"),INDEX('Base de données Mono'!#REF!,MATCH(B607,'Base de données Mono'!D:D,0)),"-"))))))</f>
        <v>15</v>
      </c>
      <c r="O607" s="123">
        <v>45383</v>
      </c>
      <c r="P607" s="123">
        <v>45384</v>
      </c>
      <c r="Q607" s="34">
        <v>45</v>
      </c>
      <c r="R607" s="33">
        <f t="shared" si="69"/>
        <v>30</v>
      </c>
      <c r="S607" s="34">
        <v>1</v>
      </c>
      <c r="T607" s="34">
        <f t="shared" si="70"/>
        <v>1</v>
      </c>
      <c r="U607" s="33">
        <f t="shared" si="71"/>
        <v>30</v>
      </c>
      <c r="V607" s="38" t="s">
        <v>827</v>
      </c>
      <c r="W607" s="39">
        <f t="shared" si="72"/>
        <v>2</v>
      </c>
      <c r="X607" s="40" t="s">
        <v>304</v>
      </c>
      <c r="Y607" s="40" t="s">
        <v>283</v>
      </c>
      <c r="Z607" s="40" t="s">
        <v>749</v>
      </c>
      <c r="AA607" s="33" t="s">
        <v>749</v>
      </c>
      <c r="AB607" s="95"/>
      <c r="AC607" s="95"/>
    </row>
    <row r="608" spans="1:29" ht="14.45" hidden="1" customHeight="1" x14ac:dyDescent="0.25">
      <c r="A608" s="36" t="str">
        <f>INDEX('Base de données Mono'!C:C,MATCH(B608,'Base de données Mono'!D:D,0))</f>
        <v>PLEYEL</v>
      </c>
      <c r="B608" t="s">
        <v>344</v>
      </c>
      <c r="C608" s="36" t="str">
        <f>INDEX('Base de données Mono'!B:B,MATCH(B608,'Base de données Mono'!D:D,0))</f>
        <v>Monop</v>
      </c>
      <c r="D608" s="36" t="str">
        <f>INDEX('Base de données Mono'!A:A,MATCH(B608,'Base de données Mono'!D:D,0))</f>
        <v>JG</v>
      </c>
      <c r="E608" s="37" t="s">
        <v>303</v>
      </c>
      <c r="F608" s="41">
        <f t="shared" si="67"/>
        <v>14</v>
      </c>
      <c r="G608" s="41">
        <f t="shared" si="68"/>
        <v>4</v>
      </c>
      <c r="H608">
        <v>7.5</v>
      </c>
      <c r="I608" s="131">
        <f>INDEX('Base de données Mono'!K:K,MATCH(B608,'Base de données Mono'!D:D,0))</f>
        <v>0.25</v>
      </c>
      <c r="J608" s="131">
        <f>INDEX('Base de données Mono'!L:L,MATCH(B608,'Base de données Mono'!D:D,0))</f>
        <v>0.9375</v>
      </c>
      <c r="K608" s="131" t="str">
        <f>INDEX('Base de données Mono'!M:M,MATCH(B608,'Base de données Mono'!D:D,0))</f>
        <v>-</v>
      </c>
      <c r="L608" s="131" t="str">
        <f>INDEX('Base de données Mono'!N:N,MATCH(B608,'Base de données Mono'!D:D,0))</f>
        <v>-</v>
      </c>
      <c r="M608" s="33" t="s">
        <v>46</v>
      </c>
      <c r="N608" s="33">
        <f>IF(AND(E608="Electricité",M608="Hiver"),INDEX('Base de données Mono'!E:E,MATCH(B608,'Base de données Mono'!D:D,0)),IF(AND(E608="Electricité",M608="Mi-saison"),INDEX('Base de données Mono'!F:F,MATCH(B608,'Base de données Mono'!D:D,0)),IF(AND(E608="Electricité",M608="Eté"),INDEX('Base de données Mono'!G:G,MATCH(B608,'Base de données Mono'!D:D,0)),IF(AND(E608="Gaz",M608="Hiver"),INDEX('Base de données Mono'!J:J,MATCH(B608,'Base de données Mono'!D:D,0)),IF(AND(E608="Gaz",M608="Mi-saison"),INDEX('Base de données Mono'!#REF!,MATCH(B608,'Base de données Mono'!D:D,0)),IF(AND(E608="Gaz",M608="Eté"),INDEX('Base de données Mono'!#REF!,MATCH(B608,'Base de données Mono'!D:D,0)),"-"))))))</f>
        <v>15</v>
      </c>
      <c r="O608" s="123">
        <v>45384</v>
      </c>
      <c r="P608" s="123">
        <v>45386</v>
      </c>
      <c r="Q608" s="34">
        <v>35</v>
      </c>
      <c r="R608" s="33">
        <f t="shared" si="69"/>
        <v>20</v>
      </c>
      <c r="S608" s="34">
        <v>1</v>
      </c>
      <c r="T608" s="34">
        <f t="shared" si="70"/>
        <v>2</v>
      </c>
      <c r="U608" s="33">
        <f t="shared" si="71"/>
        <v>40</v>
      </c>
      <c r="V608" s="38" t="s">
        <v>827</v>
      </c>
      <c r="W608" s="39">
        <f t="shared" si="72"/>
        <v>1.3333333333333333</v>
      </c>
      <c r="X608" s="40" t="s">
        <v>304</v>
      </c>
      <c r="Y608" s="40" t="s">
        <v>283</v>
      </c>
      <c r="Z608" s="40" t="s">
        <v>749</v>
      </c>
      <c r="AA608" s="33" t="s">
        <v>749</v>
      </c>
      <c r="AB608" s="95"/>
      <c r="AC608" s="95"/>
    </row>
    <row r="609" spans="1:29" ht="14.45" hidden="1" customHeight="1" x14ac:dyDescent="0.25">
      <c r="A609" s="36" t="str">
        <f>INDEX('Base de données Mono'!C:C,MATCH(B609,'Base de données Mono'!D:D,0))</f>
        <v>PLEYEL</v>
      </c>
      <c r="B609" t="s">
        <v>344</v>
      </c>
      <c r="C609" s="36" t="str">
        <f>INDEX('Base de données Mono'!B:B,MATCH(B609,'Base de données Mono'!D:D,0))</f>
        <v>Monop</v>
      </c>
      <c r="D609" s="36" t="str">
        <f>INDEX('Base de données Mono'!A:A,MATCH(B609,'Base de données Mono'!D:D,0))</f>
        <v>JG</v>
      </c>
      <c r="E609" s="37" t="s">
        <v>303</v>
      </c>
      <c r="F609" s="41">
        <f t="shared" si="67"/>
        <v>14</v>
      </c>
      <c r="G609" s="41">
        <f t="shared" si="68"/>
        <v>4</v>
      </c>
      <c r="H609">
        <v>7.5</v>
      </c>
      <c r="I609" s="131">
        <f>INDEX('Base de données Mono'!K:K,MATCH(B609,'Base de données Mono'!D:D,0))</f>
        <v>0.25</v>
      </c>
      <c r="J609" s="131">
        <f>INDEX('Base de données Mono'!L:L,MATCH(B609,'Base de données Mono'!D:D,0))</f>
        <v>0.9375</v>
      </c>
      <c r="K609" s="131" t="str">
        <f>INDEX('Base de données Mono'!M:M,MATCH(B609,'Base de données Mono'!D:D,0))</f>
        <v>-</v>
      </c>
      <c r="L609" s="131" t="str">
        <f>INDEX('Base de données Mono'!N:N,MATCH(B609,'Base de données Mono'!D:D,0))</f>
        <v>-</v>
      </c>
      <c r="M609" s="33" t="s">
        <v>46</v>
      </c>
      <c r="N609" s="33">
        <f>IF(AND(E609="Electricité",M609="Hiver"),INDEX('Base de données Mono'!E:E,MATCH(B609,'Base de données Mono'!D:D,0)),IF(AND(E609="Electricité",M609="Mi-saison"),INDEX('Base de données Mono'!F:F,MATCH(B609,'Base de données Mono'!D:D,0)),IF(AND(E609="Electricité",M609="Eté"),INDEX('Base de données Mono'!G:G,MATCH(B609,'Base de données Mono'!D:D,0)),IF(AND(E609="Gaz",M609="Hiver"),INDEX('Base de données Mono'!J:J,MATCH(B609,'Base de données Mono'!D:D,0)),IF(AND(E609="Gaz",M609="Mi-saison"),INDEX('Base de données Mono'!#REF!,MATCH(B609,'Base de données Mono'!D:D,0)),IF(AND(E609="Gaz",M609="Eté"),INDEX('Base de données Mono'!#REF!,MATCH(B609,'Base de données Mono'!D:D,0)),"-"))))))</f>
        <v>15</v>
      </c>
      <c r="O609" s="123">
        <v>45385</v>
      </c>
      <c r="P609" s="123">
        <v>45388</v>
      </c>
      <c r="Q609" s="34">
        <v>20</v>
      </c>
      <c r="R609" s="33">
        <f t="shared" si="69"/>
        <v>5</v>
      </c>
      <c r="S609" s="34">
        <v>1</v>
      </c>
      <c r="T609" s="34">
        <f t="shared" si="70"/>
        <v>3</v>
      </c>
      <c r="U609" s="33">
        <f t="shared" si="71"/>
        <v>15</v>
      </c>
      <c r="V609" s="38" t="s">
        <v>827</v>
      </c>
      <c r="W609" s="39">
        <f t="shared" si="72"/>
        <v>0.33333333333333331</v>
      </c>
      <c r="X609" s="40" t="s">
        <v>304</v>
      </c>
      <c r="Y609" s="40" t="s">
        <v>283</v>
      </c>
      <c r="Z609" s="40" t="s">
        <v>749</v>
      </c>
      <c r="AA609" s="33" t="s">
        <v>749</v>
      </c>
      <c r="AB609" s="95"/>
      <c r="AC609" s="95"/>
    </row>
    <row r="610" spans="1:29" ht="14.45" hidden="1" customHeight="1" x14ac:dyDescent="0.25">
      <c r="A610" s="36" t="str">
        <f>INDEX('Base de données Mono'!C:C,MATCH(B610,'Base de données Mono'!D:D,0))</f>
        <v>PLEYEL</v>
      </c>
      <c r="B610" t="s">
        <v>344</v>
      </c>
      <c r="C610" s="36" t="str">
        <f>INDEX('Base de données Mono'!B:B,MATCH(B610,'Base de données Mono'!D:D,0))</f>
        <v>Monop</v>
      </c>
      <c r="D610" s="36" t="str">
        <f>INDEX('Base de données Mono'!A:A,MATCH(B610,'Base de données Mono'!D:D,0))</f>
        <v>JG</v>
      </c>
      <c r="E610" s="37" t="s">
        <v>303</v>
      </c>
      <c r="F610" s="41">
        <f t="shared" si="67"/>
        <v>14</v>
      </c>
      <c r="G610" s="41">
        <f t="shared" si="68"/>
        <v>4</v>
      </c>
      <c r="H610">
        <v>7.5</v>
      </c>
      <c r="I610" s="131">
        <f>INDEX('Base de données Mono'!K:K,MATCH(B610,'Base de données Mono'!D:D,0))</f>
        <v>0.25</v>
      </c>
      <c r="J610" s="131">
        <f>INDEX('Base de données Mono'!L:L,MATCH(B610,'Base de données Mono'!D:D,0))</f>
        <v>0.9375</v>
      </c>
      <c r="K610" s="131" t="str">
        <f>INDEX('Base de données Mono'!M:M,MATCH(B610,'Base de données Mono'!D:D,0))</f>
        <v>-</v>
      </c>
      <c r="L610" s="131" t="str">
        <f>INDEX('Base de données Mono'!N:N,MATCH(B610,'Base de données Mono'!D:D,0))</f>
        <v>-</v>
      </c>
      <c r="M610" s="33" t="s">
        <v>46</v>
      </c>
      <c r="N610" s="33">
        <f>IF(AND(E610="Electricité",M610="Hiver"),INDEX('Base de données Mono'!E:E,MATCH(B610,'Base de données Mono'!D:D,0)),IF(AND(E610="Electricité",M610="Mi-saison"),INDEX('Base de données Mono'!F:F,MATCH(B610,'Base de données Mono'!D:D,0)),IF(AND(E610="Electricité",M610="Eté"),INDEX('Base de données Mono'!G:G,MATCH(B610,'Base de données Mono'!D:D,0)),IF(AND(E610="Gaz",M610="Hiver"),INDEX('Base de données Mono'!J:J,MATCH(B610,'Base de données Mono'!D:D,0)),IF(AND(E610="Gaz",M610="Mi-saison"),INDEX('Base de données Mono'!#REF!,MATCH(B610,'Base de données Mono'!D:D,0)),IF(AND(E610="Gaz",M610="Eté"),INDEX('Base de données Mono'!#REF!,MATCH(B610,'Base de données Mono'!D:D,0)),"-"))))))</f>
        <v>15</v>
      </c>
      <c r="O610" s="123">
        <v>45386</v>
      </c>
      <c r="P610" s="123">
        <v>45387</v>
      </c>
      <c r="Q610" s="34">
        <v>50</v>
      </c>
      <c r="R610" s="33">
        <f t="shared" si="69"/>
        <v>35</v>
      </c>
      <c r="S610" s="34">
        <v>1</v>
      </c>
      <c r="T610" s="34">
        <f t="shared" si="70"/>
        <v>1</v>
      </c>
      <c r="U610" s="33">
        <f t="shared" si="71"/>
        <v>35</v>
      </c>
      <c r="V610" s="38" t="s">
        <v>827</v>
      </c>
      <c r="W610" s="39">
        <f t="shared" si="72"/>
        <v>2.3333333333333335</v>
      </c>
      <c r="X610" s="40" t="s">
        <v>304</v>
      </c>
      <c r="Y610" s="40" t="s">
        <v>283</v>
      </c>
      <c r="Z610" s="40" t="s">
        <v>749</v>
      </c>
      <c r="AA610" s="33" t="s">
        <v>749</v>
      </c>
      <c r="AB610" s="95"/>
      <c r="AC610" s="95"/>
    </row>
    <row r="611" spans="1:29" ht="14.45" hidden="1" customHeight="1" x14ac:dyDescent="0.25">
      <c r="A611" s="36" t="str">
        <f>INDEX('Base de données Mono'!C:C,MATCH(B611,'Base de données Mono'!D:D,0))</f>
        <v>PLEYEL</v>
      </c>
      <c r="B611" t="s">
        <v>344</v>
      </c>
      <c r="C611" s="36" t="str">
        <f>INDEX('Base de données Mono'!B:B,MATCH(B611,'Base de données Mono'!D:D,0))</f>
        <v>Monop</v>
      </c>
      <c r="D611" s="36" t="str">
        <f>INDEX('Base de données Mono'!A:A,MATCH(B611,'Base de données Mono'!D:D,0))</f>
        <v>JG</v>
      </c>
      <c r="E611" s="37" t="s">
        <v>303</v>
      </c>
      <c r="F611" s="41">
        <f t="shared" si="67"/>
        <v>14</v>
      </c>
      <c r="G611" s="41">
        <f t="shared" si="68"/>
        <v>4</v>
      </c>
      <c r="H611">
        <v>7.5</v>
      </c>
      <c r="I611" s="131">
        <f>INDEX('Base de données Mono'!K:K,MATCH(B611,'Base de données Mono'!D:D,0))</f>
        <v>0.25</v>
      </c>
      <c r="J611" s="131">
        <f>INDEX('Base de données Mono'!L:L,MATCH(B611,'Base de données Mono'!D:D,0))</f>
        <v>0.9375</v>
      </c>
      <c r="K611" s="131" t="str">
        <f>INDEX('Base de données Mono'!M:M,MATCH(B611,'Base de données Mono'!D:D,0))</f>
        <v>-</v>
      </c>
      <c r="L611" s="131" t="str">
        <f>INDEX('Base de données Mono'!N:N,MATCH(B611,'Base de données Mono'!D:D,0))</f>
        <v>-</v>
      </c>
      <c r="M611" s="33" t="s">
        <v>46</v>
      </c>
      <c r="N611" s="33">
        <f>IF(AND(E611="Electricité",M611="Hiver"),INDEX('Base de données Mono'!E:E,MATCH(B611,'Base de données Mono'!D:D,0)),IF(AND(E611="Electricité",M611="Mi-saison"),INDEX('Base de données Mono'!F:F,MATCH(B611,'Base de données Mono'!D:D,0)),IF(AND(E611="Electricité",M611="Eté"),INDEX('Base de données Mono'!G:G,MATCH(B611,'Base de données Mono'!D:D,0)),IF(AND(E611="Gaz",M611="Hiver"),INDEX('Base de données Mono'!J:J,MATCH(B611,'Base de données Mono'!D:D,0)),IF(AND(E611="Gaz",M611="Mi-saison"),INDEX('Base de données Mono'!#REF!,MATCH(B611,'Base de données Mono'!D:D,0)),IF(AND(E611="Gaz",M611="Eté"),INDEX('Base de données Mono'!#REF!,MATCH(B611,'Base de données Mono'!D:D,0)),"-"))))))</f>
        <v>15</v>
      </c>
      <c r="O611" s="123">
        <v>45387</v>
      </c>
      <c r="P611" s="123">
        <v>45388</v>
      </c>
      <c r="Q611" s="34">
        <v>35</v>
      </c>
      <c r="R611" s="33">
        <f t="shared" si="69"/>
        <v>20</v>
      </c>
      <c r="S611" s="34">
        <v>1</v>
      </c>
      <c r="T611" s="34">
        <f t="shared" si="70"/>
        <v>1</v>
      </c>
      <c r="U611" s="33">
        <f t="shared" si="71"/>
        <v>20</v>
      </c>
      <c r="V611" s="38" t="s">
        <v>827</v>
      </c>
      <c r="W611" s="39">
        <f t="shared" si="72"/>
        <v>1.3333333333333333</v>
      </c>
      <c r="X611" s="40" t="s">
        <v>304</v>
      </c>
      <c r="Y611" s="40" t="s">
        <v>283</v>
      </c>
      <c r="Z611" s="40" t="s">
        <v>749</v>
      </c>
      <c r="AA611" s="33" t="s">
        <v>749</v>
      </c>
      <c r="AB611" s="95"/>
      <c r="AC611" s="95"/>
    </row>
    <row r="612" spans="1:29" ht="14.45" hidden="1" customHeight="1" x14ac:dyDescent="0.25">
      <c r="A612" s="36" t="str">
        <f>INDEX('Base de données Mono'!C:C,MATCH(B612,'Base de données Mono'!D:D,0))</f>
        <v>PLEYEL</v>
      </c>
      <c r="B612" t="s">
        <v>344</v>
      </c>
      <c r="C612" s="36" t="str">
        <f>INDEX('Base de données Mono'!B:B,MATCH(B612,'Base de données Mono'!D:D,0))</f>
        <v>Monop</v>
      </c>
      <c r="D612" s="36" t="str">
        <f>INDEX('Base de données Mono'!A:A,MATCH(B612,'Base de données Mono'!D:D,0))</f>
        <v>JG</v>
      </c>
      <c r="E612" s="37" t="s">
        <v>303</v>
      </c>
      <c r="F612" s="41">
        <f t="shared" si="67"/>
        <v>14</v>
      </c>
      <c r="G612" s="41">
        <f t="shared" si="68"/>
        <v>4</v>
      </c>
      <c r="H612">
        <v>7.5</v>
      </c>
      <c r="I612" s="131">
        <f>INDEX('Base de données Mono'!K:K,MATCH(B612,'Base de données Mono'!D:D,0))</f>
        <v>0.25</v>
      </c>
      <c r="J612" s="131">
        <f>INDEX('Base de données Mono'!L:L,MATCH(B612,'Base de données Mono'!D:D,0))</f>
        <v>0.9375</v>
      </c>
      <c r="K612" s="131" t="str">
        <f>INDEX('Base de données Mono'!M:M,MATCH(B612,'Base de données Mono'!D:D,0))</f>
        <v>-</v>
      </c>
      <c r="L612" s="131" t="str">
        <f>INDEX('Base de données Mono'!N:N,MATCH(B612,'Base de données Mono'!D:D,0))</f>
        <v>-</v>
      </c>
      <c r="M612" s="33" t="s">
        <v>46</v>
      </c>
      <c r="N612" s="33">
        <f>IF(AND(E612="Electricité",M612="Hiver"),INDEX('Base de données Mono'!E:E,MATCH(B612,'Base de données Mono'!D:D,0)),IF(AND(E612="Electricité",M612="Mi-saison"),INDEX('Base de données Mono'!F:F,MATCH(B612,'Base de données Mono'!D:D,0)),IF(AND(E612="Electricité",M612="Eté"),INDEX('Base de données Mono'!G:G,MATCH(B612,'Base de données Mono'!D:D,0)),IF(AND(E612="Gaz",M612="Hiver"),INDEX('Base de données Mono'!J:J,MATCH(B612,'Base de données Mono'!D:D,0)),IF(AND(E612="Gaz",M612="Mi-saison"),INDEX('Base de données Mono'!#REF!,MATCH(B612,'Base de données Mono'!D:D,0)),IF(AND(E612="Gaz",M612="Eté"),INDEX('Base de données Mono'!#REF!,MATCH(B612,'Base de données Mono'!D:D,0)),"-"))))))</f>
        <v>15</v>
      </c>
      <c r="O612" s="123">
        <v>45388</v>
      </c>
      <c r="P612" s="123">
        <v>45389</v>
      </c>
      <c r="Q612" s="34">
        <v>25</v>
      </c>
      <c r="R612" s="33">
        <f t="shared" si="69"/>
        <v>10</v>
      </c>
      <c r="S612" s="34">
        <v>8</v>
      </c>
      <c r="T612" s="34">
        <f t="shared" si="70"/>
        <v>1</v>
      </c>
      <c r="U612" s="33">
        <f t="shared" si="71"/>
        <v>80</v>
      </c>
      <c r="V612" s="38" t="s">
        <v>827</v>
      </c>
      <c r="W612" s="39">
        <f t="shared" si="72"/>
        <v>0.66666666666666663</v>
      </c>
      <c r="X612" s="40" t="s">
        <v>304</v>
      </c>
      <c r="Y612" s="40" t="s">
        <v>283</v>
      </c>
      <c r="Z612" s="40" t="s">
        <v>749</v>
      </c>
      <c r="AA612" s="33" t="s">
        <v>749</v>
      </c>
      <c r="AB612" s="95"/>
      <c r="AC612" s="95"/>
    </row>
    <row r="613" spans="1:29" ht="14.45" hidden="1" customHeight="1" x14ac:dyDescent="0.25">
      <c r="A613" s="36" t="str">
        <f>INDEX('Base de données Mono'!C:C,MATCH(B613,'Base de données Mono'!D:D,0))</f>
        <v>CHATOU</v>
      </c>
      <c r="B613" t="s">
        <v>339</v>
      </c>
      <c r="C613" s="36" t="str">
        <f>INDEX('Base de données Mono'!B:B,MATCH(B613,'Base de données Mono'!D:D,0))</f>
        <v>Monoprix</v>
      </c>
      <c r="D613" s="36" t="str">
        <f>INDEX('Base de données Mono'!A:A,MATCH(B613,'Base de données Mono'!D:D,0))</f>
        <v>AD</v>
      </c>
      <c r="E613" s="37" t="s">
        <v>303</v>
      </c>
      <c r="F613" s="41">
        <f t="shared" si="67"/>
        <v>14</v>
      </c>
      <c r="G613" s="41">
        <f t="shared" si="68"/>
        <v>4</v>
      </c>
      <c r="H613">
        <v>9</v>
      </c>
      <c r="I613" s="131">
        <f>INDEX('Base de données Mono'!K:K,MATCH(B613,'Base de données Mono'!D:D,0))</f>
        <v>0.25</v>
      </c>
      <c r="J613" s="131">
        <f>INDEX('Base de données Mono'!L:L,MATCH(B613,'Base de données Mono'!D:D,0))</f>
        <v>0.875</v>
      </c>
      <c r="K613" s="131">
        <f>INDEX('Base de données Mono'!M:M,MATCH(B613,'Base de données Mono'!D:D,0))</f>
        <v>0.25</v>
      </c>
      <c r="L613" s="131">
        <f>INDEX('Base de données Mono'!N:N,MATCH(B613,'Base de données Mono'!D:D,0))</f>
        <v>0.54166666666666663</v>
      </c>
      <c r="M613" s="33" t="s">
        <v>46</v>
      </c>
      <c r="N613" s="33">
        <f>IF(AND(E613="Electricité",M613="Hiver"),INDEX('Base de données Mono'!E:E,MATCH(B613,'Base de données Mono'!D:D,0)),IF(AND(E613="Electricité",M613="Mi-saison"),INDEX('Base de données Mono'!F:F,MATCH(B613,'Base de données Mono'!D:D,0)),IF(AND(E613="Electricité",M613="Eté"),INDEX('Base de données Mono'!G:G,MATCH(B613,'Base de données Mono'!D:D,0)),IF(AND(E613="Gaz",M613="Hiver"),INDEX('Base de données Mono'!J:J,MATCH(B613,'Base de données Mono'!D:D,0)),IF(AND(E613="Gaz",M613="Mi-saison"),INDEX('Base de données Mono'!#REF!,MATCH(B613,'Base de données Mono'!D:D,0)),IF(AND(E613="Gaz",M613="Eté"),INDEX('Base de données Mono'!#REF!,MATCH(B613,'Base de données Mono'!D:D,0)),"-"))))))</f>
        <v>85</v>
      </c>
      <c r="O613" s="123">
        <v>45383</v>
      </c>
      <c r="P613" s="123">
        <v>45384</v>
      </c>
      <c r="Q613" s="34">
        <v>95</v>
      </c>
      <c r="R613" s="33">
        <f t="shared" si="69"/>
        <v>10</v>
      </c>
      <c r="S613" s="34">
        <v>1</v>
      </c>
      <c r="T613" s="34">
        <f t="shared" si="70"/>
        <v>1</v>
      </c>
      <c r="U613" s="33">
        <f t="shared" si="71"/>
        <v>10</v>
      </c>
      <c r="V613" s="38" t="s">
        <v>827</v>
      </c>
      <c r="W613" s="39">
        <f t="shared" si="72"/>
        <v>0.11764705882352941</v>
      </c>
      <c r="X613" s="40" t="s">
        <v>304</v>
      </c>
      <c r="Y613" s="40" t="s">
        <v>283</v>
      </c>
      <c r="Z613" s="40" t="s">
        <v>749</v>
      </c>
      <c r="AA613" s="33" t="s">
        <v>749</v>
      </c>
      <c r="AB613" s="95"/>
      <c r="AC613" s="95"/>
    </row>
    <row r="614" spans="1:29" ht="14.45" hidden="1" customHeight="1" x14ac:dyDescent="0.25">
      <c r="A614" s="36" t="str">
        <f>INDEX('Base de données Mono'!C:C,MATCH(B614,'Base de données Mono'!D:D,0))</f>
        <v>LILLE LES TANNEURS</v>
      </c>
      <c r="B614" t="s">
        <v>160</v>
      </c>
      <c r="C614" s="36" t="str">
        <f>INDEX('Base de données Mono'!B:B,MATCH(B614,'Base de données Mono'!D:D,0))</f>
        <v>SES8</v>
      </c>
      <c r="D614" s="36" t="str">
        <f>INDEX('Base de données Mono'!A:A,MATCH(B614,'Base de données Mono'!D:D,0))</f>
        <v>JG</v>
      </c>
      <c r="E614" s="37" t="s">
        <v>303</v>
      </c>
      <c r="F614" s="41">
        <f t="shared" si="67"/>
        <v>14</v>
      </c>
      <c r="G614" s="41">
        <f t="shared" si="68"/>
        <v>4</v>
      </c>
      <c r="H614">
        <v>8</v>
      </c>
      <c r="I614" s="131">
        <f>INDEX('Base de données Mono'!K:K,MATCH(B614,'Base de données Mono'!D:D,0))</f>
        <v>0.16666666666666666</v>
      </c>
      <c r="J614" s="131">
        <f>INDEX('Base de données Mono'!L:L,MATCH(B614,'Base de données Mono'!D:D,0))</f>
        <v>0.83333333333333337</v>
      </c>
      <c r="K614" s="131">
        <f>INDEX('Base de données Mono'!M:M,MATCH(B614,'Base de données Mono'!D:D,0))</f>
        <v>0.29166666666666669</v>
      </c>
      <c r="L614" s="131">
        <f>INDEX('Base de données Mono'!N:N,MATCH(B614,'Base de données Mono'!D:D,0))</f>
        <v>0.79166666666666663</v>
      </c>
      <c r="M614" s="33" t="s">
        <v>46</v>
      </c>
      <c r="N614" s="33">
        <f>IF(AND(E614="Electricité",M614="Hiver"),INDEX('Base de données Mono'!E:E,MATCH(B614,'Base de données Mono'!D:D,0)),IF(AND(E614="Electricité",M614="Mi-saison"),INDEX('Base de données Mono'!F:F,MATCH(B614,'Base de données Mono'!D:D,0)),IF(AND(E614="Electricité",M614="Eté"),INDEX('Base de données Mono'!G:G,MATCH(B614,'Base de données Mono'!D:D,0)),IF(AND(E614="Gaz",M614="Hiver"),INDEX('Base de données Mono'!J:J,MATCH(B614,'Base de données Mono'!D:D,0)),IF(AND(E614="Gaz",M614="Mi-saison"),INDEX('Base de données Mono'!#REF!,MATCH(B614,'Base de données Mono'!D:D,0)),IF(AND(E614="Gaz",M614="Eté"),INDEX('Base de données Mono'!#REF!,MATCH(B614,'Base de données Mono'!D:D,0)),"-"))))))</f>
        <v>50</v>
      </c>
      <c r="O614" s="123">
        <v>45383</v>
      </c>
      <c r="P614" s="123">
        <v>45386</v>
      </c>
      <c r="Q614" s="34">
        <v>55</v>
      </c>
      <c r="R614" s="33">
        <f t="shared" si="69"/>
        <v>5</v>
      </c>
      <c r="S614" s="34">
        <v>8</v>
      </c>
      <c r="T614" s="34">
        <f t="shared" si="70"/>
        <v>3</v>
      </c>
      <c r="U614" s="33">
        <f t="shared" si="71"/>
        <v>120</v>
      </c>
      <c r="V614" s="38" t="s">
        <v>827</v>
      </c>
      <c r="W614" s="39">
        <f t="shared" si="72"/>
        <v>0.1</v>
      </c>
      <c r="X614" s="40" t="s">
        <v>304</v>
      </c>
      <c r="Y614" s="40" t="s">
        <v>284</v>
      </c>
      <c r="Z614" s="40" t="s">
        <v>305</v>
      </c>
      <c r="AA614" s="33" t="s">
        <v>771</v>
      </c>
      <c r="AB614" s="95"/>
      <c r="AC614" s="95"/>
    </row>
    <row r="615" spans="1:29" ht="14.45" hidden="1" customHeight="1" x14ac:dyDescent="0.25">
      <c r="A615" s="36" t="str">
        <f>INDEX('Base de données Mono'!C:C,MATCH(B615,'Base de données Mono'!D:D,0))</f>
        <v>LILLE LES TANNEURS</v>
      </c>
      <c r="B615" t="s">
        <v>160</v>
      </c>
      <c r="C615" s="36" t="str">
        <f>INDEX('Base de données Mono'!B:B,MATCH(B615,'Base de données Mono'!D:D,0))</f>
        <v>SES8</v>
      </c>
      <c r="D615" s="36" t="str">
        <f>INDEX('Base de données Mono'!A:A,MATCH(B615,'Base de données Mono'!D:D,0))</f>
        <v>JG</v>
      </c>
      <c r="E615" s="37" t="s">
        <v>303</v>
      </c>
      <c r="F615" s="41">
        <f t="shared" si="67"/>
        <v>14</v>
      </c>
      <c r="G615" s="41">
        <f t="shared" si="68"/>
        <v>4</v>
      </c>
      <c r="H615">
        <v>8</v>
      </c>
      <c r="I615" s="131">
        <f>INDEX('Base de données Mono'!K:K,MATCH(B615,'Base de données Mono'!D:D,0))</f>
        <v>0.16666666666666666</v>
      </c>
      <c r="J615" s="131">
        <f>INDEX('Base de données Mono'!L:L,MATCH(B615,'Base de données Mono'!D:D,0))</f>
        <v>0.83333333333333337</v>
      </c>
      <c r="K615" s="131">
        <f>INDEX('Base de données Mono'!M:M,MATCH(B615,'Base de données Mono'!D:D,0))</f>
        <v>0.29166666666666669</v>
      </c>
      <c r="L615" s="131">
        <f>INDEX('Base de données Mono'!N:N,MATCH(B615,'Base de données Mono'!D:D,0))</f>
        <v>0.79166666666666663</v>
      </c>
      <c r="M615" s="33" t="s">
        <v>46</v>
      </c>
      <c r="N615" s="33">
        <f>IF(AND(E615="Electricité",M615="Hiver"),INDEX('Base de données Mono'!E:E,MATCH(B615,'Base de données Mono'!D:D,0)),IF(AND(E615="Electricité",M615="Mi-saison"),INDEX('Base de données Mono'!F:F,MATCH(B615,'Base de données Mono'!D:D,0)),IF(AND(E615="Electricité",M615="Eté"),INDEX('Base de données Mono'!G:G,MATCH(B615,'Base de données Mono'!D:D,0)),IF(AND(E615="Gaz",M615="Hiver"),INDEX('Base de données Mono'!J:J,MATCH(B615,'Base de données Mono'!D:D,0)),IF(AND(E615="Gaz",M615="Mi-saison"),INDEX('Base de données Mono'!#REF!,MATCH(B615,'Base de données Mono'!D:D,0)),IF(AND(E615="Gaz",M615="Eté"),INDEX('Base de données Mono'!#REF!,MATCH(B615,'Base de données Mono'!D:D,0)),"-"))))))</f>
        <v>50</v>
      </c>
      <c r="O615" s="123">
        <v>45386</v>
      </c>
      <c r="P615" s="123">
        <v>45389</v>
      </c>
      <c r="Q615" s="34">
        <v>95</v>
      </c>
      <c r="R615" s="33">
        <f t="shared" si="69"/>
        <v>45</v>
      </c>
      <c r="S615" s="34">
        <v>4.5999999999999996</v>
      </c>
      <c r="T615" s="34">
        <f t="shared" si="70"/>
        <v>3</v>
      </c>
      <c r="U615" s="33">
        <f t="shared" si="71"/>
        <v>620.99999999999989</v>
      </c>
      <c r="V615" s="38" t="s">
        <v>827</v>
      </c>
      <c r="W615" s="39">
        <f t="shared" si="72"/>
        <v>0.9</v>
      </c>
      <c r="X615" s="40" t="s">
        <v>304</v>
      </c>
      <c r="Y615" s="40" t="s">
        <v>284</v>
      </c>
      <c r="Z615" s="40" t="s">
        <v>311</v>
      </c>
      <c r="AA615" s="33" t="s">
        <v>775</v>
      </c>
      <c r="AB615" s="95"/>
      <c r="AC615" s="95"/>
    </row>
    <row r="616" spans="1:29" ht="14.45" hidden="1" customHeight="1" x14ac:dyDescent="0.25">
      <c r="A616" s="36" t="str">
        <f>INDEX('Base de données Mono'!C:C,MATCH(B616,'Base de données Mono'!D:D,0))</f>
        <v>LILLE LES TANNEURS</v>
      </c>
      <c r="B616" t="s">
        <v>160</v>
      </c>
      <c r="C616" s="36" t="str">
        <f>INDEX('Base de données Mono'!B:B,MATCH(B616,'Base de données Mono'!D:D,0))</f>
        <v>SES8</v>
      </c>
      <c r="D616" s="36" t="str">
        <f>INDEX('Base de données Mono'!A:A,MATCH(B616,'Base de données Mono'!D:D,0))</f>
        <v>JG</v>
      </c>
      <c r="E616" s="37" t="s">
        <v>303</v>
      </c>
      <c r="F616" s="41">
        <f t="shared" si="67"/>
        <v>14</v>
      </c>
      <c r="G616" s="41">
        <f t="shared" si="68"/>
        <v>4</v>
      </c>
      <c r="H616">
        <v>8</v>
      </c>
      <c r="I616" s="131">
        <f>INDEX('Base de données Mono'!K:K,MATCH(B616,'Base de données Mono'!D:D,0))</f>
        <v>0.16666666666666666</v>
      </c>
      <c r="J616" s="131">
        <f>INDEX('Base de données Mono'!L:L,MATCH(B616,'Base de données Mono'!D:D,0))</f>
        <v>0.83333333333333337</v>
      </c>
      <c r="K616" s="131">
        <f>INDEX('Base de données Mono'!M:M,MATCH(B616,'Base de données Mono'!D:D,0))</f>
        <v>0.29166666666666669</v>
      </c>
      <c r="L616" s="131">
        <f>INDEX('Base de données Mono'!N:N,MATCH(B616,'Base de données Mono'!D:D,0))</f>
        <v>0.79166666666666663</v>
      </c>
      <c r="M616" s="33" t="s">
        <v>46</v>
      </c>
      <c r="N616" s="33">
        <f>IF(AND(E616="Electricité",M616="Hiver"),INDEX('Base de données Mono'!E:E,MATCH(B616,'Base de données Mono'!D:D,0)),IF(AND(E616="Electricité",M616="Mi-saison"),INDEX('Base de données Mono'!F:F,MATCH(B616,'Base de données Mono'!D:D,0)),IF(AND(E616="Electricité",M616="Eté"),INDEX('Base de données Mono'!G:G,MATCH(B616,'Base de données Mono'!D:D,0)),IF(AND(E616="Gaz",M616="Hiver"),INDEX('Base de données Mono'!J:J,MATCH(B616,'Base de données Mono'!D:D,0)),IF(AND(E616="Gaz",M616="Mi-saison"),INDEX('Base de données Mono'!#REF!,MATCH(B616,'Base de données Mono'!D:D,0)),IF(AND(E616="Gaz",M616="Eté"),INDEX('Base de données Mono'!#REF!,MATCH(B616,'Base de données Mono'!D:D,0)),"-"))))))</f>
        <v>50</v>
      </c>
      <c r="O616" s="123">
        <v>45386</v>
      </c>
      <c r="P616" s="123">
        <v>45389</v>
      </c>
      <c r="Q616" s="34">
        <v>55</v>
      </c>
      <c r="R616" s="33">
        <f t="shared" si="69"/>
        <v>5</v>
      </c>
      <c r="S616" s="34">
        <v>3.4</v>
      </c>
      <c r="T616" s="34">
        <f t="shared" si="70"/>
        <v>3</v>
      </c>
      <c r="U616" s="33">
        <f t="shared" si="71"/>
        <v>51</v>
      </c>
      <c r="V616" s="38" t="s">
        <v>827</v>
      </c>
      <c r="W616" s="39">
        <f t="shared" si="72"/>
        <v>0.1</v>
      </c>
      <c r="X616" s="40" t="s">
        <v>304</v>
      </c>
      <c r="Y616" s="40" t="s">
        <v>284</v>
      </c>
      <c r="Z616" s="40" t="s">
        <v>305</v>
      </c>
      <c r="AA616" s="33" t="s">
        <v>771</v>
      </c>
      <c r="AB616" s="95"/>
      <c r="AC616" s="95"/>
    </row>
    <row r="617" spans="1:29" ht="14.45" hidden="1" customHeight="1" x14ac:dyDescent="0.25">
      <c r="A617" s="36" t="str">
        <f>INDEX('Base de données Mono'!C:C,MATCH(B617,'Base de données Mono'!D:D,0))</f>
        <v>SAINT BRIEUC</v>
      </c>
      <c r="B617" t="s">
        <v>231</v>
      </c>
      <c r="C617" s="36" t="str">
        <f>INDEX('Base de données Mono'!B:B,MATCH(B617,'Base de données Mono'!D:D,0))</f>
        <v>Monoprix</v>
      </c>
      <c r="D617" s="36" t="str">
        <f>INDEX('Base de données Mono'!A:A,MATCH(B617,'Base de données Mono'!D:D,0))</f>
        <v>AD</v>
      </c>
      <c r="E617" s="37" t="s">
        <v>303</v>
      </c>
      <c r="F617" s="41">
        <f t="shared" si="67"/>
        <v>14</v>
      </c>
      <c r="G617" s="41">
        <f t="shared" si="68"/>
        <v>4</v>
      </c>
      <c r="H617">
        <v>9.92</v>
      </c>
      <c r="I617" s="131">
        <f>INDEX('Base de données Mono'!K:K,MATCH(B617,'Base de données Mono'!D:D,0))</f>
        <v>0.23611111111111113</v>
      </c>
      <c r="J617" s="131">
        <f>INDEX('Base de données Mono'!L:L,MATCH(B617,'Base de données Mono'!D:D,0))</f>
        <v>0.82291666666666663</v>
      </c>
      <c r="K617" s="131" t="str">
        <f>INDEX('Base de données Mono'!M:M,MATCH(B617,'Base de données Mono'!D:D,0))</f>
        <v>-</v>
      </c>
      <c r="L617" s="131" t="str">
        <f>INDEX('Base de données Mono'!N:N,MATCH(B617,'Base de données Mono'!D:D,0))</f>
        <v>-</v>
      </c>
      <c r="M617" s="33" t="s">
        <v>46</v>
      </c>
      <c r="N617" s="33">
        <f>IF(AND(E617="Electricité",M617="Hiver"),INDEX('Base de données Mono'!E:E,MATCH(B617,'Base de données Mono'!D:D,0)),IF(AND(E617="Electricité",M617="Mi-saison"),INDEX('Base de données Mono'!F:F,MATCH(B617,'Base de données Mono'!D:D,0)),IF(AND(E617="Electricité",M617="Eté"),INDEX('Base de données Mono'!G:G,MATCH(B617,'Base de données Mono'!D:D,0)),IF(AND(E617="Gaz",M617="Hiver"),INDEX('Base de données Mono'!J:J,MATCH(B617,'Base de données Mono'!D:D,0)),IF(AND(E617="Gaz",M617="Mi-saison"),INDEX('Base de données Mono'!#REF!,MATCH(B617,'Base de données Mono'!D:D,0)),IF(AND(E617="Gaz",M617="Eté"),INDEX('Base de données Mono'!#REF!,MATCH(B617,'Base de données Mono'!D:D,0)),"-"))))))</f>
        <v>20</v>
      </c>
      <c r="O617" s="123">
        <v>45383</v>
      </c>
      <c r="P617" s="123">
        <v>45388</v>
      </c>
      <c r="Q617" s="34">
        <v>30</v>
      </c>
      <c r="R617" s="33">
        <f t="shared" si="69"/>
        <v>10</v>
      </c>
      <c r="S617" s="34">
        <v>1</v>
      </c>
      <c r="T617" s="34">
        <f t="shared" si="70"/>
        <v>5</v>
      </c>
      <c r="U617" s="33">
        <f t="shared" si="71"/>
        <v>50</v>
      </c>
      <c r="V617" s="38" t="s">
        <v>827</v>
      </c>
      <c r="W617" s="39">
        <f t="shared" si="72"/>
        <v>0.5</v>
      </c>
      <c r="X617" s="40" t="s">
        <v>304</v>
      </c>
      <c r="Y617" s="40" t="s">
        <v>283</v>
      </c>
      <c r="Z617" s="40" t="s">
        <v>749</v>
      </c>
      <c r="AA617" s="33" t="s">
        <v>749</v>
      </c>
      <c r="AB617" s="95"/>
      <c r="AC617" s="95"/>
    </row>
    <row r="618" spans="1:29" ht="14.45" hidden="1" customHeight="1" x14ac:dyDescent="0.25">
      <c r="A618" s="36" t="str">
        <f>INDEX('Base de données Mono'!C:C,MATCH(B618,'Base de données Mono'!D:D,0))</f>
        <v>RUE DE LAPPE</v>
      </c>
      <c r="B618" t="s">
        <v>340</v>
      </c>
      <c r="C618" s="36" t="str">
        <f>INDEX('Base de données Mono'!B:B,MATCH(B618,'Base de données Mono'!D:D,0))</f>
        <v>Monop</v>
      </c>
      <c r="D618" s="36" t="str">
        <f>INDEX('Base de données Mono'!A:A,MATCH(B618,'Base de données Mono'!D:D,0))</f>
        <v>AD</v>
      </c>
      <c r="E618" s="37" t="s">
        <v>303</v>
      </c>
      <c r="F618" s="41">
        <f t="shared" si="67"/>
        <v>14</v>
      </c>
      <c r="G618" s="41">
        <f t="shared" si="68"/>
        <v>4</v>
      </c>
      <c r="H618">
        <v>10</v>
      </c>
      <c r="I618" s="131">
        <f>INDEX('Base de données Mono'!K:K,MATCH(B618,'Base de données Mono'!D:D,0))</f>
        <v>0.27083333333333331</v>
      </c>
      <c r="J618" s="131">
        <f>INDEX('Base de données Mono'!L:L,MATCH(B618,'Base de données Mono'!D:D,0))</f>
        <v>0.85416666666666663</v>
      </c>
      <c r="K618" s="131">
        <f>INDEX('Base de données Mono'!M:M,MATCH(B618,'Base de données Mono'!D:D,0))</f>
        <v>0.3125</v>
      </c>
      <c r="L618" s="131">
        <f>INDEX('Base de données Mono'!N:N,MATCH(B618,'Base de données Mono'!D:D,0))</f>
        <v>0.5625</v>
      </c>
      <c r="M618" s="33" t="s">
        <v>46</v>
      </c>
      <c r="N618" s="33">
        <f>IF(AND(E618="Electricité",M618="Hiver"),INDEX('Base de données Mono'!E:E,MATCH(B618,'Base de données Mono'!D:D,0)),IF(AND(E618="Electricité",M618="Mi-saison"),INDEX('Base de données Mono'!F:F,MATCH(B618,'Base de données Mono'!D:D,0)),IF(AND(E618="Electricité",M618="Eté"),INDEX('Base de données Mono'!G:G,MATCH(B618,'Base de données Mono'!D:D,0)),IF(AND(E618="Gaz",M618="Hiver"),INDEX('Base de données Mono'!J:J,MATCH(B618,'Base de données Mono'!D:D,0)),IF(AND(E618="Gaz",M618="Mi-saison"),INDEX('Base de données Mono'!#REF!,MATCH(B618,'Base de données Mono'!D:D,0)),IF(AND(E618="Gaz",M618="Eté"),INDEX('Base de données Mono'!#REF!,MATCH(B618,'Base de données Mono'!D:D,0)),"-"))))))</f>
        <v>20</v>
      </c>
      <c r="O618" s="123">
        <v>45383</v>
      </c>
      <c r="P618" s="123">
        <v>45384</v>
      </c>
      <c r="Q618" s="34">
        <v>25</v>
      </c>
      <c r="R618" s="33">
        <f t="shared" si="69"/>
        <v>5</v>
      </c>
      <c r="S618" s="34">
        <v>3</v>
      </c>
      <c r="T618" s="34">
        <f t="shared" si="70"/>
        <v>1</v>
      </c>
      <c r="U618" s="33">
        <f t="shared" si="71"/>
        <v>15</v>
      </c>
      <c r="V618" s="38" t="s">
        <v>827</v>
      </c>
      <c r="W618" s="39">
        <f t="shared" si="72"/>
        <v>0.25</v>
      </c>
      <c r="X618" s="40" t="s">
        <v>304</v>
      </c>
      <c r="Y618" s="40" t="s">
        <v>283</v>
      </c>
      <c r="Z618" s="40" t="s">
        <v>749</v>
      </c>
      <c r="AA618" s="33" t="s">
        <v>749</v>
      </c>
      <c r="AB618" s="95"/>
      <c r="AC618" s="95"/>
    </row>
    <row r="619" spans="1:29" ht="14.45" hidden="1" customHeight="1" x14ac:dyDescent="0.25">
      <c r="A619" s="36" t="str">
        <f>INDEX('Base de données Mono'!C:C,MATCH(B619,'Base de données Mono'!D:D,0))</f>
        <v>RUE DE LAPPE</v>
      </c>
      <c r="B619" t="s">
        <v>340</v>
      </c>
      <c r="C619" s="36" t="str">
        <f>INDEX('Base de données Mono'!B:B,MATCH(B619,'Base de données Mono'!D:D,0))</f>
        <v>Monop</v>
      </c>
      <c r="D619" s="36" t="str">
        <f>INDEX('Base de données Mono'!A:A,MATCH(B619,'Base de données Mono'!D:D,0))</f>
        <v>AD</v>
      </c>
      <c r="E619" s="37" t="s">
        <v>303</v>
      </c>
      <c r="F619" s="41">
        <f t="shared" si="67"/>
        <v>14</v>
      </c>
      <c r="G619" s="41">
        <f t="shared" si="68"/>
        <v>4</v>
      </c>
      <c r="H619">
        <v>10</v>
      </c>
      <c r="I619" s="131">
        <f>INDEX('Base de données Mono'!K:K,MATCH(B619,'Base de données Mono'!D:D,0))</f>
        <v>0.27083333333333331</v>
      </c>
      <c r="J619" s="131">
        <f>INDEX('Base de données Mono'!L:L,MATCH(B619,'Base de données Mono'!D:D,0))</f>
        <v>0.85416666666666663</v>
      </c>
      <c r="K619" s="131">
        <f>INDEX('Base de données Mono'!M:M,MATCH(B619,'Base de données Mono'!D:D,0))</f>
        <v>0.3125</v>
      </c>
      <c r="L619" s="131">
        <f>INDEX('Base de données Mono'!N:N,MATCH(B619,'Base de données Mono'!D:D,0))</f>
        <v>0.5625</v>
      </c>
      <c r="M619" s="33" t="s">
        <v>46</v>
      </c>
      <c r="N619" s="33">
        <f>IF(AND(E619="Electricité",M619="Hiver"),INDEX('Base de données Mono'!E:E,MATCH(B619,'Base de données Mono'!D:D,0)),IF(AND(E619="Electricité",M619="Mi-saison"),INDEX('Base de données Mono'!F:F,MATCH(B619,'Base de données Mono'!D:D,0)),IF(AND(E619="Electricité",M619="Eté"),INDEX('Base de données Mono'!G:G,MATCH(B619,'Base de données Mono'!D:D,0)),IF(AND(E619="Gaz",M619="Hiver"),INDEX('Base de données Mono'!J:J,MATCH(B619,'Base de données Mono'!D:D,0)),IF(AND(E619="Gaz",M619="Mi-saison"),INDEX('Base de données Mono'!#REF!,MATCH(B619,'Base de données Mono'!D:D,0)),IF(AND(E619="Gaz",M619="Eté"),INDEX('Base de données Mono'!#REF!,MATCH(B619,'Base de données Mono'!D:D,0)),"-"))))))</f>
        <v>20</v>
      </c>
      <c r="O619" s="123">
        <v>45384</v>
      </c>
      <c r="P619" s="123">
        <v>45385</v>
      </c>
      <c r="Q619" s="34">
        <v>25</v>
      </c>
      <c r="R619" s="33">
        <f t="shared" si="69"/>
        <v>5</v>
      </c>
      <c r="S619" s="34">
        <v>10</v>
      </c>
      <c r="T619" s="34">
        <f t="shared" si="70"/>
        <v>1</v>
      </c>
      <c r="U619" s="33">
        <f t="shared" si="71"/>
        <v>50</v>
      </c>
      <c r="V619" s="38" t="s">
        <v>827</v>
      </c>
      <c r="W619" s="39">
        <f t="shared" si="72"/>
        <v>0.25</v>
      </c>
      <c r="X619" s="40" t="s">
        <v>304</v>
      </c>
      <c r="Y619" s="40" t="s">
        <v>283</v>
      </c>
      <c r="Z619" s="40" t="s">
        <v>749</v>
      </c>
      <c r="AA619" s="33" t="s">
        <v>749</v>
      </c>
      <c r="AB619" s="95"/>
      <c r="AC619" s="95"/>
    </row>
    <row r="620" spans="1:29" ht="14.45" hidden="1" customHeight="1" x14ac:dyDescent="0.25">
      <c r="A620" s="36" t="str">
        <f>INDEX('Base de données Mono'!C:C,MATCH(B620,'Base de données Mono'!D:D,0))</f>
        <v>RUE DE LAPPE</v>
      </c>
      <c r="B620" t="s">
        <v>340</v>
      </c>
      <c r="C620" s="36" t="str">
        <f>INDEX('Base de données Mono'!B:B,MATCH(B620,'Base de données Mono'!D:D,0))</f>
        <v>Monop</v>
      </c>
      <c r="D620" s="36" t="str">
        <f>INDEX('Base de données Mono'!A:A,MATCH(B620,'Base de données Mono'!D:D,0))</f>
        <v>AD</v>
      </c>
      <c r="E620" s="37" t="s">
        <v>303</v>
      </c>
      <c r="F620" s="41">
        <f t="shared" si="67"/>
        <v>14</v>
      </c>
      <c r="G620" s="41">
        <f t="shared" si="68"/>
        <v>4</v>
      </c>
      <c r="H620">
        <v>10</v>
      </c>
      <c r="I620" s="131">
        <f>INDEX('Base de données Mono'!K:K,MATCH(B620,'Base de données Mono'!D:D,0))</f>
        <v>0.27083333333333331</v>
      </c>
      <c r="J620" s="131">
        <f>INDEX('Base de données Mono'!L:L,MATCH(B620,'Base de données Mono'!D:D,0))</f>
        <v>0.85416666666666663</v>
      </c>
      <c r="K620" s="131">
        <f>INDEX('Base de données Mono'!M:M,MATCH(B620,'Base de données Mono'!D:D,0))</f>
        <v>0.3125</v>
      </c>
      <c r="L620" s="131">
        <f>INDEX('Base de données Mono'!N:N,MATCH(B620,'Base de données Mono'!D:D,0))</f>
        <v>0.5625</v>
      </c>
      <c r="M620" s="33" t="s">
        <v>46</v>
      </c>
      <c r="N620" s="33">
        <f>IF(AND(E620="Electricité",M620="Hiver"),INDEX('Base de données Mono'!E:E,MATCH(B620,'Base de données Mono'!D:D,0)),IF(AND(E620="Electricité",M620="Mi-saison"),INDEX('Base de données Mono'!F:F,MATCH(B620,'Base de données Mono'!D:D,0)),IF(AND(E620="Electricité",M620="Eté"),INDEX('Base de données Mono'!G:G,MATCH(B620,'Base de données Mono'!D:D,0)),IF(AND(E620="Gaz",M620="Hiver"),INDEX('Base de données Mono'!J:J,MATCH(B620,'Base de données Mono'!D:D,0)),IF(AND(E620="Gaz",M620="Mi-saison"),INDEX('Base de données Mono'!#REF!,MATCH(B620,'Base de données Mono'!D:D,0)),IF(AND(E620="Gaz",M620="Eté"),INDEX('Base de données Mono'!#REF!,MATCH(B620,'Base de données Mono'!D:D,0)),"-"))))))</f>
        <v>20</v>
      </c>
      <c r="O620" s="123">
        <v>45385</v>
      </c>
      <c r="P620" s="123">
        <v>45389</v>
      </c>
      <c r="Q620" s="34">
        <v>40</v>
      </c>
      <c r="R620" s="33">
        <f t="shared" si="69"/>
        <v>20</v>
      </c>
      <c r="S620" s="34">
        <v>3</v>
      </c>
      <c r="T620" s="34">
        <f t="shared" si="70"/>
        <v>4</v>
      </c>
      <c r="U620" s="33">
        <f t="shared" si="71"/>
        <v>240</v>
      </c>
      <c r="V620" s="38" t="s">
        <v>827</v>
      </c>
      <c r="W620" s="39">
        <f t="shared" si="72"/>
        <v>1</v>
      </c>
      <c r="X620" s="40" t="s">
        <v>304</v>
      </c>
      <c r="Y620" s="40" t="s">
        <v>283</v>
      </c>
      <c r="Z620" s="40" t="s">
        <v>749</v>
      </c>
      <c r="AA620" s="33" t="s">
        <v>749</v>
      </c>
      <c r="AB620" s="95"/>
      <c r="AC620" s="95"/>
    </row>
    <row r="621" spans="1:29" ht="14.45" hidden="1" customHeight="1" x14ac:dyDescent="0.25">
      <c r="A621" s="36" t="str">
        <f>INDEX('Base de données Mono'!C:C,MATCH(B621,'Base de données Mono'!D:D,0))</f>
        <v>Valence</v>
      </c>
      <c r="B621" t="s">
        <v>475</v>
      </c>
      <c r="C621" s="36" t="str">
        <f>INDEX('Base de données Mono'!B:B,MATCH(B621,'Base de données Mono'!D:D,0))</f>
        <v>Monoprix</v>
      </c>
      <c r="D621" s="36" t="str">
        <f>INDEX('Base de données Mono'!A:A,MATCH(B621,'Base de données Mono'!D:D,0))</f>
        <v>AD</v>
      </c>
      <c r="E621" s="37" t="s">
        <v>303</v>
      </c>
      <c r="F621" s="41">
        <f t="shared" si="67"/>
        <v>14</v>
      </c>
      <c r="G621" s="41">
        <f t="shared" si="68"/>
        <v>4</v>
      </c>
      <c r="H621">
        <v>10.33</v>
      </c>
      <c r="I621" s="131">
        <f>INDEX('Base de données Mono'!K:K,MATCH(B621,'Base de données Mono'!D:D,0))</f>
        <v>0.25</v>
      </c>
      <c r="J621" s="131">
        <f>INDEX('Base de données Mono'!L:L,MATCH(B621,'Base de données Mono'!D:D,0))</f>
        <v>0.81944444444444453</v>
      </c>
      <c r="K621" s="131" t="str">
        <f>INDEX('Base de données Mono'!M:M,MATCH(B621,'Base de données Mono'!D:D,0))</f>
        <v>-</v>
      </c>
      <c r="L621" s="131" t="str">
        <f>INDEX('Base de données Mono'!N:N,MATCH(B621,'Base de données Mono'!D:D,0))</f>
        <v>-</v>
      </c>
      <c r="M621" s="33" t="s">
        <v>46</v>
      </c>
      <c r="N621" s="33">
        <f>IF(AND(E621="Electricité",M621="Hiver"),INDEX('Base de données Mono'!E:E,MATCH(B621,'Base de données Mono'!D:D,0)),IF(AND(E621="Electricité",M621="Mi-saison"),INDEX('Base de données Mono'!F:F,MATCH(B621,'Base de données Mono'!D:D,0)),IF(AND(E621="Electricité",M621="Eté"),INDEX('Base de données Mono'!G:G,MATCH(B621,'Base de données Mono'!D:D,0)),IF(AND(E621="Gaz",M621="Hiver"),INDEX('Base de données Mono'!J:J,MATCH(B621,'Base de données Mono'!D:D,0)),IF(AND(E621="Gaz",M621="Mi-saison"),INDEX('Base de données Mono'!#REF!,MATCH(B621,'Base de données Mono'!D:D,0)),IF(AND(E621="Gaz",M621="Eté"),INDEX('Base de données Mono'!#REF!,MATCH(B621,'Base de données Mono'!D:D,0)),"-"))))))</f>
        <v>15</v>
      </c>
      <c r="O621" s="123">
        <v>45384</v>
      </c>
      <c r="P621" s="123">
        <v>45389</v>
      </c>
      <c r="Q621" s="34">
        <v>25</v>
      </c>
      <c r="R621" s="33">
        <f t="shared" si="69"/>
        <v>10</v>
      </c>
      <c r="S621" s="34">
        <v>1</v>
      </c>
      <c r="T621" s="34">
        <f t="shared" si="70"/>
        <v>5</v>
      </c>
      <c r="U621" s="33">
        <f t="shared" si="71"/>
        <v>50</v>
      </c>
      <c r="V621" s="38" t="s">
        <v>827</v>
      </c>
      <c r="W621" s="39">
        <f t="shared" si="72"/>
        <v>0.66666666666666663</v>
      </c>
      <c r="X621" s="40" t="s">
        <v>304</v>
      </c>
      <c r="Y621" s="40" t="s">
        <v>283</v>
      </c>
      <c r="Z621" s="40" t="s">
        <v>749</v>
      </c>
      <c r="AA621" s="33" t="s">
        <v>749</v>
      </c>
      <c r="AB621" s="95"/>
      <c r="AC621" s="95"/>
    </row>
    <row r="622" spans="1:29" ht="14.45" hidden="1" customHeight="1" x14ac:dyDescent="0.25">
      <c r="A622" s="36" t="str">
        <f>INDEX('Base de données Mono'!C:C,MATCH(B622,'Base de données Mono'!D:D,0))</f>
        <v>MARSEILLE NOTRE DAME</v>
      </c>
      <c r="B622" t="s">
        <v>345</v>
      </c>
      <c r="C622" s="36" t="str">
        <f>INDEX('Base de données Mono'!B:B,MATCH(B622,'Base de données Mono'!D:D,0))</f>
        <v>Monoprix</v>
      </c>
      <c r="D622" s="36" t="str">
        <f>INDEX('Base de données Mono'!A:A,MATCH(B622,'Base de données Mono'!D:D,0))</f>
        <v>JG</v>
      </c>
      <c r="E622" s="37" t="s">
        <v>303</v>
      </c>
      <c r="F622" s="41">
        <f t="shared" si="67"/>
        <v>14</v>
      </c>
      <c r="G622" s="41">
        <f t="shared" si="68"/>
        <v>4</v>
      </c>
      <c r="H622">
        <v>9.5</v>
      </c>
      <c r="I622" s="131">
        <f>INDEX('Base de données Mono'!K:K,MATCH(B622,'Base de données Mono'!D:D,0))</f>
        <v>0.22916666666666666</v>
      </c>
      <c r="J622" s="131">
        <f>INDEX('Base de données Mono'!L:L,MATCH(B622,'Base de données Mono'!D:D,0))</f>
        <v>0.83333333333333337</v>
      </c>
      <c r="K622" s="131">
        <f>INDEX('Base de données Mono'!M:M,MATCH(B622,'Base de données Mono'!D:D,0))</f>
        <v>0.29166666666666669</v>
      </c>
      <c r="L622" s="131">
        <f>INDEX('Base de données Mono'!N:N,MATCH(B622,'Base de données Mono'!D:D,0))</f>
        <v>0.54166666666666663</v>
      </c>
      <c r="M622" s="33" t="s">
        <v>46</v>
      </c>
      <c r="N622" s="33">
        <f>IF(AND(E622="Electricité",M622="Hiver"),INDEX('Base de données Mono'!E:E,MATCH(B622,'Base de données Mono'!D:D,0)),IF(AND(E622="Electricité",M622="Mi-saison"),INDEX('Base de données Mono'!F:F,MATCH(B622,'Base de données Mono'!D:D,0)),IF(AND(E622="Electricité",M622="Eté"),INDEX('Base de données Mono'!G:G,MATCH(B622,'Base de données Mono'!D:D,0)),IF(AND(E622="Gaz",M622="Hiver"),INDEX('Base de données Mono'!J:J,MATCH(B622,'Base de données Mono'!D:D,0)),IF(AND(E622="Gaz",M622="Mi-saison"),INDEX('Base de données Mono'!#REF!,MATCH(B622,'Base de données Mono'!D:D,0)),IF(AND(E622="Gaz",M622="Eté"),INDEX('Base de données Mono'!#REF!,MATCH(B622,'Base de données Mono'!D:D,0)),"-"))))))</f>
        <v>30</v>
      </c>
      <c r="O622" s="123">
        <v>45383</v>
      </c>
      <c r="P622" s="123">
        <v>45385</v>
      </c>
      <c r="Q622" s="34">
        <v>40</v>
      </c>
      <c r="R622" s="33">
        <f t="shared" si="69"/>
        <v>10</v>
      </c>
      <c r="S622" s="34">
        <v>8</v>
      </c>
      <c r="T622" s="34">
        <f t="shared" si="70"/>
        <v>2</v>
      </c>
      <c r="U622" s="33">
        <f t="shared" si="71"/>
        <v>160</v>
      </c>
      <c r="V622" s="38" t="s">
        <v>827</v>
      </c>
      <c r="W622" s="39">
        <f t="shared" si="72"/>
        <v>0.33333333333333331</v>
      </c>
      <c r="X622" s="40" t="s">
        <v>304</v>
      </c>
      <c r="Y622" s="40" t="s">
        <v>283</v>
      </c>
      <c r="Z622" s="40" t="s">
        <v>749</v>
      </c>
      <c r="AA622" s="33" t="s">
        <v>749</v>
      </c>
      <c r="AB622" s="95"/>
      <c r="AC622" s="95"/>
    </row>
    <row r="623" spans="1:29" ht="14.45" hidden="1" customHeight="1" x14ac:dyDescent="0.25">
      <c r="A623" s="36" t="str">
        <f>INDEX('Base de données Mono'!C:C,MATCH(B623,'Base de données Mono'!D:D,0))</f>
        <v>MARSEILLE NOTRE DAME</v>
      </c>
      <c r="B623" t="s">
        <v>345</v>
      </c>
      <c r="C623" s="36" t="str">
        <f>INDEX('Base de données Mono'!B:B,MATCH(B623,'Base de données Mono'!D:D,0))</f>
        <v>Monoprix</v>
      </c>
      <c r="D623" s="36" t="str">
        <f>INDEX('Base de données Mono'!A:A,MATCH(B623,'Base de données Mono'!D:D,0))</f>
        <v>JG</v>
      </c>
      <c r="E623" s="37" t="s">
        <v>303</v>
      </c>
      <c r="F623" s="41">
        <f t="shared" si="67"/>
        <v>14</v>
      </c>
      <c r="G623" s="41">
        <f t="shared" si="68"/>
        <v>4</v>
      </c>
      <c r="H623">
        <v>9.5</v>
      </c>
      <c r="I623" s="131">
        <f>INDEX('Base de données Mono'!K:K,MATCH(B623,'Base de données Mono'!D:D,0))</f>
        <v>0.22916666666666666</v>
      </c>
      <c r="J623" s="131">
        <f>INDEX('Base de données Mono'!L:L,MATCH(B623,'Base de données Mono'!D:D,0))</f>
        <v>0.83333333333333337</v>
      </c>
      <c r="K623" s="131">
        <f>INDEX('Base de données Mono'!M:M,MATCH(B623,'Base de données Mono'!D:D,0))</f>
        <v>0.29166666666666669</v>
      </c>
      <c r="L623" s="131">
        <f>INDEX('Base de données Mono'!N:N,MATCH(B623,'Base de données Mono'!D:D,0))</f>
        <v>0.54166666666666663</v>
      </c>
      <c r="M623" s="33" t="s">
        <v>46</v>
      </c>
      <c r="N623" s="33">
        <f>IF(AND(E623="Electricité",M623="Hiver"),INDEX('Base de données Mono'!E:E,MATCH(B623,'Base de données Mono'!D:D,0)),IF(AND(E623="Electricité",M623="Mi-saison"),INDEX('Base de données Mono'!F:F,MATCH(B623,'Base de données Mono'!D:D,0)),IF(AND(E623="Electricité",M623="Eté"),INDEX('Base de données Mono'!G:G,MATCH(B623,'Base de données Mono'!D:D,0)),IF(AND(E623="Gaz",M623="Hiver"),INDEX('Base de données Mono'!J:J,MATCH(B623,'Base de données Mono'!D:D,0)),IF(AND(E623="Gaz",M623="Mi-saison"),INDEX('Base de données Mono'!#REF!,MATCH(B623,'Base de données Mono'!D:D,0)),IF(AND(E623="Gaz",M623="Eté"),INDEX('Base de données Mono'!#REF!,MATCH(B623,'Base de données Mono'!D:D,0)),"-"))))))</f>
        <v>30</v>
      </c>
      <c r="O623" s="123">
        <v>45383</v>
      </c>
      <c r="P623" s="123">
        <v>45385</v>
      </c>
      <c r="Q623" s="34">
        <v>65</v>
      </c>
      <c r="R623" s="33">
        <f t="shared" si="69"/>
        <v>35</v>
      </c>
      <c r="S623" s="34">
        <v>1</v>
      </c>
      <c r="T623" s="34">
        <f t="shared" si="70"/>
        <v>2</v>
      </c>
      <c r="U623" s="33">
        <f t="shared" si="71"/>
        <v>70</v>
      </c>
      <c r="V623" s="38" t="s">
        <v>827</v>
      </c>
      <c r="W623" s="39">
        <f t="shared" si="72"/>
        <v>1.1666666666666667</v>
      </c>
      <c r="X623" s="40" t="s">
        <v>304</v>
      </c>
      <c r="Y623" s="40" t="s">
        <v>283</v>
      </c>
      <c r="Z623" s="40" t="s">
        <v>749</v>
      </c>
      <c r="AA623" s="33" t="s">
        <v>749</v>
      </c>
      <c r="AB623" s="95"/>
      <c r="AC623" s="95"/>
    </row>
    <row r="624" spans="1:29" ht="14.45" hidden="1" customHeight="1" x14ac:dyDescent="0.25">
      <c r="A624" s="36" t="str">
        <f>INDEX('Base de données Mono'!C:C,MATCH(B624,'Base de données Mono'!D:D,0))</f>
        <v>MARSEILLE NOTRE DAME</v>
      </c>
      <c r="B624" t="s">
        <v>345</v>
      </c>
      <c r="C624" s="36" t="str">
        <f>INDEX('Base de données Mono'!B:B,MATCH(B624,'Base de données Mono'!D:D,0))</f>
        <v>Monoprix</v>
      </c>
      <c r="D624" s="36" t="str">
        <f>INDEX('Base de données Mono'!A:A,MATCH(B624,'Base de données Mono'!D:D,0))</f>
        <v>JG</v>
      </c>
      <c r="E624" s="37" t="s">
        <v>303</v>
      </c>
      <c r="F624" s="41">
        <f t="shared" si="67"/>
        <v>14</v>
      </c>
      <c r="G624" s="41">
        <f t="shared" si="68"/>
        <v>4</v>
      </c>
      <c r="H624">
        <v>9.5</v>
      </c>
      <c r="I624" s="131">
        <f>INDEX('Base de données Mono'!K:K,MATCH(B624,'Base de données Mono'!D:D,0))</f>
        <v>0.22916666666666666</v>
      </c>
      <c r="J624" s="131">
        <f>INDEX('Base de données Mono'!L:L,MATCH(B624,'Base de données Mono'!D:D,0))</f>
        <v>0.83333333333333337</v>
      </c>
      <c r="K624" s="131">
        <f>INDEX('Base de données Mono'!M:M,MATCH(B624,'Base de données Mono'!D:D,0))</f>
        <v>0.29166666666666669</v>
      </c>
      <c r="L624" s="131">
        <f>INDEX('Base de données Mono'!N:N,MATCH(B624,'Base de données Mono'!D:D,0))</f>
        <v>0.54166666666666663</v>
      </c>
      <c r="M624" s="33" t="s">
        <v>46</v>
      </c>
      <c r="N624" s="33">
        <f>IF(AND(E624="Electricité",M624="Hiver"),INDEX('Base de données Mono'!E:E,MATCH(B624,'Base de données Mono'!D:D,0)),IF(AND(E624="Electricité",M624="Mi-saison"),INDEX('Base de données Mono'!F:F,MATCH(B624,'Base de données Mono'!D:D,0)),IF(AND(E624="Electricité",M624="Eté"),INDEX('Base de données Mono'!G:G,MATCH(B624,'Base de données Mono'!D:D,0)),IF(AND(E624="Gaz",M624="Hiver"),INDEX('Base de données Mono'!J:J,MATCH(B624,'Base de données Mono'!D:D,0)),IF(AND(E624="Gaz",M624="Mi-saison"),INDEX('Base de données Mono'!#REF!,MATCH(B624,'Base de données Mono'!D:D,0)),IF(AND(E624="Gaz",M624="Eté"),INDEX('Base de données Mono'!#REF!,MATCH(B624,'Base de données Mono'!D:D,0)),"-"))))))</f>
        <v>30</v>
      </c>
      <c r="O624" s="123">
        <v>45385</v>
      </c>
      <c r="P624" s="123">
        <v>45387</v>
      </c>
      <c r="Q624" s="34">
        <v>45</v>
      </c>
      <c r="R624" s="33">
        <f t="shared" si="69"/>
        <v>15</v>
      </c>
      <c r="S624" s="34">
        <v>8</v>
      </c>
      <c r="T624" s="34">
        <f t="shared" si="70"/>
        <v>2</v>
      </c>
      <c r="U624" s="33">
        <f t="shared" si="71"/>
        <v>240</v>
      </c>
      <c r="V624" s="38" t="s">
        <v>827</v>
      </c>
      <c r="W624" s="39">
        <f t="shared" si="72"/>
        <v>0.5</v>
      </c>
      <c r="X624" s="40" t="s">
        <v>304</v>
      </c>
      <c r="Y624" s="40" t="s">
        <v>283</v>
      </c>
      <c r="Z624" s="40" t="s">
        <v>749</v>
      </c>
      <c r="AA624" s="33" t="s">
        <v>749</v>
      </c>
      <c r="AB624" s="95"/>
      <c r="AC624" s="95"/>
    </row>
    <row r="625" spans="1:29" ht="14.45" hidden="1" customHeight="1" x14ac:dyDescent="0.25">
      <c r="A625" s="36" t="str">
        <f>INDEX('Base de données Mono'!C:C,MATCH(B625,'Base de données Mono'!D:D,0))</f>
        <v>MARSEILLE NOTRE DAME</v>
      </c>
      <c r="B625" t="s">
        <v>345</v>
      </c>
      <c r="C625" s="36" t="str">
        <f>INDEX('Base de données Mono'!B:B,MATCH(B625,'Base de données Mono'!D:D,0))</f>
        <v>Monoprix</v>
      </c>
      <c r="D625" s="36" t="str">
        <f>INDEX('Base de données Mono'!A:A,MATCH(B625,'Base de données Mono'!D:D,0))</f>
        <v>JG</v>
      </c>
      <c r="E625" s="37" t="s">
        <v>303</v>
      </c>
      <c r="F625" s="41">
        <f t="shared" si="67"/>
        <v>14</v>
      </c>
      <c r="G625" s="41">
        <f t="shared" si="68"/>
        <v>4</v>
      </c>
      <c r="H625">
        <v>9.5</v>
      </c>
      <c r="I625" s="131">
        <f>INDEX('Base de données Mono'!K:K,MATCH(B625,'Base de données Mono'!D:D,0))</f>
        <v>0.22916666666666666</v>
      </c>
      <c r="J625" s="131">
        <f>INDEX('Base de données Mono'!L:L,MATCH(B625,'Base de données Mono'!D:D,0))</f>
        <v>0.83333333333333337</v>
      </c>
      <c r="K625" s="131">
        <f>INDEX('Base de données Mono'!M:M,MATCH(B625,'Base de données Mono'!D:D,0))</f>
        <v>0.29166666666666669</v>
      </c>
      <c r="L625" s="131">
        <f>INDEX('Base de données Mono'!N:N,MATCH(B625,'Base de données Mono'!D:D,0))</f>
        <v>0.54166666666666663</v>
      </c>
      <c r="M625" s="33" t="s">
        <v>46</v>
      </c>
      <c r="N625" s="33">
        <f>IF(AND(E625="Electricité",M625="Hiver"),INDEX('Base de données Mono'!E:E,MATCH(B625,'Base de données Mono'!D:D,0)),IF(AND(E625="Electricité",M625="Mi-saison"),INDEX('Base de données Mono'!F:F,MATCH(B625,'Base de données Mono'!D:D,0)),IF(AND(E625="Electricité",M625="Eté"),INDEX('Base de données Mono'!G:G,MATCH(B625,'Base de données Mono'!D:D,0)),IF(AND(E625="Gaz",M625="Hiver"),INDEX('Base de données Mono'!J:J,MATCH(B625,'Base de données Mono'!D:D,0)),IF(AND(E625="Gaz",M625="Mi-saison"),INDEX('Base de données Mono'!#REF!,MATCH(B625,'Base de données Mono'!D:D,0)),IF(AND(E625="Gaz",M625="Eté"),INDEX('Base de données Mono'!#REF!,MATCH(B625,'Base de données Mono'!D:D,0)),"-"))))))</f>
        <v>30</v>
      </c>
      <c r="O625" s="123">
        <v>45385</v>
      </c>
      <c r="P625" s="123">
        <v>45387</v>
      </c>
      <c r="Q625" s="34">
        <v>70</v>
      </c>
      <c r="R625" s="33">
        <f t="shared" si="69"/>
        <v>40</v>
      </c>
      <c r="S625" s="34">
        <v>1</v>
      </c>
      <c r="T625" s="34">
        <f t="shared" si="70"/>
        <v>2</v>
      </c>
      <c r="U625" s="33">
        <f t="shared" si="71"/>
        <v>80</v>
      </c>
      <c r="V625" s="38" t="s">
        <v>827</v>
      </c>
      <c r="W625" s="39">
        <f t="shared" si="72"/>
        <v>1.3333333333333333</v>
      </c>
      <c r="X625" s="40" t="s">
        <v>304</v>
      </c>
      <c r="Y625" s="40" t="s">
        <v>283</v>
      </c>
      <c r="Z625" s="40" t="s">
        <v>749</v>
      </c>
      <c r="AA625" s="33" t="s">
        <v>749</v>
      </c>
      <c r="AB625" s="95"/>
      <c r="AC625" s="95"/>
    </row>
    <row r="626" spans="1:29" ht="14.45" hidden="1" customHeight="1" x14ac:dyDescent="0.25">
      <c r="A626" s="36" t="str">
        <f>INDEX('Base de données Mono'!C:C,MATCH(B626,'Base de données Mono'!D:D,0))</f>
        <v>MARSEILLE NOTRE DAME</v>
      </c>
      <c r="B626" t="s">
        <v>345</v>
      </c>
      <c r="C626" s="36" t="str">
        <f>INDEX('Base de données Mono'!B:B,MATCH(B626,'Base de données Mono'!D:D,0))</f>
        <v>Monoprix</v>
      </c>
      <c r="D626" s="36" t="str">
        <f>INDEX('Base de données Mono'!A:A,MATCH(B626,'Base de données Mono'!D:D,0))</f>
        <v>JG</v>
      </c>
      <c r="E626" s="37" t="s">
        <v>303</v>
      </c>
      <c r="F626" s="41">
        <f t="shared" si="67"/>
        <v>14</v>
      </c>
      <c r="G626" s="41">
        <f t="shared" si="68"/>
        <v>4</v>
      </c>
      <c r="H626">
        <v>9.5</v>
      </c>
      <c r="I626" s="131">
        <f>INDEX('Base de données Mono'!K:K,MATCH(B626,'Base de données Mono'!D:D,0))</f>
        <v>0.22916666666666666</v>
      </c>
      <c r="J626" s="131">
        <f>INDEX('Base de données Mono'!L:L,MATCH(B626,'Base de données Mono'!D:D,0))</f>
        <v>0.83333333333333337</v>
      </c>
      <c r="K626" s="131">
        <f>INDEX('Base de données Mono'!M:M,MATCH(B626,'Base de données Mono'!D:D,0))</f>
        <v>0.29166666666666669</v>
      </c>
      <c r="L626" s="131">
        <f>INDEX('Base de données Mono'!N:N,MATCH(B626,'Base de données Mono'!D:D,0))</f>
        <v>0.54166666666666663</v>
      </c>
      <c r="M626" s="33" t="s">
        <v>46</v>
      </c>
      <c r="N626" s="33">
        <f>IF(AND(E626="Electricité",M626="Hiver"),INDEX('Base de données Mono'!E:E,MATCH(B626,'Base de données Mono'!D:D,0)),IF(AND(E626="Electricité",M626="Mi-saison"),INDEX('Base de données Mono'!F:F,MATCH(B626,'Base de données Mono'!D:D,0)),IF(AND(E626="Electricité",M626="Eté"),INDEX('Base de données Mono'!G:G,MATCH(B626,'Base de données Mono'!D:D,0)),IF(AND(E626="Gaz",M626="Hiver"),INDEX('Base de données Mono'!J:J,MATCH(B626,'Base de données Mono'!D:D,0)),IF(AND(E626="Gaz",M626="Mi-saison"),INDEX('Base de données Mono'!#REF!,MATCH(B626,'Base de données Mono'!D:D,0)),IF(AND(E626="Gaz",M626="Eté"),INDEX('Base de données Mono'!#REF!,MATCH(B626,'Base de données Mono'!D:D,0)),"-"))))))</f>
        <v>30</v>
      </c>
      <c r="O626" s="123">
        <v>45387</v>
      </c>
      <c r="P626" s="123">
        <v>45389</v>
      </c>
      <c r="Q626" s="34">
        <v>40</v>
      </c>
      <c r="R626" s="33">
        <f t="shared" si="69"/>
        <v>10</v>
      </c>
      <c r="S626" s="34">
        <v>8</v>
      </c>
      <c r="T626" s="34">
        <f t="shared" si="70"/>
        <v>2</v>
      </c>
      <c r="U626" s="33">
        <f t="shared" si="71"/>
        <v>160</v>
      </c>
      <c r="V626" s="38" t="s">
        <v>827</v>
      </c>
      <c r="W626" s="39">
        <f t="shared" si="72"/>
        <v>0.33333333333333331</v>
      </c>
      <c r="X626" s="40" t="s">
        <v>304</v>
      </c>
      <c r="Y626" s="40" t="s">
        <v>283</v>
      </c>
      <c r="Z626" s="40" t="s">
        <v>749</v>
      </c>
      <c r="AA626" s="33" t="s">
        <v>749</v>
      </c>
      <c r="AB626" s="95"/>
      <c r="AC626" s="95"/>
    </row>
    <row r="627" spans="1:29" ht="14.45" hidden="1" customHeight="1" x14ac:dyDescent="0.25">
      <c r="A627" s="36" t="str">
        <f>INDEX('Base de données Mono'!C:C,MATCH(B627,'Base de données Mono'!D:D,0))</f>
        <v>MARSEILLE NOTRE DAME</v>
      </c>
      <c r="B627" t="s">
        <v>345</v>
      </c>
      <c r="C627" s="36" t="str">
        <f>INDEX('Base de données Mono'!B:B,MATCH(B627,'Base de données Mono'!D:D,0))</f>
        <v>Monoprix</v>
      </c>
      <c r="D627" s="36" t="str">
        <f>INDEX('Base de données Mono'!A:A,MATCH(B627,'Base de données Mono'!D:D,0))</f>
        <v>JG</v>
      </c>
      <c r="E627" s="37" t="s">
        <v>303</v>
      </c>
      <c r="F627" s="41">
        <f t="shared" si="67"/>
        <v>14</v>
      </c>
      <c r="G627" s="41">
        <f t="shared" si="68"/>
        <v>4</v>
      </c>
      <c r="H627">
        <v>9.5</v>
      </c>
      <c r="I627" s="131">
        <f>INDEX('Base de données Mono'!K:K,MATCH(B627,'Base de données Mono'!D:D,0))</f>
        <v>0.22916666666666666</v>
      </c>
      <c r="J627" s="131">
        <f>INDEX('Base de données Mono'!L:L,MATCH(B627,'Base de données Mono'!D:D,0))</f>
        <v>0.83333333333333337</v>
      </c>
      <c r="K627" s="131">
        <f>INDEX('Base de données Mono'!M:M,MATCH(B627,'Base de données Mono'!D:D,0))</f>
        <v>0.29166666666666669</v>
      </c>
      <c r="L627" s="131">
        <f>INDEX('Base de données Mono'!N:N,MATCH(B627,'Base de données Mono'!D:D,0))</f>
        <v>0.54166666666666663</v>
      </c>
      <c r="M627" s="33" t="s">
        <v>46</v>
      </c>
      <c r="N627" s="33">
        <f>IF(AND(E627="Electricité",M627="Hiver"),INDEX('Base de données Mono'!E:E,MATCH(B627,'Base de données Mono'!D:D,0)),IF(AND(E627="Electricité",M627="Mi-saison"),INDEX('Base de données Mono'!F:F,MATCH(B627,'Base de données Mono'!D:D,0)),IF(AND(E627="Electricité",M627="Eté"),INDEX('Base de données Mono'!G:G,MATCH(B627,'Base de données Mono'!D:D,0)),IF(AND(E627="Gaz",M627="Hiver"),INDEX('Base de données Mono'!J:J,MATCH(B627,'Base de données Mono'!D:D,0)),IF(AND(E627="Gaz",M627="Mi-saison"),INDEX('Base de données Mono'!#REF!,MATCH(B627,'Base de données Mono'!D:D,0)),IF(AND(E627="Gaz",M627="Eté"),INDEX('Base de données Mono'!#REF!,MATCH(B627,'Base de données Mono'!D:D,0)),"-"))))))</f>
        <v>30</v>
      </c>
      <c r="O627" s="123">
        <v>45387</v>
      </c>
      <c r="P627" s="123">
        <v>45388</v>
      </c>
      <c r="Q627" s="34">
        <v>65</v>
      </c>
      <c r="R627" s="33">
        <f t="shared" si="69"/>
        <v>35</v>
      </c>
      <c r="S627" s="34">
        <v>1</v>
      </c>
      <c r="T627" s="34">
        <f t="shared" si="70"/>
        <v>1</v>
      </c>
      <c r="U627" s="33">
        <f t="shared" si="71"/>
        <v>35</v>
      </c>
      <c r="V627" s="38" t="s">
        <v>827</v>
      </c>
      <c r="W627" s="39">
        <f t="shared" si="72"/>
        <v>1.1666666666666667</v>
      </c>
      <c r="X627" s="40" t="s">
        <v>304</v>
      </c>
      <c r="Y627" s="40" t="s">
        <v>283</v>
      </c>
      <c r="Z627" s="40" t="s">
        <v>749</v>
      </c>
      <c r="AA627" s="33" t="s">
        <v>749</v>
      </c>
      <c r="AB627" s="95"/>
      <c r="AC627" s="95"/>
    </row>
    <row r="628" spans="1:29" ht="14.45" hidden="1" customHeight="1" x14ac:dyDescent="0.25">
      <c r="A628" s="36" t="str">
        <f>INDEX('Base de données Mono'!C:C,MATCH(B628,'Base de données Mono'!D:D,0))</f>
        <v>MARSEILLE NOTRE DAME</v>
      </c>
      <c r="B628" t="s">
        <v>345</v>
      </c>
      <c r="C628" s="36" t="str">
        <f>INDEX('Base de données Mono'!B:B,MATCH(B628,'Base de données Mono'!D:D,0))</f>
        <v>Monoprix</v>
      </c>
      <c r="D628" s="36" t="str">
        <f>INDEX('Base de données Mono'!A:A,MATCH(B628,'Base de données Mono'!D:D,0))</f>
        <v>JG</v>
      </c>
      <c r="E628" s="37" t="s">
        <v>303</v>
      </c>
      <c r="F628" s="41">
        <f t="shared" si="67"/>
        <v>14</v>
      </c>
      <c r="G628" s="41">
        <f t="shared" si="68"/>
        <v>4</v>
      </c>
      <c r="H628">
        <v>9.5</v>
      </c>
      <c r="I628" s="131">
        <f>INDEX('Base de données Mono'!K:K,MATCH(B628,'Base de données Mono'!D:D,0))</f>
        <v>0.22916666666666666</v>
      </c>
      <c r="J628" s="131">
        <f>INDEX('Base de données Mono'!L:L,MATCH(B628,'Base de données Mono'!D:D,0))</f>
        <v>0.83333333333333337</v>
      </c>
      <c r="K628" s="131">
        <f>INDEX('Base de données Mono'!M:M,MATCH(B628,'Base de données Mono'!D:D,0))</f>
        <v>0.29166666666666669</v>
      </c>
      <c r="L628" s="131">
        <f>INDEX('Base de données Mono'!N:N,MATCH(B628,'Base de données Mono'!D:D,0))</f>
        <v>0.54166666666666663</v>
      </c>
      <c r="M628" s="33" t="s">
        <v>46</v>
      </c>
      <c r="N628" s="33">
        <f>IF(AND(E628="Electricité",M628="Hiver"),INDEX('Base de données Mono'!E:E,MATCH(B628,'Base de données Mono'!D:D,0)),IF(AND(E628="Electricité",M628="Mi-saison"),INDEX('Base de données Mono'!F:F,MATCH(B628,'Base de données Mono'!D:D,0)),IF(AND(E628="Electricité",M628="Eté"),INDEX('Base de données Mono'!G:G,MATCH(B628,'Base de données Mono'!D:D,0)),IF(AND(E628="Gaz",M628="Hiver"),INDEX('Base de données Mono'!J:J,MATCH(B628,'Base de données Mono'!D:D,0)),IF(AND(E628="Gaz",M628="Mi-saison"),INDEX('Base de données Mono'!#REF!,MATCH(B628,'Base de données Mono'!D:D,0)),IF(AND(E628="Gaz",M628="Eté"),INDEX('Base de données Mono'!#REF!,MATCH(B628,'Base de données Mono'!D:D,0)),"-"))))))</f>
        <v>30</v>
      </c>
      <c r="O628" s="123">
        <v>45388</v>
      </c>
      <c r="P628" s="123">
        <v>45389</v>
      </c>
      <c r="Q628" s="34">
        <v>50</v>
      </c>
      <c r="R628" s="33">
        <f t="shared" si="69"/>
        <v>20</v>
      </c>
      <c r="S628" s="34">
        <v>1</v>
      </c>
      <c r="T628" s="34">
        <f t="shared" si="70"/>
        <v>1</v>
      </c>
      <c r="U628" s="33">
        <f t="shared" si="71"/>
        <v>20</v>
      </c>
      <c r="V628" s="38" t="s">
        <v>827</v>
      </c>
      <c r="W628" s="39">
        <f t="shared" si="72"/>
        <v>0.66666666666666663</v>
      </c>
      <c r="X628" s="40" t="s">
        <v>304</v>
      </c>
      <c r="Y628" s="40" t="s">
        <v>283</v>
      </c>
      <c r="Z628" s="40" t="s">
        <v>749</v>
      </c>
      <c r="AA628" s="33" t="s">
        <v>749</v>
      </c>
      <c r="AB628" s="95"/>
      <c r="AC628" s="95"/>
    </row>
    <row r="629" spans="1:29" ht="14.45" hidden="1" customHeight="1" x14ac:dyDescent="0.25">
      <c r="A629" s="36" t="str">
        <f>INDEX('Base de données Mono'!C:C,MATCH(B629,'Base de données Mono'!D:D,0))</f>
        <v>LE PRÉ ST GERVAIS</v>
      </c>
      <c r="B629" t="s">
        <v>356</v>
      </c>
      <c r="C629" s="36" t="str">
        <f>INDEX('Base de données Mono'!B:B,MATCH(B629,'Base de données Mono'!D:D,0))</f>
        <v>Monoprix</v>
      </c>
      <c r="D629" s="36" t="str">
        <f>INDEX('Base de données Mono'!A:A,MATCH(B629,'Base de données Mono'!D:D,0))</f>
        <v>JG</v>
      </c>
      <c r="E629" s="37" t="s">
        <v>303</v>
      </c>
      <c r="F629" s="41">
        <f t="shared" si="67"/>
        <v>14</v>
      </c>
      <c r="G629" s="41">
        <f t="shared" si="68"/>
        <v>4</v>
      </c>
      <c r="H629">
        <v>8.5</v>
      </c>
      <c r="I629" s="131">
        <f>INDEX('Base de données Mono'!K:K,MATCH(B629,'Base de données Mono'!D:D,0))</f>
        <v>0.25</v>
      </c>
      <c r="J629" s="131">
        <f>INDEX('Base de données Mono'!L:L,MATCH(B629,'Base de données Mono'!D:D,0))</f>
        <v>0.89583333333333337</v>
      </c>
      <c r="K629" s="131">
        <f>INDEX('Base de données Mono'!M:M,MATCH(B629,'Base de données Mono'!D:D,0))</f>
        <v>0.33333333333333331</v>
      </c>
      <c r="L629" s="131">
        <f>INDEX('Base de données Mono'!N:N,MATCH(B629,'Base de données Mono'!D:D,0))</f>
        <v>0.5625</v>
      </c>
      <c r="M629" s="33" t="s">
        <v>46</v>
      </c>
      <c r="N629" s="33">
        <f>IF(AND(E629="Electricité",M629="Hiver"),INDEX('Base de données Mono'!E:E,MATCH(B629,'Base de données Mono'!D:D,0)),IF(AND(E629="Electricité",M629="Mi-saison"),INDEX('Base de données Mono'!F:F,MATCH(B629,'Base de données Mono'!D:D,0)),IF(AND(E629="Electricité",M629="Eté"),INDEX('Base de données Mono'!G:G,MATCH(B629,'Base de données Mono'!D:D,0)),IF(AND(E629="Gaz",M629="Hiver"),INDEX('Base de données Mono'!J:J,MATCH(B629,'Base de données Mono'!D:D,0)),IF(AND(E629="Gaz",M629="Mi-saison"),INDEX('Base de données Mono'!#REF!,MATCH(B629,'Base de données Mono'!D:D,0)),IF(AND(E629="Gaz",M629="Eté"),INDEX('Base de données Mono'!#REF!,MATCH(B629,'Base de données Mono'!D:D,0)),"-"))))))</f>
        <v>35</v>
      </c>
      <c r="O629" s="123">
        <v>45383</v>
      </c>
      <c r="P629" s="123">
        <v>45385</v>
      </c>
      <c r="Q629" s="34">
        <v>45</v>
      </c>
      <c r="R629" s="33">
        <f t="shared" si="69"/>
        <v>10</v>
      </c>
      <c r="S629" s="34">
        <v>2</v>
      </c>
      <c r="T629" s="34">
        <f t="shared" si="70"/>
        <v>2</v>
      </c>
      <c r="U629" s="33">
        <f t="shared" si="71"/>
        <v>40</v>
      </c>
      <c r="V629" s="38" t="s">
        <v>827</v>
      </c>
      <c r="W629" s="39">
        <f t="shared" si="72"/>
        <v>0.2857142857142857</v>
      </c>
      <c r="X629" s="40" t="s">
        <v>304</v>
      </c>
      <c r="Y629" s="40" t="s">
        <v>283</v>
      </c>
      <c r="Z629" s="40" t="s">
        <v>749</v>
      </c>
      <c r="AA629" s="33" t="s">
        <v>749</v>
      </c>
      <c r="AB629" s="95"/>
      <c r="AC629" s="95"/>
    </row>
    <row r="630" spans="1:29" ht="14.45" hidden="1" customHeight="1" x14ac:dyDescent="0.25">
      <c r="A630" s="36" t="str">
        <f>INDEX('Base de données Mono'!C:C,MATCH(B630,'Base de données Mono'!D:D,0))</f>
        <v>LE PRÉ ST GERVAIS</v>
      </c>
      <c r="B630" t="s">
        <v>356</v>
      </c>
      <c r="C630" s="36" t="str">
        <f>INDEX('Base de données Mono'!B:B,MATCH(B630,'Base de données Mono'!D:D,0))</f>
        <v>Monoprix</v>
      </c>
      <c r="D630" s="36" t="str">
        <f>INDEX('Base de données Mono'!A:A,MATCH(B630,'Base de données Mono'!D:D,0))</f>
        <v>JG</v>
      </c>
      <c r="E630" s="37" t="s">
        <v>303</v>
      </c>
      <c r="F630" s="41">
        <f t="shared" si="67"/>
        <v>14</v>
      </c>
      <c r="G630" s="41">
        <f t="shared" si="68"/>
        <v>4</v>
      </c>
      <c r="H630">
        <v>8.5</v>
      </c>
      <c r="I630" s="131">
        <f>INDEX('Base de données Mono'!K:K,MATCH(B630,'Base de données Mono'!D:D,0))</f>
        <v>0.25</v>
      </c>
      <c r="J630" s="131">
        <f>INDEX('Base de données Mono'!L:L,MATCH(B630,'Base de données Mono'!D:D,0))</f>
        <v>0.89583333333333337</v>
      </c>
      <c r="K630" s="131">
        <f>INDEX('Base de données Mono'!M:M,MATCH(B630,'Base de données Mono'!D:D,0))</f>
        <v>0.33333333333333331</v>
      </c>
      <c r="L630" s="131">
        <f>INDEX('Base de données Mono'!N:N,MATCH(B630,'Base de données Mono'!D:D,0))</f>
        <v>0.5625</v>
      </c>
      <c r="M630" s="33" t="s">
        <v>46</v>
      </c>
      <c r="N630" s="33">
        <f>IF(AND(E630="Electricité",M630="Hiver"),INDEX('Base de données Mono'!E:E,MATCH(B630,'Base de données Mono'!D:D,0)),IF(AND(E630="Electricité",M630="Mi-saison"),INDEX('Base de données Mono'!F:F,MATCH(B630,'Base de données Mono'!D:D,0)),IF(AND(E630="Electricité",M630="Eté"),INDEX('Base de données Mono'!G:G,MATCH(B630,'Base de données Mono'!D:D,0)),IF(AND(E630="Gaz",M630="Hiver"),INDEX('Base de données Mono'!J:J,MATCH(B630,'Base de données Mono'!D:D,0)),IF(AND(E630="Gaz",M630="Mi-saison"),INDEX('Base de données Mono'!#REF!,MATCH(B630,'Base de données Mono'!D:D,0)),IF(AND(E630="Gaz",M630="Eté"),INDEX('Base de données Mono'!#REF!,MATCH(B630,'Base de données Mono'!D:D,0)),"-"))))))</f>
        <v>35</v>
      </c>
      <c r="O630" s="123">
        <v>45385</v>
      </c>
      <c r="P630" s="123">
        <v>45386</v>
      </c>
      <c r="Q630" s="34">
        <v>40</v>
      </c>
      <c r="R630" s="33">
        <f t="shared" si="69"/>
        <v>5</v>
      </c>
      <c r="S630" s="34">
        <v>6</v>
      </c>
      <c r="T630" s="34">
        <f t="shared" si="70"/>
        <v>1</v>
      </c>
      <c r="U630" s="33">
        <f t="shared" si="71"/>
        <v>30</v>
      </c>
      <c r="V630" s="38" t="s">
        <v>827</v>
      </c>
      <c r="W630" s="39">
        <f t="shared" si="72"/>
        <v>0.14285714285714285</v>
      </c>
      <c r="X630" s="40" t="s">
        <v>304</v>
      </c>
      <c r="Y630" s="40" t="s">
        <v>283</v>
      </c>
      <c r="Z630" s="40" t="s">
        <v>749</v>
      </c>
      <c r="AA630" s="33" t="s">
        <v>749</v>
      </c>
      <c r="AB630" s="95"/>
      <c r="AC630" s="95"/>
    </row>
    <row r="631" spans="1:29" ht="14.45" hidden="1" customHeight="1" x14ac:dyDescent="0.25">
      <c r="A631" s="36" t="str">
        <f>INDEX('Base de données Mono'!C:C,MATCH(B631,'Base de données Mono'!D:D,0))</f>
        <v>LE PRÉ ST GERVAIS</v>
      </c>
      <c r="B631" t="s">
        <v>356</v>
      </c>
      <c r="C631" s="36" t="str">
        <f>INDEX('Base de données Mono'!B:B,MATCH(B631,'Base de données Mono'!D:D,0))</f>
        <v>Monoprix</v>
      </c>
      <c r="D631" s="36" t="str">
        <f>INDEX('Base de données Mono'!A:A,MATCH(B631,'Base de données Mono'!D:D,0))</f>
        <v>JG</v>
      </c>
      <c r="E631" s="37" t="s">
        <v>303</v>
      </c>
      <c r="F631" s="41">
        <f t="shared" si="67"/>
        <v>14</v>
      </c>
      <c r="G631" s="41">
        <f t="shared" si="68"/>
        <v>4</v>
      </c>
      <c r="H631">
        <v>8.5</v>
      </c>
      <c r="I631" s="131">
        <f>INDEX('Base de données Mono'!K:K,MATCH(B631,'Base de données Mono'!D:D,0))</f>
        <v>0.25</v>
      </c>
      <c r="J631" s="131">
        <f>INDEX('Base de données Mono'!L:L,MATCH(B631,'Base de données Mono'!D:D,0))</f>
        <v>0.89583333333333337</v>
      </c>
      <c r="K631" s="131">
        <f>INDEX('Base de données Mono'!M:M,MATCH(B631,'Base de données Mono'!D:D,0))</f>
        <v>0.33333333333333331</v>
      </c>
      <c r="L631" s="131">
        <f>INDEX('Base de données Mono'!N:N,MATCH(B631,'Base de données Mono'!D:D,0))</f>
        <v>0.5625</v>
      </c>
      <c r="M631" s="33" t="s">
        <v>46</v>
      </c>
      <c r="N631" s="33">
        <f>IF(AND(E631="Electricité",M631="Hiver"),INDEX('Base de données Mono'!E:E,MATCH(B631,'Base de données Mono'!D:D,0)),IF(AND(E631="Electricité",M631="Mi-saison"),INDEX('Base de données Mono'!F:F,MATCH(B631,'Base de données Mono'!D:D,0)),IF(AND(E631="Electricité",M631="Eté"),INDEX('Base de données Mono'!G:G,MATCH(B631,'Base de données Mono'!D:D,0)),IF(AND(E631="Gaz",M631="Hiver"),INDEX('Base de données Mono'!J:J,MATCH(B631,'Base de données Mono'!D:D,0)),IF(AND(E631="Gaz",M631="Mi-saison"),INDEX('Base de données Mono'!#REF!,MATCH(B631,'Base de données Mono'!D:D,0)),IF(AND(E631="Gaz",M631="Eté"),INDEX('Base de données Mono'!#REF!,MATCH(B631,'Base de données Mono'!D:D,0)),"-"))))))</f>
        <v>35</v>
      </c>
      <c r="O631" s="123">
        <v>45386</v>
      </c>
      <c r="P631" s="123">
        <v>45389</v>
      </c>
      <c r="Q631" s="34">
        <v>40</v>
      </c>
      <c r="R631" s="33">
        <f t="shared" si="69"/>
        <v>5</v>
      </c>
      <c r="S631" s="34">
        <v>9</v>
      </c>
      <c r="T631" s="34">
        <f t="shared" si="70"/>
        <v>3</v>
      </c>
      <c r="U631" s="33">
        <f t="shared" si="71"/>
        <v>135</v>
      </c>
      <c r="V631" s="38" t="s">
        <v>827</v>
      </c>
      <c r="W631" s="39">
        <f t="shared" si="72"/>
        <v>0.14285714285714285</v>
      </c>
      <c r="X631" s="40" t="s">
        <v>304</v>
      </c>
      <c r="Y631" s="40" t="s">
        <v>283</v>
      </c>
      <c r="Z631" s="40" t="s">
        <v>749</v>
      </c>
      <c r="AA631" s="33" t="s">
        <v>749</v>
      </c>
      <c r="AB631" s="95"/>
      <c r="AC631" s="95"/>
    </row>
    <row r="632" spans="1:29" ht="14.45" hidden="1" customHeight="1" x14ac:dyDescent="0.25">
      <c r="A632" s="36" t="str">
        <f>INDEX('Base de données Mono'!C:C,MATCH(B632,'Base de données Mono'!D:D,0))</f>
        <v>LA FOURCHE</v>
      </c>
      <c r="B632" t="s">
        <v>347</v>
      </c>
      <c r="C632" s="36" t="str">
        <f>INDEX('Base de données Mono'!B:B,MATCH(B632,'Base de données Mono'!D:D,0))</f>
        <v>Monoprix</v>
      </c>
      <c r="D632" s="36" t="str">
        <f>INDEX('Base de données Mono'!A:A,MATCH(B632,'Base de données Mono'!D:D,0))</f>
        <v>AD</v>
      </c>
      <c r="E632" s="37" t="s">
        <v>303</v>
      </c>
      <c r="F632" s="41">
        <f t="shared" si="67"/>
        <v>14</v>
      </c>
      <c r="G632" s="41">
        <f t="shared" si="68"/>
        <v>4</v>
      </c>
      <c r="H632">
        <v>10</v>
      </c>
      <c r="I632" s="131">
        <f>INDEX('Base de données Mono'!K:K,MATCH(B632,'Base de données Mono'!D:D,0))</f>
        <v>0.25</v>
      </c>
      <c r="J632" s="131">
        <f>INDEX('Base de données Mono'!L:L,MATCH(B632,'Base de données Mono'!D:D,0))</f>
        <v>0.83333333333333337</v>
      </c>
      <c r="K632" s="131">
        <f>INDEX('Base de données Mono'!M:M,MATCH(B632,'Base de données Mono'!D:D,0))</f>
        <v>0.29166666666666669</v>
      </c>
      <c r="L632" s="131">
        <f>INDEX('Base de données Mono'!N:N,MATCH(B632,'Base de données Mono'!D:D,0))</f>
        <v>0.79166666666666663</v>
      </c>
      <c r="M632" s="33" t="s">
        <v>46</v>
      </c>
      <c r="N632" s="33">
        <f>IF(AND(E632="Electricité",M632="Hiver"),INDEX('Base de données Mono'!E:E,MATCH(B632,'Base de données Mono'!D:D,0)),IF(AND(E632="Electricité",M632="Mi-saison"),INDEX('Base de données Mono'!F:F,MATCH(B632,'Base de données Mono'!D:D,0)),IF(AND(E632="Electricité",M632="Eté"),INDEX('Base de données Mono'!G:G,MATCH(B632,'Base de données Mono'!D:D,0)),IF(AND(E632="Gaz",M632="Hiver"),INDEX('Base de données Mono'!J:J,MATCH(B632,'Base de données Mono'!D:D,0)),IF(AND(E632="Gaz",M632="Mi-saison"),INDEX('Base de données Mono'!#REF!,MATCH(B632,'Base de données Mono'!D:D,0)),IF(AND(E632="Gaz",M632="Eté"),INDEX('Base de données Mono'!#REF!,MATCH(B632,'Base de données Mono'!D:D,0)),"-"))))))</f>
        <v>60</v>
      </c>
      <c r="O632" s="123">
        <v>45385</v>
      </c>
      <c r="P632" s="123">
        <v>45387</v>
      </c>
      <c r="Q632" s="34">
        <v>95</v>
      </c>
      <c r="R632" s="33">
        <f t="shared" si="69"/>
        <v>35</v>
      </c>
      <c r="S632" s="34">
        <v>1</v>
      </c>
      <c r="T632" s="34">
        <f t="shared" si="70"/>
        <v>2</v>
      </c>
      <c r="U632" s="33">
        <f t="shared" si="71"/>
        <v>70</v>
      </c>
      <c r="V632" s="38" t="s">
        <v>827</v>
      </c>
      <c r="W632" s="39">
        <f t="shared" si="72"/>
        <v>0.58333333333333337</v>
      </c>
      <c r="X632" s="40" t="s">
        <v>304</v>
      </c>
      <c r="Y632" s="40" t="s">
        <v>283</v>
      </c>
      <c r="Z632" s="40" t="s">
        <v>749</v>
      </c>
      <c r="AA632" s="33" t="s">
        <v>749</v>
      </c>
      <c r="AB632" s="95"/>
      <c r="AC632" s="95"/>
    </row>
    <row r="633" spans="1:29" ht="14.45" hidden="1" customHeight="1" x14ac:dyDescent="0.25">
      <c r="A633" s="36" t="str">
        <f>INDEX('Base de données Mono'!C:C,MATCH(B633,'Base de données Mono'!D:D,0))</f>
        <v>LA FOURCHE</v>
      </c>
      <c r="B633" t="s">
        <v>347</v>
      </c>
      <c r="C633" s="36" t="str">
        <f>INDEX('Base de données Mono'!B:B,MATCH(B633,'Base de données Mono'!D:D,0))</f>
        <v>Monoprix</v>
      </c>
      <c r="D633" s="36" t="str">
        <f>INDEX('Base de données Mono'!A:A,MATCH(B633,'Base de données Mono'!D:D,0))</f>
        <v>AD</v>
      </c>
      <c r="E633" s="37" t="s">
        <v>303</v>
      </c>
      <c r="F633" s="41">
        <f t="shared" si="67"/>
        <v>14</v>
      </c>
      <c r="G633" s="41">
        <f t="shared" si="68"/>
        <v>4</v>
      </c>
      <c r="H633">
        <v>10</v>
      </c>
      <c r="I633" s="131">
        <f>INDEX('Base de données Mono'!K:K,MATCH(B633,'Base de données Mono'!D:D,0))</f>
        <v>0.25</v>
      </c>
      <c r="J633" s="131">
        <f>INDEX('Base de données Mono'!L:L,MATCH(B633,'Base de données Mono'!D:D,0))</f>
        <v>0.83333333333333337</v>
      </c>
      <c r="K633" s="131">
        <f>INDEX('Base de données Mono'!M:M,MATCH(B633,'Base de données Mono'!D:D,0))</f>
        <v>0.29166666666666669</v>
      </c>
      <c r="L633" s="131">
        <f>INDEX('Base de données Mono'!N:N,MATCH(B633,'Base de données Mono'!D:D,0))</f>
        <v>0.79166666666666663</v>
      </c>
      <c r="M633" s="33" t="s">
        <v>46</v>
      </c>
      <c r="N633" s="33">
        <f>IF(AND(E633="Electricité",M633="Hiver"),INDEX('Base de données Mono'!E:E,MATCH(B633,'Base de données Mono'!D:D,0)),IF(AND(E633="Electricité",M633="Mi-saison"),INDEX('Base de données Mono'!F:F,MATCH(B633,'Base de données Mono'!D:D,0)),IF(AND(E633="Electricité",M633="Eté"),INDEX('Base de données Mono'!G:G,MATCH(B633,'Base de données Mono'!D:D,0)),IF(AND(E633="Gaz",M633="Hiver"),INDEX('Base de données Mono'!J:J,MATCH(B633,'Base de données Mono'!D:D,0)),IF(AND(E633="Gaz",M633="Mi-saison"),INDEX('Base de données Mono'!#REF!,MATCH(B633,'Base de données Mono'!D:D,0)),IF(AND(E633="Gaz",M633="Eté"),INDEX('Base de données Mono'!#REF!,MATCH(B633,'Base de données Mono'!D:D,0)),"-"))))))</f>
        <v>60</v>
      </c>
      <c r="O633" s="123">
        <v>45386</v>
      </c>
      <c r="P633" s="123">
        <v>45387</v>
      </c>
      <c r="Q633" s="34">
        <v>90</v>
      </c>
      <c r="R633" s="33">
        <f t="shared" si="69"/>
        <v>30</v>
      </c>
      <c r="S633" s="34">
        <v>1</v>
      </c>
      <c r="T633" s="34">
        <f t="shared" si="70"/>
        <v>1</v>
      </c>
      <c r="U633" s="33">
        <f t="shared" si="71"/>
        <v>30</v>
      </c>
      <c r="V633" s="38" t="s">
        <v>827</v>
      </c>
      <c r="W633" s="39">
        <f t="shared" si="72"/>
        <v>0.5</v>
      </c>
      <c r="X633" s="40" t="s">
        <v>304</v>
      </c>
      <c r="Y633" s="40" t="s">
        <v>283</v>
      </c>
      <c r="Z633" s="40" t="s">
        <v>749</v>
      </c>
      <c r="AA633" s="33" t="s">
        <v>749</v>
      </c>
      <c r="AB633" s="95"/>
      <c r="AC633" s="95"/>
    </row>
    <row r="634" spans="1:29" ht="14.45" hidden="1" customHeight="1" x14ac:dyDescent="0.25">
      <c r="A634" s="36" t="str">
        <f>INDEX('Base de données Mono'!C:C,MATCH(B634,'Base de données Mono'!D:D,0))</f>
        <v>LA FOURCHE</v>
      </c>
      <c r="B634" t="s">
        <v>347</v>
      </c>
      <c r="C634" s="36" t="str">
        <f>INDEX('Base de données Mono'!B:B,MATCH(B634,'Base de données Mono'!D:D,0))</f>
        <v>Monoprix</v>
      </c>
      <c r="D634" s="36" t="str">
        <f>INDEX('Base de données Mono'!A:A,MATCH(B634,'Base de données Mono'!D:D,0))</f>
        <v>AD</v>
      </c>
      <c r="E634" s="37" t="s">
        <v>303</v>
      </c>
      <c r="F634" s="41">
        <f t="shared" si="67"/>
        <v>14</v>
      </c>
      <c r="G634" s="41">
        <f t="shared" si="68"/>
        <v>4</v>
      </c>
      <c r="H634">
        <v>10</v>
      </c>
      <c r="I634" s="131">
        <f>INDEX('Base de données Mono'!K:K,MATCH(B634,'Base de données Mono'!D:D,0))</f>
        <v>0.25</v>
      </c>
      <c r="J634" s="131">
        <f>INDEX('Base de données Mono'!L:L,MATCH(B634,'Base de données Mono'!D:D,0))</f>
        <v>0.83333333333333337</v>
      </c>
      <c r="K634" s="131">
        <f>INDEX('Base de données Mono'!M:M,MATCH(B634,'Base de données Mono'!D:D,0))</f>
        <v>0.29166666666666669</v>
      </c>
      <c r="L634" s="131">
        <f>INDEX('Base de données Mono'!N:N,MATCH(B634,'Base de données Mono'!D:D,0))</f>
        <v>0.79166666666666663</v>
      </c>
      <c r="M634" s="33" t="s">
        <v>46</v>
      </c>
      <c r="N634" s="33">
        <f>IF(AND(E634="Electricité",M634="Hiver"),INDEX('Base de données Mono'!E:E,MATCH(B634,'Base de données Mono'!D:D,0)),IF(AND(E634="Electricité",M634="Mi-saison"),INDEX('Base de données Mono'!F:F,MATCH(B634,'Base de données Mono'!D:D,0)),IF(AND(E634="Electricité",M634="Eté"),INDEX('Base de données Mono'!G:G,MATCH(B634,'Base de données Mono'!D:D,0)),IF(AND(E634="Gaz",M634="Hiver"),INDEX('Base de données Mono'!J:J,MATCH(B634,'Base de données Mono'!D:D,0)),IF(AND(E634="Gaz",M634="Mi-saison"),INDEX('Base de données Mono'!#REF!,MATCH(B634,'Base de données Mono'!D:D,0)),IF(AND(E634="Gaz",M634="Eté"),INDEX('Base de données Mono'!#REF!,MATCH(B634,'Base de données Mono'!D:D,0)),"-"))))))</f>
        <v>60</v>
      </c>
      <c r="O634" s="123">
        <v>45387</v>
      </c>
      <c r="P634" s="123">
        <v>45388</v>
      </c>
      <c r="Q634" s="34">
        <v>105</v>
      </c>
      <c r="R634" s="33">
        <f t="shared" si="69"/>
        <v>45</v>
      </c>
      <c r="S634" s="34">
        <v>1</v>
      </c>
      <c r="T634" s="34">
        <f t="shared" si="70"/>
        <v>1</v>
      </c>
      <c r="U634" s="33">
        <f t="shared" si="71"/>
        <v>45</v>
      </c>
      <c r="V634" s="38" t="s">
        <v>827</v>
      </c>
      <c r="W634" s="39">
        <f t="shared" si="72"/>
        <v>0.75</v>
      </c>
      <c r="X634" s="40" t="s">
        <v>304</v>
      </c>
      <c r="Y634" s="40" t="s">
        <v>283</v>
      </c>
      <c r="Z634" s="40" t="s">
        <v>749</v>
      </c>
      <c r="AA634" s="33" t="s">
        <v>749</v>
      </c>
      <c r="AB634" s="95"/>
      <c r="AC634" s="95"/>
    </row>
    <row r="635" spans="1:29" ht="14.45" hidden="1" customHeight="1" x14ac:dyDescent="0.25">
      <c r="A635" s="36" t="str">
        <f>INDEX('Base de données Mono'!C:C,MATCH(B635,'Base de données Mono'!D:D,0))</f>
        <v>LA FOURCHE</v>
      </c>
      <c r="B635" t="s">
        <v>347</v>
      </c>
      <c r="C635" s="36" t="str">
        <f>INDEX('Base de données Mono'!B:B,MATCH(B635,'Base de données Mono'!D:D,0))</f>
        <v>Monoprix</v>
      </c>
      <c r="D635" s="36" t="str">
        <f>INDEX('Base de données Mono'!A:A,MATCH(B635,'Base de données Mono'!D:D,0))</f>
        <v>AD</v>
      </c>
      <c r="E635" s="37" t="s">
        <v>303</v>
      </c>
      <c r="F635" s="41">
        <f t="shared" si="67"/>
        <v>14</v>
      </c>
      <c r="G635" s="41">
        <f t="shared" si="68"/>
        <v>4</v>
      </c>
      <c r="H635">
        <v>10</v>
      </c>
      <c r="I635" s="131">
        <f>INDEX('Base de données Mono'!K:K,MATCH(B635,'Base de données Mono'!D:D,0))</f>
        <v>0.25</v>
      </c>
      <c r="J635" s="131">
        <f>INDEX('Base de données Mono'!L:L,MATCH(B635,'Base de données Mono'!D:D,0))</f>
        <v>0.83333333333333337</v>
      </c>
      <c r="K635" s="131">
        <f>INDEX('Base de données Mono'!M:M,MATCH(B635,'Base de données Mono'!D:D,0))</f>
        <v>0.29166666666666669</v>
      </c>
      <c r="L635" s="131">
        <f>INDEX('Base de données Mono'!N:N,MATCH(B635,'Base de données Mono'!D:D,0))</f>
        <v>0.79166666666666663</v>
      </c>
      <c r="M635" s="33" t="s">
        <v>46</v>
      </c>
      <c r="N635" s="33">
        <f>IF(AND(E635="Electricité",M635="Hiver"),INDEX('Base de données Mono'!E:E,MATCH(B635,'Base de données Mono'!D:D,0)),IF(AND(E635="Electricité",M635="Mi-saison"),INDEX('Base de données Mono'!F:F,MATCH(B635,'Base de données Mono'!D:D,0)),IF(AND(E635="Electricité",M635="Eté"),INDEX('Base de données Mono'!G:G,MATCH(B635,'Base de données Mono'!D:D,0)),IF(AND(E635="Gaz",M635="Hiver"),INDEX('Base de données Mono'!J:J,MATCH(B635,'Base de données Mono'!D:D,0)),IF(AND(E635="Gaz",M635="Mi-saison"),INDEX('Base de données Mono'!#REF!,MATCH(B635,'Base de données Mono'!D:D,0)),IF(AND(E635="Gaz",M635="Eté"),INDEX('Base de données Mono'!#REF!,MATCH(B635,'Base de données Mono'!D:D,0)),"-"))))))</f>
        <v>60</v>
      </c>
      <c r="O635" s="123">
        <v>45387</v>
      </c>
      <c r="P635" s="123">
        <v>45388</v>
      </c>
      <c r="Q635" s="34">
        <v>70</v>
      </c>
      <c r="R635" s="33">
        <f t="shared" si="69"/>
        <v>10</v>
      </c>
      <c r="S635" s="34">
        <v>8</v>
      </c>
      <c r="T635" s="34">
        <f t="shared" si="70"/>
        <v>1</v>
      </c>
      <c r="U635" s="33">
        <f t="shared" si="71"/>
        <v>80</v>
      </c>
      <c r="V635" s="38" t="s">
        <v>827</v>
      </c>
      <c r="W635" s="39">
        <f t="shared" si="72"/>
        <v>0.16666666666666666</v>
      </c>
      <c r="X635" s="40" t="s">
        <v>304</v>
      </c>
      <c r="Y635" s="40" t="s">
        <v>283</v>
      </c>
      <c r="Z635" s="40" t="s">
        <v>749</v>
      </c>
      <c r="AA635" s="33" t="s">
        <v>749</v>
      </c>
      <c r="AB635" s="95"/>
      <c r="AC635" s="95"/>
    </row>
    <row r="636" spans="1:29" ht="14.45" hidden="1" customHeight="1" x14ac:dyDescent="0.25">
      <c r="A636" s="36" t="str">
        <f>INDEX('Base de données Mono'!C:C,MATCH(B636,'Base de données Mono'!D:D,0))</f>
        <v>LA FOURCHE</v>
      </c>
      <c r="B636" t="s">
        <v>347</v>
      </c>
      <c r="C636" s="36" t="str">
        <f>INDEX('Base de données Mono'!B:B,MATCH(B636,'Base de données Mono'!D:D,0))</f>
        <v>Monoprix</v>
      </c>
      <c r="D636" s="36" t="str">
        <f>INDEX('Base de données Mono'!A:A,MATCH(B636,'Base de données Mono'!D:D,0))</f>
        <v>AD</v>
      </c>
      <c r="E636" s="37" t="s">
        <v>303</v>
      </c>
      <c r="F636" s="41">
        <f t="shared" si="67"/>
        <v>14</v>
      </c>
      <c r="G636" s="41">
        <f t="shared" si="68"/>
        <v>4</v>
      </c>
      <c r="H636">
        <v>10</v>
      </c>
      <c r="I636" s="131">
        <f>INDEX('Base de données Mono'!K:K,MATCH(B636,'Base de données Mono'!D:D,0))</f>
        <v>0.25</v>
      </c>
      <c r="J636" s="131">
        <f>INDEX('Base de données Mono'!L:L,MATCH(B636,'Base de données Mono'!D:D,0))</f>
        <v>0.83333333333333337</v>
      </c>
      <c r="K636" s="131">
        <f>INDEX('Base de données Mono'!M:M,MATCH(B636,'Base de données Mono'!D:D,0))</f>
        <v>0.29166666666666669</v>
      </c>
      <c r="L636" s="131">
        <f>INDEX('Base de données Mono'!N:N,MATCH(B636,'Base de données Mono'!D:D,0))</f>
        <v>0.79166666666666663</v>
      </c>
      <c r="M636" s="33" t="s">
        <v>46</v>
      </c>
      <c r="N636" s="33">
        <f>IF(AND(E636="Electricité",M636="Hiver"),INDEX('Base de données Mono'!E:E,MATCH(B636,'Base de données Mono'!D:D,0)),IF(AND(E636="Electricité",M636="Mi-saison"),INDEX('Base de données Mono'!F:F,MATCH(B636,'Base de données Mono'!D:D,0)),IF(AND(E636="Electricité",M636="Eté"),INDEX('Base de données Mono'!G:G,MATCH(B636,'Base de données Mono'!D:D,0)),IF(AND(E636="Gaz",M636="Hiver"),INDEX('Base de données Mono'!J:J,MATCH(B636,'Base de données Mono'!D:D,0)),IF(AND(E636="Gaz",M636="Mi-saison"),INDEX('Base de données Mono'!#REF!,MATCH(B636,'Base de données Mono'!D:D,0)),IF(AND(E636="Gaz",M636="Eté"),INDEX('Base de données Mono'!#REF!,MATCH(B636,'Base de données Mono'!D:D,0)),"-"))))))</f>
        <v>60</v>
      </c>
      <c r="O636" s="123">
        <v>45387</v>
      </c>
      <c r="P636" s="123">
        <v>45388</v>
      </c>
      <c r="Q636" s="34">
        <v>85</v>
      </c>
      <c r="R636" s="33">
        <f t="shared" si="69"/>
        <v>25</v>
      </c>
      <c r="S636" s="34">
        <v>1</v>
      </c>
      <c r="T636" s="34">
        <f t="shared" si="70"/>
        <v>1</v>
      </c>
      <c r="U636" s="33">
        <f t="shared" si="71"/>
        <v>25</v>
      </c>
      <c r="V636" s="38" t="s">
        <v>827</v>
      </c>
      <c r="W636" s="39">
        <f t="shared" si="72"/>
        <v>0.41666666666666669</v>
      </c>
      <c r="X636" s="40" t="s">
        <v>304</v>
      </c>
      <c r="Y636" s="40" t="s">
        <v>283</v>
      </c>
      <c r="Z636" s="40" t="s">
        <v>749</v>
      </c>
      <c r="AA636" s="33" t="s">
        <v>749</v>
      </c>
      <c r="AB636" s="95"/>
      <c r="AC636" s="95"/>
    </row>
    <row r="637" spans="1:29" ht="14.45" hidden="1" customHeight="1" x14ac:dyDescent="0.25">
      <c r="A637" s="36" t="str">
        <f>INDEX('Base de données Mono'!C:C,MATCH(B637,'Base de données Mono'!D:D,0))</f>
        <v>LA FOURCHE</v>
      </c>
      <c r="B637" t="s">
        <v>347</v>
      </c>
      <c r="C637" s="36" t="str">
        <f>INDEX('Base de données Mono'!B:B,MATCH(B637,'Base de données Mono'!D:D,0))</f>
        <v>Monoprix</v>
      </c>
      <c r="D637" s="36" t="str">
        <f>INDEX('Base de données Mono'!A:A,MATCH(B637,'Base de données Mono'!D:D,0))</f>
        <v>AD</v>
      </c>
      <c r="E637" s="37" t="s">
        <v>303</v>
      </c>
      <c r="F637" s="41">
        <f t="shared" si="67"/>
        <v>14</v>
      </c>
      <c r="G637" s="41">
        <f t="shared" si="68"/>
        <v>4</v>
      </c>
      <c r="H637">
        <v>10</v>
      </c>
      <c r="I637" s="131">
        <f>INDEX('Base de données Mono'!K:K,MATCH(B637,'Base de données Mono'!D:D,0))</f>
        <v>0.25</v>
      </c>
      <c r="J637" s="131">
        <f>INDEX('Base de données Mono'!L:L,MATCH(B637,'Base de données Mono'!D:D,0))</f>
        <v>0.83333333333333337</v>
      </c>
      <c r="K637" s="131">
        <f>INDEX('Base de données Mono'!M:M,MATCH(B637,'Base de données Mono'!D:D,0))</f>
        <v>0.29166666666666669</v>
      </c>
      <c r="L637" s="131">
        <f>INDEX('Base de données Mono'!N:N,MATCH(B637,'Base de données Mono'!D:D,0))</f>
        <v>0.79166666666666663</v>
      </c>
      <c r="M637" s="33" t="s">
        <v>46</v>
      </c>
      <c r="N637" s="33">
        <f>IF(AND(E637="Electricité",M637="Hiver"),INDEX('Base de données Mono'!E:E,MATCH(B637,'Base de données Mono'!D:D,0)),IF(AND(E637="Electricité",M637="Mi-saison"),INDEX('Base de données Mono'!F:F,MATCH(B637,'Base de données Mono'!D:D,0)),IF(AND(E637="Electricité",M637="Eté"),INDEX('Base de données Mono'!G:G,MATCH(B637,'Base de données Mono'!D:D,0)),IF(AND(E637="Gaz",M637="Hiver"),INDEX('Base de données Mono'!J:J,MATCH(B637,'Base de données Mono'!D:D,0)),IF(AND(E637="Gaz",M637="Mi-saison"),INDEX('Base de données Mono'!#REF!,MATCH(B637,'Base de données Mono'!D:D,0)),IF(AND(E637="Gaz",M637="Eté"),INDEX('Base de données Mono'!#REF!,MATCH(B637,'Base de données Mono'!D:D,0)),"-"))))))</f>
        <v>60</v>
      </c>
      <c r="O637" s="123">
        <v>45388</v>
      </c>
      <c r="P637" s="123">
        <v>45389</v>
      </c>
      <c r="Q637" s="34">
        <v>100</v>
      </c>
      <c r="R637" s="33">
        <f t="shared" si="69"/>
        <v>40</v>
      </c>
      <c r="S637" s="34">
        <v>1</v>
      </c>
      <c r="T637" s="34">
        <f t="shared" si="70"/>
        <v>1</v>
      </c>
      <c r="U637" s="33">
        <f t="shared" si="71"/>
        <v>40</v>
      </c>
      <c r="V637" s="38" t="s">
        <v>827</v>
      </c>
      <c r="W637" s="39">
        <f t="shared" si="72"/>
        <v>0.66666666666666663</v>
      </c>
      <c r="X637" s="40" t="s">
        <v>304</v>
      </c>
      <c r="Y637" s="40" t="s">
        <v>283</v>
      </c>
      <c r="Z637" s="40" t="s">
        <v>749</v>
      </c>
      <c r="AA637" s="33" t="s">
        <v>749</v>
      </c>
      <c r="AB637" s="95"/>
      <c r="AC637" s="95"/>
    </row>
    <row r="638" spans="1:29" ht="14.45" hidden="1" customHeight="1" x14ac:dyDescent="0.25">
      <c r="A638" s="36" t="str">
        <f>INDEX('Base de données Mono'!C:C,MATCH(B638,'Base de données Mono'!D:D,0))</f>
        <v>LA FOURCHE</v>
      </c>
      <c r="B638" t="s">
        <v>347</v>
      </c>
      <c r="C638" s="36" t="str">
        <f>INDEX('Base de données Mono'!B:B,MATCH(B638,'Base de données Mono'!D:D,0))</f>
        <v>Monoprix</v>
      </c>
      <c r="D638" s="36" t="str">
        <f>INDEX('Base de données Mono'!A:A,MATCH(B638,'Base de données Mono'!D:D,0))</f>
        <v>AD</v>
      </c>
      <c r="E638" s="37" t="s">
        <v>303</v>
      </c>
      <c r="F638" s="41">
        <f t="shared" si="67"/>
        <v>14</v>
      </c>
      <c r="G638" s="41">
        <f t="shared" si="68"/>
        <v>4</v>
      </c>
      <c r="H638">
        <v>10</v>
      </c>
      <c r="I638" s="131">
        <f>INDEX('Base de données Mono'!K:K,MATCH(B638,'Base de données Mono'!D:D,0))</f>
        <v>0.25</v>
      </c>
      <c r="J638" s="131">
        <f>INDEX('Base de données Mono'!L:L,MATCH(B638,'Base de données Mono'!D:D,0))</f>
        <v>0.83333333333333337</v>
      </c>
      <c r="K638" s="131">
        <f>INDEX('Base de données Mono'!M:M,MATCH(B638,'Base de données Mono'!D:D,0))</f>
        <v>0.29166666666666669</v>
      </c>
      <c r="L638" s="131">
        <f>INDEX('Base de données Mono'!N:N,MATCH(B638,'Base de données Mono'!D:D,0))</f>
        <v>0.79166666666666663</v>
      </c>
      <c r="M638" s="33" t="s">
        <v>46</v>
      </c>
      <c r="N638" s="33">
        <f>IF(AND(E638="Electricité",M638="Hiver"),INDEX('Base de données Mono'!E:E,MATCH(B638,'Base de données Mono'!D:D,0)),IF(AND(E638="Electricité",M638="Mi-saison"),INDEX('Base de données Mono'!F:F,MATCH(B638,'Base de données Mono'!D:D,0)),IF(AND(E638="Electricité",M638="Eté"),INDEX('Base de données Mono'!G:G,MATCH(B638,'Base de données Mono'!D:D,0)),IF(AND(E638="Gaz",M638="Hiver"),INDEX('Base de données Mono'!J:J,MATCH(B638,'Base de données Mono'!D:D,0)),IF(AND(E638="Gaz",M638="Mi-saison"),INDEX('Base de données Mono'!#REF!,MATCH(B638,'Base de données Mono'!D:D,0)),IF(AND(E638="Gaz",M638="Eté"),INDEX('Base de données Mono'!#REF!,MATCH(B638,'Base de données Mono'!D:D,0)),"-"))))))</f>
        <v>60</v>
      </c>
      <c r="O638" s="123">
        <v>45388</v>
      </c>
      <c r="P638" s="123">
        <v>45389</v>
      </c>
      <c r="Q638" s="34">
        <v>70</v>
      </c>
      <c r="R638" s="33">
        <f t="shared" si="69"/>
        <v>10</v>
      </c>
      <c r="S638" s="34">
        <v>9</v>
      </c>
      <c r="T638" s="34">
        <f t="shared" si="70"/>
        <v>1</v>
      </c>
      <c r="U638" s="33">
        <f t="shared" si="71"/>
        <v>90</v>
      </c>
      <c r="V638" s="38" t="s">
        <v>827</v>
      </c>
      <c r="W638" s="39">
        <f t="shared" si="72"/>
        <v>0.16666666666666666</v>
      </c>
      <c r="X638" s="40" t="s">
        <v>304</v>
      </c>
      <c r="Y638" s="40" t="s">
        <v>283</v>
      </c>
      <c r="Z638" s="40" t="s">
        <v>749</v>
      </c>
      <c r="AA638" s="33" t="s">
        <v>749</v>
      </c>
      <c r="AB638" s="95"/>
      <c r="AC638" s="95"/>
    </row>
    <row r="639" spans="1:29" ht="14.45" hidden="1" customHeight="1" x14ac:dyDescent="0.25">
      <c r="A639" s="36" t="str">
        <f>INDEX('Base de données Mono'!C:C,MATCH(B639,'Base de données Mono'!D:D,0))</f>
        <v>DAUMESNIL</v>
      </c>
      <c r="B639" t="s">
        <v>15</v>
      </c>
      <c r="C639" s="36" t="str">
        <f>INDEX('Base de données Mono'!B:B,MATCH(B639,'Base de données Mono'!D:D,0))</f>
        <v>SES8</v>
      </c>
      <c r="D639" s="36" t="str">
        <f>INDEX('Base de données Mono'!A:A,MATCH(B639,'Base de données Mono'!D:D,0))</f>
        <v>JG</v>
      </c>
      <c r="E639" s="37" t="s">
        <v>303</v>
      </c>
      <c r="F639" s="41">
        <f>IF(O639="","-",IF(AND(X639="Nuit",WEEKDAY(O639,2)=7,O639&lt;&gt;P639),WEEKNUM(O639,2),WEEKNUM(O639,2)-1))+1</f>
        <v>14</v>
      </c>
      <c r="G639" s="41">
        <f>IF(O639="","-",MONTH(O639))</f>
        <v>4</v>
      </c>
      <c r="H639">
        <v>7.75</v>
      </c>
      <c r="I639" s="131">
        <f>INDEX('Base de données Mono'!K:K,MATCH(B639,'Base de données Mono'!D:D,0))</f>
        <v>0.24305555555555555</v>
      </c>
      <c r="J639" s="131">
        <f>INDEX('Base de données Mono'!L:L,MATCH(B639,'Base de données Mono'!D:D,0))</f>
        <v>0.92013888888888884</v>
      </c>
      <c r="K639" s="131">
        <f>INDEX('Base de données Mono'!M:M,MATCH(B639,'Base de données Mono'!D:D,0))</f>
        <v>0.28472222222222221</v>
      </c>
      <c r="L639" s="131">
        <f>INDEX('Base de données Mono'!N:N,MATCH(B639,'Base de données Mono'!D:D,0))</f>
        <v>0.54166666666666663</v>
      </c>
      <c r="M639" s="33" t="s">
        <v>46</v>
      </c>
      <c r="N639" s="33">
        <f>IF(AND(E639="Electricité",M639="Hiver"),INDEX('Base de données Mono'!E:E,MATCH(B639,'Base de données Mono'!D:D,0)),IF(AND(E639="Electricité",M639="Mi-saison"),INDEX('Base de données Mono'!F:F,MATCH(B639,'Base de données Mono'!D:D,0)),IF(AND(E639="Electricité",M639="Eté"),INDEX('Base de données Mono'!G:G,MATCH(B639,'Base de données Mono'!D:D,0)),IF(AND(E639="Gaz",M639="Hiver"),INDEX('Base de données Mono'!J:J,MATCH(B639,'Base de données Mono'!D:D,0)),IF(AND(E639="Gaz",M639="Mi-saison"),INDEX('Base de données Mono'!#REF!,MATCH(B639,'Base de données Mono'!D:D,0)),IF(AND(E639="Gaz",M639="Eté"),INDEX('Base de données Mono'!#REF!,MATCH(B639,'Base de données Mono'!D:D,0)),"-"))))))</f>
        <v>15</v>
      </c>
      <c r="O639" s="123">
        <v>45383</v>
      </c>
      <c r="P639" s="123">
        <v>45384</v>
      </c>
      <c r="Q639" s="34">
        <v>50</v>
      </c>
      <c r="R639" s="33">
        <f>IF(Q639="","",Q639-N639)</f>
        <v>35</v>
      </c>
      <c r="S639" s="34">
        <v>4.7</v>
      </c>
      <c r="T639" s="34">
        <f>P639-O639</f>
        <v>1</v>
      </c>
      <c r="U639" s="33">
        <f>R639*S639*T639</f>
        <v>164.5</v>
      </c>
      <c r="V639" s="38" t="s">
        <v>827</v>
      </c>
      <c r="W639" s="39">
        <f>IFERROR(IF(E639="Gaz","-",R639/N639),"-")</f>
        <v>2.3333333333333335</v>
      </c>
      <c r="X639" s="40" t="s">
        <v>304</v>
      </c>
      <c r="Y639" s="40" t="s">
        <v>284</v>
      </c>
      <c r="Z639" s="40" t="s">
        <v>305</v>
      </c>
      <c r="AA639" s="33" t="s">
        <v>771</v>
      </c>
      <c r="AB639" s="95"/>
      <c r="AC639" s="95"/>
    </row>
    <row r="640" spans="1:29" ht="14.45" hidden="1" customHeight="1" x14ac:dyDescent="0.25">
      <c r="A640" s="36" t="str">
        <f>INDEX('Base de données Mono'!C:C,MATCH(B640,'Base de données Mono'!D:D,0))</f>
        <v>DAUMESNIL</v>
      </c>
      <c r="B640" t="s">
        <v>15</v>
      </c>
      <c r="C640" s="36" t="str">
        <f>INDEX('Base de données Mono'!B:B,MATCH(B640,'Base de données Mono'!D:D,0))</f>
        <v>SES8</v>
      </c>
      <c r="D640" s="36" t="str">
        <f>INDEX('Base de données Mono'!A:A,MATCH(B640,'Base de données Mono'!D:D,0))</f>
        <v>JG</v>
      </c>
      <c r="E640" s="37" t="s">
        <v>303</v>
      </c>
      <c r="F640" s="41">
        <f t="shared" si="67"/>
        <v>14</v>
      </c>
      <c r="G640" s="41">
        <f t="shared" si="68"/>
        <v>4</v>
      </c>
      <c r="H640">
        <v>7.75</v>
      </c>
      <c r="I640" s="131">
        <f>INDEX('Base de données Mono'!K:K,MATCH(B640,'Base de données Mono'!D:D,0))</f>
        <v>0.24305555555555555</v>
      </c>
      <c r="J640" s="131">
        <f>INDEX('Base de données Mono'!L:L,MATCH(B640,'Base de données Mono'!D:D,0))</f>
        <v>0.92013888888888884</v>
      </c>
      <c r="K640" s="131">
        <f>INDEX('Base de données Mono'!M:M,MATCH(B640,'Base de données Mono'!D:D,0))</f>
        <v>0.28472222222222221</v>
      </c>
      <c r="L640" s="131">
        <f>INDEX('Base de données Mono'!N:N,MATCH(B640,'Base de données Mono'!D:D,0))</f>
        <v>0.54166666666666663</v>
      </c>
      <c r="M640" s="33" t="s">
        <v>46</v>
      </c>
      <c r="N640" s="33">
        <f>IF(AND(E640="Electricité",M640="Hiver"),INDEX('Base de données Mono'!E:E,MATCH(B640,'Base de données Mono'!D:D,0)),IF(AND(E640="Electricité",M640="Mi-saison"),INDEX('Base de données Mono'!F:F,MATCH(B640,'Base de données Mono'!D:D,0)),IF(AND(E640="Electricité",M640="Eté"),INDEX('Base de données Mono'!G:G,MATCH(B640,'Base de données Mono'!D:D,0)),IF(AND(E640="Gaz",M640="Hiver"),INDEX('Base de données Mono'!J:J,MATCH(B640,'Base de données Mono'!D:D,0)),IF(AND(E640="Gaz",M640="Mi-saison"),INDEX('Base de données Mono'!#REF!,MATCH(B640,'Base de données Mono'!D:D,0)),IF(AND(E640="Gaz",M640="Eté"),INDEX('Base de données Mono'!#REF!,MATCH(B640,'Base de données Mono'!D:D,0)),"-"))))))</f>
        <v>15</v>
      </c>
      <c r="O640" s="123">
        <v>45383</v>
      </c>
      <c r="P640" s="123">
        <v>45384</v>
      </c>
      <c r="Q640" s="34">
        <v>70</v>
      </c>
      <c r="R640" s="33">
        <f t="shared" si="69"/>
        <v>55</v>
      </c>
      <c r="S640" s="34">
        <v>3</v>
      </c>
      <c r="T640" s="34">
        <f t="shared" si="70"/>
        <v>1</v>
      </c>
      <c r="U640" s="33">
        <f t="shared" si="71"/>
        <v>165</v>
      </c>
      <c r="V640" s="38" t="s">
        <v>827</v>
      </c>
      <c r="W640" s="39">
        <f t="shared" si="72"/>
        <v>3.6666666666666665</v>
      </c>
      <c r="X640" s="40" t="s">
        <v>304</v>
      </c>
      <c r="Y640" s="40" t="s">
        <v>283</v>
      </c>
      <c r="Z640" s="40" t="s">
        <v>749</v>
      </c>
      <c r="AA640" s="33" t="s">
        <v>749</v>
      </c>
      <c r="AB640" s="95"/>
      <c r="AC640" s="95"/>
    </row>
    <row r="641" spans="1:29" ht="14.45" hidden="1" customHeight="1" x14ac:dyDescent="0.25">
      <c r="A641" s="36" t="str">
        <f>INDEX('Base de données Mono'!C:C,MATCH(B641,'Base de données Mono'!D:D,0))</f>
        <v>DAUMESNIL</v>
      </c>
      <c r="B641" t="s">
        <v>15</v>
      </c>
      <c r="C641" s="36" t="str">
        <f>INDEX('Base de données Mono'!B:B,MATCH(B641,'Base de données Mono'!D:D,0))</f>
        <v>SES8</v>
      </c>
      <c r="D641" s="36" t="str">
        <f>INDEX('Base de données Mono'!A:A,MATCH(B641,'Base de données Mono'!D:D,0))</f>
        <v>JG</v>
      </c>
      <c r="E641" s="37" t="s">
        <v>303</v>
      </c>
      <c r="F641" s="41">
        <f>IF(O641="","-",IF(AND(X641="Nuit",WEEKDAY(O641,2)=7,O641&lt;&gt;P641),WEEKNUM(O641,2),WEEKNUM(O641,2)-1))+1</f>
        <v>14</v>
      </c>
      <c r="G641" s="41">
        <f>IF(O641="","-",MONTH(O641))</f>
        <v>4</v>
      </c>
      <c r="H641">
        <v>7.75</v>
      </c>
      <c r="I641" s="131">
        <f>INDEX('Base de données Mono'!K:K,MATCH(B641,'Base de données Mono'!D:D,0))</f>
        <v>0.24305555555555555</v>
      </c>
      <c r="J641" s="131">
        <f>INDEX('Base de données Mono'!L:L,MATCH(B641,'Base de données Mono'!D:D,0))</f>
        <v>0.92013888888888884</v>
      </c>
      <c r="K641" s="131">
        <f>INDEX('Base de données Mono'!M:M,MATCH(B641,'Base de données Mono'!D:D,0))</f>
        <v>0.28472222222222221</v>
      </c>
      <c r="L641" s="131">
        <f>INDEX('Base de données Mono'!N:N,MATCH(B641,'Base de données Mono'!D:D,0))</f>
        <v>0.54166666666666663</v>
      </c>
      <c r="M641" s="33" t="s">
        <v>46</v>
      </c>
      <c r="N641" s="33">
        <f>IF(AND(E641="Electricité",M641="Hiver"),INDEX('Base de données Mono'!E:E,MATCH(B641,'Base de données Mono'!D:D,0)),IF(AND(E641="Electricité",M641="Mi-saison"),INDEX('Base de données Mono'!F:F,MATCH(B641,'Base de données Mono'!D:D,0)),IF(AND(E641="Electricité",M641="Eté"),INDEX('Base de données Mono'!G:G,MATCH(B641,'Base de données Mono'!D:D,0)),IF(AND(E641="Gaz",M641="Hiver"),INDEX('Base de données Mono'!J:J,MATCH(B641,'Base de données Mono'!D:D,0)),IF(AND(E641="Gaz",M641="Mi-saison"),INDEX('Base de données Mono'!#REF!,MATCH(B641,'Base de données Mono'!D:D,0)),IF(AND(E641="Gaz",M641="Eté"),INDEX('Base de données Mono'!#REF!,MATCH(B641,'Base de données Mono'!D:D,0)),"-"))))))</f>
        <v>15</v>
      </c>
      <c r="O641" s="123">
        <v>45384</v>
      </c>
      <c r="P641" s="123">
        <v>45388</v>
      </c>
      <c r="Q641" s="34">
        <v>50</v>
      </c>
      <c r="R641" s="33">
        <f>IF(Q641="","",Q641-N641)</f>
        <v>35</v>
      </c>
      <c r="S641" s="34">
        <v>7.7</v>
      </c>
      <c r="T641" s="34">
        <f>P641-O641</f>
        <v>4</v>
      </c>
      <c r="U641" s="33">
        <f>R641*S641*T641</f>
        <v>1078</v>
      </c>
      <c r="V641" s="38" t="s">
        <v>827</v>
      </c>
      <c r="W641" s="39">
        <f>IFERROR(IF(E641="Gaz","-",R641/N641),"-")</f>
        <v>2.3333333333333335</v>
      </c>
      <c r="X641" s="40" t="s">
        <v>304</v>
      </c>
      <c r="Y641" s="40" t="s">
        <v>284</v>
      </c>
      <c r="Z641" s="40" t="s">
        <v>305</v>
      </c>
      <c r="AA641" s="33" t="s">
        <v>771</v>
      </c>
      <c r="AB641" s="95"/>
      <c r="AC641" s="95"/>
    </row>
    <row r="642" spans="1:29" ht="14.45" hidden="1" customHeight="1" x14ac:dyDescent="0.25">
      <c r="A642" s="36" t="str">
        <f>INDEX('Base de données Mono'!C:C,MATCH(B642,'Base de données Mono'!D:D,0))</f>
        <v>DAUMESNIL</v>
      </c>
      <c r="B642" t="s">
        <v>15</v>
      </c>
      <c r="C642" s="36" t="str">
        <f>INDEX('Base de données Mono'!B:B,MATCH(B642,'Base de données Mono'!D:D,0))</f>
        <v>SES8</v>
      </c>
      <c r="D642" s="36" t="str">
        <f>INDEX('Base de données Mono'!A:A,MATCH(B642,'Base de données Mono'!D:D,0))</f>
        <v>JG</v>
      </c>
      <c r="E642" s="37" t="s">
        <v>303</v>
      </c>
      <c r="F642" s="41">
        <f>IF(O642="","-",IF(AND(X642="Nuit",WEEKDAY(O642,2)=7,O642&lt;&gt;P642),WEEKNUM(O642,2),WEEKNUM(O642,2)-1))+1</f>
        <v>14</v>
      </c>
      <c r="G642" s="41">
        <f>IF(O642="","-",MONTH(O642))</f>
        <v>4</v>
      </c>
      <c r="H642">
        <v>7.75</v>
      </c>
      <c r="I642" s="131">
        <f>INDEX('Base de données Mono'!K:K,MATCH(B642,'Base de données Mono'!D:D,0))</f>
        <v>0.24305555555555555</v>
      </c>
      <c r="J642" s="131">
        <f>INDEX('Base de données Mono'!L:L,MATCH(B642,'Base de données Mono'!D:D,0))</f>
        <v>0.92013888888888884</v>
      </c>
      <c r="K642" s="131">
        <f>INDEX('Base de données Mono'!M:M,MATCH(B642,'Base de données Mono'!D:D,0))</f>
        <v>0.28472222222222221</v>
      </c>
      <c r="L642" s="131">
        <f>INDEX('Base de données Mono'!N:N,MATCH(B642,'Base de données Mono'!D:D,0))</f>
        <v>0.54166666666666663</v>
      </c>
      <c r="M642" s="33" t="s">
        <v>46</v>
      </c>
      <c r="N642" s="33">
        <f>IF(AND(E642="Electricité",M642="Hiver"),INDEX('Base de données Mono'!E:E,MATCH(B642,'Base de données Mono'!D:D,0)),IF(AND(E642="Electricité",M642="Mi-saison"),INDEX('Base de données Mono'!F:F,MATCH(B642,'Base de données Mono'!D:D,0)),IF(AND(E642="Electricité",M642="Eté"),INDEX('Base de données Mono'!G:G,MATCH(B642,'Base de données Mono'!D:D,0)),IF(AND(E642="Gaz",M642="Hiver"),INDEX('Base de données Mono'!J:J,MATCH(B642,'Base de données Mono'!D:D,0)),IF(AND(E642="Gaz",M642="Mi-saison"),INDEX('Base de données Mono'!#REF!,MATCH(B642,'Base de données Mono'!D:D,0)),IF(AND(E642="Gaz",M642="Eté"),INDEX('Base de données Mono'!#REF!,MATCH(B642,'Base de données Mono'!D:D,0)),"-"))))))</f>
        <v>15</v>
      </c>
      <c r="O642" s="123">
        <v>45388</v>
      </c>
      <c r="P642" s="123">
        <v>45389</v>
      </c>
      <c r="Q642" s="34">
        <v>50</v>
      </c>
      <c r="R642" s="33">
        <f>IF(Q642="","",Q642-N642)</f>
        <v>35</v>
      </c>
      <c r="S642" s="34">
        <v>8.6999999999999993</v>
      </c>
      <c r="T642" s="34">
        <f>P642-O642</f>
        <v>1</v>
      </c>
      <c r="U642" s="33">
        <f>R642*S642*T642</f>
        <v>304.5</v>
      </c>
      <c r="V642" s="38" t="s">
        <v>827</v>
      </c>
      <c r="W642" s="39">
        <f>IFERROR(IF(E642="Gaz","-",R642/N642),"-")</f>
        <v>2.3333333333333335</v>
      </c>
      <c r="X642" s="40" t="s">
        <v>304</v>
      </c>
      <c r="Y642" s="40" t="s">
        <v>284</v>
      </c>
      <c r="Z642" s="40" t="s">
        <v>305</v>
      </c>
      <c r="AA642" s="33" t="s">
        <v>771</v>
      </c>
      <c r="AB642" s="95"/>
      <c r="AC642" s="95"/>
    </row>
    <row r="643" spans="1:29" ht="14.45" hidden="1" customHeight="1" x14ac:dyDescent="0.25">
      <c r="A643" s="36" t="str">
        <f>INDEX('Base de données Mono'!C:C,MATCH(B643,'Base de données Mono'!D:D,0))</f>
        <v>DAUMESNIL</v>
      </c>
      <c r="B643" t="s">
        <v>15</v>
      </c>
      <c r="C643" s="36" t="str">
        <f>INDEX('Base de données Mono'!B:B,MATCH(B643,'Base de données Mono'!D:D,0))</f>
        <v>SES8</v>
      </c>
      <c r="D643" s="36" t="str">
        <f>INDEX('Base de données Mono'!A:A,MATCH(B643,'Base de données Mono'!D:D,0))</f>
        <v>JG</v>
      </c>
      <c r="E643" s="37" t="s">
        <v>303</v>
      </c>
      <c r="F643" s="41">
        <f t="shared" si="67"/>
        <v>14</v>
      </c>
      <c r="G643" s="41">
        <f t="shared" si="68"/>
        <v>4</v>
      </c>
      <c r="H643">
        <v>7.75</v>
      </c>
      <c r="I643" s="131">
        <f>INDEX('Base de données Mono'!K:K,MATCH(B643,'Base de données Mono'!D:D,0))</f>
        <v>0.24305555555555555</v>
      </c>
      <c r="J643" s="131">
        <f>INDEX('Base de données Mono'!L:L,MATCH(B643,'Base de données Mono'!D:D,0))</f>
        <v>0.92013888888888884</v>
      </c>
      <c r="K643" s="131">
        <f>INDEX('Base de données Mono'!M:M,MATCH(B643,'Base de données Mono'!D:D,0))</f>
        <v>0.28472222222222221</v>
      </c>
      <c r="L643" s="131">
        <f>INDEX('Base de données Mono'!N:N,MATCH(B643,'Base de données Mono'!D:D,0))</f>
        <v>0.54166666666666663</v>
      </c>
      <c r="M643" s="33" t="s">
        <v>46</v>
      </c>
      <c r="N643" s="33">
        <f>IF(AND(E643="Electricité",M643="Hiver"),INDEX('Base de données Mono'!E:E,MATCH(B643,'Base de données Mono'!D:D,0)),IF(AND(E643="Electricité",M643="Mi-saison"),INDEX('Base de données Mono'!F:F,MATCH(B643,'Base de données Mono'!D:D,0)),IF(AND(E643="Electricité",M643="Eté"),INDEX('Base de données Mono'!G:G,MATCH(B643,'Base de données Mono'!D:D,0)),IF(AND(E643="Gaz",M643="Hiver"),INDEX('Base de données Mono'!J:J,MATCH(B643,'Base de données Mono'!D:D,0)),IF(AND(E643="Gaz",M643="Mi-saison"),INDEX('Base de données Mono'!#REF!,MATCH(B643,'Base de données Mono'!D:D,0)),IF(AND(E643="Gaz",M643="Eté"),INDEX('Base de données Mono'!#REF!,MATCH(B643,'Base de données Mono'!D:D,0)),"-"))))))</f>
        <v>15</v>
      </c>
      <c r="O643" s="123">
        <v>45389</v>
      </c>
      <c r="P643" s="123">
        <v>45389</v>
      </c>
      <c r="Q643" s="34">
        <v>85</v>
      </c>
      <c r="R643" s="33">
        <f>IF(Q643="","",Q643-N643)</f>
        <v>70</v>
      </c>
      <c r="S643" s="34">
        <v>7</v>
      </c>
      <c r="T643" s="34">
        <v>1</v>
      </c>
      <c r="U643" s="33">
        <f>R643*S643*T643</f>
        <v>490</v>
      </c>
      <c r="V643" s="38" t="s">
        <v>827</v>
      </c>
      <c r="W643" s="39">
        <f>IFERROR(IF(E643="Gaz","-",R643/N643),"-")</f>
        <v>4.666666666666667</v>
      </c>
      <c r="X643" s="40" t="s">
        <v>730</v>
      </c>
      <c r="Y643" s="40" t="s">
        <v>284</v>
      </c>
      <c r="Z643" s="40" t="s">
        <v>307</v>
      </c>
      <c r="AA643" s="33" t="s">
        <v>308</v>
      </c>
      <c r="AB643" s="95"/>
      <c r="AC643" s="95"/>
    </row>
    <row r="644" spans="1:29" ht="14.45" hidden="1" customHeight="1" x14ac:dyDescent="0.25">
      <c r="A644" s="36" t="str">
        <f>INDEX('Base de données Mono'!C:C,MATCH(B644,'Base de données Mono'!D:D,0))</f>
        <v>Argenteuil</v>
      </c>
      <c r="B644" t="s">
        <v>481</v>
      </c>
      <c r="C644" s="36" t="str">
        <f>INDEX('Base de données Mono'!B:B,MATCH(B644,'Base de données Mono'!D:D,0))</f>
        <v>Monoprix</v>
      </c>
      <c r="D644" s="36" t="str">
        <f>INDEX('Base de données Mono'!A:A,MATCH(B644,'Base de données Mono'!D:D,0))</f>
        <v>AD</v>
      </c>
      <c r="E644" s="37" t="s">
        <v>303</v>
      </c>
      <c r="F644" s="41">
        <f t="shared" si="67"/>
        <v>14</v>
      </c>
      <c r="G644" s="41">
        <f t="shared" si="68"/>
        <v>4</v>
      </c>
      <c r="H644">
        <v>8.33</v>
      </c>
      <c r="I644" s="131">
        <f>INDEX('Base de données Mono'!K:K,MATCH(B644,'Base de données Mono'!D:D,0))</f>
        <v>0.22916666666666666</v>
      </c>
      <c r="J644" s="131">
        <f>INDEX('Base de données Mono'!L:L,MATCH(B644,'Base de données Mono'!D:D,0))</f>
        <v>0.88194444444444453</v>
      </c>
      <c r="K644" s="131">
        <f>INDEX('Base de données Mono'!M:M,MATCH(B644,'Base de données Mono'!D:D,0))</f>
        <v>0.30555555555555552</v>
      </c>
      <c r="L644" s="131">
        <f>INDEX('Base de données Mono'!N:N,MATCH(B644,'Base de données Mono'!D:D,0))</f>
        <v>0.54166666666666663</v>
      </c>
      <c r="M644" s="33" t="s">
        <v>46</v>
      </c>
      <c r="N644" s="33">
        <f>IF(AND(E644="Electricité",M644="Hiver"),INDEX('Base de données Mono'!E:E,MATCH(B644,'Base de données Mono'!D:D,0)),IF(AND(E644="Electricité",M644="Mi-saison"),INDEX('Base de données Mono'!F:F,MATCH(B644,'Base de données Mono'!D:D,0)),IF(AND(E644="Electricité",M644="Eté"),INDEX('Base de données Mono'!G:G,MATCH(B644,'Base de données Mono'!D:D,0)),IF(AND(E644="Gaz",M644="Hiver"),INDEX('Base de données Mono'!J:J,MATCH(B644,'Base de données Mono'!D:D,0)),IF(AND(E644="Gaz",M644="Mi-saison"),INDEX('Base de données Mono'!#REF!,MATCH(B644,'Base de données Mono'!D:D,0)),IF(AND(E644="Gaz",M644="Eté"),INDEX('Base de données Mono'!#REF!,MATCH(B644,'Base de données Mono'!D:D,0)),"-"))))))</f>
        <v>60</v>
      </c>
      <c r="O644" s="123">
        <v>45383</v>
      </c>
      <c r="P644" s="123">
        <v>45385</v>
      </c>
      <c r="Q644" s="34">
        <v>70</v>
      </c>
      <c r="R644" s="33">
        <f t="shared" si="69"/>
        <v>10</v>
      </c>
      <c r="S644" s="34">
        <v>1</v>
      </c>
      <c r="T644" s="34">
        <f t="shared" si="70"/>
        <v>2</v>
      </c>
      <c r="U644" s="33">
        <f t="shared" si="71"/>
        <v>20</v>
      </c>
      <c r="V644" s="38" t="s">
        <v>827</v>
      </c>
      <c r="W644" s="39">
        <f t="shared" si="72"/>
        <v>0.16666666666666666</v>
      </c>
      <c r="X644" s="40" t="s">
        <v>304</v>
      </c>
      <c r="Y644" s="40" t="s">
        <v>283</v>
      </c>
      <c r="Z644" s="40" t="s">
        <v>749</v>
      </c>
      <c r="AA644" s="33" t="s">
        <v>749</v>
      </c>
      <c r="AB644" s="95"/>
      <c r="AC644" s="95"/>
    </row>
    <row r="645" spans="1:29" ht="14.45" hidden="1" customHeight="1" x14ac:dyDescent="0.25">
      <c r="A645" s="36" t="str">
        <f>INDEX('Base de données Mono'!C:C,MATCH(B645,'Base de données Mono'!D:D,0))</f>
        <v>Argenteuil</v>
      </c>
      <c r="B645" t="s">
        <v>481</v>
      </c>
      <c r="C645" s="36" t="str">
        <f>INDEX('Base de données Mono'!B:B,MATCH(B645,'Base de données Mono'!D:D,0))</f>
        <v>Monoprix</v>
      </c>
      <c r="D645" s="36" t="str">
        <f>INDEX('Base de données Mono'!A:A,MATCH(B645,'Base de données Mono'!D:D,0))</f>
        <v>AD</v>
      </c>
      <c r="E645" s="37" t="s">
        <v>303</v>
      </c>
      <c r="F645" s="41">
        <f t="shared" si="67"/>
        <v>14</v>
      </c>
      <c r="G645" s="41">
        <f t="shared" si="68"/>
        <v>4</v>
      </c>
      <c r="H645">
        <v>8.33</v>
      </c>
      <c r="I645" s="131">
        <f>INDEX('Base de données Mono'!K:K,MATCH(B645,'Base de données Mono'!D:D,0))</f>
        <v>0.22916666666666666</v>
      </c>
      <c r="J645" s="131">
        <f>INDEX('Base de données Mono'!L:L,MATCH(B645,'Base de données Mono'!D:D,0))</f>
        <v>0.88194444444444453</v>
      </c>
      <c r="K645" s="131">
        <f>INDEX('Base de données Mono'!M:M,MATCH(B645,'Base de données Mono'!D:D,0))</f>
        <v>0.30555555555555552</v>
      </c>
      <c r="L645" s="131">
        <f>INDEX('Base de données Mono'!N:N,MATCH(B645,'Base de données Mono'!D:D,0))</f>
        <v>0.54166666666666663</v>
      </c>
      <c r="M645" s="33" t="s">
        <v>46</v>
      </c>
      <c r="N645" s="33">
        <f>IF(AND(E645="Electricité",M645="Hiver"),INDEX('Base de données Mono'!E:E,MATCH(B645,'Base de données Mono'!D:D,0)),IF(AND(E645="Electricité",M645="Mi-saison"),INDEX('Base de données Mono'!F:F,MATCH(B645,'Base de données Mono'!D:D,0)),IF(AND(E645="Electricité",M645="Eté"),INDEX('Base de données Mono'!G:G,MATCH(B645,'Base de données Mono'!D:D,0)),IF(AND(E645="Gaz",M645="Hiver"),INDEX('Base de données Mono'!J:J,MATCH(B645,'Base de données Mono'!D:D,0)),IF(AND(E645="Gaz",M645="Mi-saison"),INDEX('Base de données Mono'!#REF!,MATCH(B645,'Base de données Mono'!D:D,0)),IF(AND(E645="Gaz",M645="Eté"),INDEX('Base de données Mono'!#REF!,MATCH(B645,'Base de données Mono'!D:D,0)),"-"))))))</f>
        <v>60</v>
      </c>
      <c r="O645" s="123">
        <v>45385</v>
      </c>
      <c r="P645" s="123">
        <v>45388</v>
      </c>
      <c r="Q645" s="34">
        <v>75</v>
      </c>
      <c r="R645" s="33">
        <f t="shared" si="69"/>
        <v>15</v>
      </c>
      <c r="S645" s="34">
        <v>1</v>
      </c>
      <c r="T645" s="34">
        <f t="shared" si="70"/>
        <v>3</v>
      </c>
      <c r="U645" s="33">
        <f t="shared" si="71"/>
        <v>45</v>
      </c>
      <c r="V645" s="38" t="s">
        <v>827</v>
      </c>
      <c r="W645" s="39">
        <f t="shared" si="72"/>
        <v>0.25</v>
      </c>
      <c r="X645" s="40" t="s">
        <v>304</v>
      </c>
      <c r="Y645" s="40" t="s">
        <v>283</v>
      </c>
      <c r="Z645" s="40" t="s">
        <v>749</v>
      </c>
      <c r="AA645" s="33" t="s">
        <v>749</v>
      </c>
      <c r="AB645" s="95"/>
      <c r="AC645" s="95"/>
    </row>
    <row r="646" spans="1:29" ht="14.45" hidden="1" customHeight="1" x14ac:dyDescent="0.25">
      <c r="A646" s="36" t="str">
        <f>INDEX('Base de données Mono'!C:C,MATCH(B646,'Base de données Mono'!D:D,0))</f>
        <v>Argenteuil</v>
      </c>
      <c r="B646" t="s">
        <v>481</v>
      </c>
      <c r="C646" s="36" t="str">
        <f>INDEX('Base de données Mono'!B:B,MATCH(B646,'Base de données Mono'!D:D,0))</f>
        <v>Monoprix</v>
      </c>
      <c r="D646" s="36" t="str">
        <f>INDEX('Base de données Mono'!A:A,MATCH(B646,'Base de données Mono'!D:D,0))</f>
        <v>AD</v>
      </c>
      <c r="E646" s="37" t="s">
        <v>303</v>
      </c>
      <c r="F646" s="41">
        <f t="shared" si="67"/>
        <v>14</v>
      </c>
      <c r="G646" s="41">
        <f t="shared" si="68"/>
        <v>4</v>
      </c>
      <c r="H646">
        <v>8.33</v>
      </c>
      <c r="I646" s="131">
        <f>INDEX('Base de données Mono'!K:K,MATCH(B646,'Base de données Mono'!D:D,0))</f>
        <v>0.22916666666666666</v>
      </c>
      <c r="J646" s="131">
        <f>INDEX('Base de données Mono'!L:L,MATCH(B646,'Base de données Mono'!D:D,0))</f>
        <v>0.88194444444444453</v>
      </c>
      <c r="K646" s="131">
        <f>INDEX('Base de données Mono'!M:M,MATCH(B646,'Base de données Mono'!D:D,0))</f>
        <v>0.30555555555555552</v>
      </c>
      <c r="L646" s="131">
        <f>INDEX('Base de données Mono'!N:N,MATCH(B646,'Base de données Mono'!D:D,0))</f>
        <v>0.54166666666666663</v>
      </c>
      <c r="M646" s="33" t="s">
        <v>46</v>
      </c>
      <c r="N646" s="33">
        <f>IF(AND(E646="Electricité",M646="Hiver"),INDEX('Base de données Mono'!E:E,MATCH(B646,'Base de données Mono'!D:D,0)),IF(AND(E646="Electricité",M646="Mi-saison"),INDEX('Base de données Mono'!F:F,MATCH(B646,'Base de données Mono'!D:D,0)),IF(AND(E646="Electricité",M646="Eté"),INDEX('Base de données Mono'!G:G,MATCH(B646,'Base de données Mono'!D:D,0)),IF(AND(E646="Gaz",M646="Hiver"),INDEX('Base de données Mono'!J:J,MATCH(B646,'Base de données Mono'!D:D,0)),IF(AND(E646="Gaz",M646="Mi-saison"),INDEX('Base de données Mono'!#REF!,MATCH(B646,'Base de données Mono'!D:D,0)),IF(AND(E646="Gaz",M646="Eté"),INDEX('Base de données Mono'!#REF!,MATCH(B646,'Base de données Mono'!D:D,0)),"-"))))))</f>
        <v>60</v>
      </c>
      <c r="O646" s="123">
        <v>45387</v>
      </c>
      <c r="P646" s="123">
        <v>45389</v>
      </c>
      <c r="Q646" s="34">
        <v>65</v>
      </c>
      <c r="R646" s="33">
        <f t="shared" si="69"/>
        <v>5</v>
      </c>
      <c r="S646" s="34">
        <v>2</v>
      </c>
      <c r="T646" s="34">
        <f t="shared" si="70"/>
        <v>2</v>
      </c>
      <c r="U646" s="33">
        <f t="shared" si="71"/>
        <v>20</v>
      </c>
      <c r="V646" s="38" t="s">
        <v>827</v>
      </c>
      <c r="W646" s="39">
        <f t="shared" si="72"/>
        <v>8.3333333333333329E-2</v>
      </c>
      <c r="X646" s="40" t="s">
        <v>304</v>
      </c>
      <c r="Y646" s="40" t="s">
        <v>283</v>
      </c>
      <c r="Z646" s="40" t="s">
        <v>749</v>
      </c>
      <c r="AA646" s="33" t="s">
        <v>749</v>
      </c>
      <c r="AB646" s="95"/>
      <c r="AC646" s="95"/>
    </row>
    <row r="647" spans="1:29" ht="14.45" hidden="1" customHeight="1" x14ac:dyDescent="0.25">
      <c r="A647" s="36" t="str">
        <f>INDEX('Base de données Mono'!C:C,MATCH(B647,'Base de données Mono'!D:D,0))</f>
        <v xml:space="preserve">LYON GUILLOTIÈRE </v>
      </c>
      <c r="B647" t="s">
        <v>353</v>
      </c>
      <c r="C647" s="36" t="str">
        <f>INDEX('Base de données Mono'!B:B,MATCH(B647,'Base de données Mono'!D:D,0))</f>
        <v>Monoprix</v>
      </c>
      <c r="D647" s="36" t="str">
        <f>INDEX('Base de données Mono'!A:A,MATCH(B647,'Base de données Mono'!D:D,0))</f>
        <v>JG</v>
      </c>
      <c r="E647" s="37" t="s">
        <v>303</v>
      </c>
      <c r="F647" s="41">
        <f t="shared" si="67"/>
        <v>14</v>
      </c>
      <c r="G647" s="41">
        <f t="shared" si="68"/>
        <v>4</v>
      </c>
      <c r="H647">
        <v>8</v>
      </c>
      <c r="I647" s="131">
        <f>INDEX('Base de données Mono'!K:K,MATCH(B647,'Base de données Mono'!D:D,0))</f>
        <v>0.1875</v>
      </c>
      <c r="J647" s="131">
        <f>INDEX('Base de données Mono'!L:L,MATCH(B647,'Base de données Mono'!D:D,0))</f>
        <v>0.85416666666666663</v>
      </c>
      <c r="K647" s="131">
        <f>INDEX('Base de données Mono'!M:M,MATCH(B647,'Base de données Mono'!D:D,0))</f>
        <v>0.24305555555555555</v>
      </c>
      <c r="L647" s="131">
        <f>INDEX('Base de données Mono'!N:N,MATCH(B647,'Base de données Mono'!D:D,0))</f>
        <v>0.81944444444444453</v>
      </c>
      <c r="M647" s="33" t="s">
        <v>46</v>
      </c>
      <c r="N647" s="33">
        <f>IF(AND(E647="Electricité",M647="Hiver"),INDEX('Base de données Mono'!E:E,MATCH(B647,'Base de données Mono'!D:D,0)),IF(AND(E647="Electricité",M647="Mi-saison"),INDEX('Base de données Mono'!F:F,MATCH(B647,'Base de données Mono'!D:D,0)),IF(AND(E647="Electricité",M647="Eté"),INDEX('Base de données Mono'!G:G,MATCH(B647,'Base de données Mono'!D:D,0)),IF(AND(E647="Gaz",M647="Hiver"),INDEX('Base de données Mono'!J:J,MATCH(B647,'Base de données Mono'!D:D,0)),IF(AND(E647="Gaz",M647="Mi-saison"),INDEX('Base de données Mono'!#REF!,MATCH(B647,'Base de données Mono'!D:D,0)),IF(AND(E647="Gaz",M647="Eté"),INDEX('Base de données Mono'!#REF!,MATCH(B647,'Base de données Mono'!D:D,0)),"-"))))))</f>
        <v>45</v>
      </c>
      <c r="O647" s="123">
        <v>45386</v>
      </c>
      <c r="P647" s="123">
        <v>45387</v>
      </c>
      <c r="Q647" s="34">
        <v>50</v>
      </c>
      <c r="R647" s="33">
        <f t="shared" si="69"/>
        <v>5</v>
      </c>
      <c r="S647" s="34">
        <v>1</v>
      </c>
      <c r="T647" s="34">
        <f t="shared" si="70"/>
        <v>1</v>
      </c>
      <c r="U647" s="33">
        <f t="shared" si="71"/>
        <v>5</v>
      </c>
      <c r="V647" s="38" t="s">
        <v>827</v>
      </c>
      <c r="W647" s="39">
        <f t="shared" si="72"/>
        <v>0.1111111111111111</v>
      </c>
      <c r="X647" s="40" t="s">
        <v>304</v>
      </c>
      <c r="Y647" s="40" t="s">
        <v>283</v>
      </c>
      <c r="Z647" s="40" t="s">
        <v>749</v>
      </c>
      <c r="AA647" s="33" t="s">
        <v>749</v>
      </c>
      <c r="AB647" s="95"/>
      <c r="AC647" s="95"/>
    </row>
    <row r="648" spans="1:29" ht="14.45" hidden="1" customHeight="1" x14ac:dyDescent="0.25">
      <c r="A648" s="36" t="str">
        <f>INDEX('Base de données Mono'!C:C,MATCH(B648,'Base de données Mono'!D:D,0))</f>
        <v xml:space="preserve">LYON GUILLOTIÈRE </v>
      </c>
      <c r="B648" t="s">
        <v>353</v>
      </c>
      <c r="C648" s="36" t="str">
        <f>INDEX('Base de données Mono'!B:B,MATCH(B648,'Base de données Mono'!D:D,0))</f>
        <v>Monoprix</v>
      </c>
      <c r="D648" s="36" t="str">
        <f>INDEX('Base de données Mono'!A:A,MATCH(B648,'Base de données Mono'!D:D,0))</f>
        <v>JG</v>
      </c>
      <c r="E648" s="37" t="s">
        <v>303</v>
      </c>
      <c r="F648" s="41">
        <f t="shared" si="67"/>
        <v>14</v>
      </c>
      <c r="G648" s="41">
        <f t="shared" si="68"/>
        <v>4</v>
      </c>
      <c r="H648">
        <v>8</v>
      </c>
      <c r="I648" s="131">
        <f>INDEX('Base de données Mono'!K:K,MATCH(B648,'Base de données Mono'!D:D,0))</f>
        <v>0.1875</v>
      </c>
      <c r="J648" s="131">
        <f>INDEX('Base de données Mono'!L:L,MATCH(B648,'Base de données Mono'!D:D,0))</f>
        <v>0.85416666666666663</v>
      </c>
      <c r="K648" s="131">
        <f>INDEX('Base de données Mono'!M:M,MATCH(B648,'Base de données Mono'!D:D,0))</f>
        <v>0.24305555555555555</v>
      </c>
      <c r="L648" s="131">
        <f>INDEX('Base de données Mono'!N:N,MATCH(B648,'Base de données Mono'!D:D,0))</f>
        <v>0.81944444444444453</v>
      </c>
      <c r="M648" s="33" t="s">
        <v>46</v>
      </c>
      <c r="N648" s="33">
        <f>IF(AND(E648="Electricité",M648="Hiver"),INDEX('Base de données Mono'!E:E,MATCH(B648,'Base de données Mono'!D:D,0)),IF(AND(E648="Electricité",M648="Mi-saison"),INDEX('Base de données Mono'!F:F,MATCH(B648,'Base de données Mono'!D:D,0)),IF(AND(E648="Electricité",M648="Eté"),INDEX('Base de données Mono'!G:G,MATCH(B648,'Base de données Mono'!D:D,0)),IF(AND(E648="Gaz",M648="Hiver"),INDEX('Base de données Mono'!J:J,MATCH(B648,'Base de données Mono'!D:D,0)),IF(AND(E648="Gaz",M648="Mi-saison"),INDEX('Base de données Mono'!#REF!,MATCH(B648,'Base de données Mono'!D:D,0)),IF(AND(E648="Gaz",M648="Eté"),INDEX('Base de données Mono'!#REF!,MATCH(B648,'Base de données Mono'!D:D,0)),"-"))))))</f>
        <v>45</v>
      </c>
      <c r="O648" s="123">
        <v>45387</v>
      </c>
      <c r="P648" s="123">
        <v>45389</v>
      </c>
      <c r="Q648" s="34">
        <v>50</v>
      </c>
      <c r="R648" s="33">
        <f t="shared" si="69"/>
        <v>5</v>
      </c>
      <c r="S648" s="34">
        <v>1</v>
      </c>
      <c r="T648" s="34">
        <f t="shared" si="70"/>
        <v>2</v>
      </c>
      <c r="U648" s="33">
        <f t="shared" si="71"/>
        <v>10</v>
      </c>
      <c r="V648" s="38" t="s">
        <v>827</v>
      </c>
      <c r="W648" s="39">
        <f t="shared" si="72"/>
        <v>0.1111111111111111</v>
      </c>
      <c r="X648" s="40" t="s">
        <v>304</v>
      </c>
      <c r="Y648" s="40" t="s">
        <v>283</v>
      </c>
      <c r="Z648" s="40" t="s">
        <v>749</v>
      </c>
      <c r="AA648" s="33" t="s">
        <v>749</v>
      </c>
      <c r="AB648" s="95"/>
      <c r="AC648" s="95"/>
    </row>
    <row r="649" spans="1:29" ht="14.45" hidden="1" customHeight="1" x14ac:dyDescent="0.25">
      <c r="A649" s="36" t="str">
        <f>INDEX('Base de données Mono'!C:C,MATCH(B649,'Base de données Mono'!D:D,0))</f>
        <v>LA CELLE SAINT CLOUD</v>
      </c>
      <c r="B649" t="s">
        <v>350</v>
      </c>
      <c r="C649" s="36" t="str">
        <f>INDEX('Base de données Mono'!B:B,MATCH(B649,'Base de données Mono'!D:D,0))</f>
        <v>Monoprix</v>
      </c>
      <c r="D649" s="36" t="str">
        <f>INDEX('Base de données Mono'!A:A,MATCH(B649,'Base de données Mono'!D:D,0))</f>
        <v>AD</v>
      </c>
      <c r="E649" s="37" t="s">
        <v>303</v>
      </c>
      <c r="F649" s="41">
        <f t="shared" si="67"/>
        <v>14</v>
      </c>
      <c r="G649" s="41">
        <f t="shared" si="68"/>
        <v>4</v>
      </c>
      <c r="H649">
        <v>7</v>
      </c>
      <c r="I649" s="131">
        <f>INDEX('Base de données Mono'!K:K,MATCH(B649,'Base de données Mono'!D:D,0))</f>
        <v>0.22916666666666666</v>
      </c>
      <c r="J649" s="131">
        <f>INDEX('Base de données Mono'!L:L,MATCH(B649,'Base de données Mono'!D:D,0))</f>
        <v>0.9375</v>
      </c>
      <c r="K649" s="131">
        <f>INDEX('Base de données Mono'!M:M,MATCH(B649,'Base de données Mono'!D:D,0))</f>
        <v>0.25</v>
      </c>
      <c r="L649" s="131">
        <f>INDEX('Base de données Mono'!N:N,MATCH(B649,'Base de données Mono'!D:D,0))</f>
        <v>0.9375</v>
      </c>
      <c r="M649" s="33" t="s">
        <v>46</v>
      </c>
      <c r="N649" s="33">
        <f>IF(AND(E649="Electricité",M649="Hiver"),INDEX('Base de données Mono'!E:E,MATCH(B649,'Base de données Mono'!D:D,0)),IF(AND(E649="Electricité",M649="Mi-saison"),INDEX('Base de données Mono'!F:F,MATCH(B649,'Base de données Mono'!D:D,0)),IF(AND(E649="Electricité",M649="Eté"),INDEX('Base de données Mono'!G:G,MATCH(B649,'Base de données Mono'!D:D,0)),IF(AND(E649="Gaz",M649="Hiver"),INDEX('Base de données Mono'!J:J,MATCH(B649,'Base de données Mono'!D:D,0)),IF(AND(E649="Gaz",M649="Mi-saison"),INDEX('Base de données Mono'!#REF!,MATCH(B649,'Base de données Mono'!D:D,0)),IF(AND(E649="Gaz",M649="Eté"),INDEX('Base de données Mono'!#REF!,MATCH(B649,'Base de données Mono'!D:D,0)),"-"))))))</f>
        <v>45</v>
      </c>
      <c r="O649" s="123">
        <v>45383</v>
      </c>
      <c r="P649" s="123">
        <v>45389</v>
      </c>
      <c r="Q649" s="34">
        <v>50</v>
      </c>
      <c r="R649" s="33">
        <f t="shared" si="69"/>
        <v>5</v>
      </c>
      <c r="S649" s="34">
        <v>1</v>
      </c>
      <c r="T649" s="34">
        <f t="shared" si="70"/>
        <v>6</v>
      </c>
      <c r="U649" s="33">
        <f t="shared" si="71"/>
        <v>30</v>
      </c>
      <c r="V649" s="38" t="s">
        <v>827</v>
      </c>
      <c r="W649" s="39">
        <f t="shared" si="72"/>
        <v>0.1111111111111111</v>
      </c>
      <c r="X649" s="40" t="s">
        <v>304</v>
      </c>
      <c r="Y649" s="40" t="s">
        <v>283</v>
      </c>
      <c r="Z649" s="40" t="s">
        <v>749</v>
      </c>
      <c r="AA649" s="33" t="s">
        <v>749</v>
      </c>
      <c r="AB649" s="95"/>
      <c r="AC649" s="95"/>
    </row>
    <row r="650" spans="1:29" ht="14.45" hidden="1" customHeight="1" x14ac:dyDescent="0.25">
      <c r="A650" s="36" t="str">
        <f>INDEX('Base de données Mono'!C:C,MATCH(B650,'Base de données Mono'!D:D,0))</f>
        <v>LA CELLE SAINT CLOUD</v>
      </c>
      <c r="B650" t="s">
        <v>350</v>
      </c>
      <c r="C650" s="36" t="str">
        <f>INDEX('Base de données Mono'!B:B,MATCH(B650,'Base de données Mono'!D:D,0))</f>
        <v>Monoprix</v>
      </c>
      <c r="D650" s="36" t="str">
        <f>INDEX('Base de données Mono'!A:A,MATCH(B650,'Base de données Mono'!D:D,0))</f>
        <v>AD</v>
      </c>
      <c r="E650" s="37" t="s">
        <v>303</v>
      </c>
      <c r="F650" s="41">
        <f t="shared" si="67"/>
        <v>14</v>
      </c>
      <c r="G650" s="41">
        <f t="shared" si="68"/>
        <v>4</v>
      </c>
      <c r="H650">
        <v>7</v>
      </c>
      <c r="I650" s="131">
        <f>INDEX('Base de données Mono'!K:K,MATCH(B650,'Base de données Mono'!D:D,0))</f>
        <v>0.22916666666666666</v>
      </c>
      <c r="J650" s="131">
        <f>INDEX('Base de données Mono'!L:L,MATCH(B650,'Base de données Mono'!D:D,0))</f>
        <v>0.9375</v>
      </c>
      <c r="K650" s="131">
        <f>INDEX('Base de données Mono'!M:M,MATCH(B650,'Base de données Mono'!D:D,0))</f>
        <v>0.25</v>
      </c>
      <c r="L650" s="131">
        <f>INDEX('Base de données Mono'!N:N,MATCH(B650,'Base de données Mono'!D:D,0))</f>
        <v>0.9375</v>
      </c>
      <c r="M650" s="33" t="s">
        <v>46</v>
      </c>
      <c r="N650" s="33">
        <f>IF(AND(E650="Electricité",M650="Hiver"),INDEX('Base de données Mono'!E:E,MATCH(B650,'Base de données Mono'!D:D,0)),IF(AND(E650="Electricité",M650="Mi-saison"),INDEX('Base de données Mono'!F:F,MATCH(B650,'Base de données Mono'!D:D,0)),IF(AND(E650="Electricité",M650="Eté"),INDEX('Base de données Mono'!G:G,MATCH(B650,'Base de données Mono'!D:D,0)),IF(AND(E650="Gaz",M650="Hiver"),INDEX('Base de données Mono'!J:J,MATCH(B650,'Base de données Mono'!D:D,0)),IF(AND(E650="Gaz",M650="Mi-saison"),INDEX('Base de données Mono'!#REF!,MATCH(B650,'Base de données Mono'!D:D,0)),IF(AND(E650="Gaz",M650="Eté"),INDEX('Base de données Mono'!#REF!,MATCH(B650,'Base de données Mono'!D:D,0)),"-"))))))</f>
        <v>45</v>
      </c>
      <c r="O650" s="123">
        <v>45383</v>
      </c>
      <c r="P650" s="123">
        <v>45384</v>
      </c>
      <c r="Q650" s="34">
        <v>60</v>
      </c>
      <c r="R650" s="33">
        <f t="shared" si="69"/>
        <v>15</v>
      </c>
      <c r="S650" s="34">
        <v>1</v>
      </c>
      <c r="T650" s="34">
        <f t="shared" si="70"/>
        <v>1</v>
      </c>
      <c r="U650" s="33">
        <f t="shared" si="71"/>
        <v>15</v>
      </c>
      <c r="V650" s="38" t="s">
        <v>827</v>
      </c>
      <c r="W650" s="39">
        <f t="shared" si="72"/>
        <v>0.33333333333333331</v>
      </c>
      <c r="X650" s="40" t="s">
        <v>304</v>
      </c>
      <c r="Y650" s="40" t="s">
        <v>283</v>
      </c>
      <c r="Z650" s="40" t="s">
        <v>749</v>
      </c>
      <c r="AA650" s="33" t="s">
        <v>749</v>
      </c>
      <c r="AB650" s="95"/>
      <c r="AC650" s="95"/>
    </row>
    <row r="651" spans="1:29" ht="14.45" hidden="1" customHeight="1" x14ac:dyDescent="0.25">
      <c r="A651" s="36" t="str">
        <f>INDEX('Base de données Mono'!C:C,MATCH(B651,'Base de données Mono'!D:D,0))</f>
        <v>SETE</v>
      </c>
      <c r="B651" t="s">
        <v>34</v>
      </c>
      <c r="C651" s="36" t="str">
        <f>INDEX('Base de données Mono'!B:B,MATCH(B651,'Base de données Mono'!D:D,0))</f>
        <v>SES8</v>
      </c>
      <c r="D651" s="36" t="str">
        <f>INDEX('Base de données Mono'!A:A,MATCH(B651,'Base de données Mono'!D:D,0))</f>
        <v>AD</v>
      </c>
      <c r="E651" s="37" t="s">
        <v>303</v>
      </c>
      <c r="F651" s="41">
        <f>IF(O651="","-",IF(AND(X651="Nuit",WEEKDAY(O651,2)=7,O651&lt;&gt;P651),WEEKNUM(O651,2),WEEKNUM(O651,2)-1))+1</f>
        <v>14</v>
      </c>
      <c r="G651" s="41">
        <f>IF(O651="","-",MONTH(O651))</f>
        <v>4</v>
      </c>
      <c r="H651">
        <v>9.17</v>
      </c>
      <c r="I651" s="131">
        <f>INDEX('Base de données Mono'!K:K,MATCH(B651,'Base de données Mono'!D:D,0))</f>
        <v>0.23611111111111113</v>
      </c>
      <c r="J651" s="131">
        <f>INDEX('Base de données Mono'!L:L,MATCH(B651,'Base de données Mono'!D:D,0))</f>
        <v>0.85416666666666663</v>
      </c>
      <c r="K651" s="131">
        <f>INDEX('Base de données Mono'!M:M,MATCH(B651,'Base de données Mono'!D:D,0))</f>
        <v>0.29166666666666669</v>
      </c>
      <c r="L651" s="131">
        <f>INDEX('Base de données Mono'!N:N,MATCH(B651,'Base de données Mono'!D:D,0))</f>
        <v>0.54166666666666663</v>
      </c>
      <c r="M651" s="33" t="s">
        <v>46</v>
      </c>
      <c r="N651" s="33">
        <f>IF(AND(E651="Electricité",M651="Hiver"),INDEX('Base de données Mono'!E:E,MATCH(B651,'Base de données Mono'!D:D,0)),IF(AND(E651="Electricité",M651="Mi-saison"),INDEX('Base de données Mono'!F:F,MATCH(B651,'Base de données Mono'!D:D,0)),IF(AND(E651="Electricité",M651="Eté"),INDEX('Base de données Mono'!G:G,MATCH(B651,'Base de données Mono'!D:D,0)),IF(AND(E651="Gaz",M651="Hiver"),INDEX('Base de données Mono'!J:J,MATCH(B651,'Base de données Mono'!D:D,0)),IF(AND(E651="Gaz",M651="Mi-saison"),INDEX('Base de données Mono'!#REF!,MATCH(B651,'Base de données Mono'!D:D,0)),IF(AND(E651="Gaz",M651="Eté"),INDEX('Base de données Mono'!#REF!,MATCH(B651,'Base de données Mono'!D:D,0)),"-"))))))</f>
        <v>45</v>
      </c>
      <c r="O651" s="123">
        <v>45383</v>
      </c>
      <c r="P651" s="123">
        <v>45389</v>
      </c>
      <c r="Q651" s="34">
        <v>50</v>
      </c>
      <c r="R651" s="33">
        <f>IF(Q651="","",Q651-N651)</f>
        <v>5</v>
      </c>
      <c r="S651" s="34">
        <v>4</v>
      </c>
      <c r="T651" s="34">
        <f>P651-O651</f>
        <v>6</v>
      </c>
      <c r="U651" s="33">
        <f>R651*S651*T651</f>
        <v>120</v>
      </c>
      <c r="V651" s="38" t="s">
        <v>827</v>
      </c>
      <c r="W651" s="39">
        <f>IFERROR(IF(E651="Gaz","-",R651/N651),"-")</f>
        <v>0.1111111111111111</v>
      </c>
      <c r="X651" s="40" t="s">
        <v>304</v>
      </c>
      <c r="Y651" s="40" t="s">
        <v>284</v>
      </c>
      <c r="Z651" s="40" t="s">
        <v>305</v>
      </c>
      <c r="AA651" s="33" t="s">
        <v>771</v>
      </c>
      <c r="AB651" s="95"/>
      <c r="AC651" s="95"/>
    </row>
    <row r="652" spans="1:29" ht="14.45" hidden="1" customHeight="1" x14ac:dyDescent="0.25">
      <c r="A652" s="36" t="str">
        <f>INDEX('Base de données Mono'!C:C,MATCH(B652,'Base de données Mono'!D:D,0))</f>
        <v>SETE</v>
      </c>
      <c r="B652" t="s">
        <v>34</v>
      </c>
      <c r="C652" s="36" t="str">
        <f>INDEX('Base de données Mono'!B:B,MATCH(B652,'Base de données Mono'!D:D,0))</f>
        <v>SES8</v>
      </c>
      <c r="D652" s="36" t="str">
        <f>INDEX('Base de données Mono'!A:A,MATCH(B652,'Base de données Mono'!D:D,0))</f>
        <v>AD</v>
      </c>
      <c r="E652" s="37" t="s">
        <v>303</v>
      </c>
      <c r="F652" s="41">
        <f>IF(O652="","-",IF(AND(X652="Nuit",WEEKDAY(O652,2)=7,O652&lt;&gt;P652),WEEKNUM(O652,2),WEEKNUM(O652,2)-1))+1</f>
        <v>14</v>
      </c>
      <c r="G652" s="41">
        <f>IF(O652="","-",MONTH(O652))</f>
        <v>4</v>
      </c>
      <c r="H652">
        <v>9.17</v>
      </c>
      <c r="I652" s="131">
        <f>INDEX('Base de données Mono'!K:K,MATCH(B652,'Base de données Mono'!D:D,0))</f>
        <v>0.23611111111111113</v>
      </c>
      <c r="J652" s="131">
        <f>INDEX('Base de données Mono'!L:L,MATCH(B652,'Base de données Mono'!D:D,0))</f>
        <v>0.85416666666666663</v>
      </c>
      <c r="K652" s="131">
        <f>INDEX('Base de données Mono'!M:M,MATCH(B652,'Base de données Mono'!D:D,0))</f>
        <v>0.29166666666666669</v>
      </c>
      <c r="L652" s="131">
        <f>INDEX('Base de données Mono'!N:N,MATCH(B652,'Base de données Mono'!D:D,0))</f>
        <v>0.54166666666666663</v>
      </c>
      <c r="M652" s="33" t="s">
        <v>46</v>
      </c>
      <c r="N652" s="33">
        <f>IF(AND(E652="Electricité",M652="Hiver"),INDEX('Base de données Mono'!E:E,MATCH(B652,'Base de données Mono'!D:D,0)),IF(AND(E652="Electricité",M652="Mi-saison"),INDEX('Base de données Mono'!F:F,MATCH(B652,'Base de données Mono'!D:D,0)),IF(AND(E652="Electricité",M652="Eté"),INDEX('Base de données Mono'!G:G,MATCH(B652,'Base de données Mono'!D:D,0)),IF(AND(E652="Gaz",M652="Hiver"),INDEX('Base de données Mono'!J:J,MATCH(B652,'Base de données Mono'!D:D,0)),IF(AND(E652="Gaz",M652="Mi-saison"),INDEX('Base de données Mono'!#REF!,MATCH(B652,'Base de données Mono'!D:D,0)),IF(AND(E652="Gaz",M652="Eté"),INDEX('Base de données Mono'!#REF!,MATCH(B652,'Base de données Mono'!D:D,0)),"-"))))))</f>
        <v>45</v>
      </c>
      <c r="O652" s="123">
        <v>45388</v>
      </c>
      <c r="P652" s="123">
        <v>45389</v>
      </c>
      <c r="Q652" s="34">
        <v>65</v>
      </c>
      <c r="R652" s="33">
        <f>IF(Q652="","",Q652-N652)</f>
        <v>20</v>
      </c>
      <c r="S652" s="34">
        <v>1</v>
      </c>
      <c r="T652" s="34">
        <f>P652-O652</f>
        <v>1</v>
      </c>
      <c r="U652" s="33">
        <f>R652*S652*T652</f>
        <v>20</v>
      </c>
      <c r="V652" s="38" t="s">
        <v>827</v>
      </c>
      <c r="W652" s="39">
        <f>IFERROR(IF(E652="Gaz","-",R652/N652),"-")</f>
        <v>0.44444444444444442</v>
      </c>
      <c r="X652" s="40" t="s">
        <v>304</v>
      </c>
      <c r="Y652" s="40" t="s">
        <v>283</v>
      </c>
      <c r="Z652" s="40" t="s">
        <v>749</v>
      </c>
      <c r="AA652" s="33" t="s">
        <v>749</v>
      </c>
      <c r="AB652" s="95"/>
      <c r="AC652" s="95"/>
    </row>
    <row r="653" spans="1:29" ht="14.45" hidden="1" customHeight="1" x14ac:dyDescent="0.25">
      <c r="A653" s="36" t="str">
        <f>INDEX('Base de données Mono'!C:C,MATCH(B653,'Base de données Mono'!D:D,0))</f>
        <v>SETE</v>
      </c>
      <c r="B653" t="s">
        <v>34</v>
      </c>
      <c r="C653" s="36" t="str">
        <f>INDEX('Base de données Mono'!B:B,MATCH(B653,'Base de données Mono'!D:D,0))</f>
        <v>SES8</v>
      </c>
      <c r="D653" s="36" t="str">
        <f>INDEX('Base de données Mono'!A:A,MATCH(B653,'Base de données Mono'!D:D,0))</f>
        <v>AD</v>
      </c>
      <c r="E653" s="37" t="s">
        <v>303</v>
      </c>
      <c r="F653" s="41">
        <f t="shared" si="67"/>
        <v>14</v>
      </c>
      <c r="G653" s="41">
        <f t="shared" si="68"/>
        <v>4</v>
      </c>
      <c r="H653">
        <v>9.17</v>
      </c>
      <c r="I653" s="131">
        <f>INDEX('Base de données Mono'!K:K,MATCH(B653,'Base de données Mono'!D:D,0))</f>
        <v>0.23611111111111113</v>
      </c>
      <c r="J653" s="131">
        <f>INDEX('Base de données Mono'!L:L,MATCH(B653,'Base de données Mono'!D:D,0))</f>
        <v>0.85416666666666663</v>
      </c>
      <c r="K653" s="131">
        <f>INDEX('Base de données Mono'!M:M,MATCH(B653,'Base de données Mono'!D:D,0))</f>
        <v>0.29166666666666669</v>
      </c>
      <c r="L653" s="131">
        <f>INDEX('Base de données Mono'!N:N,MATCH(B653,'Base de données Mono'!D:D,0))</f>
        <v>0.54166666666666663</v>
      </c>
      <c r="M653" s="33" t="s">
        <v>46</v>
      </c>
      <c r="N653" s="33">
        <f>IF(AND(E653="Electricité",M653="Hiver"),INDEX('Base de données Mono'!E:E,MATCH(B653,'Base de données Mono'!D:D,0)),IF(AND(E653="Electricité",M653="Mi-saison"),INDEX('Base de données Mono'!F:F,MATCH(B653,'Base de données Mono'!D:D,0)),IF(AND(E653="Electricité",M653="Eté"),INDEX('Base de données Mono'!G:G,MATCH(B653,'Base de données Mono'!D:D,0)),IF(AND(E653="Gaz",M653="Hiver"),INDEX('Base de données Mono'!J:J,MATCH(B653,'Base de données Mono'!D:D,0)),IF(AND(E653="Gaz",M653="Mi-saison"),INDEX('Base de données Mono'!#REF!,MATCH(B653,'Base de données Mono'!D:D,0)),IF(AND(E653="Gaz",M653="Eté"),INDEX('Base de données Mono'!#REF!,MATCH(B653,'Base de données Mono'!D:D,0)),"-"))))))</f>
        <v>45</v>
      </c>
      <c r="O653" s="123">
        <v>45389</v>
      </c>
      <c r="P653" s="123">
        <v>45389</v>
      </c>
      <c r="Q653" s="34">
        <v>90</v>
      </c>
      <c r="R653" s="33">
        <f>IF(Q653="","",Q653-N653)</f>
        <v>45</v>
      </c>
      <c r="S653" s="34">
        <v>6.5</v>
      </c>
      <c r="T653" s="34">
        <v>1</v>
      </c>
      <c r="U653" s="33">
        <f>R653*S653*T653</f>
        <v>292.5</v>
      </c>
      <c r="V653" s="38" t="s">
        <v>148</v>
      </c>
      <c r="W653" s="39">
        <f>IFERROR(IF(E653="Gaz","-",R653/N653),"-")</f>
        <v>1</v>
      </c>
      <c r="X653" s="40" t="s">
        <v>730</v>
      </c>
      <c r="Y653" s="40" t="s">
        <v>284</v>
      </c>
      <c r="Z653" s="40" t="s">
        <v>307</v>
      </c>
      <c r="AA653" s="33" t="s">
        <v>308</v>
      </c>
      <c r="AB653" s="95"/>
      <c r="AC653" s="95"/>
    </row>
    <row r="654" spans="1:29" ht="14.45" hidden="1" customHeight="1" x14ac:dyDescent="0.25">
      <c r="A654" s="36" t="str">
        <f>INDEX('Base de données Mono'!C:C,MATCH(B654,'Base de données Mono'!D:D,0))</f>
        <v>LA CELLE SAINT CLOUD</v>
      </c>
      <c r="B654" t="s">
        <v>350</v>
      </c>
      <c r="C654" s="36" t="str">
        <f>INDEX('Base de données Mono'!B:B,MATCH(B654,'Base de données Mono'!D:D,0))</f>
        <v>Monoprix</v>
      </c>
      <c r="D654" s="36" t="str">
        <f>INDEX('Base de données Mono'!A:A,MATCH(B654,'Base de données Mono'!D:D,0))</f>
        <v>AD</v>
      </c>
      <c r="E654" s="37" t="s">
        <v>303</v>
      </c>
      <c r="F654" s="41">
        <f t="shared" si="67"/>
        <v>14</v>
      </c>
      <c r="G654" s="41">
        <f t="shared" si="68"/>
        <v>4</v>
      </c>
      <c r="H654">
        <v>7</v>
      </c>
      <c r="I654" s="131">
        <f>INDEX('Base de données Mono'!K:K,MATCH(B654,'Base de données Mono'!D:D,0))</f>
        <v>0.22916666666666666</v>
      </c>
      <c r="J654" s="131">
        <f>INDEX('Base de données Mono'!L:L,MATCH(B654,'Base de données Mono'!D:D,0))</f>
        <v>0.9375</v>
      </c>
      <c r="K654" s="131">
        <f>INDEX('Base de données Mono'!M:M,MATCH(B654,'Base de données Mono'!D:D,0))</f>
        <v>0.25</v>
      </c>
      <c r="L654" s="131">
        <f>INDEX('Base de données Mono'!N:N,MATCH(B654,'Base de données Mono'!D:D,0))</f>
        <v>0.9375</v>
      </c>
      <c r="M654" s="33" t="s">
        <v>46</v>
      </c>
      <c r="N654" s="33">
        <f>IF(AND(E654="Electricité",M654="Hiver"),INDEX('Base de données Mono'!E:E,MATCH(B654,'Base de données Mono'!D:D,0)),IF(AND(E654="Electricité",M654="Mi-saison"),INDEX('Base de données Mono'!F:F,MATCH(B654,'Base de données Mono'!D:D,0)),IF(AND(E654="Electricité",M654="Eté"),INDEX('Base de données Mono'!G:G,MATCH(B654,'Base de données Mono'!D:D,0)),IF(AND(E654="Gaz",M654="Hiver"),INDEX('Base de données Mono'!J:J,MATCH(B654,'Base de données Mono'!D:D,0)),IF(AND(E654="Gaz",M654="Mi-saison"),INDEX('Base de données Mono'!#REF!,MATCH(B654,'Base de données Mono'!D:D,0)),IF(AND(E654="Gaz",M654="Eté"),INDEX('Base de données Mono'!#REF!,MATCH(B654,'Base de données Mono'!D:D,0)),"-"))))))</f>
        <v>45</v>
      </c>
      <c r="O654" s="123">
        <v>45385</v>
      </c>
      <c r="P654" s="123">
        <v>45388</v>
      </c>
      <c r="Q654" s="34">
        <v>65</v>
      </c>
      <c r="R654" s="33">
        <f t="shared" si="69"/>
        <v>20</v>
      </c>
      <c r="S654" s="34">
        <v>1</v>
      </c>
      <c r="T654" s="34">
        <f t="shared" si="70"/>
        <v>3</v>
      </c>
      <c r="U654" s="33">
        <f t="shared" si="71"/>
        <v>60</v>
      </c>
      <c r="V654" s="38" t="s">
        <v>827</v>
      </c>
      <c r="W654" s="39">
        <f t="shared" si="72"/>
        <v>0.44444444444444442</v>
      </c>
      <c r="X654" s="40" t="s">
        <v>304</v>
      </c>
      <c r="Y654" s="40" t="s">
        <v>283</v>
      </c>
      <c r="Z654" s="40" t="s">
        <v>749</v>
      </c>
      <c r="AA654" s="33" t="s">
        <v>749</v>
      </c>
      <c r="AB654" s="95"/>
      <c r="AC654" s="95"/>
    </row>
    <row r="655" spans="1:29" ht="14.45" hidden="1" customHeight="1" x14ac:dyDescent="0.25">
      <c r="A655" s="36" t="str">
        <f>INDEX('Base de données Mono'!C:C,MATCH(B655,'Base de données Mono'!D:D,0))</f>
        <v>SANNOIS</v>
      </c>
      <c r="B655" t="s">
        <v>360</v>
      </c>
      <c r="C655" s="36" t="str">
        <f>INDEX('Base de données Mono'!B:B,MATCH(B655,'Base de données Mono'!D:D,0))</f>
        <v>Monoprix</v>
      </c>
      <c r="D655" s="36" t="str">
        <f>INDEX('Base de données Mono'!A:A,MATCH(B655,'Base de données Mono'!D:D,0))</f>
        <v>AD</v>
      </c>
      <c r="E655" s="37" t="s">
        <v>303</v>
      </c>
      <c r="F655" s="41">
        <f t="shared" si="67"/>
        <v>14</v>
      </c>
      <c r="G655" s="41">
        <f t="shared" si="68"/>
        <v>4</v>
      </c>
      <c r="H655">
        <v>9.17</v>
      </c>
      <c r="I655" s="131">
        <f>INDEX('Base de données Mono'!K:K,MATCH(B655,'Base de données Mono'!D:D,0))</f>
        <v>0.25</v>
      </c>
      <c r="J655" s="131">
        <f>INDEX('Base de données Mono'!L:L,MATCH(B655,'Base de données Mono'!D:D,0))</f>
        <v>0.86805555555555547</v>
      </c>
      <c r="K655" s="131">
        <f>INDEX('Base de données Mono'!M:M,MATCH(B655,'Base de données Mono'!D:D,0))</f>
        <v>0.3125</v>
      </c>
      <c r="L655" s="131">
        <f>INDEX('Base de données Mono'!N:N,MATCH(B655,'Base de données Mono'!D:D,0))</f>
        <v>0.5625</v>
      </c>
      <c r="M655" s="33" t="s">
        <v>46</v>
      </c>
      <c r="N655" s="33">
        <f>IF(AND(E655="Electricité",M655="Hiver"),INDEX('Base de données Mono'!E:E,MATCH(B655,'Base de données Mono'!D:D,0)),IF(AND(E655="Electricité",M655="Mi-saison"),INDEX('Base de données Mono'!F:F,MATCH(B655,'Base de données Mono'!D:D,0)),IF(AND(E655="Electricité",M655="Eté"),INDEX('Base de données Mono'!G:G,MATCH(B655,'Base de données Mono'!D:D,0)),IF(AND(E655="Gaz",M655="Hiver"),INDEX('Base de données Mono'!J:J,MATCH(B655,'Base de données Mono'!D:D,0)),IF(AND(E655="Gaz",M655="Mi-saison"),INDEX('Base de données Mono'!#REF!,MATCH(B655,'Base de données Mono'!D:D,0)),IF(AND(E655="Gaz",M655="Eté"),INDEX('Base de données Mono'!#REF!,MATCH(B655,'Base de données Mono'!D:D,0)),"-"))))))</f>
        <v>40</v>
      </c>
      <c r="O655" s="123">
        <v>45383</v>
      </c>
      <c r="P655" s="123">
        <v>45388</v>
      </c>
      <c r="Q655" s="34">
        <v>55</v>
      </c>
      <c r="R655" s="33">
        <f t="shared" si="69"/>
        <v>15</v>
      </c>
      <c r="S655" s="34">
        <v>1</v>
      </c>
      <c r="T655" s="34">
        <f t="shared" si="70"/>
        <v>5</v>
      </c>
      <c r="U655" s="33">
        <f t="shared" si="71"/>
        <v>75</v>
      </c>
      <c r="V655" s="38" t="s">
        <v>827</v>
      </c>
      <c r="W655" s="39">
        <f t="shared" si="72"/>
        <v>0.375</v>
      </c>
      <c r="X655" s="40" t="s">
        <v>304</v>
      </c>
      <c r="Y655" s="40" t="s">
        <v>283</v>
      </c>
      <c r="Z655" s="40" t="s">
        <v>749</v>
      </c>
      <c r="AA655" s="33" t="s">
        <v>749</v>
      </c>
      <c r="AB655" s="95"/>
      <c r="AC655" s="95"/>
    </row>
    <row r="656" spans="1:29" ht="14.45" hidden="1" customHeight="1" x14ac:dyDescent="0.25">
      <c r="A656" s="36" t="str">
        <f>INDEX('Base de données Mono'!C:C,MATCH(B656,'Base de données Mono'!D:D,0))</f>
        <v>SANNOIS</v>
      </c>
      <c r="B656" t="s">
        <v>360</v>
      </c>
      <c r="C656" s="36" t="str">
        <f>INDEX('Base de données Mono'!B:B,MATCH(B656,'Base de données Mono'!D:D,0))</f>
        <v>Monoprix</v>
      </c>
      <c r="D656" s="36" t="str">
        <f>INDEX('Base de données Mono'!A:A,MATCH(B656,'Base de données Mono'!D:D,0))</f>
        <v>AD</v>
      </c>
      <c r="E656" s="37" t="s">
        <v>303</v>
      </c>
      <c r="F656" s="41">
        <f t="shared" si="67"/>
        <v>14</v>
      </c>
      <c r="G656" s="41">
        <f t="shared" si="68"/>
        <v>4</v>
      </c>
      <c r="H656">
        <v>9.17</v>
      </c>
      <c r="I656" s="131">
        <f>INDEX('Base de données Mono'!K:K,MATCH(B656,'Base de données Mono'!D:D,0))</f>
        <v>0.25</v>
      </c>
      <c r="J656" s="131">
        <f>INDEX('Base de données Mono'!L:L,MATCH(B656,'Base de données Mono'!D:D,0))</f>
        <v>0.86805555555555547</v>
      </c>
      <c r="K656" s="131">
        <f>INDEX('Base de données Mono'!M:M,MATCH(B656,'Base de données Mono'!D:D,0))</f>
        <v>0.3125</v>
      </c>
      <c r="L656" s="131">
        <f>INDEX('Base de données Mono'!N:N,MATCH(B656,'Base de données Mono'!D:D,0))</f>
        <v>0.5625</v>
      </c>
      <c r="M656" s="33" t="s">
        <v>46</v>
      </c>
      <c r="N656" s="33">
        <f>IF(AND(E656="Electricité",M656="Hiver"),INDEX('Base de données Mono'!E:E,MATCH(B656,'Base de données Mono'!D:D,0)),IF(AND(E656="Electricité",M656="Mi-saison"),INDEX('Base de données Mono'!F:F,MATCH(B656,'Base de données Mono'!D:D,0)),IF(AND(E656="Electricité",M656="Eté"),INDEX('Base de données Mono'!G:G,MATCH(B656,'Base de données Mono'!D:D,0)),IF(AND(E656="Gaz",M656="Hiver"),INDEX('Base de données Mono'!J:J,MATCH(B656,'Base de données Mono'!D:D,0)),IF(AND(E656="Gaz",M656="Mi-saison"),INDEX('Base de données Mono'!#REF!,MATCH(B656,'Base de données Mono'!D:D,0)),IF(AND(E656="Gaz",M656="Eté"),INDEX('Base de données Mono'!#REF!,MATCH(B656,'Base de données Mono'!D:D,0)),"-"))))))</f>
        <v>40</v>
      </c>
      <c r="O656" s="123">
        <v>45388</v>
      </c>
      <c r="P656" s="123">
        <v>45389</v>
      </c>
      <c r="Q656" s="34">
        <v>50</v>
      </c>
      <c r="R656" s="33">
        <f t="shared" si="69"/>
        <v>10</v>
      </c>
      <c r="S656" s="34">
        <v>1</v>
      </c>
      <c r="T656" s="34">
        <f t="shared" si="70"/>
        <v>1</v>
      </c>
      <c r="U656" s="33">
        <f t="shared" si="71"/>
        <v>10</v>
      </c>
      <c r="V656" s="38" t="s">
        <v>827</v>
      </c>
      <c r="W656" s="39">
        <f t="shared" si="72"/>
        <v>0.25</v>
      </c>
      <c r="X656" s="40" t="s">
        <v>304</v>
      </c>
      <c r="Y656" s="40" t="s">
        <v>283</v>
      </c>
      <c r="Z656" s="40" t="s">
        <v>749</v>
      </c>
      <c r="AA656" s="33" t="s">
        <v>749</v>
      </c>
      <c r="AB656" s="95"/>
      <c r="AC656" s="95"/>
    </row>
    <row r="657" spans="1:29" ht="14.45" hidden="1" customHeight="1" x14ac:dyDescent="0.25">
      <c r="A657" s="36" t="str">
        <f>INDEX('Base de données Mono'!C:C,MATCH(B657,'Base de données Mono'!D:D,0))</f>
        <v>SAINT MANDÉ</v>
      </c>
      <c r="B657" t="s">
        <v>358</v>
      </c>
      <c r="C657" s="36" t="str">
        <f>INDEX('Base de données Mono'!B:B,MATCH(B657,'Base de données Mono'!D:D,0))</f>
        <v>Monoprix</v>
      </c>
      <c r="D657" s="36" t="str">
        <f>INDEX('Base de données Mono'!A:A,MATCH(B657,'Base de données Mono'!D:D,0))</f>
        <v>JG</v>
      </c>
      <c r="E657" s="37" t="s">
        <v>303</v>
      </c>
      <c r="F657" s="41">
        <f t="shared" ref="F657:F713" si="73">IF(O657="","-",IF(AND(X657="Nuit",WEEKDAY(O657,2)=7,O657&lt;&gt;P657),WEEKNUM(O657,2),WEEKNUM(O657,2)-1))+1</f>
        <v>14</v>
      </c>
      <c r="G657" s="41">
        <f t="shared" ref="G657:G713" si="74">IF(O657="","-",MONTH(O657))</f>
        <v>4</v>
      </c>
      <c r="H657">
        <v>8.17</v>
      </c>
      <c r="I657" s="131">
        <f>INDEX('Base de données Mono'!K:K,MATCH(B657,'Base de données Mono'!D:D,0))</f>
        <v>0.25</v>
      </c>
      <c r="J657" s="131">
        <f>INDEX('Base de données Mono'!L:L,MATCH(B657,'Base de données Mono'!D:D,0))</f>
        <v>0.90972222222222221</v>
      </c>
      <c r="K657" s="131">
        <f>INDEX('Base de données Mono'!M:M,MATCH(B657,'Base de données Mono'!D:D,0))</f>
        <v>0.29166666666666669</v>
      </c>
      <c r="L657" s="131">
        <f>INDEX('Base de données Mono'!N:N,MATCH(B657,'Base de données Mono'!D:D,0))</f>
        <v>0.85416666666666663</v>
      </c>
      <c r="M657" s="33" t="s">
        <v>46</v>
      </c>
      <c r="N657" s="33">
        <f>IF(AND(E657="Electricité",M657="Hiver"),INDEX('Base de données Mono'!E:E,MATCH(B657,'Base de données Mono'!D:D,0)),IF(AND(E657="Electricité",M657="Mi-saison"),INDEX('Base de données Mono'!F:F,MATCH(B657,'Base de données Mono'!D:D,0)),IF(AND(E657="Electricité",M657="Eté"),INDEX('Base de données Mono'!G:G,MATCH(B657,'Base de données Mono'!D:D,0)),IF(AND(E657="Gaz",M657="Hiver"),INDEX('Base de données Mono'!J:J,MATCH(B657,'Base de données Mono'!D:D,0)),IF(AND(E657="Gaz",M657="Mi-saison"),INDEX('Base de données Mono'!#REF!,MATCH(B657,'Base de données Mono'!D:D,0)),IF(AND(E657="Gaz",M657="Eté"),INDEX('Base de données Mono'!#REF!,MATCH(B657,'Base de données Mono'!D:D,0)),"-"))))))</f>
        <v>50</v>
      </c>
      <c r="O657" s="123">
        <v>45383</v>
      </c>
      <c r="P657" s="123">
        <v>45385</v>
      </c>
      <c r="Q657" s="34">
        <v>70</v>
      </c>
      <c r="R657" s="33">
        <f t="shared" ref="R657:R713" si="75">IF(Q657="","",Q657-N657)</f>
        <v>20</v>
      </c>
      <c r="S657" s="34">
        <v>8</v>
      </c>
      <c r="T657" s="34">
        <f t="shared" ref="T657:T713" si="76">P657-O657</f>
        <v>2</v>
      </c>
      <c r="U657" s="33">
        <f t="shared" ref="U657:U713" si="77">R657*S657*T657</f>
        <v>320</v>
      </c>
      <c r="V657" s="38" t="s">
        <v>827</v>
      </c>
      <c r="W657" s="39">
        <f t="shared" ref="W657:W713" si="78">IFERROR(IF(E657="Gaz","-",R657/N657),"-")</f>
        <v>0.4</v>
      </c>
      <c r="X657" s="40" t="s">
        <v>304</v>
      </c>
      <c r="Y657" s="40" t="s">
        <v>283</v>
      </c>
      <c r="Z657" s="40" t="s">
        <v>749</v>
      </c>
      <c r="AA657" s="33" t="s">
        <v>749</v>
      </c>
      <c r="AB657" s="95"/>
      <c r="AC657" s="95"/>
    </row>
    <row r="658" spans="1:29" ht="14.45" hidden="1" customHeight="1" x14ac:dyDescent="0.25">
      <c r="A658" s="36" t="str">
        <f>INDEX('Base de données Mono'!C:C,MATCH(B658,'Base de données Mono'!D:D,0))</f>
        <v>SAINT MANDÉ</v>
      </c>
      <c r="B658" t="s">
        <v>358</v>
      </c>
      <c r="C658" s="36" t="str">
        <f>INDEX('Base de données Mono'!B:B,MATCH(B658,'Base de données Mono'!D:D,0))</f>
        <v>Monoprix</v>
      </c>
      <c r="D658" s="36" t="str">
        <f>INDEX('Base de données Mono'!A:A,MATCH(B658,'Base de données Mono'!D:D,0))</f>
        <v>JG</v>
      </c>
      <c r="E658" s="37" t="s">
        <v>303</v>
      </c>
      <c r="F658" s="41">
        <f t="shared" si="73"/>
        <v>14</v>
      </c>
      <c r="G658" s="41">
        <f t="shared" si="74"/>
        <v>4</v>
      </c>
      <c r="H658">
        <v>8.17</v>
      </c>
      <c r="I658" s="131">
        <f>INDEX('Base de données Mono'!K:K,MATCH(B658,'Base de données Mono'!D:D,0))</f>
        <v>0.25</v>
      </c>
      <c r="J658" s="131">
        <f>INDEX('Base de données Mono'!L:L,MATCH(B658,'Base de données Mono'!D:D,0))</f>
        <v>0.90972222222222221</v>
      </c>
      <c r="K658" s="131">
        <f>INDEX('Base de données Mono'!M:M,MATCH(B658,'Base de données Mono'!D:D,0))</f>
        <v>0.29166666666666669</v>
      </c>
      <c r="L658" s="131">
        <f>INDEX('Base de données Mono'!N:N,MATCH(B658,'Base de données Mono'!D:D,0))</f>
        <v>0.85416666666666663</v>
      </c>
      <c r="M658" s="33" t="s">
        <v>46</v>
      </c>
      <c r="N658" s="33">
        <f>IF(AND(E658="Electricité",M658="Hiver"),INDEX('Base de données Mono'!E:E,MATCH(B658,'Base de données Mono'!D:D,0)),IF(AND(E658="Electricité",M658="Mi-saison"),INDEX('Base de données Mono'!F:F,MATCH(B658,'Base de données Mono'!D:D,0)),IF(AND(E658="Electricité",M658="Eté"),INDEX('Base de données Mono'!G:G,MATCH(B658,'Base de données Mono'!D:D,0)),IF(AND(E658="Gaz",M658="Hiver"),INDEX('Base de données Mono'!J:J,MATCH(B658,'Base de données Mono'!D:D,0)),IF(AND(E658="Gaz",M658="Mi-saison"),INDEX('Base de données Mono'!#REF!,MATCH(B658,'Base de données Mono'!D:D,0)),IF(AND(E658="Gaz",M658="Eté"),INDEX('Base de données Mono'!#REF!,MATCH(B658,'Base de données Mono'!D:D,0)),"-"))))))</f>
        <v>50</v>
      </c>
      <c r="O658" s="123">
        <v>45383</v>
      </c>
      <c r="P658" s="123">
        <v>45385</v>
      </c>
      <c r="Q658" s="34">
        <v>120</v>
      </c>
      <c r="R658" s="33">
        <f t="shared" si="75"/>
        <v>70</v>
      </c>
      <c r="S658" s="34">
        <v>1</v>
      </c>
      <c r="T658" s="34">
        <f t="shared" si="76"/>
        <v>2</v>
      </c>
      <c r="U658" s="33">
        <f t="shared" si="77"/>
        <v>140</v>
      </c>
      <c r="V658" s="38" t="s">
        <v>827</v>
      </c>
      <c r="W658" s="39">
        <f t="shared" si="78"/>
        <v>1.4</v>
      </c>
      <c r="X658" s="40" t="s">
        <v>304</v>
      </c>
      <c r="Y658" s="40" t="s">
        <v>283</v>
      </c>
      <c r="Z658" s="40" t="s">
        <v>749</v>
      </c>
      <c r="AA658" s="33" t="s">
        <v>749</v>
      </c>
      <c r="AB658" s="95"/>
      <c r="AC658" s="95"/>
    </row>
    <row r="659" spans="1:29" ht="14.45" hidden="1" customHeight="1" x14ac:dyDescent="0.25">
      <c r="A659" s="36" t="str">
        <f>INDEX('Base de données Mono'!C:C,MATCH(B659,'Base de données Mono'!D:D,0))</f>
        <v>SAINT MANDÉ</v>
      </c>
      <c r="B659" t="s">
        <v>358</v>
      </c>
      <c r="C659" s="36" t="str">
        <f>INDEX('Base de données Mono'!B:B,MATCH(B659,'Base de données Mono'!D:D,0))</f>
        <v>Monoprix</v>
      </c>
      <c r="D659" s="36" t="str">
        <f>INDEX('Base de données Mono'!A:A,MATCH(B659,'Base de données Mono'!D:D,0))</f>
        <v>JG</v>
      </c>
      <c r="E659" s="37" t="s">
        <v>303</v>
      </c>
      <c r="F659" s="41">
        <f t="shared" si="73"/>
        <v>14</v>
      </c>
      <c r="G659" s="41">
        <f t="shared" si="74"/>
        <v>4</v>
      </c>
      <c r="H659">
        <v>8.17</v>
      </c>
      <c r="I659" s="131">
        <f>INDEX('Base de données Mono'!K:K,MATCH(B659,'Base de données Mono'!D:D,0))</f>
        <v>0.25</v>
      </c>
      <c r="J659" s="131">
        <f>INDEX('Base de données Mono'!L:L,MATCH(B659,'Base de données Mono'!D:D,0))</f>
        <v>0.90972222222222221</v>
      </c>
      <c r="K659" s="131">
        <f>INDEX('Base de données Mono'!M:M,MATCH(B659,'Base de données Mono'!D:D,0))</f>
        <v>0.29166666666666669</v>
      </c>
      <c r="L659" s="131">
        <f>INDEX('Base de données Mono'!N:N,MATCH(B659,'Base de données Mono'!D:D,0))</f>
        <v>0.85416666666666663</v>
      </c>
      <c r="M659" s="33" t="s">
        <v>46</v>
      </c>
      <c r="N659" s="33">
        <f>IF(AND(E659="Electricité",M659="Hiver"),INDEX('Base de données Mono'!E:E,MATCH(B659,'Base de données Mono'!D:D,0)),IF(AND(E659="Electricité",M659="Mi-saison"),INDEX('Base de données Mono'!F:F,MATCH(B659,'Base de données Mono'!D:D,0)),IF(AND(E659="Electricité",M659="Eté"),INDEX('Base de données Mono'!G:G,MATCH(B659,'Base de données Mono'!D:D,0)),IF(AND(E659="Gaz",M659="Hiver"),INDEX('Base de données Mono'!J:J,MATCH(B659,'Base de données Mono'!D:D,0)),IF(AND(E659="Gaz",M659="Mi-saison"),INDEX('Base de données Mono'!#REF!,MATCH(B659,'Base de données Mono'!D:D,0)),IF(AND(E659="Gaz",M659="Eté"),INDEX('Base de données Mono'!#REF!,MATCH(B659,'Base de données Mono'!D:D,0)),"-"))))))</f>
        <v>50</v>
      </c>
      <c r="O659" s="123">
        <v>45385</v>
      </c>
      <c r="P659" s="123">
        <v>45387</v>
      </c>
      <c r="Q659" s="34">
        <v>70</v>
      </c>
      <c r="R659" s="33">
        <f t="shared" si="75"/>
        <v>20</v>
      </c>
      <c r="S659" s="34">
        <v>8</v>
      </c>
      <c r="T659" s="34">
        <f t="shared" si="76"/>
        <v>2</v>
      </c>
      <c r="U659" s="33">
        <f t="shared" si="77"/>
        <v>320</v>
      </c>
      <c r="V659" s="38" t="s">
        <v>827</v>
      </c>
      <c r="W659" s="39">
        <f t="shared" si="78"/>
        <v>0.4</v>
      </c>
      <c r="X659" s="40" t="s">
        <v>304</v>
      </c>
      <c r="Y659" s="40" t="s">
        <v>283</v>
      </c>
      <c r="Z659" s="40" t="s">
        <v>749</v>
      </c>
      <c r="AA659" s="33" t="s">
        <v>749</v>
      </c>
      <c r="AB659" s="95"/>
      <c r="AC659" s="95"/>
    </row>
    <row r="660" spans="1:29" ht="14.45" hidden="1" customHeight="1" x14ac:dyDescent="0.25">
      <c r="A660" s="36" t="str">
        <f>INDEX('Base de données Mono'!C:C,MATCH(B660,'Base de données Mono'!D:D,0))</f>
        <v>SAINT MANDÉ</v>
      </c>
      <c r="B660" t="s">
        <v>358</v>
      </c>
      <c r="C660" s="36" t="str">
        <f>INDEX('Base de données Mono'!B:B,MATCH(B660,'Base de données Mono'!D:D,0))</f>
        <v>Monoprix</v>
      </c>
      <c r="D660" s="36" t="str">
        <f>INDEX('Base de données Mono'!A:A,MATCH(B660,'Base de données Mono'!D:D,0))</f>
        <v>JG</v>
      </c>
      <c r="E660" s="37" t="s">
        <v>303</v>
      </c>
      <c r="F660" s="41">
        <f t="shared" si="73"/>
        <v>14</v>
      </c>
      <c r="G660" s="41">
        <f t="shared" si="74"/>
        <v>4</v>
      </c>
      <c r="H660">
        <v>8.17</v>
      </c>
      <c r="I660" s="131">
        <f>INDEX('Base de données Mono'!K:K,MATCH(B660,'Base de données Mono'!D:D,0))</f>
        <v>0.25</v>
      </c>
      <c r="J660" s="131">
        <f>INDEX('Base de données Mono'!L:L,MATCH(B660,'Base de données Mono'!D:D,0))</f>
        <v>0.90972222222222221</v>
      </c>
      <c r="K660" s="131">
        <f>INDEX('Base de données Mono'!M:M,MATCH(B660,'Base de données Mono'!D:D,0))</f>
        <v>0.29166666666666669</v>
      </c>
      <c r="L660" s="131">
        <f>INDEX('Base de données Mono'!N:N,MATCH(B660,'Base de données Mono'!D:D,0))</f>
        <v>0.85416666666666663</v>
      </c>
      <c r="M660" s="33" t="s">
        <v>46</v>
      </c>
      <c r="N660" s="33">
        <f>IF(AND(E660="Electricité",M660="Hiver"),INDEX('Base de données Mono'!E:E,MATCH(B660,'Base de données Mono'!D:D,0)),IF(AND(E660="Electricité",M660="Mi-saison"),INDEX('Base de données Mono'!F:F,MATCH(B660,'Base de données Mono'!D:D,0)),IF(AND(E660="Electricité",M660="Eté"),INDEX('Base de données Mono'!G:G,MATCH(B660,'Base de données Mono'!D:D,0)),IF(AND(E660="Gaz",M660="Hiver"),INDEX('Base de données Mono'!J:J,MATCH(B660,'Base de données Mono'!D:D,0)),IF(AND(E660="Gaz",M660="Mi-saison"),INDEX('Base de données Mono'!#REF!,MATCH(B660,'Base de données Mono'!D:D,0)),IF(AND(E660="Gaz",M660="Eté"),INDEX('Base de données Mono'!#REF!,MATCH(B660,'Base de données Mono'!D:D,0)),"-"))))))</f>
        <v>50</v>
      </c>
      <c r="O660" s="123">
        <v>45385</v>
      </c>
      <c r="P660" s="123">
        <v>45387</v>
      </c>
      <c r="Q660" s="34">
        <v>120</v>
      </c>
      <c r="R660" s="33">
        <f t="shared" si="75"/>
        <v>70</v>
      </c>
      <c r="S660" s="34">
        <v>1</v>
      </c>
      <c r="T660" s="34">
        <f t="shared" si="76"/>
        <v>2</v>
      </c>
      <c r="U660" s="33">
        <f t="shared" si="77"/>
        <v>140</v>
      </c>
      <c r="V660" s="38" t="s">
        <v>827</v>
      </c>
      <c r="W660" s="39">
        <f t="shared" si="78"/>
        <v>1.4</v>
      </c>
      <c r="X660" s="40" t="s">
        <v>304</v>
      </c>
      <c r="Y660" s="40" t="s">
        <v>283</v>
      </c>
      <c r="Z660" s="40" t="s">
        <v>749</v>
      </c>
      <c r="AA660" s="33" t="s">
        <v>749</v>
      </c>
      <c r="AB660" s="95"/>
      <c r="AC660" s="95"/>
    </row>
    <row r="661" spans="1:29" ht="14.45" hidden="1" customHeight="1" x14ac:dyDescent="0.25">
      <c r="A661" s="36" t="str">
        <f>INDEX('Base de données Mono'!C:C,MATCH(B661,'Base de données Mono'!D:D,0))</f>
        <v>SAINT MANDÉ</v>
      </c>
      <c r="B661" t="s">
        <v>358</v>
      </c>
      <c r="C661" s="36" t="str">
        <f>INDEX('Base de données Mono'!B:B,MATCH(B661,'Base de données Mono'!D:D,0))</f>
        <v>Monoprix</v>
      </c>
      <c r="D661" s="36" t="str">
        <f>INDEX('Base de données Mono'!A:A,MATCH(B661,'Base de données Mono'!D:D,0))</f>
        <v>JG</v>
      </c>
      <c r="E661" s="37" t="s">
        <v>303</v>
      </c>
      <c r="F661" s="41">
        <f t="shared" si="73"/>
        <v>14</v>
      </c>
      <c r="G661" s="41">
        <f t="shared" si="74"/>
        <v>4</v>
      </c>
      <c r="H661">
        <v>8.17</v>
      </c>
      <c r="I661" s="131">
        <f>INDEX('Base de données Mono'!K:K,MATCH(B661,'Base de données Mono'!D:D,0))</f>
        <v>0.25</v>
      </c>
      <c r="J661" s="131">
        <f>INDEX('Base de données Mono'!L:L,MATCH(B661,'Base de données Mono'!D:D,0))</f>
        <v>0.90972222222222221</v>
      </c>
      <c r="K661" s="131">
        <f>INDEX('Base de données Mono'!M:M,MATCH(B661,'Base de données Mono'!D:D,0))</f>
        <v>0.29166666666666669</v>
      </c>
      <c r="L661" s="131">
        <f>INDEX('Base de données Mono'!N:N,MATCH(B661,'Base de données Mono'!D:D,0))</f>
        <v>0.85416666666666663</v>
      </c>
      <c r="M661" s="33" t="s">
        <v>46</v>
      </c>
      <c r="N661" s="33">
        <f>IF(AND(E661="Electricité",M661="Hiver"),INDEX('Base de données Mono'!E:E,MATCH(B661,'Base de données Mono'!D:D,0)),IF(AND(E661="Electricité",M661="Mi-saison"),INDEX('Base de données Mono'!F:F,MATCH(B661,'Base de données Mono'!D:D,0)),IF(AND(E661="Electricité",M661="Eté"),INDEX('Base de données Mono'!G:G,MATCH(B661,'Base de données Mono'!D:D,0)),IF(AND(E661="Gaz",M661="Hiver"),INDEX('Base de données Mono'!J:J,MATCH(B661,'Base de données Mono'!D:D,0)),IF(AND(E661="Gaz",M661="Mi-saison"),INDEX('Base de données Mono'!#REF!,MATCH(B661,'Base de données Mono'!D:D,0)),IF(AND(E661="Gaz",M661="Eté"),INDEX('Base de données Mono'!#REF!,MATCH(B661,'Base de données Mono'!D:D,0)),"-"))))))</f>
        <v>50</v>
      </c>
      <c r="O661" s="123">
        <v>45387</v>
      </c>
      <c r="P661" s="123">
        <v>45389</v>
      </c>
      <c r="Q661" s="34">
        <v>70</v>
      </c>
      <c r="R661" s="33">
        <f t="shared" si="75"/>
        <v>20</v>
      </c>
      <c r="S661" s="34">
        <v>8</v>
      </c>
      <c r="T661" s="34">
        <f t="shared" si="76"/>
        <v>2</v>
      </c>
      <c r="U661" s="33">
        <f t="shared" si="77"/>
        <v>320</v>
      </c>
      <c r="V661" s="38" t="s">
        <v>827</v>
      </c>
      <c r="W661" s="39">
        <f t="shared" si="78"/>
        <v>0.4</v>
      </c>
      <c r="X661" s="40" t="s">
        <v>304</v>
      </c>
      <c r="Y661" s="40" t="s">
        <v>283</v>
      </c>
      <c r="Z661" s="40" t="s">
        <v>749</v>
      </c>
      <c r="AA661" s="33" t="s">
        <v>749</v>
      </c>
      <c r="AB661" s="95"/>
      <c r="AC661" s="95"/>
    </row>
    <row r="662" spans="1:29" ht="14.45" hidden="1" customHeight="1" x14ac:dyDescent="0.25">
      <c r="A662" s="36" t="str">
        <f>INDEX('Base de données Mono'!C:C,MATCH(B662,'Base de données Mono'!D:D,0))</f>
        <v>SAINT MANDÉ</v>
      </c>
      <c r="B662" t="s">
        <v>358</v>
      </c>
      <c r="C662" s="36" t="str">
        <f>INDEX('Base de données Mono'!B:B,MATCH(B662,'Base de données Mono'!D:D,0))</f>
        <v>Monoprix</v>
      </c>
      <c r="D662" s="36" t="str">
        <f>INDEX('Base de données Mono'!A:A,MATCH(B662,'Base de données Mono'!D:D,0))</f>
        <v>JG</v>
      </c>
      <c r="E662" s="37" t="s">
        <v>303</v>
      </c>
      <c r="F662" s="41">
        <f t="shared" si="73"/>
        <v>14</v>
      </c>
      <c r="G662" s="41">
        <f t="shared" si="74"/>
        <v>4</v>
      </c>
      <c r="H662">
        <v>8.17</v>
      </c>
      <c r="I662" s="131">
        <f>INDEX('Base de données Mono'!K:K,MATCH(B662,'Base de données Mono'!D:D,0))</f>
        <v>0.25</v>
      </c>
      <c r="J662" s="131">
        <f>INDEX('Base de données Mono'!L:L,MATCH(B662,'Base de données Mono'!D:D,0))</f>
        <v>0.90972222222222221</v>
      </c>
      <c r="K662" s="131">
        <f>INDEX('Base de données Mono'!M:M,MATCH(B662,'Base de données Mono'!D:D,0))</f>
        <v>0.29166666666666669</v>
      </c>
      <c r="L662" s="131">
        <f>INDEX('Base de données Mono'!N:N,MATCH(B662,'Base de données Mono'!D:D,0))</f>
        <v>0.85416666666666663</v>
      </c>
      <c r="M662" s="33" t="s">
        <v>46</v>
      </c>
      <c r="N662" s="33">
        <f>IF(AND(E662="Electricité",M662="Hiver"),INDEX('Base de données Mono'!E:E,MATCH(B662,'Base de données Mono'!D:D,0)),IF(AND(E662="Electricité",M662="Mi-saison"),INDEX('Base de données Mono'!F:F,MATCH(B662,'Base de données Mono'!D:D,0)),IF(AND(E662="Electricité",M662="Eté"),INDEX('Base de données Mono'!G:G,MATCH(B662,'Base de données Mono'!D:D,0)),IF(AND(E662="Gaz",M662="Hiver"),INDEX('Base de données Mono'!J:J,MATCH(B662,'Base de données Mono'!D:D,0)),IF(AND(E662="Gaz",M662="Mi-saison"),INDEX('Base de données Mono'!#REF!,MATCH(B662,'Base de données Mono'!D:D,0)),IF(AND(E662="Gaz",M662="Eté"),INDEX('Base de données Mono'!#REF!,MATCH(B662,'Base de données Mono'!D:D,0)),"-"))))))</f>
        <v>50</v>
      </c>
      <c r="O662" s="123">
        <v>45387</v>
      </c>
      <c r="P662" s="123">
        <v>45388</v>
      </c>
      <c r="Q662" s="34">
        <v>120</v>
      </c>
      <c r="R662" s="33">
        <f t="shared" si="75"/>
        <v>70</v>
      </c>
      <c r="S662" s="34">
        <v>1</v>
      </c>
      <c r="T662" s="34">
        <f t="shared" si="76"/>
        <v>1</v>
      </c>
      <c r="U662" s="33">
        <f t="shared" si="77"/>
        <v>70</v>
      </c>
      <c r="V662" s="38" t="s">
        <v>827</v>
      </c>
      <c r="W662" s="39">
        <f t="shared" si="78"/>
        <v>1.4</v>
      </c>
      <c r="X662" s="40" t="s">
        <v>304</v>
      </c>
      <c r="Y662" s="40" t="s">
        <v>283</v>
      </c>
      <c r="Z662" s="40" t="s">
        <v>749</v>
      </c>
      <c r="AA662" s="33" t="s">
        <v>749</v>
      </c>
      <c r="AB662" s="95"/>
      <c r="AC662" s="95"/>
    </row>
    <row r="663" spans="1:29" ht="14.45" hidden="1" customHeight="1" x14ac:dyDescent="0.25">
      <c r="A663" s="36" t="str">
        <f>INDEX('Base de données Mono'!C:C,MATCH(B663,'Base de données Mono'!D:D,0))</f>
        <v>LA GARENNE</v>
      </c>
      <c r="B663" t="s">
        <v>363</v>
      </c>
      <c r="C663" s="36" t="str">
        <f>INDEX('Base de données Mono'!B:B,MATCH(B663,'Base de données Mono'!D:D,0))</f>
        <v>Monoprix</v>
      </c>
      <c r="D663" s="36" t="str">
        <f>INDEX('Base de données Mono'!A:A,MATCH(B663,'Base de données Mono'!D:D,0))</f>
        <v>AD</v>
      </c>
      <c r="E663" s="37" t="s">
        <v>303</v>
      </c>
      <c r="F663" s="41">
        <f t="shared" si="73"/>
        <v>14</v>
      </c>
      <c r="G663" s="41">
        <f t="shared" si="74"/>
        <v>4</v>
      </c>
      <c r="H663">
        <v>8</v>
      </c>
      <c r="I663" s="131">
        <f>INDEX('Base de données Mono'!K:K,MATCH(B663,'Base de données Mono'!D:D,0))</f>
        <v>0.23611111111111113</v>
      </c>
      <c r="J663" s="131">
        <f>INDEX('Base de données Mono'!L:L,MATCH(B663,'Base de données Mono'!D:D,0))</f>
        <v>0.90277777777777779</v>
      </c>
      <c r="K663" s="131">
        <f>INDEX('Base de données Mono'!M:M,MATCH(B663,'Base de données Mono'!D:D,0))</f>
        <v>0.27083333333333331</v>
      </c>
      <c r="L663" s="131">
        <f>INDEX('Base de données Mono'!N:N,MATCH(B663,'Base de données Mono'!D:D,0))</f>
        <v>0.82638888888888884</v>
      </c>
      <c r="M663" s="33" t="s">
        <v>46</v>
      </c>
      <c r="N663" s="33">
        <f>IF(AND(E663="Electricité",M663="Hiver"),INDEX('Base de données Mono'!E:E,MATCH(B663,'Base de données Mono'!D:D,0)),IF(AND(E663="Electricité",M663="Mi-saison"),INDEX('Base de données Mono'!F:F,MATCH(B663,'Base de données Mono'!D:D,0)),IF(AND(E663="Electricité",M663="Eté"),INDEX('Base de données Mono'!G:G,MATCH(B663,'Base de données Mono'!D:D,0)),IF(AND(E663="Gaz",M663="Hiver"),INDEX('Base de données Mono'!J:J,MATCH(B663,'Base de données Mono'!D:D,0)),IF(AND(E663="Gaz",M663="Mi-saison"),INDEX('Base de données Mono'!#REF!,MATCH(B663,'Base de données Mono'!D:D,0)),IF(AND(E663="Gaz",M663="Eté"),INDEX('Base de données Mono'!#REF!,MATCH(B663,'Base de données Mono'!D:D,0)),"-"))))))</f>
        <v>85</v>
      </c>
      <c r="O663" s="123">
        <v>45383</v>
      </c>
      <c r="P663" s="123">
        <v>45386</v>
      </c>
      <c r="Q663" s="34">
        <v>90</v>
      </c>
      <c r="R663" s="33">
        <f t="shared" si="75"/>
        <v>5</v>
      </c>
      <c r="S663" s="34">
        <v>6</v>
      </c>
      <c r="T663" s="34">
        <f t="shared" si="76"/>
        <v>3</v>
      </c>
      <c r="U663" s="33">
        <f t="shared" si="77"/>
        <v>90</v>
      </c>
      <c r="V663" s="38" t="s">
        <v>827</v>
      </c>
      <c r="W663" s="39">
        <f t="shared" si="78"/>
        <v>5.8823529411764705E-2</v>
      </c>
      <c r="X663" s="40" t="s">
        <v>304</v>
      </c>
      <c r="Y663" s="40" t="s">
        <v>283</v>
      </c>
      <c r="Z663" s="40" t="s">
        <v>749</v>
      </c>
      <c r="AA663" s="33" t="s">
        <v>749</v>
      </c>
      <c r="AB663" s="95"/>
      <c r="AC663" s="95"/>
    </row>
    <row r="664" spans="1:29" ht="14.45" hidden="1" customHeight="1" x14ac:dyDescent="0.25">
      <c r="A664" s="36" t="str">
        <f>INDEX('Base de données Mono'!C:C,MATCH(B664,'Base de données Mono'!D:D,0))</f>
        <v>LA GARENNE</v>
      </c>
      <c r="B664" t="s">
        <v>363</v>
      </c>
      <c r="C664" s="36" t="str">
        <f>INDEX('Base de données Mono'!B:B,MATCH(B664,'Base de données Mono'!D:D,0))</f>
        <v>Monoprix</v>
      </c>
      <c r="D664" s="36" t="str">
        <f>INDEX('Base de données Mono'!A:A,MATCH(B664,'Base de données Mono'!D:D,0))</f>
        <v>AD</v>
      </c>
      <c r="E664" s="37" t="s">
        <v>303</v>
      </c>
      <c r="F664" s="41">
        <f t="shared" si="73"/>
        <v>14</v>
      </c>
      <c r="G664" s="41">
        <f t="shared" si="74"/>
        <v>4</v>
      </c>
      <c r="H664">
        <v>8</v>
      </c>
      <c r="I664" s="131">
        <f>INDEX('Base de données Mono'!K:K,MATCH(B664,'Base de données Mono'!D:D,0))</f>
        <v>0.23611111111111113</v>
      </c>
      <c r="J664" s="131">
        <f>INDEX('Base de données Mono'!L:L,MATCH(B664,'Base de données Mono'!D:D,0))</f>
        <v>0.90277777777777779</v>
      </c>
      <c r="K664" s="131">
        <f>INDEX('Base de données Mono'!M:M,MATCH(B664,'Base de données Mono'!D:D,0))</f>
        <v>0.27083333333333331</v>
      </c>
      <c r="L664" s="131">
        <f>INDEX('Base de données Mono'!N:N,MATCH(B664,'Base de données Mono'!D:D,0))</f>
        <v>0.82638888888888884</v>
      </c>
      <c r="M664" s="33" t="s">
        <v>46</v>
      </c>
      <c r="N664" s="33">
        <f>IF(AND(E664="Electricité",M664="Hiver"),INDEX('Base de données Mono'!E:E,MATCH(B664,'Base de données Mono'!D:D,0)),IF(AND(E664="Electricité",M664="Mi-saison"),INDEX('Base de données Mono'!F:F,MATCH(B664,'Base de données Mono'!D:D,0)),IF(AND(E664="Electricité",M664="Eté"),INDEX('Base de données Mono'!G:G,MATCH(B664,'Base de données Mono'!D:D,0)),IF(AND(E664="Gaz",M664="Hiver"),INDEX('Base de données Mono'!J:J,MATCH(B664,'Base de données Mono'!D:D,0)),IF(AND(E664="Gaz",M664="Mi-saison"),INDEX('Base de données Mono'!#REF!,MATCH(B664,'Base de données Mono'!D:D,0)),IF(AND(E664="Gaz",M664="Eté"),INDEX('Base de données Mono'!#REF!,MATCH(B664,'Base de données Mono'!D:D,0)),"-"))))))</f>
        <v>85</v>
      </c>
      <c r="O664" s="123">
        <v>45383</v>
      </c>
      <c r="P664" s="123">
        <v>45387</v>
      </c>
      <c r="Q664" s="34">
        <v>140</v>
      </c>
      <c r="R664" s="33">
        <f t="shared" si="75"/>
        <v>55</v>
      </c>
      <c r="S664" s="34">
        <v>1</v>
      </c>
      <c r="T664" s="34">
        <f t="shared" si="76"/>
        <v>4</v>
      </c>
      <c r="U664" s="33">
        <f t="shared" si="77"/>
        <v>220</v>
      </c>
      <c r="V664" s="38" t="s">
        <v>827</v>
      </c>
      <c r="W664" s="39">
        <f t="shared" si="78"/>
        <v>0.6470588235294118</v>
      </c>
      <c r="X664" s="40" t="s">
        <v>304</v>
      </c>
      <c r="Y664" s="40" t="s">
        <v>283</v>
      </c>
      <c r="Z664" s="40" t="s">
        <v>749</v>
      </c>
      <c r="AA664" s="33" t="s">
        <v>749</v>
      </c>
      <c r="AB664" s="95"/>
      <c r="AC664" s="95"/>
    </row>
    <row r="665" spans="1:29" ht="14.45" hidden="1" customHeight="1" x14ac:dyDescent="0.25">
      <c r="A665" s="36" t="str">
        <f>INDEX('Base de données Mono'!C:C,MATCH(B665,'Base de données Mono'!D:D,0))</f>
        <v>LA GARENNE</v>
      </c>
      <c r="B665" t="s">
        <v>363</v>
      </c>
      <c r="C665" s="36" t="str">
        <f>INDEX('Base de données Mono'!B:B,MATCH(B665,'Base de données Mono'!D:D,0))</f>
        <v>Monoprix</v>
      </c>
      <c r="D665" s="36" t="str">
        <f>INDEX('Base de données Mono'!A:A,MATCH(B665,'Base de données Mono'!D:D,0))</f>
        <v>AD</v>
      </c>
      <c r="E665" s="37" t="s">
        <v>303</v>
      </c>
      <c r="F665" s="41">
        <f t="shared" si="73"/>
        <v>14</v>
      </c>
      <c r="G665" s="41">
        <f t="shared" si="74"/>
        <v>4</v>
      </c>
      <c r="H665">
        <v>8</v>
      </c>
      <c r="I665" s="131">
        <f>INDEX('Base de données Mono'!K:K,MATCH(B665,'Base de données Mono'!D:D,0))</f>
        <v>0.23611111111111113</v>
      </c>
      <c r="J665" s="131">
        <f>INDEX('Base de données Mono'!L:L,MATCH(B665,'Base de données Mono'!D:D,0))</f>
        <v>0.90277777777777779</v>
      </c>
      <c r="K665" s="131">
        <f>INDEX('Base de données Mono'!M:M,MATCH(B665,'Base de données Mono'!D:D,0))</f>
        <v>0.27083333333333331</v>
      </c>
      <c r="L665" s="131">
        <f>INDEX('Base de données Mono'!N:N,MATCH(B665,'Base de données Mono'!D:D,0))</f>
        <v>0.82638888888888884</v>
      </c>
      <c r="M665" s="33" t="s">
        <v>46</v>
      </c>
      <c r="N665" s="33">
        <f>IF(AND(E665="Electricité",M665="Hiver"),INDEX('Base de données Mono'!E:E,MATCH(B665,'Base de données Mono'!D:D,0)),IF(AND(E665="Electricité",M665="Mi-saison"),INDEX('Base de données Mono'!F:F,MATCH(B665,'Base de données Mono'!D:D,0)),IF(AND(E665="Electricité",M665="Eté"),INDEX('Base de données Mono'!G:G,MATCH(B665,'Base de données Mono'!D:D,0)),IF(AND(E665="Gaz",M665="Hiver"),INDEX('Base de données Mono'!J:J,MATCH(B665,'Base de données Mono'!D:D,0)),IF(AND(E665="Gaz",M665="Mi-saison"),INDEX('Base de données Mono'!#REF!,MATCH(B665,'Base de données Mono'!D:D,0)),IF(AND(E665="Gaz",M665="Eté"),INDEX('Base de données Mono'!#REF!,MATCH(B665,'Base de données Mono'!D:D,0)),"-"))))))</f>
        <v>85</v>
      </c>
      <c r="O665" s="123">
        <v>45386</v>
      </c>
      <c r="P665" s="123">
        <v>45388</v>
      </c>
      <c r="Q665" s="34">
        <v>95</v>
      </c>
      <c r="R665" s="33">
        <f t="shared" si="75"/>
        <v>10</v>
      </c>
      <c r="S665" s="34">
        <v>6</v>
      </c>
      <c r="T665" s="34">
        <f t="shared" si="76"/>
        <v>2</v>
      </c>
      <c r="U665" s="33">
        <f t="shared" si="77"/>
        <v>120</v>
      </c>
      <c r="V665" s="38" t="s">
        <v>827</v>
      </c>
      <c r="W665" s="39">
        <f t="shared" si="78"/>
        <v>0.11764705882352941</v>
      </c>
      <c r="X665" s="40" t="s">
        <v>304</v>
      </c>
      <c r="Y665" s="40" t="s">
        <v>283</v>
      </c>
      <c r="Z665" s="40" t="s">
        <v>749</v>
      </c>
      <c r="AA665" s="33" t="s">
        <v>749</v>
      </c>
      <c r="AB665" s="95"/>
      <c r="AC665" s="95"/>
    </row>
    <row r="666" spans="1:29" ht="14.45" hidden="1" customHeight="1" x14ac:dyDescent="0.25">
      <c r="A666" s="36" t="str">
        <f>INDEX('Base de données Mono'!C:C,MATCH(B666,'Base de données Mono'!D:D,0))</f>
        <v>LA GARENNE</v>
      </c>
      <c r="B666" t="s">
        <v>363</v>
      </c>
      <c r="C666" s="36" t="str">
        <f>INDEX('Base de données Mono'!B:B,MATCH(B666,'Base de données Mono'!D:D,0))</f>
        <v>Monoprix</v>
      </c>
      <c r="D666" s="36" t="str">
        <f>INDEX('Base de données Mono'!A:A,MATCH(B666,'Base de données Mono'!D:D,0))</f>
        <v>AD</v>
      </c>
      <c r="E666" s="37" t="s">
        <v>303</v>
      </c>
      <c r="F666" s="41">
        <f t="shared" si="73"/>
        <v>14</v>
      </c>
      <c r="G666" s="41">
        <f t="shared" si="74"/>
        <v>4</v>
      </c>
      <c r="H666">
        <v>8</v>
      </c>
      <c r="I666" s="131">
        <f>INDEX('Base de données Mono'!K:K,MATCH(B666,'Base de données Mono'!D:D,0))</f>
        <v>0.23611111111111113</v>
      </c>
      <c r="J666" s="131">
        <f>INDEX('Base de données Mono'!L:L,MATCH(B666,'Base de données Mono'!D:D,0))</f>
        <v>0.90277777777777779</v>
      </c>
      <c r="K666" s="131">
        <f>INDEX('Base de données Mono'!M:M,MATCH(B666,'Base de données Mono'!D:D,0))</f>
        <v>0.27083333333333331</v>
      </c>
      <c r="L666" s="131">
        <f>INDEX('Base de données Mono'!N:N,MATCH(B666,'Base de données Mono'!D:D,0))</f>
        <v>0.82638888888888884</v>
      </c>
      <c r="M666" s="33" t="s">
        <v>46</v>
      </c>
      <c r="N666" s="33">
        <f>IF(AND(E666="Electricité",M666="Hiver"),INDEX('Base de données Mono'!E:E,MATCH(B666,'Base de données Mono'!D:D,0)),IF(AND(E666="Electricité",M666="Mi-saison"),INDEX('Base de données Mono'!F:F,MATCH(B666,'Base de données Mono'!D:D,0)),IF(AND(E666="Electricité",M666="Eté"),INDEX('Base de données Mono'!G:G,MATCH(B666,'Base de données Mono'!D:D,0)),IF(AND(E666="Gaz",M666="Hiver"),INDEX('Base de données Mono'!J:J,MATCH(B666,'Base de données Mono'!D:D,0)),IF(AND(E666="Gaz",M666="Mi-saison"),INDEX('Base de données Mono'!#REF!,MATCH(B666,'Base de données Mono'!D:D,0)),IF(AND(E666="Gaz",M666="Eté"),INDEX('Base de données Mono'!#REF!,MATCH(B666,'Base de données Mono'!D:D,0)),"-"))))))</f>
        <v>85</v>
      </c>
      <c r="O666" s="123">
        <v>45387</v>
      </c>
      <c r="P666" s="123">
        <v>45388</v>
      </c>
      <c r="Q666" s="34">
        <v>150</v>
      </c>
      <c r="R666" s="33">
        <f t="shared" si="75"/>
        <v>65</v>
      </c>
      <c r="S666" s="34">
        <v>1</v>
      </c>
      <c r="T666" s="34">
        <f t="shared" si="76"/>
        <v>1</v>
      </c>
      <c r="U666" s="33">
        <f t="shared" si="77"/>
        <v>65</v>
      </c>
      <c r="V666" s="38" t="s">
        <v>827</v>
      </c>
      <c r="W666" s="39">
        <f t="shared" si="78"/>
        <v>0.76470588235294112</v>
      </c>
      <c r="X666" s="40" t="s">
        <v>304</v>
      </c>
      <c r="Y666" s="40" t="s">
        <v>283</v>
      </c>
      <c r="Z666" s="40" t="s">
        <v>749</v>
      </c>
      <c r="AA666" s="33" t="s">
        <v>749</v>
      </c>
      <c r="AB666" s="95"/>
      <c r="AC666" s="95"/>
    </row>
    <row r="667" spans="1:29" ht="14.45" hidden="1" customHeight="1" x14ac:dyDescent="0.25">
      <c r="A667" s="36" t="str">
        <f>INDEX('Base de données Mono'!C:C,MATCH(B667,'Base de données Mono'!D:D,0))</f>
        <v>LA GARENNE</v>
      </c>
      <c r="B667" t="s">
        <v>363</v>
      </c>
      <c r="C667" s="36" t="str">
        <f>INDEX('Base de données Mono'!B:B,MATCH(B667,'Base de données Mono'!D:D,0))</f>
        <v>Monoprix</v>
      </c>
      <c r="D667" s="36" t="str">
        <f>INDEX('Base de données Mono'!A:A,MATCH(B667,'Base de données Mono'!D:D,0))</f>
        <v>AD</v>
      </c>
      <c r="E667" s="37" t="s">
        <v>303</v>
      </c>
      <c r="F667" s="41">
        <f t="shared" si="73"/>
        <v>14</v>
      </c>
      <c r="G667" s="41">
        <f t="shared" si="74"/>
        <v>4</v>
      </c>
      <c r="H667">
        <v>8</v>
      </c>
      <c r="I667" s="131">
        <f>INDEX('Base de données Mono'!K:K,MATCH(B667,'Base de données Mono'!D:D,0))</f>
        <v>0.23611111111111113</v>
      </c>
      <c r="J667" s="131">
        <f>INDEX('Base de données Mono'!L:L,MATCH(B667,'Base de données Mono'!D:D,0))</f>
        <v>0.90277777777777779</v>
      </c>
      <c r="K667" s="131">
        <f>INDEX('Base de données Mono'!M:M,MATCH(B667,'Base de données Mono'!D:D,0))</f>
        <v>0.27083333333333331</v>
      </c>
      <c r="L667" s="131">
        <f>INDEX('Base de données Mono'!N:N,MATCH(B667,'Base de données Mono'!D:D,0))</f>
        <v>0.82638888888888884</v>
      </c>
      <c r="M667" s="33" t="s">
        <v>46</v>
      </c>
      <c r="N667" s="33">
        <f>IF(AND(E667="Electricité",M667="Hiver"),INDEX('Base de données Mono'!E:E,MATCH(B667,'Base de données Mono'!D:D,0)),IF(AND(E667="Electricité",M667="Mi-saison"),INDEX('Base de données Mono'!F:F,MATCH(B667,'Base de données Mono'!D:D,0)),IF(AND(E667="Electricité",M667="Eté"),INDEX('Base de données Mono'!G:G,MATCH(B667,'Base de données Mono'!D:D,0)),IF(AND(E667="Gaz",M667="Hiver"),INDEX('Base de données Mono'!J:J,MATCH(B667,'Base de données Mono'!D:D,0)),IF(AND(E667="Gaz",M667="Mi-saison"),INDEX('Base de données Mono'!#REF!,MATCH(B667,'Base de données Mono'!D:D,0)),IF(AND(E667="Gaz",M667="Eté"),INDEX('Base de données Mono'!#REF!,MATCH(B667,'Base de données Mono'!D:D,0)),"-"))))))</f>
        <v>85</v>
      </c>
      <c r="O667" s="123">
        <v>45388</v>
      </c>
      <c r="P667" s="123">
        <v>45389</v>
      </c>
      <c r="Q667" s="34">
        <v>90</v>
      </c>
      <c r="R667" s="33">
        <f t="shared" si="75"/>
        <v>5</v>
      </c>
      <c r="S667" s="34">
        <v>7</v>
      </c>
      <c r="T667" s="34">
        <f t="shared" si="76"/>
        <v>1</v>
      </c>
      <c r="U667" s="33">
        <f t="shared" si="77"/>
        <v>35</v>
      </c>
      <c r="V667" s="38" t="s">
        <v>827</v>
      </c>
      <c r="W667" s="39">
        <f t="shared" si="78"/>
        <v>5.8823529411764705E-2</v>
      </c>
      <c r="X667" s="40" t="s">
        <v>304</v>
      </c>
      <c r="Y667" s="40" t="s">
        <v>283</v>
      </c>
      <c r="Z667" s="40" t="s">
        <v>749</v>
      </c>
      <c r="AA667" s="33" t="s">
        <v>749</v>
      </c>
      <c r="AB667" s="95"/>
      <c r="AC667" s="95"/>
    </row>
    <row r="668" spans="1:29" ht="14.45" hidden="1" customHeight="1" x14ac:dyDescent="0.25">
      <c r="A668" s="36" t="str">
        <f>INDEX('Base de données Mono'!C:C,MATCH(B668,'Base de données Mono'!D:D,0))</f>
        <v>Dames</v>
      </c>
      <c r="B668" t="s">
        <v>478</v>
      </c>
      <c r="C668" s="36" t="str">
        <f>INDEX('Base de données Mono'!B:B,MATCH(B668,'Base de données Mono'!D:D,0))</f>
        <v>Monoprix</v>
      </c>
      <c r="D668" s="36" t="str">
        <f>INDEX('Base de données Mono'!A:A,MATCH(B668,'Base de données Mono'!D:D,0))</f>
        <v>AD</v>
      </c>
      <c r="E668" s="37" t="s">
        <v>303</v>
      </c>
      <c r="F668" s="41">
        <f t="shared" si="73"/>
        <v>14</v>
      </c>
      <c r="G668" s="41">
        <f t="shared" si="74"/>
        <v>4</v>
      </c>
      <c r="H668">
        <v>6.67</v>
      </c>
      <c r="I668" s="131">
        <f>INDEX('Base de données Mono'!K:K,MATCH(B668,'Base de données Mono'!D:D,0))</f>
        <v>0.22916666666666666</v>
      </c>
      <c r="J668" s="131">
        <f>INDEX('Base de données Mono'!L:L,MATCH(B668,'Base de données Mono'!D:D,0))</f>
        <v>0.95138888888888884</v>
      </c>
      <c r="K668" s="131">
        <f>INDEX('Base de données Mono'!M:M,MATCH(B668,'Base de données Mono'!D:D,0))</f>
        <v>0.28472222222222221</v>
      </c>
      <c r="L668" s="131">
        <f>INDEX('Base de données Mono'!N:N,MATCH(B668,'Base de données Mono'!D:D,0))</f>
        <v>0.98611111111111116</v>
      </c>
      <c r="M668" s="33" t="s">
        <v>46</v>
      </c>
      <c r="N668" s="33">
        <f>IF(AND(E668="Electricité",M668="Hiver"),INDEX('Base de données Mono'!E:E,MATCH(B668,'Base de données Mono'!D:D,0)),IF(AND(E668="Electricité",M668="Mi-saison"),INDEX('Base de données Mono'!F:F,MATCH(B668,'Base de données Mono'!D:D,0)),IF(AND(E668="Electricité",M668="Eté"),INDEX('Base de données Mono'!G:G,MATCH(B668,'Base de données Mono'!D:D,0)),IF(AND(E668="Gaz",M668="Hiver"),INDEX('Base de données Mono'!J:J,MATCH(B668,'Base de données Mono'!D:D,0)),IF(AND(E668="Gaz",M668="Mi-saison"),INDEX('Base de données Mono'!#REF!,MATCH(B668,'Base de données Mono'!D:D,0)),IF(AND(E668="Gaz",M668="Eté"),INDEX('Base de données Mono'!#REF!,MATCH(B668,'Base de données Mono'!D:D,0)),"-"))))))</f>
        <v>55</v>
      </c>
      <c r="O668" s="123">
        <v>45383</v>
      </c>
      <c r="P668" s="123">
        <v>45388</v>
      </c>
      <c r="Q668" s="34">
        <v>105</v>
      </c>
      <c r="R668" s="33">
        <f t="shared" si="75"/>
        <v>50</v>
      </c>
      <c r="S668" s="34">
        <v>1</v>
      </c>
      <c r="T668" s="34">
        <f t="shared" si="76"/>
        <v>5</v>
      </c>
      <c r="U668" s="33">
        <f t="shared" si="77"/>
        <v>250</v>
      </c>
      <c r="V668" s="38" t="s">
        <v>827</v>
      </c>
      <c r="W668" s="39">
        <f t="shared" si="78"/>
        <v>0.90909090909090906</v>
      </c>
      <c r="X668" s="40" t="s">
        <v>304</v>
      </c>
      <c r="Y668" s="40" t="s">
        <v>283</v>
      </c>
      <c r="Z668" s="40" t="s">
        <v>749</v>
      </c>
      <c r="AA668" s="33" t="s">
        <v>749</v>
      </c>
      <c r="AB668" s="95"/>
      <c r="AC668" s="95"/>
    </row>
    <row r="669" spans="1:29" ht="14.45" hidden="1" customHeight="1" x14ac:dyDescent="0.25">
      <c r="A669" s="36" t="str">
        <f>INDEX('Base de données Mono'!C:C,MATCH(B669,'Base de données Mono'!D:D,0))</f>
        <v>Dames</v>
      </c>
      <c r="B669" t="s">
        <v>478</v>
      </c>
      <c r="C669" s="36" t="str">
        <f>INDEX('Base de données Mono'!B:B,MATCH(B669,'Base de données Mono'!D:D,0))</f>
        <v>Monoprix</v>
      </c>
      <c r="D669" s="36" t="str">
        <f>INDEX('Base de données Mono'!A:A,MATCH(B669,'Base de données Mono'!D:D,0))</f>
        <v>AD</v>
      </c>
      <c r="E669" s="37" t="s">
        <v>303</v>
      </c>
      <c r="F669" s="41">
        <f t="shared" si="73"/>
        <v>14</v>
      </c>
      <c r="G669" s="41">
        <f t="shared" si="74"/>
        <v>4</v>
      </c>
      <c r="H669">
        <v>6.67</v>
      </c>
      <c r="I669" s="131">
        <f>INDEX('Base de données Mono'!K:K,MATCH(B669,'Base de données Mono'!D:D,0))</f>
        <v>0.22916666666666666</v>
      </c>
      <c r="J669" s="131">
        <f>INDEX('Base de données Mono'!L:L,MATCH(B669,'Base de données Mono'!D:D,0))</f>
        <v>0.95138888888888884</v>
      </c>
      <c r="K669" s="131">
        <f>INDEX('Base de données Mono'!M:M,MATCH(B669,'Base de données Mono'!D:D,0))</f>
        <v>0.28472222222222221</v>
      </c>
      <c r="L669" s="131">
        <f>INDEX('Base de données Mono'!N:N,MATCH(B669,'Base de données Mono'!D:D,0))</f>
        <v>0.98611111111111116</v>
      </c>
      <c r="M669" s="33" t="s">
        <v>46</v>
      </c>
      <c r="N669" s="33">
        <f>IF(AND(E669="Electricité",M669="Hiver"),INDEX('Base de données Mono'!E:E,MATCH(B669,'Base de données Mono'!D:D,0)),IF(AND(E669="Electricité",M669="Mi-saison"),INDEX('Base de données Mono'!F:F,MATCH(B669,'Base de données Mono'!D:D,0)),IF(AND(E669="Electricité",M669="Eté"),INDEX('Base de données Mono'!G:G,MATCH(B669,'Base de données Mono'!D:D,0)),IF(AND(E669="Gaz",M669="Hiver"),INDEX('Base de données Mono'!J:J,MATCH(B669,'Base de données Mono'!D:D,0)),IF(AND(E669="Gaz",M669="Mi-saison"),INDEX('Base de données Mono'!#REF!,MATCH(B669,'Base de données Mono'!D:D,0)),IF(AND(E669="Gaz",M669="Eté"),INDEX('Base de données Mono'!#REF!,MATCH(B669,'Base de données Mono'!D:D,0)),"-"))))))</f>
        <v>55</v>
      </c>
      <c r="O669" s="123">
        <v>45385</v>
      </c>
      <c r="P669" s="123">
        <v>45389</v>
      </c>
      <c r="Q669" s="34">
        <v>95</v>
      </c>
      <c r="R669" s="33">
        <f t="shared" si="75"/>
        <v>40</v>
      </c>
      <c r="S669" s="34">
        <v>1</v>
      </c>
      <c r="T669" s="34">
        <f t="shared" si="76"/>
        <v>4</v>
      </c>
      <c r="U669" s="33">
        <f t="shared" si="77"/>
        <v>160</v>
      </c>
      <c r="V669" s="38" t="s">
        <v>827</v>
      </c>
      <c r="W669" s="39">
        <f t="shared" si="78"/>
        <v>0.72727272727272729</v>
      </c>
      <c r="X669" s="40" t="s">
        <v>304</v>
      </c>
      <c r="Y669" s="40" t="s">
        <v>283</v>
      </c>
      <c r="Z669" s="40" t="s">
        <v>749</v>
      </c>
      <c r="AA669" s="33" t="s">
        <v>749</v>
      </c>
      <c r="AB669" s="95"/>
      <c r="AC669" s="95"/>
    </row>
    <row r="670" spans="1:29" ht="14.45" hidden="1" customHeight="1" x14ac:dyDescent="0.25">
      <c r="A670" s="36" t="str">
        <f>INDEX('Base de données Mono'!C:C,MATCH(B670,'Base de données Mono'!D:D,0))</f>
        <v>SOLDAT LABOUREUR</v>
      </c>
      <c r="B670" t="s">
        <v>335</v>
      </c>
      <c r="C670" s="36" t="str">
        <f>INDEX('Base de données Mono'!B:B,MATCH(B670,'Base de données Mono'!D:D,0))</f>
        <v>Monoprix</v>
      </c>
      <c r="D670" s="36" t="str">
        <f>INDEX('Base de données Mono'!A:A,MATCH(B670,'Base de données Mono'!D:D,0))</f>
        <v>AD</v>
      </c>
      <c r="E670" s="37" t="s">
        <v>303</v>
      </c>
      <c r="F670" s="41">
        <f t="shared" si="73"/>
        <v>14</v>
      </c>
      <c r="G670" s="41">
        <f t="shared" si="74"/>
        <v>4</v>
      </c>
      <c r="H670">
        <v>8</v>
      </c>
      <c r="I670" s="131">
        <f>INDEX('Base de données Mono'!K:K,MATCH(B670,'Base de données Mono'!D:D,0))</f>
        <v>0.25</v>
      </c>
      <c r="J670" s="131">
        <f>INDEX('Base de données Mono'!L:L,MATCH(B670,'Base de données Mono'!D:D,0))</f>
        <v>0.91666666666666663</v>
      </c>
      <c r="K670" s="131">
        <f>INDEX('Base de données Mono'!M:M,MATCH(B670,'Base de données Mono'!D:D,0))</f>
        <v>0.25</v>
      </c>
      <c r="L670" s="131">
        <f>INDEX('Base de données Mono'!N:N,MATCH(B670,'Base de données Mono'!D:D,0))</f>
        <v>0.83333333333333337</v>
      </c>
      <c r="M670" s="33" t="s">
        <v>46</v>
      </c>
      <c r="N670" s="33">
        <f>IF(AND(E670="Electricité",M670="Hiver"),INDEX('Base de données Mono'!E:E,MATCH(B670,'Base de données Mono'!D:D,0)),IF(AND(E670="Electricité",M670="Mi-saison"),INDEX('Base de données Mono'!F:F,MATCH(B670,'Base de données Mono'!D:D,0)),IF(AND(E670="Electricité",M670="Eté"),INDEX('Base de données Mono'!G:G,MATCH(B670,'Base de données Mono'!D:D,0)),IF(AND(E670="Gaz",M670="Hiver"),INDEX('Base de données Mono'!J:J,MATCH(B670,'Base de données Mono'!D:D,0)),IF(AND(E670="Gaz",M670="Mi-saison"),INDEX('Base de données Mono'!#REF!,MATCH(B670,'Base de données Mono'!D:D,0)),IF(AND(E670="Gaz",M670="Eté"),INDEX('Base de données Mono'!#REF!,MATCH(B670,'Base de données Mono'!D:D,0)),"-"))))))</f>
        <v>35</v>
      </c>
      <c r="O670" s="123">
        <v>45383</v>
      </c>
      <c r="P670" s="123">
        <v>45386</v>
      </c>
      <c r="Q670" s="34">
        <v>55</v>
      </c>
      <c r="R670" s="33">
        <f t="shared" si="75"/>
        <v>20</v>
      </c>
      <c r="S670" s="34">
        <v>1</v>
      </c>
      <c r="T670" s="34">
        <f t="shared" si="76"/>
        <v>3</v>
      </c>
      <c r="U670" s="33">
        <f t="shared" si="77"/>
        <v>60</v>
      </c>
      <c r="V670" s="38" t="s">
        <v>827</v>
      </c>
      <c r="W670" s="39">
        <f t="shared" si="78"/>
        <v>0.5714285714285714</v>
      </c>
      <c r="X670" s="40" t="s">
        <v>304</v>
      </c>
      <c r="Y670" s="40" t="s">
        <v>283</v>
      </c>
      <c r="Z670" s="40" t="s">
        <v>749</v>
      </c>
      <c r="AA670" s="33" t="s">
        <v>749</v>
      </c>
      <c r="AB670" s="95"/>
      <c r="AC670" s="95"/>
    </row>
    <row r="671" spans="1:29" ht="14.45" hidden="1" customHeight="1" x14ac:dyDescent="0.25">
      <c r="A671" s="36" t="str">
        <f>INDEX('Base de données Mono'!C:C,MATCH(B671,'Base de données Mono'!D:D,0))</f>
        <v>SOLDAT LABOUREUR</v>
      </c>
      <c r="B671" t="s">
        <v>335</v>
      </c>
      <c r="C671" s="36" t="str">
        <f>INDEX('Base de données Mono'!B:B,MATCH(B671,'Base de données Mono'!D:D,0))</f>
        <v>Monoprix</v>
      </c>
      <c r="D671" s="36" t="str">
        <f>INDEX('Base de données Mono'!A:A,MATCH(B671,'Base de données Mono'!D:D,0))</f>
        <v>AD</v>
      </c>
      <c r="E671" s="37" t="s">
        <v>303</v>
      </c>
      <c r="F671" s="41">
        <f t="shared" si="73"/>
        <v>14</v>
      </c>
      <c r="G671" s="41">
        <f t="shared" si="74"/>
        <v>4</v>
      </c>
      <c r="H671">
        <v>8</v>
      </c>
      <c r="I671" s="131">
        <f>INDEX('Base de données Mono'!K:K,MATCH(B671,'Base de données Mono'!D:D,0))</f>
        <v>0.25</v>
      </c>
      <c r="J671" s="131">
        <f>INDEX('Base de données Mono'!L:L,MATCH(B671,'Base de données Mono'!D:D,0))</f>
        <v>0.91666666666666663</v>
      </c>
      <c r="K671" s="131">
        <f>INDEX('Base de données Mono'!M:M,MATCH(B671,'Base de données Mono'!D:D,0))</f>
        <v>0.25</v>
      </c>
      <c r="L671" s="131">
        <f>INDEX('Base de données Mono'!N:N,MATCH(B671,'Base de données Mono'!D:D,0))</f>
        <v>0.83333333333333337</v>
      </c>
      <c r="M671" s="33" t="s">
        <v>46</v>
      </c>
      <c r="N671" s="33">
        <f>IF(AND(E671="Electricité",M671="Hiver"),INDEX('Base de données Mono'!E:E,MATCH(B671,'Base de données Mono'!D:D,0)),IF(AND(E671="Electricité",M671="Mi-saison"),INDEX('Base de données Mono'!F:F,MATCH(B671,'Base de données Mono'!D:D,0)),IF(AND(E671="Electricité",M671="Eté"),INDEX('Base de données Mono'!G:G,MATCH(B671,'Base de données Mono'!D:D,0)),IF(AND(E671="Gaz",M671="Hiver"),INDEX('Base de données Mono'!J:J,MATCH(B671,'Base de données Mono'!D:D,0)),IF(AND(E671="Gaz",M671="Mi-saison"),INDEX('Base de données Mono'!#REF!,MATCH(B671,'Base de données Mono'!D:D,0)),IF(AND(E671="Gaz",M671="Eté"),INDEX('Base de données Mono'!#REF!,MATCH(B671,'Base de données Mono'!D:D,0)),"-"))))))</f>
        <v>35</v>
      </c>
      <c r="O671" s="123">
        <v>45386</v>
      </c>
      <c r="P671" s="123">
        <v>45389</v>
      </c>
      <c r="Q671" s="34">
        <v>45</v>
      </c>
      <c r="R671" s="33">
        <f t="shared" si="75"/>
        <v>10</v>
      </c>
      <c r="S671" s="34">
        <v>1</v>
      </c>
      <c r="T671" s="34">
        <f t="shared" si="76"/>
        <v>3</v>
      </c>
      <c r="U671" s="33">
        <f t="shared" si="77"/>
        <v>30</v>
      </c>
      <c r="V671" s="38" t="s">
        <v>827</v>
      </c>
      <c r="W671" s="39">
        <f t="shared" si="78"/>
        <v>0.2857142857142857</v>
      </c>
      <c r="X671" s="40" t="s">
        <v>304</v>
      </c>
      <c r="Y671" s="40" t="s">
        <v>283</v>
      </c>
      <c r="Z671" s="40" t="s">
        <v>749</v>
      </c>
      <c r="AA671" s="33" t="s">
        <v>749</v>
      </c>
      <c r="AB671" s="95"/>
      <c r="AC671" s="95"/>
    </row>
    <row r="672" spans="1:29" ht="14.45" hidden="1" customHeight="1" x14ac:dyDescent="0.25">
      <c r="A672" s="36" t="str">
        <f>INDEX('Base de données Mono'!C:C,MATCH(B672,'Base de données Mono'!D:D,0))</f>
        <v>SOLDAT LABOUREUR</v>
      </c>
      <c r="B672" t="s">
        <v>335</v>
      </c>
      <c r="C672" s="36" t="str">
        <f>INDEX('Base de données Mono'!B:B,MATCH(B672,'Base de données Mono'!D:D,0))</f>
        <v>Monoprix</v>
      </c>
      <c r="D672" s="36" t="str">
        <f>INDEX('Base de données Mono'!A:A,MATCH(B672,'Base de données Mono'!D:D,0))</f>
        <v>AD</v>
      </c>
      <c r="E672" s="37" t="s">
        <v>303</v>
      </c>
      <c r="F672" s="41">
        <f t="shared" si="73"/>
        <v>14</v>
      </c>
      <c r="G672" s="41">
        <f t="shared" si="74"/>
        <v>4</v>
      </c>
      <c r="H672">
        <v>8</v>
      </c>
      <c r="I672" s="131">
        <f>INDEX('Base de données Mono'!K:K,MATCH(B672,'Base de données Mono'!D:D,0))</f>
        <v>0.25</v>
      </c>
      <c r="J672" s="131">
        <f>INDEX('Base de données Mono'!L:L,MATCH(B672,'Base de données Mono'!D:D,0))</f>
        <v>0.91666666666666663</v>
      </c>
      <c r="K672" s="131">
        <f>INDEX('Base de données Mono'!M:M,MATCH(B672,'Base de données Mono'!D:D,0))</f>
        <v>0.25</v>
      </c>
      <c r="L672" s="131">
        <f>INDEX('Base de données Mono'!N:N,MATCH(B672,'Base de données Mono'!D:D,0))</f>
        <v>0.83333333333333337</v>
      </c>
      <c r="M672" s="33" t="s">
        <v>46</v>
      </c>
      <c r="N672" s="33">
        <f>IF(AND(E672="Electricité",M672="Hiver"),INDEX('Base de données Mono'!E:E,MATCH(B672,'Base de données Mono'!D:D,0)),IF(AND(E672="Electricité",M672="Mi-saison"),INDEX('Base de données Mono'!F:F,MATCH(B672,'Base de données Mono'!D:D,0)),IF(AND(E672="Electricité",M672="Eté"),INDEX('Base de données Mono'!G:G,MATCH(B672,'Base de données Mono'!D:D,0)),IF(AND(E672="Gaz",M672="Hiver"),INDEX('Base de données Mono'!J:J,MATCH(B672,'Base de données Mono'!D:D,0)),IF(AND(E672="Gaz",M672="Mi-saison"),INDEX('Base de données Mono'!#REF!,MATCH(B672,'Base de données Mono'!D:D,0)),IF(AND(E672="Gaz",M672="Eté"),INDEX('Base de données Mono'!#REF!,MATCH(B672,'Base de données Mono'!D:D,0)),"-"))))))</f>
        <v>35</v>
      </c>
      <c r="O672" s="123">
        <v>45386</v>
      </c>
      <c r="P672" s="123">
        <v>45388</v>
      </c>
      <c r="Q672" s="34">
        <v>65</v>
      </c>
      <c r="R672" s="33">
        <f t="shared" si="75"/>
        <v>30</v>
      </c>
      <c r="S672" s="34">
        <v>1</v>
      </c>
      <c r="T672" s="34">
        <f t="shared" si="76"/>
        <v>2</v>
      </c>
      <c r="U672" s="33">
        <f t="shared" si="77"/>
        <v>60</v>
      </c>
      <c r="V672" s="38" t="s">
        <v>827</v>
      </c>
      <c r="W672" s="39">
        <f t="shared" si="78"/>
        <v>0.8571428571428571</v>
      </c>
      <c r="X672" s="40" t="s">
        <v>304</v>
      </c>
      <c r="Y672" s="40" t="s">
        <v>283</v>
      </c>
      <c r="Z672" s="40" t="s">
        <v>749</v>
      </c>
      <c r="AA672" s="33" t="s">
        <v>749</v>
      </c>
      <c r="AB672" s="95"/>
      <c r="AC672" s="95"/>
    </row>
    <row r="673" spans="1:29" ht="14.45" hidden="1" customHeight="1" x14ac:dyDescent="0.25">
      <c r="A673" s="36" t="str">
        <f>INDEX('Base de données Mono'!C:C,MATCH(B673,'Base de données Mono'!D:D,0))</f>
        <v>RAMBOUILLET</v>
      </c>
      <c r="B673" t="s">
        <v>359</v>
      </c>
      <c r="C673" s="36" t="str">
        <f>INDEX('Base de données Mono'!B:B,MATCH(B673,'Base de données Mono'!D:D,0))</f>
        <v>Monoprix</v>
      </c>
      <c r="D673" s="36" t="str">
        <f>INDEX('Base de données Mono'!A:A,MATCH(B673,'Base de données Mono'!D:D,0))</f>
        <v>AD</v>
      </c>
      <c r="E673" s="37" t="s">
        <v>303</v>
      </c>
      <c r="F673" s="41">
        <f t="shared" si="73"/>
        <v>14</v>
      </c>
      <c r="G673" s="41">
        <f t="shared" si="74"/>
        <v>4</v>
      </c>
      <c r="H673">
        <v>6.83</v>
      </c>
      <c r="I673" s="131">
        <f>INDEX('Base de données Mono'!K:K,MATCH(B673,'Base de données Mono'!D:D,0))</f>
        <v>0.20833333333333334</v>
      </c>
      <c r="J673" s="131">
        <f>INDEX('Base de données Mono'!L:L,MATCH(B673,'Base de données Mono'!D:D,0))</f>
        <v>0.92361111111111116</v>
      </c>
      <c r="K673" s="131">
        <f>INDEX('Base de données Mono'!M:M,MATCH(B673,'Base de données Mono'!D:D,0))</f>
        <v>0.20833333333333334</v>
      </c>
      <c r="L673" s="131">
        <f>INDEX('Base de données Mono'!N:N,MATCH(B673,'Base de données Mono'!D:D,0))</f>
        <v>0.83333333333333337</v>
      </c>
      <c r="M673" s="33" t="s">
        <v>46</v>
      </c>
      <c r="N673" s="33">
        <f>IF(AND(E673="Electricité",M673="Hiver"),INDEX('Base de données Mono'!E:E,MATCH(B673,'Base de données Mono'!D:D,0)),IF(AND(E673="Electricité",M673="Mi-saison"),INDEX('Base de données Mono'!F:F,MATCH(B673,'Base de données Mono'!D:D,0)),IF(AND(E673="Electricité",M673="Eté"),INDEX('Base de données Mono'!G:G,MATCH(B673,'Base de données Mono'!D:D,0)),IF(AND(E673="Gaz",M673="Hiver"),INDEX('Base de données Mono'!J:J,MATCH(B673,'Base de données Mono'!D:D,0)),IF(AND(E673="Gaz",M673="Mi-saison"),INDEX('Base de données Mono'!#REF!,MATCH(B673,'Base de données Mono'!D:D,0)),IF(AND(E673="Gaz",M673="Eté"),INDEX('Base de données Mono'!#REF!,MATCH(B673,'Base de données Mono'!D:D,0)),"-"))))))</f>
        <v>50</v>
      </c>
      <c r="O673" s="123">
        <v>45383</v>
      </c>
      <c r="P673" s="123">
        <v>45387</v>
      </c>
      <c r="Q673" s="34">
        <v>70</v>
      </c>
      <c r="R673" s="33">
        <f t="shared" si="75"/>
        <v>20</v>
      </c>
      <c r="S673" s="34">
        <v>1</v>
      </c>
      <c r="T673" s="34">
        <f t="shared" si="76"/>
        <v>4</v>
      </c>
      <c r="U673" s="33">
        <f t="shared" si="77"/>
        <v>80</v>
      </c>
      <c r="V673" s="38" t="s">
        <v>827</v>
      </c>
      <c r="W673" s="39">
        <f t="shared" si="78"/>
        <v>0.4</v>
      </c>
      <c r="X673" s="40" t="s">
        <v>304</v>
      </c>
      <c r="Y673" s="40" t="s">
        <v>283</v>
      </c>
      <c r="Z673" s="40" t="s">
        <v>749</v>
      </c>
      <c r="AA673" s="33" t="s">
        <v>749</v>
      </c>
      <c r="AB673" s="95"/>
      <c r="AC673" s="95"/>
    </row>
    <row r="674" spans="1:29" ht="14.45" hidden="1" customHeight="1" x14ac:dyDescent="0.25">
      <c r="A674" s="36" t="str">
        <f>INDEX('Base de données Mono'!C:C,MATCH(B674,'Base de données Mono'!D:D,0))</f>
        <v>LUNEVILLE</v>
      </c>
      <c r="B674" t="s">
        <v>165</v>
      </c>
      <c r="C674" s="36" t="str">
        <f>INDEX('Base de données Mono'!B:B,MATCH(B674,'Base de données Mono'!D:D,0))</f>
        <v>Monoprix</v>
      </c>
      <c r="D674" s="36" t="str">
        <f>INDEX('Base de données Mono'!A:A,MATCH(B674,'Base de données Mono'!D:D,0))</f>
        <v>JG</v>
      </c>
      <c r="E674" s="37" t="s">
        <v>303</v>
      </c>
      <c r="F674" s="41">
        <f t="shared" si="73"/>
        <v>14</v>
      </c>
      <c r="G674" s="41">
        <f t="shared" si="74"/>
        <v>4</v>
      </c>
      <c r="H674">
        <v>11.33</v>
      </c>
      <c r="I674" s="131">
        <f>INDEX('Base de données Mono'!K:K,MATCH(B674,'Base de données Mono'!D:D,0))</f>
        <v>0.30555555555555552</v>
      </c>
      <c r="J674" s="131">
        <f>INDEX('Base de données Mono'!L:L,MATCH(B674,'Base de données Mono'!D:D,0))</f>
        <v>0.83333333333333337</v>
      </c>
      <c r="K674" s="131">
        <f>INDEX('Base de données Mono'!M:M,MATCH(B674,'Base de données Mono'!D:D,0))</f>
        <v>0.33333333333333331</v>
      </c>
      <c r="L674" s="131">
        <f>INDEX('Base de données Mono'!N:N,MATCH(B674,'Base de données Mono'!D:D,0))</f>
        <v>0.54166666666666663</v>
      </c>
      <c r="M674" s="33" t="s">
        <v>46</v>
      </c>
      <c r="N674" s="33">
        <f>IF(AND(E674="Electricité",M674="Hiver"),INDEX('Base de données Mono'!E:E,MATCH(B674,'Base de données Mono'!D:D,0)),IF(AND(E674="Electricité",M674="Mi-saison"),INDEX('Base de données Mono'!F:F,MATCH(B674,'Base de données Mono'!D:D,0)),IF(AND(E674="Electricité",M674="Eté"),INDEX('Base de données Mono'!G:G,MATCH(B674,'Base de données Mono'!D:D,0)),IF(AND(E674="Gaz",M674="Hiver"),INDEX('Base de données Mono'!J:J,MATCH(B674,'Base de données Mono'!D:D,0)),IF(AND(E674="Gaz",M674="Mi-saison"),INDEX('Base de données Mono'!#REF!,MATCH(B674,'Base de données Mono'!D:D,0)),IF(AND(E674="Gaz",M674="Eté"),INDEX('Base de données Mono'!#REF!,MATCH(B674,'Base de données Mono'!D:D,0)),"-"))))))</f>
        <v>30</v>
      </c>
      <c r="O674" s="123">
        <v>45385</v>
      </c>
      <c r="P674" s="123">
        <v>45386</v>
      </c>
      <c r="Q674" s="34">
        <v>35</v>
      </c>
      <c r="R674" s="33">
        <f t="shared" si="75"/>
        <v>5</v>
      </c>
      <c r="S674" s="34">
        <v>2</v>
      </c>
      <c r="T674" s="34">
        <f t="shared" si="76"/>
        <v>1</v>
      </c>
      <c r="U674" s="33">
        <f t="shared" si="77"/>
        <v>10</v>
      </c>
      <c r="V674" s="38" t="s">
        <v>827</v>
      </c>
      <c r="W674" s="39">
        <f t="shared" si="78"/>
        <v>0.16666666666666666</v>
      </c>
      <c r="X674" s="40" t="s">
        <v>304</v>
      </c>
      <c r="Y674" s="40" t="s">
        <v>283</v>
      </c>
      <c r="Z674" s="40" t="s">
        <v>749</v>
      </c>
      <c r="AA674" s="33" t="s">
        <v>749</v>
      </c>
      <c r="AB674" s="95"/>
      <c r="AC674" s="95"/>
    </row>
    <row r="675" spans="1:29" ht="14.45" hidden="1" customHeight="1" x14ac:dyDescent="0.25">
      <c r="A675" s="36" t="str">
        <f>INDEX('Base de données Mono'!C:C,MATCH(B675,'Base de données Mono'!D:D,0))</f>
        <v>SAINT OUEN</v>
      </c>
      <c r="B675" t="s">
        <v>367</v>
      </c>
      <c r="C675" s="36" t="str">
        <f>INDEX('Base de données Mono'!B:B,MATCH(B675,'Base de données Mono'!D:D,0))</f>
        <v>Monoprix</v>
      </c>
      <c r="D675" s="36" t="str">
        <f>INDEX('Base de données Mono'!A:A,MATCH(B675,'Base de données Mono'!D:D,0))</f>
        <v>JG</v>
      </c>
      <c r="E675" s="37" t="s">
        <v>303</v>
      </c>
      <c r="F675" s="41">
        <f t="shared" si="73"/>
        <v>14</v>
      </c>
      <c r="G675" s="41">
        <f t="shared" si="74"/>
        <v>4</v>
      </c>
      <c r="H675">
        <v>8.17</v>
      </c>
      <c r="I675" s="131">
        <f>INDEX('Base de données Mono'!K:K,MATCH(B675,'Base de données Mono'!D:D,0))</f>
        <v>0.25</v>
      </c>
      <c r="J675" s="131">
        <f>INDEX('Base de données Mono'!L:L,MATCH(B675,'Base de données Mono'!D:D,0))</f>
        <v>0.90972222222222221</v>
      </c>
      <c r="K675" s="131">
        <f>INDEX('Base de données Mono'!M:M,MATCH(B675,'Base de données Mono'!D:D,0))</f>
        <v>0.29166666666666669</v>
      </c>
      <c r="L675" s="131">
        <f>INDEX('Base de données Mono'!N:N,MATCH(B675,'Base de données Mono'!D:D,0))</f>
        <v>0.83333333333333337</v>
      </c>
      <c r="M675" s="33" t="s">
        <v>46</v>
      </c>
      <c r="N675" s="33">
        <f>IF(AND(E675="Electricité",M675="Hiver"),INDEX('Base de données Mono'!E:E,MATCH(B675,'Base de données Mono'!D:D,0)),IF(AND(E675="Electricité",M675="Mi-saison"),INDEX('Base de données Mono'!F:F,MATCH(B675,'Base de données Mono'!D:D,0)),IF(AND(E675="Electricité",M675="Eté"),INDEX('Base de données Mono'!G:G,MATCH(B675,'Base de données Mono'!D:D,0)),IF(AND(E675="Gaz",M675="Hiver"),INDEX('Base de données Mono'!J:J,MATCH(B675,'Base de données Mono'!D:D,0)),IF(AND(E675="Gaz",M675="Mi-saison"),INDEX('Base de données Mono'!#REF!,MATCH(B675,'Base de données Mono'!D:D,0)),IF(AND(E675="Gaz",M675="Eté"),INDEX('Base de données Mono'!#REF!,MATCH(B675,'Base de données Mono'!D:D,0)),"-"))))))</f>
        <v>55</v>
      </c>
      <c r="O675" s="123">
        <v>45383</v>
      </c>
      <c r="P675" s="123">
        <v>45384</v>
      </c>
      <c r="Q675" s="34">
        <v>70</v>
      </c>
      <c r="R675" s="33">
        <f t="shared" si="75"/>
        <v>15</v>
      </c>
      <c r="S675" s="34">
        <v>1</v>
      </c>
      <c r="T675" s="34">
        <f t="shared" si="76"/>
        <v>1</v>
      </c>
      <c r="U675" s="33">
        <f t="shared" si="77"/>
        <v>15</v>
      </c>
      <c r="V675" s="38" t="s">
        <v>827</v>
      </c>
      <c r="W675" s="39">
        <f t="shared" si="78"/>
        <v>0.27272727272727271</v>
      </c>
      <c r="X675" s="40" t="s">
        <v>304</v>
      </c>
      <c r="Y675" s="40" t="s">
        <v>283</v>
      </c>
      <c r="Z675" s="40" t="s">
        <v>749</v>
      </c>
      <c r="AA675" s="33" t="s">
        <v>749</v>
      </c>
      <c r="AB675" s="95"/>
      <c r="AC675" s="95"/>
    </row>
    <row r="676" spans="1:29" ht="14.45" hidden="1" customHeight="1" x14ac:dyDescent="0.25">
      <c r="A676" s="36" t="str">
        <f>INDEX('Base de données Mono'!C:C,MATCH(B676,'Base de données Mono'!D:D,0))</f>
        <v>SAINT OUEN</v>
      </c>
      <c r="B676" t="s">
        <v>367</v>
      </c>
      <c r="C676" s="36" t="str">
        <f>INDEX('Base de données Mono'!B:B,MATCH(B676,'Base de données Mono'!D:D,0))</f>
        <v>Monoprix</v>
      </c>
      <c r="D676" s="36" t="str">
        <f>INDEX('Base de données Mono'!A:A,MATCH(B676,'Base de données Mono'!D:D,0))</f>
        <v>JG</v>
      </c>
      <c r="E676" s="37" t="s">
        <v>303</v>
      </c>
      <c r="F676" s="41">
        <f t="shared" si="73"/>
        <v>14</v>
      </c>
      <c r="G676" s="41">
        <f t="shared" si="74"/>
        <v>4</v>
      </c>
      <c r="H676">
        <v>8.17</v>
      </c>
      <c r="I676" s="131">
        <f>INDEX('Base de données Mono'!K:K,MATCH(B676,'Base de données Mono'!D:D,0))</f>
        <v>0.25</v>
      </c>
      <c r="J676" s="131">
        <f>INDEX('Base de données Mono'!L:L,MATCH(B676,'Base de données Mono'!D:D,0))</f>
        <v>0.90972222222222221</v>
      </c>
      <c r="K676" s="131">
        <f>INDEX('Base de données Mono'!M:M,MATCH(B676,'Base de données Mono'!D:D,0))</f>
        <v>0.29166666666666669</v>
      </c>
      <c r="L676" s="131">
        <f>INDEX('Base de données Mono'!N:N,MATCH(B676,'Base de données Mono'!D:D,0))</f>
        <v>0.83333333333333337</v>
      </c>
      <c r="M676" s="33" t="s">
        <v>46</v>
      </c>
      <c r="N676" s="33">
        <f>IF(AND(E676="Electricité",M676="Hiver"),INDEX('Base de données Mono'!E:E,MATCH(B676,'Base de données Mono'!D:D,0)),IF(AND(E676="Electricité",M676="Mi-saison"),INDEX('Base de données Mono'!F:F,MATCH(B676,'Base de données Mono'!D:D,0)),IF(AND(E676="Electricité",M676="Eté"),INDEX('Base de données Mono'!G:G,MATCH(B676,'Base de données Mono'!D:D,0)),IF(AND(E676="Gaz",M676="Hiver"),INDEX('Base de données Mono'!J:J,MATCH(B676,'Base de données Mono'!D:D,0)),IF(AND(E676="Gaz",M676="Mi-saison"),INDEX('Base de données Mono'!#REF!,MATCH(B676,'Base de données Mono'!D:D,0)),IF(AND(E676="Gaz",M676="Eté"),INDEX('Base de données Mono'!#REF!,MATCH(B676,'Base de données Mono'!D:D,0)),"-"))))))</f>
        <v>55</v>
      </c>
      <c r="O676" s="123">
        <v>45383</v>
      </c>
      <c r="P676" s="123">
        <v>45385</v>
      </c>
      <c r="Q676" s="34">
        <v>75</v>
      </c>
      <c r="R676" s="33">
        <f t="shared" si="75"/>
        <v>20</v>
      </c>
      <c r="S676" s="34">
        <v>1</v>
      </c>
      <c r="T676" s="34">
        <f t="shared" si="76"/>
        <v>2</v>
      </c>
      <c r="U676" s="33">
        <f t="shared" si="77"/>
        <v>40</v>
      </c>
      <c r="V676" s="38" t="s">
        <v>827</v>
      </c>
      <c r="W676" s="39">
        <f t="shared" si="78"/>
        <v>0.36363636363636365</v>
      </c>
      <c r="X676" s="40" t="s">
        <v>304</v>
      </c>
      <c r="Y676" s="40" t="s">
        <v>283</v>
      </c>
      <c r="Z676" s="40" t="s">
        <v>749</v>
      </c>
      <c r="AA676" s="33" t="s">
        <v>749</v>
      </c>
      <c r="AB676" s="95"/>
      <c r="AC676" s="95"/>
    </row>
    <row r="677" spans="1:29" ht="14.45" hidden="1" customHeight="1" x14ac:dyDescent="0.25">
      <c r="A677" s="36" t="str">
        <f>INDEX('Base de données Mono'!C:C,MATCH(B677,'Base de données Mono'!D:D,0))</f>
        <v>SAINT OUEN</v>
      </c>
      <c r="B677" t="s">
        <v>367</v>
      </c>
      <c r="C677" s="36" t="str">
        <f>INDEX('Base de données Mono'!B:B,MATCH(B677,'Base de données Mono'!D:D,0))</f>
        <v>Monoprix</v>
      </c>
      <c r="D677" s="36" t="str">
        <f>INDEX('Base de données Mono'!A:A,MATCH(B677,'Base de données Mono'!D:D,0))</f>
        <v>JG</v>
      </c>
      <c r="E677" s="37" t="s">
        <v>303</v>
      </c>
      <c r="F677" s="41">
        <f t="shared" si="73"/>
        <v>14</v>
      </c>
      <c r="G677" s="41">
        <f t="shared" si="74"/>
        <v>4</v>
      </c>
      <c r="H677">
        <v>8.17</v>
      </c>
      <c r="I677" s="131">
        <f>INDEX('Base de données Mono'!K:K,MATCH(B677,'Base de données Mono'!D:D,0))</f>
        <v>0.25</v>
      </c>
      <c r="J677" s="131">
        <f>INDEX('Base de données Mono'!L:L,MATCH(B677,'Base de données Mono'!D:D,0))</f>
        <v>0.90972222222222221</v>
      </c>
      <c r="K677" s="131">
        <f>INDEX('Base de données Mono'!M:M,MATCH(B677,'Base de données Mono'!D:D,0))</f>
        <v>0.29166666666666669</v>
      </c>
      <c r="L677" s="131">
        <f>INDEX('Base de données Mono'!N:N,MATCH(B677,'Base de données Mono'!D:D,0))</f>
        <v>0.83333333333333337</v>
      </c>
      <c r="M677" s="33" t="s">
        <v>46</v>
      </c>
      <c r="N677" s="33">
        <f>IF(AND(E677="Electricité",M677="Hiver"),INDEX('Base de données Mono'!E:E,MATCH(B677,'Base de données Mono'!D:D,0)),IF(AND(E677="Electricité",M677="Mi-saison"),INDEX('Base de données Mono'!F:F,MATCH(B677,'Base de données Mono'!D:D,0)),IF(AND(E677="Electricité",M677="Eté"),INDEX('Base de données Mono'!G:G,MATCH(B677,'Base de données Mono'!D:D,0)),IF(AND(E677="Gaz",M677="Hiver"),INDEX('Base de données Mono'!J:J,MATCH(B677,'Base de données Mono'!D:D,0)),IF(AND(E677="Gaz",M677="Mi-saison"),INDEX('Base de données Mono'!#REF!,MATCH(B677,'Base de données Mono'!D:D,0)),IF(AND(E677="Gaz",M677="Eté"),INDEX('Base de données Mono'!#REF!,MATCH(B677,'Base de données Mono'!D:D,0)),"-"))))))</f>
        <v>55</v>
      </c>
      <c r="O677" s="123">
        <v>45383</v>
      </c>
      <c r="P677" s="123">
        <v>45384</v>
      </c>
      <c r="Q677" s="34">
        <v>90</v>
      </c>
      <c r="R677" s="33">
        <f t="shared" si="75"/>
        <v>35</v>
      </c>
      <c r="S677" s="34">
        <v>1</v>
      </c>
      <c r="T677" s="34">
        <f t="shared" si="76"/>
        <v>1</v>
      </c>
      <c r="U677" s="33">
        <f t="shared" si="77"/>
        <v>35</v>
      </c>
      <c r="V677" s="38" t="s">
        <v>827</v>
      </c>
      <c r="W677" s="39">
        <f t="shared" si="78"/>
        <v>0.63636363636363635</v>
      </c>
      <c r="X677" s="40" t="s">
        <v>304</v>
      </c>
      <c r="Y677" s="40" t="s">
        <v>283</v>
      </c>
      <c r="Z677" s="40" t="s">
        <v>749</v>
      </c>
      <c r="AA677" s="33" t="s">
        <v>749</v>
      </c>
      <c r="AB677" s="95"/>
      <c r="AC677" s="95"/>
    </row>
    <row r="678" spans="1:29" ht="14.45" hidden="1" customHeight="1" x14ac:dyDescent="0.25">
      <c r="A678" s="36" t="str">
        <f>INDEX('Base de données Mono'!C:C,MATCH(B678,'Base de données Mono'!D:D,0))</f>
        <v>SAINT OUEN</v>
      </c>
      <c r="B678" t="s">
        <v>367</v>
      </c>
      <c r="C678" s="36" t="str">
        <f>INDEX('Base de données Mono'!B:B,MATCH(B678,'Base de données Mono'!D:D,0))</f>
        <v>Monoprix</v>
      </c>
      <c r="D678" s="36" t="str">
        <f>INDEX('Base de données Mono'!A:A,MATCH(B678,'Base de données Mono'!D:D,0))</f>
        <v>JG</v>
      </c>
      <c r="E678" s="37" t="s">
        <v>303</v>
      </c>
      <c r="F678" s="41">
        <f t="shared" si="73"/>
        <v>14</v>
      </c>
      <c r="G678" s="41">
        <f t="shared" si="74"/>
        <v>4</v>
      </c>
      <c r="H678">
        <v>8.17</v>
      </c>
      <c r="I678" s="131">
        <f>INDEX('Base de données Mono'!K:K,MATCH(B678,'Base de données Mono'!D:D,0))</f>
        <v>0.25</v>
      </c>
      <c r="J678" s="131">
        <f>INDEX('Base de données Mono'!L:L,MATCH(B678,'Base de données Mono'!D:D,0))</f>
        <v>0.90972222222222221</v>
      </c>
      <c r="K678" s="131">
        <f>INDEX('Base de données Mono'!M:M,MATCH(B678,'Base de données Mono'!D:D,0))</f>
        <v>0.29166666666666669</v>
      </c>
      <c r="L678" s="131">
        <f>INDEX('Base de données Mono'!N:N,MATCH(B678,'Base de données Mono'!D:D,0))</f>
        <v>0.83333333333333337</v>
      </c>
      <c r="M678" s="33" t="s">
        <v>46</v>
      </c>
      <c r="N678" s="33">
        <f>IF(AND(E678="Electricité",M678="Hiver"),INDEX('Base de données Mono'!E:E,MATCH(B678,'Base de données Mono'!D:D,0)),IF(AND(E678="Electricité",M678="Mi-saison"),INDEX('Base de données Mono'!F:F,MATCH(B678,'Base de données Mono'!D:D,0)),IF(AND(E678="Electricité",M678="Eté"),INDEX('Base de données Mono'!G:G,MATCH(B678,'Base de données Mono'!D:D,0)),IF(AND(E678="Gaz",M678="Hiver"),INDEX('Base de données Mono'!J:J,MATCH(B678,'Base de données Mono'!D:D,0)),IF(AND(E678="Gaz",M678="Mi-saison"),INDEX('Base de données Mono'!#REF!,MATCH(B678,'Base de données Mono'!D:D,0)),IF(AND(E678="Gaz",M678="Eté"),INDEX('Base de données Mono'!#REF!,MATCH(B678,'Base de données Mono'!D:D,0)),"-"))))))</f>
        <v>55</v>
      </c>
      <c r="O678" s="123">
        <v>45384</v>
      </c>
      <c r="P678" s="123">
        <v>45386</v>
      </c>
      <c r="Q678" s="34">
        <v>90</v>
      </c>
      <c r="R678" s="33">
        <f t="shared" si="75"/>
        <v>35</v>
      </c>
      <c r="S678" s="34">
        <v>1</v>
      </c>
      <c r="T678" s="34">
        <f t="shared" si="76"/>
        <v>2</v>
      </c>
      <c r="U678" s="33">
        <f t="shared" si="77"/>
        <v>70</v>
      </c>
      <c r="V678" s="38" t="s">
        <v>827</v>
      </c>
      <c r="W678" s="39">
        <f t="shared" si="78"/>
        <v>0.63636363636363635</v>
      </c>
      <c r="X678" s="40" t="s">
        <v>304</v>
      </c>
      <c r="Y678" s="40" t="s">
        <v>283</v>
      </c>
      <c r="Z678" s="40" t="s">
        <v>749</v>
      </c>
      <c r="AA678" s="33" t="s">
        <v>749</v>
      </c>
      <c r="AB678" s="95"/>
      <c r="AC678" s="95"/>
    </row>
    <row r="679" spans="1:29" ht="14.45" hidden="1" customHeight="1" x14ac:dyDescent="0.25">
      <c r="A679" s="36" t="str">
        <f>INDEX('Base de données Mono'!C:C,MATCH(B679,'Base de données Mono'!D:D,0))</f>
        <v>SAINT OUEN</v>
      </c>
      <c r="B679" t="s">
        <v>367</v>
      </c>
      <c r="C679" s="36" t="str">
        <f>INDEX('Base de données Mono'!B:B,MATCH(B679,'Base de données Mono'!D:D,0))</f>
        <v>Monoprix</v>
      </c>
      <c r="D679" s="36" t="str">
        <f>INDEX('Base de données Mono'!A:A,MATCH(B679,'Base de données Mono'!D:D,0))</f>
        <v>JG</v>
      </c>
      <c r="E679" s="37" t="s">
        <v>303</v>
      </c>
      <c r="F679" s="41">
        <f t="shared" si="73"/>
        <v>14</v>
      </c>
      <c r="G679" s="41">
        <f t="shared" si="74"/>
        <v>4</v>
      </c>
      <c r="H679">
        <v>8.17</v>
      </c>
      <c r="I679" s="131">
        <f>INDEX('Base de données Mono'!K:K,MATCH(B679,'Base de données Mono'!D:D,0))</f>
        <v>0.25</v>
      </c>
      <c r="J679" s="131">
        <f>INDEX('Base de données Mono'!L:L,MATCH(B679,'Base de données Mono'!D:D,0))</f>
        <v>0.90972222222222221</v>
      </c>
      <c r="K679" s="131">
        <f>INDEX('Base de données Mono'!M:M,MATCH(B679,'Base de données Mono'!D:D,0))</f>
        <v>0.29166666666666669</v>
      </c>
      <c r="L679" s="131">
        <f>INDEX('Base de données Mono'!N:N,MATCH(B679,'Base de données Mono'!D:D,0))</f>
        <v>0.83333333333333337</v>
      </c>
      <c r="M679" s="33" t="s">
        <v>46</v>
      </c>
      <c r="N679" s="33">
        <f>IF(AND(E679="Electricité",M679="Hiver"),INDEX('Base de données Mono'!E:E,MATCH(B679,'Base de données Mono'!D:D,0)),IF(AND(E679="Electricité",M679="Mi-saison"),INDEX('Base de données Mono'!F:F,MATCH(B679,'Base de données Mono'!D:D,0)),IF(AND(E679="Electricité",M679="Eté"),INDEX('Base de données Mono'!G:G,MATCH(B679,'Base de données Mono'!D:D,0)),IF(AND(E679="Gaz",M679="Hiver"),INDEX('Base de données Mono'!J:J,MATCH(B679,'Base de données Mono'!D:D,0)),IF(AND(E679="Gaz",M679="Mi-saison"),INDEX('Base de données Mono'!#REF!,MATCH(B679,'Base de données Mono'!D:D,0)),IF(AND(E679="Gaz",M679="Eté"),INDEX('Base de données Mono'!#REF!,MATCH(B679,'Base de données Mono'!D:D,0)),"-"))))))</f>
        <v>55</v>
      </c>
      <c r="O679" s="123">
        <v>45385</v>
      </c>
      <c r="P679" s="123">
        <v>45386</v>
      </c>
      <c r="Q679" s="34">
        <v>80</v>
      </c>
      <c r="R679" s="33">
        <f t="shared" si="75"/>
        <v>25</v>
      </c>
      <c r="S679" s="34">
        <v>7</v>
      </c>
      <c r="T679" s="34">
        <f t="shared" si="76"/>
        <v>1</v>
      </c>
      <c r="U679" s="33">
        <f t="shared" si="77"/>
        <v>175</v>
      </c>
      <c r="V679" s="38" t="s">
        <v>827</v>
      </c>
      <c r="W679" s="39">
        <f t="shared" si="78"/>
        <v>0.45454545454545453</v>
      </c>
      <c r="X679" s="40" t="s">
        <v>304</v>
      </c>
      <c r="Y679" s="40" t="s">
        <v>283</v>
      </c>
      <c r="Z679" s="40" t="s">
        <v>749</v>
      </c>
      <c r="AA679" s="33" t="s">
        <v>749</v>
      </c>
      <c r="AB679" s="95"/>
      <c r="AC679" s="95"/>
    </row>
    <row r="680" spans="1:29" ht="14.45" hidden="1" customHeight="1" x14ac:dyDescent="0.25">
      <c r="A680" s="36" t="str">
        <f>INDEX('Base de données Mono'!C:C,MATCH(B680,'Base de données Mono'!D:D,0))</f>
        <v>SAINT OUEN</v>
      </c>
      <c r="B680" t="s">
        <v>367</v>
      </c>
      <c r="C680" s="36" t="str">
        <f>INDEX('Base de données Mono'!B:B,MATCH(B680,'Base de données Mono'!D:D,0))</f>
        <v>Monoprix</v>
      </c>
      <c r="D680" s="36" t="str">
        <f>INDEX('Base de données Mono'!A:A,MATCH(B680,'Base de données Mono'!D:D,0))</f>
        <v>JG</v>
      </c>
      <c r="E680" s="37" t="s">
        <v>303</v>
      </c>
      <c r="F680" s="41">
        <f t="shared" si="73"/>
        <v>14</v>
      </c>
      <c r="G680" s="41">
        <f t="shared" si="74"/>
        <v>4</v>
      </c>
      <c r="H680">
        <v>8.17</v>
      </c>
      <c r="I680" s="131">
        <f>INDEX('Base de données Mono'!K:K,MATCH(B680,'Base de données Mono'!D:D,0))</f>
        <v>0.25</v>
      </c>
      <c r="J680" s="131">
        <f>INDEX('Base de données Mono'!L:L,MATCH(B680,'Base de données Mono'!D:D,0))</f>
        <v>0.90972222222222221</v>
      </c>
      <c r="K680" s="131">
        <f>INDEX('Base de données Mono'!M:M,MATCH(B680,'Base de données Mono'!D:D,0))</f>
        <v>0.29166666666666669</v>
      </c>
      <c r="L680" s="131">
        <f>INDEX('Base de données Mono'!N:N,MATCH(B680,'Base de données Mono'!D:D,0))</f>
        <v>0.83333333333333337</v>
      </c>
      <c r="M680" s="33" t="s">
        <v>46</v>
      </c>
      <c r="N680" s="33">
        <f>IF(AND(E680="Electricité",M680="Hiver"),INDEX('Base de données Mono'!E:E,MATCH(B680,'Base de données Mono'!D:D,0)),IF(AND(E680="Electricité",M680="Mi-saison"),INDEX('Base de données Mono'!F:F,MATCH(B680,'Base de données Mono'!D:D,0)),IF(AND(E680="Electricité",M680="Eté"),INDEX('Base de données Mono'!G:G,MATCH(B680,'Base de données Mono'!D:D,0)),IF(AND(E680="Gaz",M680="Hiver"),INDEX('Base de données Mono'!J:J,MATCH(B680,'Base de données Mono'!D:D,0)),IF(AND(E680="Gaz",M680="Mi-saison"),INDEX('Base de données Mono'!#REF!,MATCH(B680,'Base de données Mono'!D:D,0)),IF(AND(E680="Gaz",M680="Eté"),INDEX('Base de données Mono'!#REF!,MATCH(B680,'Base de données Mono'!D:D,0)),"-"))))))</f>
        <v>55</v>
      </c>
      <c r="O680" s="123">
        <v>45385</v>
      </c>
      <c r="P680" s="123">
        <v>45386</v>
      </c>
      <c r="Q680" s="34">
        <v>105</v>
      </c>
      <c r="R680" s="33">
        <f t="shared" si="75"/>
        <v>50</v>
      </c>
      <c r="S680" s="34">
        <v>1</v>
      </c>
      <c r="T680" s="34">
        <f t="shared" si="76"/>
        <v>1</v>
      </c>
      <c r="U680" s="33">
        <f t="shared" si="77"/>
        <v>50</v>
      </c>
      <c r="V680" s="38" t="s">
        <v>827</v>
      </c>
      <c r="W680" s="39">
        <f t="shared" si="78"/>
        <v>0.90909090909090906</v>
      </c>
      <c r="X680" s="40" t="s">
        <v>304</v>
      </c>
      <c r="Y680" s="40" t="s">
        <v>283</v>
      </c>
      <c r="Z680" s="40" t="s">
        <v>749</v>
      </c>
      <c r="AA680" s="33" t="s">
        <v>749</v>
      </c>
      <c r="AB680" s="95"/>
      <c r="AC680" s="95"/>
    </row>
    <row r="681" spans="1:29" ht="14.45" hidden="1" customHeight="1" x14ac:dyDescent="0.25">
      <c r="A681" s="36" t="str">
        <f>INDEX('Base de données Mono'!C:C,MATCH(B681,'Base de données Mono'!D:D,0))</f>
        <v>SAINT OUEN</v>
      </c>
      <c r="B681" t="s">
        <v>367</v>
      </c>
      <c r="C681" s="36" t="str">
        <f>INDEX('Base de données Mono'!B:B,MATCH(B681,'Base de données Mono'!D:D,0))</f>
        <v>Monoprix</v>
      </c>
      <c r="D681" s="36" t="str">
        <f>INDEX('Base de données Mono'!A:A,MATCH(B681,'Base de données Mono'!D:D,0))</f>
        <v>JG</v>
      </c>
      <c r="E681" s="37" t="s">
        <v>303</v>
      </c>
      <c r="F681" s="41">
        <f t="shared" si="73"/>
        <v>14</v>
      </c>
      <c r="G681" s="41">
        <f t="shared" si="74"/>
        <v>4</v>
      </c>
      <c r="H681">
        <v>8.17</v>
      </c>
      <c r="I681" s="131">
        <f>INDEX('Base de données Mono'!K:K,MATCH(B681,'Base de données Mono'!D:D,0))</f>
        <v>0.25</v>
      </c>
      <c r="J681" s="131">
        <f>INDEX('Base de données Mono'!L:L,MATCH(B681,'Base de données Mono'!D:D,0))</f>
        <v>0.90972222222222221</v>
      </c>
      <c r="K681" s="131">
        <f>INDEX('Base de données Mono'!M:M,MATCH(B681,'Base de données Mono'!D:D,0))</f>
        <v>0.29166666666666669</v>
      </c>
      <c r="L681" s="131">
        <f>INDEX('Base de données Mono'!N:N,MATCH(B681,'Base de données Mono'!D:D,0))</f>
        <v>0.83333333333333337</v>
      </c>
      <c r="M681" s="33" t="s">
        <v>46</v>
      </c>
      <c r="N681" s="33">
        <f>IF(AND(E681="Electricité",M681="Hiver"),INDEX('Base de données Mono'!E:E,MATCH(B681,'Base de données Mono'!D:D,0)),IF(AND(E681="Electricité",M681="Mi-saison"),INDEX('Base de données Mono'!F:F,MATCH(B681,'Base de données Mono'!D:D,0)),IF(AND(E681="Electricité",M681="Eté"),INDEX('Base de données Mono'!G:G,MATCH(B681,'Base de données Mono'!D:D,0)),IF(AND(E681="Gaz",M681="Hiver"),INDEX('Base de données Mono'!J:J,MATCH(B681,'Base de données Mono'!D:D,0)),IF(AND(E681="Gaz",M681="Mi-saison"),INDEX('Base de données Mono'!#REF!,MATCH(B681,'Base de données Mono'!D:D,0)),IF(AND(E681="Gaz",M681="Eté"),INDEX('Base de données Mono'!#REF!,MATCH(B681,'Base de données Mono'!D:D,0)),"-"))))))</f>
        <v>55</v>
      </c>
      <c r="O681" s="123">
        <v>45386</v>
      </c>
      <c r="P681" s="123">
        <v>45387</v>
      </c>
      <c r="Q681" s="34">
        <v>90</v>
      </c>
      <c r="R681" s="33">
        <f t="shared" si="75"/>
        <v>35</v>
      </c>
      <c r="S681" s="34">
        <v>7</v>
      </c>
      <c r="T681" s="34">
        <f t="shared" si="76"/>
        <v>1</v>
      </c>
      <c r="U681" s="33">
        <f t="shared" si="77"/>
        <v>245</v>
      </c>
      <c r="V681" s="38" t="s">
        <v>827</v>
      </c>
      <c r="W681" s="39">
        <f t="shared" si="78"/>
        <v>0.63636363636363635</v>
      </c>
      <c r="X681" s="40" t="s">
        <v>304</v>
      </c>
      <c r="Y681" s="40" t="s">
        <v>283</v>
      </c>
      <c r="Z681" s="40" t="s">
        <v>749</v>
      </c>
      <c r="AA681" s="33" t="s">
        <v>749</v>
      </c>
      <c r="AB681" s="95"/>
      <c r="AC681" s="95"/>
    </row>
    <row r="682" spans="1:29" ht="14.45" hidden="1" customHeight="1" x14ac:dyDescent="0.25">
      <c r="A682" s="36" t="str">
        <f>INDEX('Base de données Mono'!C:C,MATCH(B682,'Base de données Mono'!D:D,0))</f>
        <v>SAINT OUEN</v>
      </c>
      <c r="B682" t="s">
        <v>367</v>
      </c>
      <c r="C682" s="36" t="str">
        <f>INDEX('Base de données Mono'!B:B,MATCH(B682,'Base de données Mono'!D:D,0))</f>
        <v>Monoprix</v>
      </c>
      <c r="D682" s="36" t="str">
        <f>INDEX('Base de données Mono'!A:A,MATCH(B682,'Base de données Mono'!D:D,0))</f>
        <v>JG</v>
      </c>
      <c r="E682" s="37" t="s">
        <v>303</v>
      </c>
      <c r="F682" s="41">
        <f t="shared" si="73"/>
        <v>14</v>
      </c>
      <c r="G682" s="41">
        <f t="shared" si="74"/>
        <v>4</v>
      </c>
      <c r="H682">
        <v>8.17</v>
      </c>
      <c r="I682" s="131">
        <f>INDEX('Base de données Mono'!K:K,MATCH(B682,'Base de données Mono'!D:D,0))</f>
        <v>0.25</v>
      </c>
      <c r="J682" s="131">
        <f>INDEX('Base de données Mono'!L:L,MATCH(B682,'Base de données Mono'!D:D,0))</f>
        <v>0.90972222222222221</v>
      </c>
      <c r="K682" s="131">
        <f>INDEX('Base de données Mono'!M:M,MATCH(B682,'Base de données Mono'!D:D,0))</f>
        <v>0.29166666666666669</v>
      </c>
      <c r="L682" s="131">
        <f>INDEX('Base de données Mono'!N:N,MATCH(B682,'Base de données Mono'!D:D,0))</f>
        <v>0.83333333333333337</v>
      </c>
      <c r="M682" s="33" t="s">
        <v>46</v>
      </c>
      <c r="N682" s="33">
        <f>IF(AND(E682="Electricité",M682="Hiver"),INDEX('Base de données Mono'!E:E,MATCH(B682,'Base de données Mono'!D:D,0)),IF(AND(E682="Electricité",M682="Mi-saison"),INDEX('Base de données Mono'!F:F,MATCH(B682,'Base de données Mono'!D:D,0)),IF(AND(E682="Electricité",M682="Eté"),INDEX('Base de données Mono'!G:G,MATCH(B682,'Base de données Mono'!D:D,0)),IF(AND(E682="Gaz",M682="Hiver"),INDEX('Base de données Mono'!J:J,MATCH(B682,'Base de données Mono'!D:D,0)),IF(AND(E682="Gaz",M682="Mi-saison"),INDEX('Base de données Mono'!#REF!,MATCH(B682,'Base de données Mono'!D:D,0)),IF(AND(E682="Gaz",M682="Eté"),INDEX('Base de données Mono'!#REF!,MATCH(B682,'Base de données Mono'!D:D,0)),"-"))))))</f>
        <v>55</v>
      </c>
      <c r="O682" s="123">
        <v>45386</v>
      </c>
      <c r="P682" s="123">
        <v>45388</v>
      </c>
      <c r="Q682" s="34">
        <v>95</v>
      </c>
      <c r="R682" s="33">
        <f t="shared" si="75"/>
        <v>40</v>
      </c>
      <c r="S682" s="34">
        <v>2</v>
      </c>
      <c r="T682" s="34">
        <f t="shared" si="76"/>
        <v>2</v>
      </c>
      <c r="U682" s="33">
        <f t="shared" si="77"/>
        <v>160</v>
      </c>
      <c r="V682" s="38" t="s">
        <v>827</v>
      </c>
      <c r="W682" s="39">
        <f t="shared" si="78"/>
        <v>0.72727272727272729</v>
      </c>
      <c r="X682" s="40" t="s">
        <v>304</v>
      </c>
      <c r="Y682" s="40" t="s">
        <v>283</v>
      </c>
      <c r="Z682" s="40" t="s">
        <v>749</v>
      </c>
      <c r="AA682" s="33" t="s">
        <v>749</v>
      </c>
      <c r="AB682" s="95"/>
      <c r="AC682" s="95"/>
    </row>
    <row r="683" spans="1:29" ht="14.45" hidden="1" customHeight="1" x14ac:dyDescent="0.25">
      <c r="A683" s="36" t="str">
        <f>INDEX('Base de données Mono'!C:C,MATCH(B683,'Base de données Mono'!D:D,0))</f>
        <v>SAINT OUEN</v>
      </c>
      <c r="B683" t="s">
        <v>367</v>
      </c>
      <c r="C683" s="36" t="str">
        <f>INDEX('Base de données Mono'!B:B,MATCH(B683,'Base de données Mono'!D:D,0))</f>
        <v>Monoprix</v>
      </c>
      <c r="D683" s="36" t="str">
        <f>INDEX('Base de données Mono'!A:A,MATCH(B683,'Base de données Mono'!D:D,0))</f>
        <v>JG</v>
      </c>
      <c r="E683" s="37" t="s">
        <v>303</v>
      </c>
      <c r="F683" s="41">
        <f t="shared" si="73"/>
        <v>14</v>
      </c>
      <c r="G683" s="41">
        <f t="shared" si="74"/>
        <v>4</v>
      </c>
      <c r="H683">
        <v>8.17</v>
      </c>
      <c r="I683" s="131">
        <f>INDEX('Base de données Mono'!K:K,MATCH(B683,'Base de données Mono'!D:D,0))</f>
        <v>0.25</v>
      </c>
      <c r="J683" s="131">
        <f>INDEX('Base de données Mono'!L:L,MATCH(B683,'Base de données Mono'!D:D,0))</f>
        <v>0.90972222222222221</v>
      </c>
      <c r="K683" s="131">
        <f>INDEX('Base de données Mono'!M:M,MATCH(B683,'Base de données Mono'!D:D,0))</f>
        <v>0.29166666666666669</v>
      </c>
      <c r="L683" s="131">
        <f>INDEX('Base de données Mono'!N:N,MATCH(B683,'Base de données Mono'!D:D,0))</f>
        <v>0.83333333333333337</v>
      </c>
      <c r="M683" s="33" t="s">
        <v>46</v>
      </c>
      <c r="N683" s="33">
        <f>IF(AND(E683="Electricité",M683="Hiver"),INDEX('Base de données Mono'!E:E,MATCH(B683,'Base de données Mono'!D:D,0)),IF(AND(E683="Electricité",M683="Mi-saison"),INDEX('Base de données Mono'!F:F,MATCH(B683,'Base de données Mono'!D:D,0)),IF(AND(E683="Electricité",M683="Eté"),INDEX('Base de données Mono'!G:G,MATCH(B683,'Base de données Mono'!D:D,0)),IF(AND(E683="Gaz",M683="Hiver"),INDEX('Base de données Mono'!J:J,MATCH(B683,'Base de données Mono'!D:D,0)),IF(AND(E683="Gaz",M683="Mi-saison"),INDEX('Base de données Mono'!#REF!,MATCH(B683,'Base de données Mono'!D:D,0)),IF(AND(E683="Gaz",M683="Eté"),INDEX('Base de données Mono'!#REF!,MATCH(B683,'Base de données Mono'!D:D,0)),"-"))))))</f>
        <v>55</v>
      </c>
      <c r="O683" s="123">
        <v>45387</v>
      </c>
      <c r="P683" s="123">
        <v>45388</v>
      </c>
      <c r="Q683" s="34">
        <v>85</v>
      </c>
      <c r="R683" s="33">
        <f t="shared" si="75"/>
        <v>30</v>
      </c>
      <c r="S683" s="34">
        <v>7</v>
      </c>
      <c r="T683" s="34">
        <f t="shared" si="76"/>
        <v>1</v>
      </c>
      <c r="U683" s="33">
        <f t="shared" si="77"/>
        <v>210</v>
      </c>
      <c r="V683" s="38" t="s">
        <v>827</v>
      </c>
      <c r="W683" s="39">
        <f t="shared" si="78"/>
        <v>0.54545454545454541</v>
      </c>
      <c r="X683" s="40" t="s">
        <v>304</v>
      </c>
      <c r="Y683" s="40" t="s">
        <v>283</v>
      </c>
      <c r="Z683" s="40" t="s">
        <v>749</v>
      </c>
      <c r="AA683" s="33" t="s">
        <v>749</v>
      </c>
      <c r="AB683" s="95"/>
      <c r="AC683" s="95"/>
    </row>
    <row r="684" spans="1:29" ht="14.45" hidden="1" customHeight="1" x14ac:dyDescent="0.25">
      <c r="A684" s="36" t="str">
        <f>INDEX('Base de données Mono'!C:C,MATCH(B684,'Base de données Mono'!D:D,0))</f>
        <v>SAINT OUEN</v>
      </c>
      <c r="B684" t="s">
        <v>367</v>
      </c>
      <c r="C684" s="36" t="str">
        <f>INDEX('Base de données Mono'!B:B,MATCH(B684,'Base de données Mono'!D:D,0))</f>
        <v>Monoprix</v>
      </c>
      <c r="D684" s="36" t="str">
        <f>INDEX('Base de données Mono'!A:A,MATCH(B684,'Base de données Mono'!D:D,0))</f>
        <v>JG</v>
      </c>
      <c r="E684" s="37" t="s">
        <v>303</v>
      </c>
      <c r="F684" s="41">
        <f t="shared" si="73"/>
        <v>14</v>
      </c>
      <c r="G684" s="41">
        <f t="shared" si="74"/>
        <v>4</v>
      </c>
      <c r="H684">
        <v>8.17</v>
      </c>
      <c r="I684" s="131">
        <f>INDEX('Base de données Mono'!K:K,MATCH(B684,'Base de données Mono'!D:D,0))</f>
        <v>0.25</v>
      </c>
      <c r="J684" s="131">
        <f>INDEX('Base de données Mono'!L:L,MATCH(B684,'Base de données Mono'!D:D,0))</f>
        <v>0.90972222222222221</v>
      </c>
      <c r="K684" s="131">
        <f>INDEX('Base de données Mono'!M:M,MATCH(B684,'Base de données Mono'!D:D,0))</f>
        <v>0.29166666666666669</v>
      </c>
      <c r="L684" s="131">
        <f>INDEX('Base de données Mono'!N:N,MATCH(B684,'Base de données Mono'!D:D,0))</f>
        <v>0.83333333333333337</v>
      </c>
      <c r="M684" s="33" t="s">
        <v>46</v>
      </c>
      <c r="N684" s="33">
        <f>IF(AND(E684="Electricité",M684="Hiver"),INDEX('Base de données Mono'!E:E,MATCH(B684,'Base de données Mono'!D:D,0)),IF(AND(E684="Electricité",M684="Mi-saison"),INDEX('Base de données Mono'!F:F,MATCH(B684,'Base de données Mono'!D:D,0)),IF(AND(E684="Electricité",M684="Eté"),INDEX('Base de données Mono'!G:G,MATCH(B684,'Base de données Mono'!D:D,0)),IF(AND(E684="Gaz",M684="Hiver"),INDEX('Base de données Mono'!J:J,MATCH(B684,'Base de données Mono'!D:D,0)),IF(AND(E684="Gaz",M684="Mi-saison"),INDEX('Base de données Mono'!#REF!,MATCH(B684,'Base de données Mono'!D:D,0)),IF(AND(E684="Gaz",M684="Eté"),INDEX('Base de données Mono'!#REF!,MATCH(B684,'Base de données Mono'!D:D,0)),"-"))))))</f>
        <v>55</v>
      </c>
      <c r="O684" s="123">
        <v>45387</v>
      </c>
      <c r="P684" s="123">
        <v>45388</v>
      </c>
      <c r="Q684" s="34">
        <v>105</v>
      </c>
      <c r="R684" s="33">
        <f t="shared" si="75"/>
        <v>50</v>
      </c>
      <c r="S684" s="34">
        <v>1</v>
      </c>
      <c r="T684" s="34">
        <f t="shared" si="76"/>
        <v>1</v>
      </c>
      <c r="U684" s="33">
        <f t="shared" si="77"/>
        <v>50</v>
      </c>
      <c r="V684" s="38" t="s">
        <v>827</v>
      </c>
      <c r="W684" s="39">
        <f t="shared" si="78"/>
        <v>0.90909090909090906</v>
      </c>
      <c r="X684" s="40" t="s">
        <v>304</v>
      </c>
      <c r="Y684" s="40" t="s">
        <v>283</v>
      </c>
      <c r="Z684" s="40" t="s">
        <v>749</v>
      </c>
      <c r="AA684" s="33" t="s">
        <v>749</v>
      </c>
      <c r="AB684" s="95"/>
      <c r="AC684" s="95"/>
    </row>
    <row r="685" spans="1:29" ht="14.45" hidden="1" customHeight="1" x14ac:dyDescent="0.25">
      <c r="A685" s="36" t="str">
        <f>INDEX('Base de données Mono'!C:C,MATCH(B685,'Base de données Mono'!D:D,0))</f>
        <v>SAINT OUEN</v>
      </c>
      <c r="B685" t="s">
        <v>367</v>
      </c>
      <c r="C685" s="36" t="str">
        <f>INDEX('Base de données Mono'!B:B,MATCH(B685,'Base de données Mono'!D:D,0))</f>
        <v>Monoprix</v>
      </c>
      <c r="D685" s="36" t="str">
        <f>INDEX('Base de données Mono'!A:A,MATCH(B685,'Base de données Mono'!D:D,0))</f>
        <v>JG</v>
      </c>
      <c r="E685" s="37" t="s">
        <v>303</v>
      </c>
      <c r="F685" s="41">
        <f t="shared" si="73"/>
        <v>14</v>
      </c>
      <c r="G685" s="41">
        <f t="shared" si="74"/>
        <v>4</v>
      </c>
      <c r="H685">
        <v>8.17</v>
      </c>
      <c r="I685" s="131">
        <f>INDEX('Base de données Mono'!K:K,MATCH(B685,'Base de données Mono'!D:D,0))</f>
        <v>0.25</v>
      </c>
      <c r="J685" s="131">
        <f>INDEX('Base de données Mono'!L:L,MATCH(B685,'Base de données Mono'!D:D,0))</f>
        <v>0.90972222222222221</v>
      </c>
      <c r="K685" s="131">
        <f>INDEX('Base de données Mono'!M:M,MATCH(B685,'Base de données Mono'!D:D,0))</f>
        <v>0.29166666666666669</v>
      </c>
      <c r="L685" s="131">
        <f>INDEX('Base de données Mono'!N:N,MATCH(B685,'Base de données Mono'!D:D,0))</f>
        <v>0.83333333333333337</v>
      </c>
      <c r="M685" s="33" t="s">
        <v>46</v>
      </c>
      <c r="N685" s="33">
        <f>IF(AND(E685="Electricité",M685="Hiver"),INDEX('Base de données Mono'!E:E,MATCH(B685,'Base de données Mono'!D:D,0)),IF(AND(E685="Electricité",M685="Mi-saison"),INDEX('Base de données Mono'!F:F,MATCH(B685,'Base de données Mono'!D:D,0)),IF(AND(E685="Electricité",M685="Eté"),INDEX('Base de données Mono'!G:G,MATCH(B685,'Base de données Mono'!D:D,0)),IF(AND(E685="Gaz",M685="Hiver"),INDEX('Base de données Mono'!J:J,MATCH(B685,'Base de données Mono'!D:D,0)),IF(AND(E685="Gaz",M685="Mi-saison"),INDEX('Base de données Mono'!#REF!,MATCH(B685,'Base de données Mono'!D:D,0)),IF(AND(E685="Gaz",M685="Eté"),INDEX('Base de données Mono'!#REF!,MATCH(B685,'Base de données Mono'!D:D,0)),"-"))))))</f>
        <v>55</v>
      </c>
      <c r="O685" s="123">
        <v>45388</v>
      </c>
      <c r="P685" s="123">
        <v>45389</v>
      </c>
      <c r="Q685" s="34">
        <v>80</v>
      </c>
      <c r="R685" s="33">
        <f t="shared" si="75"/>
        <v>25</v>
      </c>
      <c r="S685" s="34">
        <v>1</v>
      </c>
      <c r="T685" s="34">
        <f t="shared" si="76"/>
        <v>1</v>
      </c>
      <c r="U685" s="33">
        <f t="shared" si="77"/>
        <v>25</v>
      </c>
      <c r="V685" s="38" t="s">
        <v>827</v>
      </c>
      <c r="W685" s="39">
        <f t="shared" si="78"/>
        <v>0.45454545454545453</v>
      </c>
      <c r="X685" s="40" t="s">
        <v>304</v>
      </c>
      <c r="Y685" s="40" t="s">
        <v>283</v>
      </c>
      <c r="Z685" s="40" t="s">
        <v>749</v>
      </c>
      <c r="AA685" s="33" t="s">
        <v>749</v>
      </c>
      <c r="AB685" s="95"/>
      <c r="AC685" s="95"/>
    </row>
    <row r="686" spans="1:29" ht="14.45" hidden="1" customHeight="1" x14ac:dyDescent="0.25">
      <c r="A686" s="36" t="str">
        <f>INDEX('Base de données Mono'!C:C,MATCH(B686,'Base de données Mono'!D:D,0))</f>
        <v>SAINT OUEN</v>
      </c>
      <c r="B686" t="s">
        <v>367</v>
      </c>
      <c r="C686" s="36" t="str">
        <f>INDEX('Base de données Mono'!B:B,MATCH(B686,'Base de données Mono'!D:D,0))</f>
        <v>Monoprix</v>
      </c>
      <c r="D686" s="36" t="str">
        <f>INDEX('Base de données Mono'!A:A,MATCH(B686,'Base de données Mono'!D:D,0))</f>
        <v>JG</v>
      </c>
      <c r="E686" s="37" t="s">
        <v>303</v>
      </c>
      <c r="F686" s="41">
        <f t="shared" si="73"/>
        <v>14</v>
      </c>
      <c r="G686" s="41">
        <f t="shared" si="74"/>
        <v>4</v>
      </c>
      <c r="H686">
        <v>8.17</v>
      </c>
      <c r="I686" s="131">
        <f>INDEX('Base de données Mono'!K:K,MATCH(B686,'Base de données Mono'!D:D,0))</f>
        <v>0.25</v>
      </c>
      <c r="J686" s="131">
        <f>INDEX('Base de données Mono'!L:L,MATCH(B686,'Base de données Mono'!D:D,0))</f>
        <v>0.90972222222222221</v>
      </c>
      <c r="K686" s="131">
        <f>INDEX('Base de données Mono'!M:M,MATCH(B686,'Base de données Mono'!D:D,0))</f>
        <v>0.29166666666666669</v>
      </c>
      <c r="L686" s="131">
        <f>INDEX('Base de données Mono'!N:N,MATCH(B686,'Base de données Mono'!D:D,0))</f>
        <v>0.83333333333333337</v>
      </c>
      <c r="M686" s="33" t="s">
        <v>46</v>
      </c>
      <c r="N686" s="33">
        <f>IF(AND(E686="Electricité",M686="Hiver"),INDEX('Base de données Mono'!E:E,MATCH(B686,'Base de données Mono'!D:D,0)),IF(AND(E686="Electricité",M686="Mi-saison"),INDEX('Base de données Mono'!F:F,MATCH(B686,'Base de données Mono'!D:D,0)),IF(AND(E686="Electricité",M686="Eté"),INDEX('Base de données Mono'!G:G,MATCH(B686,'Base de données Mono'!D:D,0)),IF(AND(E686="Gaz",M686="Hiver"),INDEX('Base de données Mono'!J:J,MATCH(B686,'Base de données Mono'!D:D,0)),IF(AND(E686="Gaz",M686="Mi-saison"),INDEX('Base de données Mono'!#REF!,MATCH(B686,'Base de données Mono'!D:D,0)),IF(AND(E686="Gaz",M686="Eté"),INDEX('Base de données Mono'!#REF!,MATCH(B686,'Base de données Mono'!D:D,0)),"-"))))))</f>
        <v>55</v>
      </c>
      <c r="O686" s="123">
        <v>45388</v>
      </c>
      <c r="P686" s="123">
        <v>45389</v>
      </c>
      <c r="Q686" s="34">
        <v>70</v>
      </c>
      <c r="R686" s="33">
        <f t="shared" si="75"/>
        <v>15</v>
      </c>
      <c r="S686" s="34">
        <v>8</v>
      </c>
      <c r="T686" s="34">
        <f t="shared" si="76"/>
        <v>1</v>
      </c>
      <c r="U686" s="33">
        <f t="shared" si="77"/>
        <v>120</v>
      </c>
      <c r="V686" s="38" t="s">
        <v>827</v>
      </c>
      <c r="W686" s="39">
        <f t="shared" si="78"/>
        <v>0.27272727272727271</v>
      </c>
      <c r="X686" s="40" t="s">
        <v>304</v>
      </c>
      <c r="Y686" s="40" t="s">
        <v>283</v>
      </c>
      <c r="Z686" s="40" t="s">
        <v>749</v>
      </c>
      <c r="AA686" s="33" t="s">
        <v>749</v>
      </c>
      <c r="AB686" s="95"/>
      <c r="AC686" s="95"/>
    </row>
    <row r="687" spans="1:29" ht="14.45" hidden="1" customHeight="1" x14ac:dyDescent="0.25">
      <c r="A687" s="36" t="str">
        <f>INDEX('Base de données Mono'!C:C,MATCH(B687,'Base de données Mono'!D:D,0))</f>
        <v>VINCENNES</v>
      </c>
      <c r="B687" t="s">
        <v>277</v>
      </c>
      <c r="C687" s="36" t="str">
        <f>INDEX('Base de données Mono'!B:B,MATCH(B687,'Base de données Mono'!D:D,0))</f>
        <v>SES8</v>
      </c>
      <c r="D687" s="36" t="str">
        <f>INDEX('Base de données Mono'!A:A,MATCH(B687,'Base de données Mono'!D:D,0))</f>
        <v>JG</v>
      </c>
      <c r="E687" s="37" t="s">
        <v>303</v>
      </c>
      <c r="F687" s="41">
        <f>IF(O687="","-",IF(AND(X687="Nuit",WEEKDAY(O687,2)=7,O687&lt;&gt;P687),WEEKNUM(O687,2),WEEKNUM(O687,2)-1))+1</f>
        <v>14</v>
      </c>
      <c r="G687" s="41">
        <f>IF(O687="","-",MONTH(O687))</f>
        <v>4</v>
      </c>
      <c r="H687">
        <v>7.83</v>
      </c>
      <c r="I687" s="131">
        <f>INDEX('Base de données Mono'!K:K,MATCH(B687,'Base de données Mono'!D:D,0))</f>
        <v>0.24305555555555555</v>
      </c>
      <c r="J687" s="131">
        <f>INDEX('Base de données Mono'!L:L,MATCH(B687,'Base de données Mono'!D:D,0))</f>
        <v>0.91666666666666663</v>
      </c>
      <c r="K687" s="131">
        <f>INDEX('Base de données Mono'!M:M,MATCH(B687,'Base de données Mono'!D:D,0))</f>
        <v>0.28472222222222221</v>
      </c>
      <c r="L687" s="131">
        <f>INDEX('Base de données Mono'!N:N,MATCH(B687,'Base de données Mono'!D:D,0))</f>
        <v>0.56944444444444442</v>
      </c>
      <c r="M687" s="33" t="s">
        <v>46</v>
      </c>
      <c r="N687" s="33">
        <f>IF(AND(E687="Electricité",M687="Hiver"),INDEX('Base de données Mono'!E:E,MATCH(B687,'Base de données Mono'!D:D,0)),IF(AND(E687="Electricité",M687="Mi-saison"),INDEX('Base de données Mono'!F:F,MATCH(B687,'Base de données Mono'!D:D,0)),IF(AND(E687="Electricité",M687="Eté"),INDEX('Base de données Mono'!G:G,MATCH(B687,'Base de données Mono'!D:D,0)),IF(AND(E687="Gaz",M687="Hiver"),INDEX('Base de données Mono'!J:J,MATCH(B687,'Base de données Mono'!D:D,0)),IF(AND(E687="Gaz",M687="Mi-saison"),INDEX('Base de données Mono'!#REF!,MATCH(B687,'Base de données Mono'!D:D,0)),IF(AND(E687="Gaz",M687="Eté"),INDEX('Base de données Mono'!#REF!,MATCH(B687,'Base de données Mono'!D:D,0)),"-"))))))</f>
        <v>45</v>
      </c>
      <c r="O687" s="123">
        <v>45383</v>
      </c>
      <c r="P687" s="123">
        <v>45384</v>
      </c>
      <c r="Q687" s="34">
        <v>70</v>
      </c>
      <c r="R687" s="33">
        <f>IF(Q687="","",Q687-N687)</f>
        <v>25</v>
      </c>
      <c r="S687" s="34">
        <v>2.6</v>
      </c>
      <c r="T687" s="34">
        <f>P687-O687</f>
        <v>1</v>
      </c>
      <c r="U687" s="33">
        <f>R687*S687*T687</f>
        <v>65</v>
      </c>
      <c r="V687" s="38" t="s">
        <v>827</v>
      </c>
      <c r="W687" s="39">
        <f>IFERROR(IF(E687="Gaz","-",R687/N687),"-")</f>
        <v>0.55555555555555558</v>
      </c>
      <c r="X687" s="40" t="s">
        <v>304</v>
      </c>
      <c r="Y687" s="40" t="s">
        <v>283</v>
      </c>
      <c r="Z687" s="40" t="s">
        <v>749</v>
      </c>
      <c r="AA687" s="33" t="s">
        <v>749</v>
      </c>
      <c r="AB687" s="95"/>
      <c r="AC687" s="95" t="s">
        <v>848</v>
      </c>
    </row>
    <row r="688" spans="1:29" ht="14.45" hidden="1" customHeight="1" x14ac:dyDescent="0.25">
      <c r="A688" s="36" t="str">
        <f>INDEX('Base de données Mono'!C:C,MATCH(B688,'Base de données Mono'!D:D,0))</f>
        <v>VINCENNES</v>
      </c>
      <c r="B688" t="s">
        <v>277</v>
      </c>
      <c r="C688" s="36" t="str">
        <f>INDEX('Base de données Mono'!B:B,MATCH(B688,'Base de données Mono'!D:D,0))</f>
        <v>SES8</v>
      </c>
      <c r="D688" s="36" t="str">
        <f>INDEX('Base de données Mono'!A:A,MATCH(B688,'Base de données Mono'!D:D,0))</f>
        <v>JG</v>
      </c>
      <c r="E688" s="37" t="s">
        <v>303</v>
      </c>
      <c r="F688" s="41">
        <f t="shared" si="73"/>
        <v>14</v>
      </c>
      <c r="G688" s="41">
        <f t="shared" si="74"/>
        <v>4</v>
      </c>
      <c r="H688">
        <v>7.83</v>
      </c>
      <c r="I688" s="131">
        <f>INDEX('Base de données Mono'!K:K,MATCH(B688,'Base de données Mono'!D:D,0))</f>
        <v>0.24305555555555555</v>
      </c>
      <c r="J688" s="131">
        <f>INDEX('Base de données Mono'!L:L,MATCH(B688,'Base de données Mono'!D:D,0))</f>
        <v>0.91666666666666663</v>
      </c>
      <c r="K688" s="131">
        <f>INDEX('Base de données Mono'!M:M,MATCH(B688,'Base de données Mono'!D:D,0))</f>
        <v>0.28472222222222221</v>
      </c>
      <c r="L688" s="131">
        <f>INDEX('Base de données Mono'!N:N,MATCH(B688,'Base de données Mono'!D:D,0))</f>
        <v>0.56944444444444442</v>
      </c>
      <c r="M688" s="33" t="s">
        <v>46</v>
      </c>
      <c r="N688" s="33">
        <f>IF(AND(E688="Electricité",M688="Hiver"),INDEX('Base de données Mono'!E:E,MATCH(B688,'Base de données Mono'!D:D,0)),IF(AND(E688="Electricité",M688="Mi-saison"),INDEX('Base de données Mono'!F:F,MATCH(B688,'Base de données Mono'!D:D,0)),IF(AND(E688="Electricité",M688="Eté"),INDEX('Base de données Mono'!G:G,MATCH(B688,'Base de données Mono'!D:D,0)),IF(AND(E688="Gaz",M688="Hiver"),INDEX('Base de données Mono'!J:J,MATCH(B688,'Base de données Mono'!D:D,0)),IF(AND(E688="Gaz",M688="Mi-saison"),INDEX('Base de données Mono'!#REF!,MATCH(B688,'Base de données Mono'!D:D,0)),IF(AND(E688="Gaz",M688="Eté"),INDEX('Base de données Mono'!#REF!,MATCH(B688,'Base de données Mono'!D:D,0)),"-"))))))</f>
        <v>45</v>
      </c>
      <c r="O688" s="123">
        <v>45384</v>
      </c>
      <c r="P688" s="123">
        <v>45389</v>
      </c>
      <c r="Q688" s="34">
        <v>70</v>
      </c>
      <c r="R688" s="33">
        <f t="shared" si="75"/>
        <v>25</v>
      </c>
      <c r="S688" s="34">
        <v>1.6</v>
      </c>
      <c r="T688" s="34">
        <f t="shared" si="76"/>
        <v>5</v>
      </c>
      <c r="U688" s="33">
        <f t="shared" si="77"/>
        <v>200</v>
      </c>
      <c r="V688" s="38" t="s">
        <v>827</v>
      </c>
      <c r="W688" s="39">
        <f t="shared" si="78"/>
        <v>0.55555555555555558</v>
      </c>
      <c r="X688" s="40" t="s">
        <v>304</v>
      </c>
      <c r="Y688" s="40" t="s">
        <v>283</v>
      </c>
      <c r="Z688" s="40" t="s">
        <v>749</v>
      </c>
      <c r="AA688" s="33" t="s">
        <v>749</v>
      </c>
      <c r="AB688" s="95"/>
      <c r="AC688" s="95"/>
    </row>
    <row r="689" spans="1:29" ht="14.45" hidden="1" customHeight="1" x14ac:dyDescent="0.25">
      <c r="A689" s="36" t="str">
        <f>INDEX('Base de données Mono'!C:C,MATCH(B689,'Base de données Mono'!D:D,0))</f>
        <v>VINCENNES</v>
      </c>
      <c r="B689" t="s">
        <v>277</v>
      </c>
      <c r="C689" s="36" t="str">
        <f>INDEX('Base de données Mono'!B:B,MATCH(B689,'Base de données Mono'!D:D,0))</f>
        <v>SES8</v>
      </c>
      <c r="D689" s="36" t="str">
        <f>INDEX('Base de données Mono'!A:A,MATCH(B689,'Base de données Mono'!D:D,0))</f>
        <v>JG</v>
      </c>
      <c r="E689" s="37" t="s">
        <v>303</v>
      </c>
      <c r="F689" s="41">
        <f t="shared" si="73"/>
        <v>14</v>
      </c>
      <c r="G689" s="41">
        <f t="shared" si="74"/>
        <v>4</v>
      </c>
      <c r="H689">
        <v>7.83</v>
      </c>
      <c r="I689" s="131">
        <f>INDEX('Base de données Mono'!K:K,MATCH(B689,'Base de données Mono'!D:D,0))</f>
        <v>0.24305555555555555</v>
      </c>
      <c r="J689" s="131">
        <f>INDEX('Base de données Mono'!L:L,MATCH(B689,'Base de données Mono'!D:D,0))</f>
        <v>0.91666666666666663</v>
      </c>
      <c r="K689" s="131">
        <f>INDEX('Base de données Mono'!M:M,MATCH(B689,'Base de données Mono'!D:D,0))</f>
        <v>0.28472222222222221</v>
      </c>
      <c r="L689" s="131">
        <f>INDEX('Base de données Mono'!N:N,MATCH(B689,'Base de données Mono'!D:D,0))</f>
        <v>0.56944444444444442</v>
      </c>
      <c r="M689" s="33" t="s">
        <v>46</v>
      </c>
      <c r="N689" s="33">
        <f>IF(AND(E689="Electricité",M689="Hiver"),INDEX('Base de données Mono'!E:E,MATCH(B689,'Base de données Mono'!D:D,0)),IF(AND(E689="Electricité",M689="Mi-saison"),INDEX('Base de données Mono'!F:F,MATCH(B689,'Base de données Mono'!D:D,0)),IF(AND(E689="Electricité",M689="Eté"),INDEX('Base de données Mono'!G:G,MATCH(B689,'Base de données Mono'!D:D,0)),IF(AND(E689="Gaz",M689="Hiver"),INDEX('Base de données Mono'!J:J,MATCH(B689,'Base de données Mono'!D:D,0)),IF(AND(E689="Gaz",M689="Mi-saison"),INDEX('Base de données Mono'!#REF!,MATCH(B689,'Base de données Mono'!D:D,0)),IF(AND(E689="Gaz",M689="Eté"),INDEX('Base de données Mono'!#REF!,MATCH(B689,'Base de données Mono'!D:D,0)),"-"))))))</f>
        <v>45</v>
      </c>
      <c r="O689" s="123">
        <v>45389</v>
      </c>
      <c r="P689" s="123">
        <v>45389</v>
      </c>
      <c r="Q689" s="34">
        <v>75</v>
      </c>
      <c r="R689" s="33">
        <f t="shared" si="75"/>
        <v>30</v>
      </c>
      <c r="S689" s="34">
        <v>6</v>
      </c>
      <c r="T689" s="34">
        <v>1</v>
      </c>
      <c r="U689" s="33">
        <f t="shared" si="77"/>
        <v>180</v>
      </c>
      <c r="V689" s="38" t="s">
        <v>148</v>
      </c>
      <c r="W689" s="39">
        <f t="shared" si="78"/>
        <v>0.66666666666666663</v>
      </c>
      <c r="X689" s="40" t="s">
        <v>730</v>
      </c>
      <c r="Y689" s="40" t="s">
        <v>284</v>
      </c>
      <c r="Z689" s="95" t="s">
        <v>307</v>
      </c>
      <c r="AA689" s="95" t="s">
        <v>308</v>
      </c>
      <c r="AB689" s="95"/>
      <c r="AC689" s="95"/>
    </row>
    <row r="690" spans="1:29" ht="14.45" hidden="1" customHeight="1" x14ac:dyDescent="0.25">
      <c r="A690" s="36" t="str">
        <f>INDEX('Base de données Mono'!C:C,MATCH(B690,'Base de données Mono'!D:D,0))</f>
        <v>Lagny</v>
      </c>
      <c r="B690" t="s">
        <v>375</v>
      </c>
      <c r="C690" s="36" t="str">
        <f>INDEX('Base de données Mono'!B:B,MATCH(B690,'Base de données Mono'!D:D,0))</f>
        <v>Monoprix</v>
      </c>
      <c r="D690" s="36" t="str">
        <f>INDEX('Base de données Mono'!A:A,MATCH(B690,'Base de données Mono'!D:D,0))</f>
        <v>JG</v>
      </c>
      <c r="E690" s="37" t="s">
        <v>303</v>
      </c>
      <c r="F690" s="41">
        <f t="shared" si="73"/>
        <v>14</v>
      </c>
      <c r="G690" s="41">
        <f t="shared" si="74"/>
        <v>4</v>
      </c>
      <c r="H690">
        <v>8.67</v>
      </c>
      <c r="I690" s="131">
        <f>INDEX('Base de données Mono'!K:K,MATCH(B690,'Base de données Mono'!D:D,0))</f>
        <v>0.25</v>
      </c>
      <c r="J690" s="131">
        <f>INDEX('Base de données Mono'!L:L,MATCH(B690,'Base de données Mono'!D:D,0))</f>
        <v>0.88888888888888884</v>
      </c>
      <c r="K690" s="131">
        <f>INDEX('Base de données Mono'!M:M,MATCH(B690,'Base de données Mono'!D:D,0))</f>
        <v>0.29166666666666669</v>
      </c>
      <c r="L690" s="131">
        <f>INDEX('Base de données Mono'!N:N,MATCH(B690,'Base de données Mono'!D:D,0))</f>
        <v>0.54166666666666663</v>
      </c>
      <c r="M690" s="33" t="s">
        <v>46</v>
      </c>
      <c r="N690" s="33">
        <f>IF(AND(E690="Electricité",M690="Hiver"),INDEX('Base de données Mono'!E:E,MATCH(B690,'Base de données Mono'!D:D,0)),IF(AND(E690="Electricité",M690="Mi-saison"),INDEX('Base de données Mono'!F:F,MATCH(B690,'Base de données Mono'!D:D,0)),IF(AND(E690="Electricité",M690="Eté"),INDEX('Base de données Mono'!G:G,MATCH(B690,'Base de données Mono'!D:D,0)),IF(AND(E690="Gaz",M690="Hiver"),INDEX('Base de données Mono'!J:J,MATCH(B690,'Base de données Mono'!D:D,0)),IF(AND(E690="Gaz",M690="Mi-saison"),INDEX('Base de données Mono'!#REF!,MATCH(B690,'Base de données Mono'!D:D,0)),IF(AND(E690="Gaz",M690="Eté"),INDEX('Base de données Mono'!#REF!,MATCH(B690,'Base de données Mono'!D:D,0)),"-"))))))</f>
        <v>25</v>
      </c>
      <c r="O690" s="123">
        <v>45383</v>
      </c>
      <c r="P690" s="123">
        <v>45385</v>
      </c>
      <c r="Q690" s="34">
        <v>55</v>
      </c>
      <c r="R690" s="33">
        <f t="shared" si="75"/>
        <v>30</v>
      </c>
      <c r="S690" s="34">
        <v>1</v>
      </c>
      <c r="T690" s="34">
        <f t="shared" si="76"/>
        <v>2</v>
      </c>
      <c r="U690" s="33">
        <f t="shared" si="77"/>
        <v>60</v>
      </c>
      <c r="V690" s="38" t="s">
        <v>827</v>
      </c>
      <c r="W690" s="39">
        <f t="shared" si="78"/>
        <v>1.2</v>
      </c>
      <c r="X690" s="40" t="s">
        <v>304</v>
      </c>
      <c r="Y690" s="40" t="s">
        <v>283</v>
      </c>
      <c r="Z690" s="40" t="s">
        <v>749</v>
      </c>
      <c r="AA690" s="33" t="s">
        <v>749</v>
      </c>
      <c r="AB690" s="95"/>
      <c r="AC690" s="95"/>
    </row>
    <row r="691" spans="1:29" ht="14.45" hidden="1" customHeight="1" x14ac:dyDescent="0.25">
      <c r="A691" s="36" t="str">
        <f>INDEX('Base de données Mono'!C:C,MATCH(B691,'Base de données Mono'!D:D,0))</f>
        <v>Lagny</v>
      </c>
      <c r="B691" t="s">
        <v>375</v>
      </c>
      <c r="C691" s="36" t="str">
        <f>INDEX('Base de données Mono'!B:B,MATCH(B691,'Base de données Mono'!D:D,0))</f>
        <v>Monoprix</v>
      </c>
      <c r="D691" s="36" t="str">
        <f>INDEX('Base de données Mono'!A:A,MATCH(B691,'Base de données Mono'!D:D,0))</f>
        <v>JG</v>
      </c>
      <c r="E691" s="37" t="s">
        <v>303</v>
      </c>
      <c r="F691" s="41">
        <f t="shared" si="73"/>
        <v>14</v>
      </c>
      <c r="G691" s="41">
        <f t="shared" si="74"/>
        <v>4</v>
      </c>
      <c r="H691">
        <v>8.67</v>
      </c>
      <c r="I691" s="131">
        <f>INDEX('Base de données Mono'!K:K,MATCH(B691,'Base de données Mono'!D:D,0))</f>
        <v>0.25</v>
      </c>
      <c r="J691" s="131">
        <f>INDEX('Base de données Mono'!L:L,MATCH(B691,'Base de données Mono'!D:D,0))</f>
        <v>0.88888888888888884</v>
      </c>
      <c r="K691" s="131">
        <f>INDEX('Base de données Mono'!M:M,MATCH(B691,'Base de données Mono'!D:D,0))</f>
        <v>0.29166666666666669</v>
      </c>
      <c r="L691" s="131">
        <f>INDEX('Base de données Mono'!N:N,MATCH(B691,'Base de données Mono'!D:D,0))</f>
        <v>0.54166666666666663</v>
      </c>
      <c r="M691" s="33" t="s">
        <v>46</v>
      </c>
      <c r="N691" s="33">
        <f>IF(AND(E691="Electricité",M691="Hiver"),INDEX('Base de données Mono'!E:E,MATCH(B691,'Base de données Mono'!D:D,0)),IF(AND(E691="Electricité",M691="Mi-saison"),INDEX('Base de données Mono'!F:F,MATCH(B691,'Base de données Mono'!D:D,0)),IF(AND(E691="Electricité",M691="Eté"),INDEX('Base de données Mono'!G:G,MATCH(B691,'Base de données Mono'!D:D,0)),IF(AND(E691="Gaz",M691="Hiver"),INDEX('Base de données Mono'!J:J,MATCH(B691,'Base de données Mono'!D:D,0)),IF(AND(E691="Gaz",M691="Mi-saison"),INDEX('Base de données Mono'!#REF!,MATCH(B691,'Base de données Mono'!D:D,0)),IF(AND(E691="Gaz",M691="Eté"),INDEX('Base de données Mono'!#REF!,MATCH(B691,'Base de données Mono'!D:D,0)),"-"))))))</f>
        <v>25</v>
      </c>
      <c r="O691" s="123">
        <v>45385</v>
      </c>
      <c r="P691" s="123">
        <v>45387</v>
      </c>
      <c r="Q691" s="34">
        <v>35</v>
      </c>
      <c r="R691" s="33">
        <f t="shared" si="75"/>
        <v>10</v>
      </c>
      <c r="S691" s="34">
        <v>8</v>
      </c>
      <c r="T691" s="34">
        <f t="shared" si="76"/>
        <v>2</v>
      </c>
      <c r="U691" s="33">
        <f t="shared" si="77"/>
        <v>160</v>
      </c>
      <c r="V691" s="38" t="s">
        <v>827</v>
      </c>
      <c r="W691" s="39">
        <f t="shared" si="78"/>
        <v>0.4</v>
      </c>
      <c r="X691" s="40" t="s">
        <v>304</v>
      </c>
      <c r="Y691" s="40" t="s">
        <v>283</v>
      </c>
      <c r="Z691" s="40" t="s">
        <v>749</v>
      </c>
      <c r="AA691" s="33" t="s">
        <v>749</v>
      </c>
      <c r="AB691" s="95"/>
      <c r="AC691" s="95"/>
    </row>
    <row r="692" spans="1:29" ht="14.45" hidden="1" customHeight="1" x14ac:dyDescent="0.25">
      <c r="A692" s="36" t="str">
        <f>INDEX('Base de données Mono'!C:C,MATCH(B692,'Base de données Mono'!D:D,0))</f>
        <v>Lagny</v>
      </c>
      <c r="B692" t="s">
        <v>375</v>
      </c>
      <c r="C692" s="36" t="str">
        <f>INDEX('Base de données Mono'!B:B,MATCH(B692,'Base de données Mono'!D:D,0))</f>
        <v>Monoprix</v>
      </c>
      <c r="D692" s="36" t="str">
        <f>INDEX('Base de données Mono'!A:A,MATCH(B692,'Base de données Mono'!D:D,0))</f>
        <v>JG</v>
      </c>
      <c r="E692" s="37" t="s">
        <v>303</v>
      </c>
      <c r="F692" s="41">
        <f t="shared" si="73"/>
        <v>14</v>
      </c>
      <c r="G692" s="41">
        <f t="shared" si="74"/>
        <v>4</v>
      </c>
      <c r="H692">
        <v>8.67</v>
      </c>
      <c r="I692" s="131">
        <f>INDEX('Base de données Mono'!K:K,MATCH(B692,'Base de données Mono'!D:D,0))</f>
        <v>0.25</v>
      </c>
      <c r="J692" s="131">
        <f>INDEX('Base de données Mono'!L:L,MATCH(B692,'Base de données Mono'!D:D,0))</f>
        <v>0.88888888888888884</v>
      </c>
      <c r="K692" s="131">
        <f>INDEX('Base de données Mono'!M:M,MATCH(B692,'Base de données Mono'!D:D,0))</f>
        <v>0.29166666666666669</v>
      </c>
      <c r="L692" s="131">
        <f>INDEX('Base de données Mono'!N:N,MATCH(B692,'Base de données Mono'!D:D,0))</f>
        <v>0.54166666666666663</v>
      </c>
      <c r="M692" s="33" t="s">
        <v>46</v>
      </c>
      <c r="N692" s="33">
        <f>IF(AND(E692="Electricité",M692="Hiver"),INDEX('Base de données Mono'!E:E,MATCH(B692,'Base de données Mono'!D:D,0)),IF(AND(E692="Electricité",M692="Mi-saison"),INDEX('Base de données Mono'!F:F,MATCH(B692,'Base de données Mono'!D:D,0)),IF(AND(E692="Electricité",M692="Eté"),INDEX('Base de données Mono'!G:G,MATCH(B692,'Base de données Mono'!D:D,0)),IF(AND(E692="Gaz",M692="Hiver"),INDEX('Base de données Mono'!J:J,MATCH(B692,'Base de données Mono'!D:D,0)),IF(AND(E692="Gaz",M692="Mi-saison"),INDEX('Base de données Mono'!#REF!,MATCH(B692,'Base de données Mono'!D:D,0)),IF(AND(E692="Gaz",M692="Eté"),INDEX('Base de données Mono'!#REF!,MATCH(B692,'Base de données Mono'!D:D,0)),"-"))))))</f>
        <v>25</v>
      </c>
      <c r="O692" s="123">
        <v>45385</v>
      </c>
      <c r="P692" s="123">
        <v>45386</v>
      </c>
      <c r="Q692" s="34">
        <v>50</v>
      </c>
      <c r="R692" s="33">
        <f t="shared" si="75"/>
        <v>25</v>
      </c>
      <c r="S692" s="34">
        <v>1</v>
      </c>
      <c r="T692" s="34">
        <f t="shared" si="76"/>
        <v>1</v>
      </c>
      <c r="U692" s="33">
        <f t="shared" si="77"/>
        <v>25</v>
      </c>
      <c r="V692" s="38" t="s">
        <v>827</v>
      </c>
      <c r="W692" s="39">
        <f t="shared" si="78"/>
        <v>1</v>
      </c>
      <c r="X692" s="40" t="s">
        <v>304</v>
      </c>
      <c r="Y692" s="40" t="s">
        <v>283</v>
      </c>
      <c r="Z692" s="40" t="s">
        <v>749</v>
      </c>
      <c r="AA692" s="33" t="s">
        <v>749</v>
      </c>
      <c r="AB692" s="95"/>
      <c r="AC692" s="95"/>
    </row>
    <row r="693" spans="1:29" ht="14.45" hidden="1" customHeight="1" x14ac:dyDescent="0.25">
      <c r="A693" s="36" t="str">
        <f>INDEX('Base de données Mono'!C:C,MATCH(B693,'Base de données Mono'!D:D,0))</f>
        <v>Lagny</v>
      </c>
      <c r="B693" t="s">
        <v>375</v>
      </c>
      <c r="C693" s="36" t="str">
        <f>INDEX('Base de données Mono'!B:B,MATCH(B693,'Base de données Mono'!D:D,0))</f>
        <v>Monoprix</v>
      </c>
      <c r="D693" s="36" t="str">
        <f>INDEX('Base de données Mono'!A:A,MATCH(B693,'Base de données Mono'!D:D,0))</f>
        <v>JG</v>
      </c>
      <c r="E693" s="37" t="s">
        <v>303</v>
      </c>
      <c r="F693" s="41">
        <f t="shared" si="73"/>
        <v>14</v>
      </c>
      <c r="G693" s="41">
        <f t="shared" si="74"/>
        <v>4</v>
      </c>
      <c r="H693">
        <v>8.67</v>
      </c>
      <c r="I693" s="131">
        <f>INDEX('Base de données Mono'!K:K,MATCH(B693,'Base de données Mono'!D:D,0))</f>
        <v>0.25</v>
      </c>
      <c r="J693" s="131">
        <f>INDEX('Base de données Mono'!L:L,MATCH(B693,'Base de données Mono'!D:D,0))</f>
        <v>0.88888888888888884</v>
      </c>
      <c r="K693" s="131">
        <f>INDEX('Base de données Mono'!M:M,MATCH(B693,'Base de données Mono'!D:D,0))</f>
        <v>0.29166666666666669</v>
      </c>
      <c r="L693" s="131">
        <f>INDEX('Base de données Mono'!N:N,MATCH(B693,'Base de données Mono'!D:D,0))</f>
        <v>0.54166666666666663</v>
      </c>
      <c r="M693" s="33" t="s">
        <v>46</v>
      </c>
      <c r="N693" s="33">
        <f>IF(AND(E693="Electricité",M693="Hiver"),INDEX('Base de données Mono'!E:E,MATCH(B693,'Base de données Mono'!D:D,0)),IF(AND(E693="Electricité",M693="Mi-saison"),INDEX('Base de données Mono'!F:F,MATCH(B693,'Base de données Mono'!D:D,0)),IF(AND(E693="Electricité",M693="Eté"),INDEX('Base de données Mono'!G:G,MATCH(B693,'Base de données Mono'!D:D,0)),IF(AND(E693="Gaz",M693="Hiver"),INDEX('Base de données Mono'!J:J,MATCH(B693,'Base de données Mono'!D:D,0)),IF(AND(E693="Gaz",M693="Mi-saison"),INDEX('Base de données Mono'!#REF!,MATCH(B693,'Base de données Mono'!D:D,0)),IF(AND(E693="Gaz",M693="Eté"),INDEX('Base de données Mono'!#REF!,MATCH(B693,'Base de données Mono'!D:D,0)),"-"))))))</f>
        <v>25</v>
      </c>
      <c r="O693" s="123">
        <v>45386</v>
      </c>
      <c r="P693" s="123">
        <v>45387</v>
      </c>
      <c r="Q693" s="34">
        <v>60</v>
      </c>
      <c r="R693" s="33">
        <f t="shared" si="75"/>
        <v>35</v>
      </c>
      <c r="S693" s="34">
        <v>1</v>
      </c>
      <c r="T693" s="34">
        <f t="shared" si="76"/>
        <v>1</v>
      </c>
      <c r="U693" s="33">
        <f t="shared" si="77"/>
        <v>35</v>
      </c>
      <c r="V693" s="38" t="s">
        <v>827</v>
      </c>
      <c r="W693" s="39">
        <f t="shared" si="78"/>
        <v>1.4</v>
      </c>
      <c r="X693" s="40" t="s">
        <v>304</v>
      </c>
      <c r="Y693" s="40" t="s">
        <v>283</v>
      </c>
      <c r="Z693" s="40" t="s">
        <v>749</v>
      </c>
      <c r="AA693" s="33" t="s">
        <v>749</v>
      </c>
      <c r="AB693" s="95"/>
      <c r="AC693" s="95"/>
    </row>
    <row r="694" spans="1:29" ht="14.45" hidden="1" customHeight="1" x14ac:dyDescent="0.25">
      <c r="A694" s="36" t="str">
        <f>INDEX('Base de données Mono'!C:C,MATCH(B694,'Base de données Mono'!D:D,0))</f>
        <v>Lagny</v>
      </c>
      <c r="B694" t="s">
        <v>375</v>
      </c>
      <c r="C694" s="36" t="str">
        <f>INDEX('Base de données Mono'!B:B,MATCH(B694,'Base de données Mono'!D:D,0))</f>
        <v>Monoprix</v>
      </c>
      <c r="D694" s="36" t="str">
        <f>INDEX('Base de données Mono'!A:A,MATCH(B694,'Base de données Mono'!D:D,0))</f>
        <v>JG</v>
      </c>
      <c r="E694" s="37" t="s">
        <v>303</v>
      </c>
      <c r="F694" s="41">
        <f t="shared" si="73"/>
        <v>14</v>
      </c>
      <c r="G694" s="41">
        <f t="shared" si="74"/>
        <v>4</v>
      </c>
      <c r="H694">
        <v>8.67</v>
      </c>
      <c r="I694" s="131">
        <f>INDEX('Base de données Mono'!K:K,MATCH(B694,'Base de données Mono'!D:D,0))</f>
        <v>0.25</v>
      </c>
      <c r="J694" s="131">
        <f>INDEX('Base de données Mono'!L:L,MATCH(B694,'Base de données Mono'!D:D,0))</f>
        <v>0.88888888888888884</v>
      </c>
      <c r="K694" s="131">
        <f>INDEX('Base de données Mono'!M:M,MATCH(B694,'Base de données Mono'!D:D,0))</f>
        <v>0.29166666666666669</v>
      </c>
      <c r="L694" s="131">
        <f>INDEX('Base de données Mono'!N:N,MATCH(B694,'Base de données Mono'!D:D,0))</f>
        <v>0.54166666666666663</v>
      </c>
      <c r="M694" s="33" t="s">
        <v>46</v>
      </c>
      <c r="N694" s="33">
        <f>IF(AND(E694="Electricité",M694="Hiver"),INDEX('Base de données Mono'!E:E,MATCH(B694,'Base de données Mono'!D:D,0)),IF(AND(E694="Electricité",M694="Mi-saison"),INDEX('Base de données Mono'!F:F,MATCH(B694,'Base de données Mono'!D:D,0)),IF(AND(E694="Electricité",M694="Eté"),INDEX('Base de données Mono'!G:G,MATCH(B694,'Base de données Mono'!D:D,0)),IF(AND(E694="Gaz",M694="Hiver"),INDEX('Base de données Mono'!J:J,MATCH(B694,'Base de données Mono'!D:D,0)),IF(AND(E694="Gaz",M694="Mi-saison"),INDEX('Base de données Mono'!#REF!,MATCH(B694,'Base de données Mono'!D:D,0)),IF(AND(E694="Gaz",M694="Eté"),INDEX('Base de données Mono'!#REF!,MATCH(B694,'Base de données Mono'!D:D,0)),"-"))))))</f>
        <v>25</v>
      </c>
      <c r="O694" s="123">
        <v>45387</v>
      </c>
      <c r="P694" s="123">
        <v>45389</v>
      </c>
      <c r="Q694" s="34">
        <v>35</v>
      </c>
      <c r="R694" s="33">
        <f t="shared" si="75"/>
        <v>10</v>
      </c>
      <c r="S694" s="34">
        <v>8</v>
      </c>
      <c r="T694" s="34">
        <f t="shared" si="76"/>
        <v>2</v>
      </c>
      <c r="U694" s="33">
        <f t="shared" si="77"/>
        <v>160</v>
      </c>
      <c r="V694" s="38" t="s">
        <v>827</v>
      </c>
      <c r="W694" s="39">
        <f t="shared" si="78"/>
        <v>0.4</v>
      </c>
      <c r="X694" s="40" t="s">
        <v>304</v>
      </c>
      <c r="Y694" s="40" t="s">
        <v>283</v>
      </c>
      <c r="Z694" s="40" t="s">
        <v>749</v>
      </c>
      <c r="AA694" s="33" t="s">
        <v>749</v>
      </c>
      <c r="AB694" s="95"/>
      <c r="AC694" s="95"/>
    </row>
    <row r="695" spans="1:29" ht="14.45" hidden="1" customHeight="1" x14ac:dyDescent="0.25">
      <c r="A695" s="36" t="str">
        <f>INDEX('Base de données Mono'!C:C,MATCH(B695,'Base de données Mono'!D:D,0))</f>
        <v>Lagny</v>
      </c>
      <c r="B695" t="s">
        <v>375</v>
      </c>
      <c r="C695" s="36" t="str">
        <f>INDEX('Base de données Mono'!B:B,MATCH(B695,'Base de données Mono'!D:D,0))</f>
        <v>Monoprix</v>
      </c>
      <c r="D695" s="36" t="str">
        <f>INDEX('Base de données Mono'!A:A,MATCH(B695,'Base de données Mono'!D:D,0))</f>
        <v>JG</v>
      </c>
      <c r="E695" s="37" t="s">
        <v>303</v>
      </c>
      <c r="F695" s="41">
        <f t="shared" si="73"/>
        <v>14</v>
      </c>
      <c r="G695" s="41">
        <f t="shared" si="74"/>
        <v>4</v>
      </c>
      <c r="H695">
        <v>8.67</v>
      </c>
      <c r="I695" s="131">
        <f>INDEX('Base de données Mono'!K:K,MATCH(B695,'Base de données Mono'!D:D,0))</f>
        <v>0.25</v>
      </c>
      <c r="J695" s="131">
        <f>INDEX('Base de données Mono'!L:L,MATCH(B695,'Base de données Mono'!D:D,0))</f>
        <v>0.88888888888888884</v>
      </c>
      <c r="K695" s="131">
        <f>INDEX('Base de données Mono'!M:M,MATCH(B695,'Base de données Mono'!D:D,0))</f>
        <v>0.29166666666666669</v>
      </c>
      <c r="L695" s="131">
        <f>INDEX('Base de données Mono'!N:N,MATCH(B695,'Base de données Mono'!D:D,0))</f>
        <v>0.54166666666666663</v>
      </c>
      <c r="M695" s="33" t="s">
        <v>46</v>
      </c>
      <c r="N695" s="33">
        <f>IF(AND(E695="Electricité",M695="Hiver"),INDEX('Base de données Mono'!E:E,MATCH(B695,'Base de données Mono'!D:D,0)),IF(AND(E695="Electricité",M695="Mi-saison"),INDEX('Base de données Mono'!F:F,MATCH(B695,'Base de données Mono'!D:D,0)),IF(AND(E695="Electricité",M695="Eté"),INDEX('Base de données Mono'!G:G,MATCH(B695,'Base de données Mono'!D:D,0)),IF(AND(E695="Gaz",M695="Hiver"),INDEX('Base de données Mono'!J:J,MATCH(B695,'Base de données Mono'!D:D,0)),IF(AND(E695="Gaz",M695="Mi-saison"),INDEX('Base de données Mono'!#REF!,MATCH(B695,'Base de données Mono'!D:D,0)),IF(AND(E695="Gaz",M695="Eté"),INDEX('Base de données Mono'!#REF!,MATCH(B695,'Base de données Mono'!D:D,0)),"-"))))))</f>
        <v>25</v>
      </c>
      <c r="O695" s="123">
        <v>45387</v>
      </c>
      <c r="P695" s="123">
        <v>45388</v>
      </c>
      <c r="Q695" s="34">
        <v>60</v>
      </c>
      <c r="R695" s="33">
        <f t="shared" si="75"/>
        <v>35</v>
      </c>
      <c r="S695" s="34">
        <v>1</v>
      </c>
      <c r="T695" s="34">
        <f t="shared" si="76"/>
        <v>1</v>
      </c>
      <c r="U695" s="33">
        <f t="shared" si="77"/>
        <v>35</v>
      </c>
      <c r="V695" s="38" t="s">
        <v>827</v>
      </c>
      <c r="W695" s="39">
        <f t="shared" si="78"/>
        <v>1.4</v>
      </c>
      <c r="X695" s="40" t="s">
        <v>304</v>
      </c>
      <c r="Y695" s="40" t="s">
        <v>283</v>
      </c>
      <c r="Z695" s="40" t="s">
        <v>749</v>
      </c>
      <c r="AA695" s="33" t="s">
        <v>749</v>
      </c>
      <c r="AB695" s="95"/>
      <c r="AC695" s="95"/>
    </row>
    <row r="696" spans="1:29" ht="14.45" hidden="1" customHeight="1" x14ac:dyDescent="0.25">
      <c r="A696" s="36" t="str">
        <f>INDEX('Base de données Mono'!C:C,MATCH(B696,'Base de données Mono'!D:D,0))</f>
        <v>Belvédère</v>
      </c>
      <c r="B696" t="s">
        <v>391</v>
      </c>
      <c r="C696" s="36" t="str">
        <f>INDEX('Base de données Mono'!B:B,MATCH(B696,'Base de données Mono'!D:D,0))</f>
        <v>Monoprix</v>
      </c>
      <c r="D696" s="36" t="str">
        <f>INDEX('Base de données Mono'!A:A,MATCH(B696,'Base de données Mono'!D:D,0))</f>
        <v>JG</v>
      </c>
      <c r="E696" s="37" t="s">
        <v>303</v>
      </c>
      <c r="F696" s="41">
        <f t="shared" si="73"/>
        <v>14</v>
      </c>
      <c r="G696" s="41">
        <f t="shared" si="74"/>
        <v>4</v>
      </c>
      <c r="H696">
        <v>10.67</v>
      </c>
      <c r="I696" s="131">
        <f>INDEX('Base de données Mono'!K:K,MATCH(B696,'Base de données Mono'!D:D,0))</f>
        <v>0.21527777777777779</v>
      </c>
      <c r="J696" s="131">
        <f>INDEX('Base de données Mono'!L:L,MATCH(B696,'Base de données Mono'!D:D,0))</f>
        <v>0.77083333333333337</v>
      </c>
      <c r="K696" s="131">
        <f>INDEX('Base de données Mono'!M:M,MATCH(B696,'Base de données Mono'!D:D,0))</f>
        <v>0.25</v>
      </c>
      <c r="L696" s="131">
        <f>INDEX('Base de données Mono'!N:N,MATCH(B696,'Base de données Mono'!D:D,0))</f>
        <v>0.77083333333333337</v>
      </c>
      <c r="M696" s="33" t="s">
        <v>46</v>
      </c>
      <c r="N696" s="33">
        <f>IF(AND(E696="Electricité",M696="Hiver"),INDEX('Base de données Mono'!E:E,MATCH(B696,'Base de données Mono'!D:D,0)),IF(AND(E696="Electricité",M696="Mi-saison"),INDEX('Base de données Mono'!F:F,MATCH(B696,'Base de données Mono'!D:D,0)),IF(AND(E696="Electricité",M696="Eté"),INDEX('Base de données Mono'!G:G,MATCH(B696,'Base de données Mono'!D:D,0)),IF(AND(E696="Gaz",M696="Hiver"),INDEX('Base de données Mono'!J:J,MATCH(B696,'Base de données Mono'!D:D,0)),IF(AND(E696="Gaz",M696="Mi-saison"),INDEX('Base de données Mono'!#REF!,MATCH(B696,'Base de données Mono'!D:D,0)),IF(AND(E696="Gaz",M696="Eté"),INDEX('Base de données Mono'!#REF!,MATCH(B696,'Base de données Mono'!D:D,0)),"-"))))))</f>
        <v>55</v>
      </c>
      <c r="O696" s="123">
        <v>45383</v>
      </c>
      <c r="P696" s="123">
        <v>45384</v>
      </c>
      <c r="Q696" s="34">
        <v>80</v>
      </c>
      <c r="R696" s="33">
        <f t="shared" si="75"/>
        <v>25</v>
      </c>
      <c r="S696" s="34">
        <v>1</v>
      </c>
      <c r="T696" s="34">
        <f t="shared" si="76"/>
        <v>1</v>
      </c>
      <c r="U696" s="33">
        <f t="shared" si="77"/>
        <v>25</v>
      </c>
      <c r="V696" s="38" t="s">
        <v>827</v>
      </c>
      <c r="W696" s="39">
        <f t="shared" si="78"/>
        <v>0.45454545454545453</v>
      </c>
      <c r="X696" s="40" t="s">
        <v>304</v>
      </c>
      <c r="Y696" s="40" t="s">
        <v>283</v>
      </c>
      <c r="Z696" s="40" t="s">
        <v>749</v>
      </c>
      <c r="AA696" s="33" t="s">
        <v>749</v>
      </c>
      <c r="AB696" s="95"/>
      <c r="AC696" s="95"/>
    </row>
    <row r="697" spans="1:29" ht="14.45" hidden="1" customHeight="1" x14ac:dyDescent="0.25">
      <c r="A697" s="36" t="str">
        <f>INDEX('Base de données Mono'!C:C,MATCH(B697,'Base de données Mono'!D:D,0))</f>
        <v>Belvédère</v>
      </c>
      <c r="B697" t="s">
        <v>391</v>
      </c>
      <c r="C697" s="36" t="str">
        <f>INDEX('Base de données Mono'!B:B,MATCH(B697,'Base de données Mono'!D:D,0))</f>
        <v>Monoprix</v>
      </c>
      <c r="D697" s="36" t="str">
        <f>INDEX('Base de données Mono'!A:A,MATCH(B697,'Base de données Mono'!D:D,0))</f>
        <v>JG</v>
      </c>
      <c r="E697" s="37" t="s">
        <v>303</v>
      </c>
      <c r="F697" s="41">
        <f t="shared" si="73"/>
        <v>14</v>
      </c>
      <c r="G697" s="41">
        <f t="shared" si="74"/>
        <v>4</v>
      </c>
      <c r="H697">
        <v>10.67</v>
      </c>
      <c r="I697" s="131">
        <f>INDEX('Base de données Mono'!K:K,MATCH(B697,'Base de données Mono'!D:D,0))</f>
        <v>0.21527777777777779</v>
      </c>
      <c r="J697" s="131">
        <f>INDEX('Base de données Mono'!L:L,MATCH(B697,'Base de données Mono'!D:D,0))</f>
        <v>0.77083333333333337</v>
      </c>
      <c r="K697" s="131">
        <f>INDEX('Base de données Mono'!M:M,MATCH(B697,'Base de données Mono'!D:D,0))</f>
        <v>0.25</v>
      </c>
      <c r="L697" s="131">
        <f>INDEX('Base de données Mono'!N:N,MATCH(B697,'Base de données Mono'!D:D,0))</f>
        <v>0.77083333333333337</v>
      </c>
      <c r="M697" s="33" t="s">
        <v>46</v>
      </c>
      <c r="N697" s="33">
        <f>IF(AND(E697="Electricité",M697="Hiver"),INDEX('Base de données Mono'!E:E,MATCH(B697,'Base de données Mono'!D:D,0)),IF(AND(E697="Electricité",M697="Mi-saison"),INDEX('Base de données Mono'!F:F,MATCH(B697,'Base de données Mono'!D:D,0)),IF(AND(E697="Electricité",M697="Eté"),INDEX('Base de données Mono'!G:G,MATCH(B697,'Base de données Mono'!D:D,0)),IF(AND(E697="Gaz",M697="Hiver"),INDEX('Base de données Mono'!J:J,MATCH(B697,'Base de données Mono'!D:D,0)),IF(AND(E697="Gaz",M697="Mi-saison"),INDEX('Base de données Mono'!#REF!,MATCH(B697,'Base de données Mono'!D:D,0)),IF(AND(E697="Gaz",M697="Eté"),INDEX('Base de données Mono'!#REF!,MATCH(B697,'Base de données Mono'!D:D,0)),"-"))))))</f>
        <v>55</v>
      </c>
      <c r="O697" s="123">
        <v>45383</v>
      </c>
      <c r="P697" s="123">
        <v>45384</v>
      </c>
      <c r="Q697" s="34">
        <v>60</v>
      </c>
      <c r="R697" s="33">
        <f t="shared" si="75"/>
        <v>5</v>
      </c>
      <c r="S697" s="34">
        <v>1</v>
      </c>
      <c r="T697" s="34">
        <f t="shared" si="76"/>
        <v>1</v>
      </c>
      <c r="U697" s="33">
        <f t="shared" si="77"/>
        <v>5</v>
      </c>
      <c r="V697" s="38" t="s">
        <v>827</v>
      </c>
      <c r="W697" s="39">
        <f t="shared" si="78"/>
        <v>9.0909090909090912E-2</v>
      </c>
      <c r="X697" s="40" t="s">
        <v>304</v>
      </c>
      <c r="Y697" s="40" t="s">
        <v>283</v>
      </c>
      <c r="Z697" s="40" t="s">
        <v>749</v>
      </c>
      <c r="AA697" s="33" t="s">
        <v>749</v>
      </c>
      <c r="AB697" s="95"/>
      <c r="AC697" s="95"/>
    </row>
    <row r="698" spans="1:29" ht="14.45" hidden="1" customHeight="1" x14ac:dyDescent="0.25">
      <c r="A698" s="36" t="str">
        <f>INDEX('Base de données Mono'!C:C,MATCH(B698,'Base de données Mono'!D:D,0))</f>
        <v>Belvédère</v>
      </c>
      <c r="B698" t="s">
        <v>391</v>
      </c>
      <c r="C698" s="36" t="str">
        <f>INDEX('Base de données Mono'!B:B,MATCH(B698,'Base de données Mono'!D:D,0))</f>
        <v>Monoprix</v>
      </c>
      <c r="D698" s="36" t="str">
        <f>INDEX('Base de données Mono'!A:A,MATCH(B698,'Base de données Mono'!D:D,0))</f>
        <v>JG</v>
      </c>
      <c r="E698" s="37" t="s">
        <v>303</v>
      </c>
      <c r="F698" s="41">
        <f t="shared" si="73"/>
        <v>14</v>
      </c>
      <c r="G698" s="41">
        <f t="shared" si="74"/>
        <v>4</v>
      </c>
      <c r="H698">
        <v>10.67</v>
      </c>
      <c r="I698" s="131">
        <f>INDEX('Base de données Mono'!K:K,MATCH(B698,'Base de données Mono'!D:D,0))</f>
        <v>0.21527777777777779</v>
      </c>
      <c r="J698" s="131">
        <f>INDEX('Base de données Mono'!L:L,MATCH(B698,'Base de données Mono'!D:D,0))</f>
        <v>0.77083333333333337</v>
      </c>
      <c r="K698" s="131">
        <f>INDEX('Base de données Mono'!M:M,MATCH(B698,'Base de données Mono'!D:D,0))</f>
        <v>0.25</v>
      </c>
      <c r="L698" s="131">
        <f>INDEX('Base de données Mono'!N:N,MATCH(B698,'Base de données Mono'!D:D,0))</f>
        <v>0.77083333333333337</v>
      </c>
      <c r="M698" s="33" t="s">
        <v>46</v>
      </c>
      <c r="N698" s="33">
        <f>IF(AND(E698="Electricité",M698="Hiver"),INDEX('Base de données Mono'!E:E,MATCH(B698,'Base de données Mono'!D:D,0)),IF(AND(E698="Electricité",M698="Mi-saison"),INDEX('Base de données Mono'!F:F,MATCH(B698,'Base de données Mono'!D:D,0)),IF(AND(E698="Electricité",M698="Eté"),INDEX('Base de données Mono'!G:G,MATCH(B698,'Base de données Mono'!D:D,0)),IF(AND(E698="Gaz",M698="Hiver"),INDEX('Base de données Mono'!J:J,MATCH(B698,'Base de données Mono'!D:D,0)),IF(AND(E698="Gaz",M698="Mi-saison"),INDEX('Base de données Mono'!#REF!,MATCH(B698,'Base de données Mono'!D:D,0)),IF(AND(E698="Gaz",M698="Eté"),INDEX('Base de données Mono'!#REF!,MATCH(B698,'Base de données Mono'!D:D,0)),"-"))))))</f>
        <v>55</v>
      </c>
      <c r="O698" s="123">
        <v>45384</v>
      </c>
      <c r="P698" s="123">
        <v>45385</v>
      </c>
      <c r="Q698" s="34">
        <v>85</v>
      </c>
      <c r="R698" s="33">
        <f t="shared" si="75"/>
        <v>30</v>
      </c>
      <c r="S698" s="34">
        <v>1</v>
      </c>
      <c r="T698" s="34">
        <f t="shared" si="76"/>
        <v>1</v>
      </c>
      <c r="U698" s="33">
        <f t="shared" si="77"/>
        <v>30</v>
      </c>
      <c r="V698" s="38" t="s">
        <v>827</v>
      </c>
      <c r="W698" s="39">
        <f t="shared" si="78"/>
        <v>0.54545454545454541</v>
      </c>
      <c r="X698" s="40" t="s">
        <v>304</v>
      </c>
      <c r="Y698" s="40" t="s">
        <v>283</v>
      </c>
      <c r="Z698" s="40" t="s">
        <v>749</v>
      </c>
      <c r="AA698" s="33" t="s">
        <v>749</v>
      </c>
      <c r="AB698" s="95"/>
      <c r="AC698" s="95"/>
    </row>
    <row r="699" spans="1:29" ht="14.45" hidden="1" customHeight="1" x14ac:dyDescent="0.25">
      <c r="A699" s="36" t="str">
        <f>INDEX('Base de données Mono'!C:C,MATCH(B699,'Base de données Mono'!D:D,0))</f>
        <v>Belvédère</v>
      </c>
      <c r="B699" t="s">
        <v>391</v>
      </c>
      <c r="C699" s="36" t="str">
        <f>INDEX('Base de données Mono'!B:B,MATCH(B699,'Base de données Mono'!D:D,0))</f>
        <v>Monoprix</v>
      </c>
      <c r="D699" s="36" t="str">
        <f>INDEX('Base de données Mono'!A:A,MATCH(B699,'Base de données Mono'!D:D,0))</f>
        <v>JG</v>
      </c>
      <c r="E699" s="37" t="s">
        <v>303</v>
      </c>
      <c r="F699" s="41">
        <f t="shared" si="73"/>
        <v>14</v>
      </c>
      <c r="G699" s="41">
        <f t="shared" si="74"/>
        <v>4</v>
      </c>
      <c r="H699">
        <v>10.67</v>
      </c>
      <c r="I699" s="131">
        <f>INDEX('Base de données Mono'!K:K,MATCH(B699,'Base de données Mono'!D:D,0))</f>
        <v>0.21527777777777779</v>
      </c>
      <c r="J699" s="131">
        <f>INDEX('Base de données Mono'!L:L,MATCH(B699,'Base de données Mono'!D:D,0))</f>
        <v>0.77083333333333337</v>
      </c>
      <c r="K699" s="131">
        <f>INDEX('Base de données Mono'!M:M,MATCH(B699,'Base de données Mono'!D:D,0))</f>
        <v>0.25</v>
      </c>
      <c r="L699" s="131">
        <f>INDEX('Base de données Mono'!N:N,MATCH(B699,'Base de données Mono'!D:D,0))</f>
        <v>0.77083333333333337</v>
      </c>
      <c r="M699" s="33" t="s">
        <v>46</v>
      </c>
      <c r="N699" s="33">
        <f>IF(AND(E699="Electricité",M699="Hiver"),INDEX('Base de données Mono'!E:E,MATCH(B699,'Base de données Mono'!D:D,0)),IF(AND(E699="Electricité",M699="Mi-saison"),INDEX('Base de données Mono'!F:F,MATCH(B699,'Base de données Mono'!D:D,0)),IF(AND(E699="Electricité",M699="Eté"),INDEX('Base de données Mono'!G:G,MATCH(B699,'Base de données Mono'!D:D,0)),IF(AND(E699="Gaz",M699="Hiver"),INDEX('Base de données Mono'!J:J,MATCH(B699,'Base de données Mono'!D:D,0)),IF(AND(E699="Gaz",M699="Mi-saison"),INDEX('Base de données Mono'!#REF!,MATCH(B699,'Base de données Mono'!D:D,0)),IF(AND(E699="Gaz",M699="Eté"),INDEX('Base de données Mono'!#REF!,MATCH(B699,'Base de données Mono'!D:D,0)),"-"))))))</f>
        <v>55</v>
      </c>
      <c r="O699" s="123">
        <v>45384</v>
      </c>
      <c r="P699" s="123">
        <v>45387</v>
      </c>
      <c r="Q699" s="34">
        <v>90</v>
      </c>
      <c r="R699" s="33">
        <f t="shared" si="75"/>
        <v>35</v>
      </c>
      <c r="S699" s="34">
        <v>2</v>
      </c>
      <c r="T699" s="34">
        <f t="shared" si="76"/>
        <v>3</v>
      </c>
      <c r="U699" s="33">
        <f t="shared" si="77"/>
        <v>210</v>
      </c>
      <c r="V699" s="38" t="s">
        <v>827</v>
      </c>
      <c r="W699" s="39">
        <f t="shared" si="78"/>
        <v>0.63636363636363635</v>
      </c>
      <c r="X699" s="40" t="s">
        <v>304</v>
      </c>
      <c r="Y699" s="40" t="s">
        <v>283</v>
      </c>
      <c r="Z699" s="40" t="s">
        <v>749</v>
      </c>
      <c r="AA699" s="33" t="s">
        <v>749</v>
      </c>
      <c r="AB699" s="95"/>
      <c r="AC699" s="95"/>
    </row>
    <row r="700" spans="1:29" ht="14.45" hidden="1" customHeight="1" x14ac:dyDescent="0.25">
      <c r="A700" s="36" t="str">
        <f>INDEX('Base de données Mono'!C:C,MATCH(B700,'Base de données Mono'!D:D,0))</f>
        <v>Belvédère</v>
      </c>
      <c r="B700" t="s">
        <v>391</v>
      </c>
      <c r="C700" s="36" t="str">
        <f>INDEX('Base de données Mono'!B:B,MATCH(B700,'Base de données Mono'!D:D,0))</f>
        <v>Monoprix</v>
      </c>
      <c r="D700" s="36" t="str">
        <f>INDEX('Base de données Mono'!A:A,MATCH(B700,'Base de données Mono'!D:D,0))</f>
        <v>JG</v>
      </c>
      <c r="E700" s="37" t="s">
        <v>303</v>
      </c>
      <c r="F700" s="41">
        <f t="shared" si="73"/>
        <v>14</v>
      </c>
      <c r="G700" s="41">
        <f t="shared" si="74"/>
        <v>4</v>
      </c>
      <c r="H700">
        <v>10.67</v>
      </c>
      <c r="I700" s="131">
        <f>INDEX('Base de données Mono'!K:K,MATCH(B700,'Base de données Mono'!D:D,0))</f>
        <v>0.21527777777777779</v>
      </c>
      <c r="J700" s="131">
        <f>INDEX('Base de données Mono'!L:L,MATCH(B700,'Base de données Mono'!D:D,0))</f>
        <v>0.77083333333333337</v>
      </c>
      <c r="K700" s="131">
        <f>INDEX('Base de données Mono'!M:M,MATCH(B700,'Base de données Mono'!D:D,0))</f>
        <v>0.25</v>
      </c>
      <c r="L700" s="131">
        <f>INDEX('Base de données Mono'!N:N,MATCH(B700,'Base de données Mono'!D:D,0))</f>
        <v>0.77083333333333337</v>
      </c>
      <c r="M700" s="33" t="s">
        <v>46</v>
      </c>
      <c r="N700" s="33">
        <f>IF(AND(E700="Electricité",M700="Hiver"),INDEX('Base de données Mono'!E:E,MATCH(B700,'Base de données Mono'!D:D,0)),IF(AND(E700="Electricité",M700="Mi-saison"),INDEX('Base de données Mono'!F:F,MATCH(B700,'Base de données Mono'!D:D,0)),IF(AND(E700="Electricité",M700="Eté"),INDEX('Base de données Mono'!G:G,MATCH(B700,'Base de données Mono'!D:D,0)),IF(AND(E700="Gaz",M700="Hiver"),INDEX('Base de données Mono'!J:J,MATCH(B700,'Base de données Mono'!D:D,0)),IF(AND(E700="Gaz",M700="Mi-saison"),INDEX('Base de données Mono'!#REF!,MATCH(B700,'Base de données Mono'!D:D,0)),IF(AND(E700="Gaz",M700="Eté"),INDEX('Base de données Mono'!#REF!,MATCH(B700,'Base de données Mono'!D:D,0)),"-"))))))</f>
        <v>55</v>
      </c>
      <c r="O700" s="123">
        <v>45386</v>
      </c>
      <c r="P700" s="123">
        <v>45387</v>
      </c>
      <c r="Q700" s="34">
        <v>60</v>
      </c>
      <c r="R700" s="33">
        <f t="shared" si="75"/>
        <v>5</v>
      </c>
      <c r="S700" s="34">
        <v>1</v>
      </c>
      <c r="T700" s="34">
        <f t="shared" si="76"/>
        <v>1</v>
      </c>
      <c r="U700" s="33">
        <f t="shared" si="77"/>
        <v>5</v>
      </c>
      <c r="V700" s="38" t="s">
        <v>827</v>
      </c>
      <c r="W700" s="39">
        <f t="shared" si="78"/>
        <v>9.0909090909090912E-2</v>
      </c>
      <c r="X700" s="40" t="s">
        <v>304</v>
      </c>
      <c r="Y700" s="40" t="s">
        <v>283</v>
      </c>
      <c r="Z700" s="40" t="s">
        <v>749</v>
      </c>
      <c r="AA700" s="33" t="s">
        <v>749</v>
      </c>
      <c r="AB700" s="95"/>
      <c r="AC700" s="95"/>
    </row>
    <row r="701" spans="1:29" ht="14.45" hidden="1" customHeight="1" x14ac:dyDescent="0.25">
      <c r="A701" s="36" t="str">
        <f>INDEX('Base de données Mono'!C:C,MATCH(B701,'Base de données Mono'!D:D,0))</f>
        <v>Belvédère</v>
      </c>
      <c r="B701" t="s">
        <v>391</v>
      </c>
      <c r="C701" s="36" t="str">
        <f>INDEX('Base de données Mono'!B:B,MATCH(B701,'Base de données Mono'!D:D,0))</f>
        <v>Monoprix</v>
      </c>
      <c r="D701" s="36" t="str">
        <f>INDEX('Base de données Mono'!A:A,MATCH(B701,'Base de données Mono'!D:D,0))</f>
        <v>JG</v>
      </c>
      <c r="E701" s="37" t="s">
        <v>303</v>
      </c>
      <c r="F701" s="41">
        <f t="shared" si="73"/>
        <v>14</v>
      </c>
      <c r="G701" s="41">
        <f t="shared" si="74"/>
        <v>4</v>
      </c>
      <c r="H701">
        <v>10.67</v>
      </c>
      <c r="I701" s="131">
        <f>INDEX('Base de données Mono'!K:K,MATCH(B701,'Base de données Mono'!D:D,0))</f>
        <v>0.21527777777777779</v>
      </c>
      <c r="J701" s="131">
        <f>INDEX('Base de données Mono'!L:L,MATCH(B701,'Base de données Mono'!D:D,0))</f>
        <v>0.77083333333333337</v>
      </c>
      <c r="K701" s="131">
        <f>INDEX('Base de données Mono'!M:M,MATCH(B701,'Base de données Mono'!D:D,0))</f>
        <v>0.25</v>
      </c>
      <c r="L701" s="131">
        <f>INDEX('Base de données Mono'!N:N,MATCH(B701,'Base de données Mono'!D:D,0))</f>
        <v>0.77083333333333337</v>
      </c>
      <c r="M701" s="33" t="s">
        <v>46</v>
      </c>
      <c r="N701" s="33">
        <f>IF(AND(E701="Electricité",M701="Hiver"),INDEX('Base de données Mono'!E:E,MATCH(B701,'Base de données Mono'!D:D,0)),IF(AND(E701="Electricité",M701="Mi-saison"),INDEX('Base de données Mono'!F:F,MATCH(B701,'Base de données Mono'!D:D,0)),IF(AND(E701="Electricité",M701="Eté"),INDEX('Base de données Mono'!G:G,MATCH(B701,'Base de données Mono'!D:D,0)),IF(AND(E701="Gaz",M701="Hiver"),INDEX('Base de données Mono'!J:J,MATCH(B701,'Base de données Mono'!D:D,0)),IF(AND(E701="Gaz",M701="Mi-saison"),INDEX('Base de données Mono'!#REF!,MATCH(B701,'Base de données Mono'!D:D,0)),IF(AND(E701="Gaz",M701="Eté"),INDEX('Base de données Mono'!#REF!,MATCH(B701,'Base de données Mono'!D:D,0)),"-"))))))</f>
        <v>55</v>
      </c>
      <c r="O701" s="123">
        <v>45387</v>
      </c>
      <c r="P701" s="123">
        <v>45389</v>
      </c>
      <c r="Q701" s="34">
        <v>90</v>
      </c>
      <c r="R701" s="33">
        <f t="shared" si="75"/>
        <v>35</v>
      </c>
      <c r="S701" s="34">
        <v>2</v>
      </c>
      <c r="T701" s="34">
        <f t="shared" si="76"/>
        <v>2</v>
      </c>
      <c r="U701" s="33">
        <f t="shared" si="77"/>
        <v>140</v>
      </c>
      <c r="V701" s="38" t="s">
        <v>827</v>
      </c>
      <c r="W701" s="39">
        <f t="shared" si="78"/>
        <v>0.63636363636363635</v>
      </c>
      <c r="X701" s="40" t="s">
        <v>304</v>
      </c>
      <c r="Y701" s="40" t="s">
        <v>283</v>
      </c>
      <c r="Z701" s="40" t="s">
        <v>749</v>
      </c>
      <c r="AA701" s="33" t="s">
        <v>749</v>
      </c>
      <c r="AB701" s="95"/>
      <c r="AC701" s="95"/>
    </row>
    <row r="702" spans="1:29" ht="14.45" hidden="1" customHeight="1" x14ac:dyDescent="0.25">
      <c r="A702" s="36" t="str">
        <f>INDEX('Base de données Mono'!C:C,MATCH(B702,'Base de données Mono'!D:D,0))</f>
        <v>Belvédère</v>
      </c>
      <c r="B702" t="s">
        <v>391</v>
      </c>
      <c r="C702" s="36" t="str">
        <f>INDEX('Base de données Mono'!B:B,MATCH(B702,'Base de données Mono'!D:D,0))</f>
        <v>Monoprix</v>
      </c>
      <c r="D702" s="36" t="str">
        <f>INDEX('Base de données Mono'!A:A,MATCH(B702,'Base de données Mono'!D:D,0))</f>
        <v>JG</v>
      </c>
      <c r="E702" s="37" t="s">
        <v>303</v>
      </c>
      <c r="F702" s="41">
        <f t="shared" si="73"/>
        <v>14</v>
      </c>
      <c r="G702" s="41">
        <f t="shared" si="74"/>
        <v>4</v>
      </c>
      <c r="H702">
        <v>10.67</v>
      </c>
      <c r="I702" s="131">
        <f>INDEX('Base de données Mono'!K:K,MATCH(B702,'Base de données Mono'!D:D,0))</f>
        <v>0.21527777777777779</v>
      </c>
      <c r="J702" s="131">
        <f>INDEX('Base de données Mono'!L:L,MATCH(B702,'Base de données Mono'!D:D,0))</f>
        <v>0.77083333333333337</v>
      </c>
      <c r="K702" s="131">
        <f>INDEX('Base de données Mono'!M:M,MATCH(B702,'Base de données Mono'!D:D,0))</f>
        <v>0.25</v>
      </c>
      <c r="L702" s="131">
        <f>INDEX('Base de données Mono'!N:N,MATCH(B702,'Base de données Mono'!D:D,0))</f>
        <v>0.77083333333333337</v>
      </c>
      <c r="M702" s="33" t="s">
        <v>46</v>
      </c>
      <c r="N702" s="33">
        <f>IF(AND(E702="Electricité",M702="Hiver"),INDEX('Base de données Mono'!E:E,MATCH(B702,'Base de données Mono'!D:D,0)),IF(AND(E702="Electricité",M702="Mi-saison"),INDEX('Base de données Mono'!F:F,MATCH(B702,'Base de données Mono'!D:D,0)),IF(AND(E702="Electricité",M702="Eté"),INDEX('Base de données Mono'!G:G,MATCH(B702,'Base de données Mono'!D:D,0)),IF(AND(E702="Gaz",M702="Hiver"),INDEX('Base de données Mono'!J:J,MATCH(B702,'Base de données Mono'!D:D,0)),IF(AND(E702="Gaz",M702="Mi-saison"),INDEX('Base de données Mono'!#REF!,MATCH(B702,'Base de données Mono'!D:D,0)),IF(AND(E702="Gaz",M702="Eté"),INDEX('Base de données Mono'!#REF!,MATCH(B702,'Base de données Mono'!D:D,0)),"-"))))))</f>
        <v>55</v>
      </c>
      <c r="O702" s="123">
        <v>45388</v>
      </c>
      <c r="P702" s="123">
        <v>45389</v>
      </c>
      <c r="Q702" s="34">
        <v>85</v>
      </c>
      <c r="R702" s="33">
        <f t="shared" si="75"/>
        <v>30</v>
      </c>
      <c r="S702" s="34">
        <v>1</v>
      </c>
      <c r="T702" s="34">
        <f t="shared" si="76"/>
        <v>1</v>
      </c>
      <c r="U702" s="33">
        <f t="shared" si="77"/>
        <v>30</v>
      </c>
      <c r="V702" s="38" t="s">
        <v>827</v>
      </c>
      <c r="W702" s="39">
        <f t="shared" si="78"/>
        <v>0.54545454545454541</v>
      </c>
      <c r="X702" s="40" t="s">
        <v>304</v>
      </c>
      <c r="Y702" s="40" t="s">
        <v>283</v>
      </c>
      <c r="Z702" s="40" t="s">
        <v>749</v>
      </c>
      <c r="AA702" s="33" t="s">
        <v>749</v>
      </c>
      <c r="AB702" s="95"/>
      <c r="AC702" s="95"/>
    </row>
    <row r="703" spans="1:29" ht="14.45" hidden="1" customHeight="1" x14ac:dyDescent="0.25">
      <c r="A703" s="36" t="str">
        <f>INDEX('Base de données Mono'!C:C,MATCH(B703,'Base de données Mono'!D:D,0))</f>
        <v>Romainville</v>
      </c>
      <c r="B703" t="s">
        <v>412</v>
      </c>
      <c r="C703" s="36" t="str">
        <f>INDEX('Base de données Mono'!B:B,MATCH(B703,'Base de données Mono'!D:D,0))</f>
        <v>Monoprix</v>
      </c>
      <c r="D703" s="36" t="str">
        <f>INDEX('Base de données Mono'!A:A,MATCH(B703,'Base de données Mono'!D:D,0))</f>
        <v>JG</v>
      </c>
      <c r="E703" s="37" t="s">
        <v>303</v>
      </c>
      <c r="F703" s="41">
        <f t="shared" si="73"/>
        <v>14</v>
      </c>
      <c r="G703" s="41">
        <f t="shared" si="74"/>
        <v>4</v>
      </c>
      <c r="H703">
        <v>8.83</v>
      </c>
      <c r="I703" s="131">
        <f>INDEX('Base de données Mono'!K:K,MATCH(B703,'Base de données Mono'!D:D,0))</f>
        <v>0.24305555555555555</v>
      </c>
      <c r="J703" s="131">
        <f>INDEX('Base de données Mono'!L:L,MATCH(B703,'Base de données Mono'!D:D,0))</f>
        <v>0.875</v>
      </c>
      <c r="K703" s="131">
        <f>INDEX('Base de données Mono'!M:M,MATCH(B703,'Base de données Mono'!D:D,0))</f>
        <v>0.31944444444444448</v>
      </c>
      <c r="L703" s="131">
        <f>INDEX('Base de données Mono'!N:N,MATCH(B703,'Base de données Mono'!D:D,0))</f>
        <v>0.5625</v>
      </c>
      <c r="M703" s="33" t="s">
        <v>46</v>
      </c>
      <c r="N703" s="33">
        <f>IF(AND(E703="Electricité",M703="Hiver"),INDEX('Base de données Mono'!E:E,MATCH(B703,'Base de données Mono'!D:D,0)),IF(AND(E703="Electricité",M703="Mi-saison"),INDEX('Base de données Mono'!F:F,MATCH(B703,'Base de données Mono'!D:D,0)),IF(AND(E703="Electricité",M703="Eté"),INDEX('Base de données Mono'!G:G,MATCH(B703,'Base de données Mono'!D:D,0)),IF(AND(E703="Gaz",M703="Hiver"),INDEX('Base de données Mono'!J:J,MATCH(B703,'Base de données Mono'!D:D,0)),IF(AND(E703="Gaz",M703="Mi-saison"),INDEX('Base de données Mono'!#REF!,MATCH(B703,'Base de données Mono'!D:D,0)),IF(AND(E703="Gaz",M703="Eté"),INDEX('Base de données Mono'!#REF!,MATCH(B703,'Base de données Mono'!D:D,0)),"-"))))))</f>
        <v>25</v>
      </c>
      <c r="O703" s="123">
        <v>45385</v>
      </c>
      <c r="P703" s="123">
        <v>45387</v>
      </c>
      <c r="Q703" s="34">
        <v>35</v>
      </c>
      <c r="R703" s="33">
        <f t="shared" si="75"/>
        <v>10</v>
      </c>
      <c r="S703" s="34">
        <v>2</v>
      </c>
      <c r="T703" s="34">
        <f t="shared" si="76"/>
        <v>2</v>
      </c>
      <c r="U703" s="33">
        <f t="shared" si="77"/>
        <v>40</v>
      </c>
      <c r="V703" s="38" t="s">
        <v>827</v>
      </c>
      <c r="W703" s="39">
        <f t="shared" si="78"/>
        <v>0.4</v>
      </c>
      <c r="X703" s="40" t="s">
        <v>304</v>
      </c>
      <c r="Y703" s="40" t="s">
        <v>283</v>
      </c>
      <c r="Z703" s="40" t="s">
        <v>749</v>
      </c>
      <c r="AA703" s="33" t="s">
        <v>749</v>
      </c>
      <c r="AB703" s="95"/>
      <c r="AC703" s="95"/>
    </row>
    <row r="704" spans="1:29" ht="14.45" hidden="1" customHeight="1" x14ac:dyDescent="0.25">
      <c r="A704" s="36" t="str">
        <f>INDEX('Base de données Mono'!C:C,MATCH(B704,'Base de données Mono'!D:D,0))</f>
        <v>Romainville</v>
      </c>
      <c r="B704" t="s">
        <v>412</v>
      </c>
      <c r="C704" s="36" t="str">
        <f>INDEX('Base de données Mono'!B:B,MATCH(B704,'Base de données Mono'!D:D,0))</f>
        <v>Monoprix</v>
      </c>
      <c r="D704" s="36" t="str">
        <f>INDEX('Base de données Mono'!A:A,MATCH(B704,'Base de données Mono'!D:D,0))</f>
        <v>JG</v>
      </c>
      <c r="E704" s="37" t="s">
        <v>303</v>
      </c>
      <c r="F704" s="41">
        <f t="shared" si="73"/>
        <v>14</v>
      </c>
      <c r="G704" s="41">
        <f t="shared" si="74"/>
        <v>4</v>
      </c>
      <c r="H704">
        <v>8.83</v>
      </c>
      <c r="I704" s="131">
        <f>INDEX('Base de données Mono'!K:K,MATCH(B704,'Base de données Mono'!D:D,0))</f>
        <v>0.24305555555555555</v>
      </c>
      <c r="J704" s="131">
        <f>INDEX('Base de données Mono'!L:L,MATCH(B704,'Base de données Mono'!D:D,0))</f>
        <v>0.875</v>
      </c>
      <c r="K704" s="131">
        <f>INDEX('Base de données Mono'!M:M,MATCH(B704,'Base de données Mono'!D:D,0))</f>
        <v>0.31944444444444448</v>
      </c>
      <c r="L704" s="131">
        <f>INDEX('Base de données Mono'!N:N,MATCH(B704,'Base de données Mono'!D:D,0))</f>
        <v>0.5625</v>
      </c>
      <c r="M704" s="33" t="s">
        <v>46</v>
      </c>
      <c r="N704" s="33">
        <f>IF(AND(E704="Electricité",M704="Hiver"),INDEX('Base de données Mono'!E:E,MATCH(B704,'Base de données Mono'!D:D,0)),IF(AND(E704="Electricité",M704="Mi-saison"),INDEX('Base de données Mono'!F:F,MATCH(B704,'Base de données Mono'!D:D,0)),IF(AND(E704="Electricité",M704="Eté"),INDEX('Base de données Mono'!G:G,MATCH(B704,'Base de données Mono'!D:D,0)),IF(AND(E704="Gaz",M704="Hiver"),INDEX('Base de données Mono'!J:J,MATCH(B704,'Base de données Mono'!D:D,0)),IF(AND(E704="Gaz",M704="Mi-saison"),INDEX('Base de données Mono'!#REF!,MATCH(B704,'Base de données Mono'!D:D,0)),IF(AND(E704="Gaz",M704="Eté"),INDEX('Base de données Mono'!#REF!,MATCH(B704,'Base de données Mono'!D:D,0)),"-"))))))</f>
        <v>25</v>
      </c>
      <c r="O704" s="123">
        <v>45385</v>
      </c>
      <c r="P704" s="123">
        <v>45386</v>
      </c>
      <c r="Q704" s="34">
        <v>45</v>
      </c>
      <c r="R704" s="33">
        <f t="shared" si="75"/>
        <v>20</v>
      </c>
      <c r="S704" s="34">
        <v>1</v>
      </c>
      <c r="T704" s="34">
        <f t="shared" si="76"/>
        <v>1</v>
      </c>
      <c r="U704" s="33">
        <f t="shared" si="77"/>
        <v>20</v>
      </c>
      <c r="V704" s="38" t="s">
        <v>827</v>
      </c>
      <c r="W704" s="39">
        <f t="shared" si="78"/>
        <v>0.8</v>
      </c>
      <c r="X704" s="40" t="s">
        <v>304</v>
      </c>
      <c r="Y704" s="40" t="s">
        <v>283</v>
      </c>
      <c r="Z704" s="40" t="s">
        <v>749</v>
      </c>
      <c r="AA704" s="33" t="s">
        <v>749</v>
      </c>
      <c r="AB704" s="95"/>
      <c r="AC704" s="95"/>
    </row>
    <row r="705" spans="1:29" ht="14.45" hidden="1" customHeight="1" x14ac:dyDescent="0.25">
      <c r="A705" s="36" t="str">
        <f>INDEX('Base de données Mono'!C:C,MATCH(B705,'Base de données Mono'!D:D,0))</f>
        <v>Romainville</v>
      </c>
      <c r="B705" t="s">
        <v>412</v>
      </c>
      <c r="C705" s="36" t="str">
        <f>INDEX('Base de données Mono'!B:B,MATCH(B705,'Base de données Mono'!D:D,0))</f>
        <v>Monoprix</v>
      </c>
      <c r="D705" s="36" t="str">
        <f>INDEX('Base de données Mono'!A:A,MATCH(B705,'Base de données Mono'!D:D,0))</f>
        <v>JG</v>
      </c>
      <c r="E705" s="37" t="s">
        <v>303</v>
      </c>
      <c r="F705" s="41">
        <f t="shared" si="73"/>
        <v>14</v>
      </c>
      <c r="G705" s="41">
        <f t="shared" si="74"/>
        <v>4</v>
      </c>
      <c r="H705">
        <v>8.83</v>
      </c>
      <c r="I705" s="131">
        <f>INDEX('Base de données Mono'!K:K,MATCH(B705,'Base de données Mono'!D:D,0))</f>
        <v>0.24305555555555555</v>
      </c>
      <c r="J705" s="131">
        <f>INDEX('Base de données Mono'!L:L,MATCH(B705,'Base de données Mono'!D:D,0))</f>
        <v>0.875</v>
      </c>
      <c r="K705" s="131">
        <f>INDEX('Base de données Mono'!M:M,MATCH(B705,'Base de données Mono'!D:D,0))</f>
        <v>0.31944444444444448</v>
      </c>
      <c r="L705" s="131">
        <f>INDEX('Base de données Mono'!N:N,MATCH(B705,'Base de données Mono'!D:D,0))</f>
        <v>0.5625</v>
      </c>
      <c r="M705" s="33" t="s">
        <v>46</v>
      </c>
      <c r="N705" s="33">
        <f>IF(AND(E705="Electricité",M705="Hiver"),INDEX('Base de données Mono'!E:E,MATCH(B705,'Base de données Mono'!D:D,0)),IF(AND(E705="Electricité",M705="Mi-saison"),INDEX('Base de données Mono'!F:F,MATCH(B705,'Base de données Mono'!D:D,0)),IF(AND(E705="Electricité",M705="Eté"),INDEX('Base de données Mono'!G:G,MATCH(B705,'Base de données Mono'!D:D,0)),IF(AND(E705="Gaz",M705="Hiver"),INDEX('Base de données Mono'!J:J,MATCH(B705,'Base de données Mono'!D:D,0)),IF(AND(E705="Gaz",M705="Mi-saison"),INDEX('Base de données Mono'!#REF!,MATCH(B705,'Base de données Mono'!D:D,0)),IF(AND(E705="Gaz",M705="Eté"),INDEX('Base de données Mono'!#REF!,MATCH(B705,'Base de données Mono'!D:D,0)),"-"))))))</f>
        <v>25</v>
      </c>
      <c r="O705" s="123">
        <v>45387</v>
      </c>
      <c r="P705" s="123">
        <v>45389</v>
      </c>
      <c r="Q705" s="34">
        <v>35</v>
      </c>
      <c r="R705" s="33">
        <f t="shared" si="75"/>
        <v>10</v>
      </c>
      <c r="S705" s="34">
        <v>8</v>
      </c>
      <c r="T705" s="34">
        <f t="shared" si="76"/>
        <v>2</v>
      </c>
      <c r="U705" s="33">
        <f t="shared" si="77"/>
        <v>160</v>
      </c>
      <c r="V705" s="38" t="s">
        <v>827</v>
      </c>
      <c r="W705" s="39">
        <f t="shared" si="78"/>
        <v>0.4</v>
      </c>
      <c r="X705" s="40" t="s">
        <v>304</v>
      </c>
      <c r="Y705" s="40" t="s">
        <v>283</v>
      </c>
      <c r="Z705" s="40" t="s">
        <v>749</v>
      </c>
      <c r="AA705" s="33" t="s">
        <v>749</v>
      </c>
      <c r="AB705" s="95"/>
      <c r="AC705" s="95"/>
    </row>
    <row r="706" spans="1:29" ht="14.45" hidden="1" customHeight="1" x14ac:dyDescent="0.25">
      <c r="A706" s="36" t="str">
        <f>INDEX('Base de données Mono'!C:C,MATCH(B706,'Base de données Mono'!D:D,0))</f>
        <v>LE VESINET</v>
      </c>
      <c r="B706" t="s">
        <v>19</v>
      </c>
      <c r="C706" s="36" t="str">
        <f>INDEX('Base de données Mono'!B:B,MATCH(B706,'Base de données Mono'!D:D,0))</f>
        <v>SES8</v>
      </c>
      <c r="D706" s="36" t="str">
        <f>INDEX('Base de données Mono'!A:A,MATCH(B706,'Base de données Mono'!D:D,0))</f>
        <v>AD</v>
      </c>
      <c r="E706" s="37" t="s">
        <v>303</v>
      </c>
      <c r="F706" s="41">
        <f>IF(O706="","-",IF(AND(X706="Nuit",WEEKDAY(O706,2)=7,O706&lt;&gt;P706),WEEKNUM(O706,2),WEEKNUM(O706,2)-1))+1</f>
        <v>14</v>
      </c>
      <c r="G706" s="41">
        <f>IF(O706="","-",MONTH(O706))</f>
        <v>4</v>
      </c>
      <c r="H706">
        <v>8.33</v>
      </c>
      <c r="I706" s="131">
        <f>INDEX('Base de données Mono'!K:K,MATCH(B706,'Base de données Mono'!D:D,0))</f>
        <v>0.24305555555555555</v>
      </c>
      <c r="J706" s="131">
        <f>INDEX('Base de données Mono'!L:L,MATCH(B706,'Base de données Mono'!D:D,0))</f>
        <v>0.89583333333333337</v>
      </c>
      <c r="K706" s="131">
        <f>INDEX('Base de données Mono'!M:M,MATCH(B706,'Base de données Mono'!D:D,0))</f>
        <v>0.29166666666666669</v>
      </c>
      <c r="L706" s="131">
        <f>INDEX('Base de données Mono'!N:N,MATCH(B706,'Base de données Mono'!D:D,0))</f>
        <v>0.5625</v>
      </c>
      <c r="M706" s="33" t="s">
        <v>46</v>
      </c>
      <c r="N706" s="33">
        <f>IF(AND(E706="Electricité",M706="Hiver"),INDEX('Base de données Mono'!E:E,MATCH(B706,'Base de données Mono'!D:D,0)),IF(AND(E706="Electricité",M706="Mi-saison"),INDEX('Base de données Mono'!F:F,MATCH(B706,'Base de données Mono'!D:D,0)),IF(AND(E706="Electricité",M706="Eté"),INDEX('Base de données Mono'!G:G,MATCH(B706,'Base de données Mono'!D:D,0)),IF(AND(E706="Gaz",M706="Hiver"),INDEX('Base de données Mono'!J:J,MATCH(B706,'Base de données Mono'!D:D,0)),IF(AND(E706="Gaz",M706="Mi-saison"),INDEX('Base de données Mono'!#REF!,MATCH(B706,'Base de données Mono'!D:D,0)),IF(AND(E706="Gaz",M706="Eté"),INDEX('Base de données Mono'!#REF!,MATCH(B706,'Base de données Mono'!D:D,0)),"-"))))))</f>
        <v>45</v>
      </c>
      <c r="O706" s="123">
        <v>45383</v>
      </c>
      <c r="P706" s="123">
        <v>45388</v>
      </c>
      <c r="Q706" s="34">
        <v>90</v>
      </c>
      <c r="R706" s="33">
        <f>IF(Q706="","",Q706-N706)</f>
        <v>45</v>
      </c>
      <c r="S706" s="34">
        <v>0.3</v>
      </c>
      <c r="T706" s="34">
        <f>P706-O706</f>
        <v>5</v>
      </c>
      <c r="U706" s="33">
        <f>R706*S706*T706</f>
        <v>67.5</v>
      </c>
      <c r="V706" s="38" t="s">
        <v>827</v>
      </c>
      <c r="W706" s="39">
        <f>IFERROR(IF(E706="Gaz","-",R706/N706),"-")</f>
        <v>1</v>
      </c>
      <c r="X706" s="40" t="s">
        <v>304</v>
      </c>
      <c r="Y706" s="40" t="s">
        <v>284</v>
      </c>
      <c r="Z706" s="40" t="s">
        <v>307</v>
      </c>
      <c r="AA706" s="33" t="s">
        <v>414</v>
      </c>
      <c r="AB706" s="95"/>
      <c r="AC706" s="95"/>
    </row>
    <row r="707" spans="1:29" ht="14.45" hidden="1" customHeight="1" x14ac:dyDescent="0.25">
      <c r="A707" s="36" t="str">
        <f>INDEX('Base de données Mono'!C:C,MATCH(B707,'Base de données Mono'!D:D,0))</f>
        <v>LE VESINET</v>
      </c>
      <c r="B707" t="s">
        <v>19</v>
      </c>
      <c r="C707" s="36" t="str">
        <f>INDEX('Base de données Mono'!B:B,MATCH(B707,'Base de données Mono'!D:D,0))</f>
        <v>SES8</v>
      </c>
      <c r="D707" s="36" t="str">
        <f>INDEX('Base de données Mono'!A:A,MATCH(B707,'Base de données Mono'!D:D,0))</f>
        <v>AD</v>
      </c>
      <c r="E707" s="37" t="s">
        <v>303</v>
      </c>
      <c r="F707" s="41">
        <f>IF(O707="","-",IF(AND(X707="Nuit",WEEKDAY(O707,2)=7,O707&lt;&gt;P707),WEEKNUM(O707,2),WEEKNUM(O707,2)-1))+1</f>
        <v>14</v>
      </c>
      <c r="G707" s="41">
        <f>IF(O707="","-",MONTH(O707))</f>
        <v>4</v>
      </c>
      <c r="H707">
        <v>8.33</v>
      </c>
      <c r="I707" s="131">
        <f>INDEX('Base de données Mono'!K:K,MATCH(B707,'Base de données Mono'!D:D,0))</f>
        <v>0.24305555555555555</v>
      </c>
      <c r="J707" s="131">
        <f>INDEX('Base de données Mono'!L:L,MATCH(B707,'Base de données Mono'!D:D,0))</f>
        <v>0.89583333333333337</v>
      </c>
      <c r="K707" s="131">
        <f>INDEX('Base de données Mono'!M:M,MATCH(B707,'Base de données Mono'!D:D,0))</f>
        <v>0.29166666666666669</v>
      </c>
      <c r="L707" s="131">
        <f>INDEX('Base de données Mono'!N:N,MATCH(B707,'Base de données Mono'!D:D,0))</f>
        <v>0.5625</v>
      </c>
      <c r="M707" s="33" t="s">
        <v>46</v>
      </c>
      <c r="N707" s="33">
        <f>IF(AND(E707="Electricité",M707="Hiver"),INDEX('Base de données Mono'!E:E,MATCH(B707,'Base de données Mono'!D:D,0)),IF(AND(E707="Electricité",M707="Mi-saison"),INDEX('Base de données Mono'!F:F,MATCH(B707,'Base de données Mono'!D:D,0)),IF(AND(E707="Electricité",M707="Eté"),INDEX('Base de données Mono'!G:G,MATCH(B707,'Base de données Mono'!D:D,0)),IF(AND(E707="Gaz",M707="Hiver"),INDEX('Base de données Mono'!J:J,MATCH(B707,'Base de données Mono'!D:D,0)),IF(AND(E707="Gaz",M707="Mi-saison"),INDEX('Base de données Mono'!#REF!,MATCH(B707,'Base de données Mono'!D:D,0)),IF(AND(E707="Gaz",M707="Eté"),INDEX('Base de données Mono'!#REF!,MATCH(B707,'Base de données Mono'!D:D,0)),"-"))))))</f>
        <v>45</v>
      </c>
      <c r="O707" s="123">
        <v>45383</v>
      </c>
      <c r="P707" s="123">
        <v>45384</v>
      </c>
      <c r="Q707" s="34">
        <v>60</v>
      </c>
      <c r="R707" s="33">
        <f>IF(Q707="","",Q707-N707)</f>
        <v>15</v>
      </c>
      <c r="S707" s="34">
        <v>8</v>
      </c>
      <c r="T707" s="34">
        <f>P707-O707</f>
        <v>1</v>
      </c>
      <c r="U707" s="33">
        <f>R707*S707*T707</f>
        <v>120</v>
      </c>
      <c r="V707" s="38" t="s">
        <v>827</v>
      </c>
      <c r="W707" s="39">
        <f>IFERROR(IF(E707="Gaz","-",R707/N707),"-")</f>
        <v>0.33333333333333331</v>
      </c>
      <c r="X707" s="40" t="s">
        <v>304</v>
      </c>
      <c r="Y707" s="40" t="s">
        <v>284</v>
      </c>
      <c r="Z707" s="40" t="s">
        <v>305</v>
      </c>
      <c r="AA707" s="33" t="s">
        <v>771</v>
      </c>
      <c r="AB707" s="95"/>
      <c r="AC707" s="95"/>
    </row>
    <row r="708" spans="1:29" ht="14.45" hidden="1" customHeight="1" x14ac:dyDescent="0.25">
      <c r="A708" s="36" t="str">
        <f>INDEX('Base de données Mono'!C:C,MATCH(B708,'Base de données Mono'!D:D,0))</f>
        <v>LE VESINET</v>
      </c>
      <c r="B708" t="s">
        <v>19</v>
      </c>
      <c r="C708" s="36" t="str">
        <f>INDEX('Base de données Mono'!B:B,MATCH(B708,'Base de données Mono'!D:D,0))</f>
        <v>SES8</v>
      </c>
      <c r="D708" s="36" t="str">
        <f>INDEX('Base de données Mono'!A:A,MATCH(B708,'Base de données Mono'!D:D,0))</f>
        <v>AD</v>
      </c>
      <c r="E708" s="37" t="s">
        <v>303</v>
      </c>
      <c r="F708" s="41">
        <f>IF(O708="","-",IF(AND(X708="Nuit",WEEKDAY(O708,2)=7,O708&lt;&gt;P708),WEEKNUM(O708,2),WEEKNUM(O708,2)-1))+1</f>
        <v>14</v>
      </c>
      <c r="G708" s="41">
        <f>IF(O708="","-",MONTH(O708))</f>
        <v>4</v>
      </c>
      <c r="H708">
        <v>8.33</v>
      </c>
      <c r="I708" s="131">
        <f>INDEX('Base de données Mono'!K:K,MATCH(B708,'Base de données Mono'!D:D,0))</f>
        <v>0.24305555555555555</v>
      </c>
      <c r="J708" s="131">
        <f>INDEX('Base de données Mono'!L:L,MATCH(B708,'Base de données Mono'!D:D,0))</f>
        <v>0.89583333333333337</v>
      </c>
      <c r="K708" s="131">
        <f>INDEX('Base de données Mono'!M:M,MATCH(B708,'Base de données Mono'!D:D,0))</f>
        <v>0.29166666666666669</v>
      </c>
      <c r="L708" s="131">
        <f>INDEX('Base de données Mono'!N:N,MATCH(B708,'Base de données Mono'!D:D,0))</f>
        <v>0.5625</v>
      </c>
      <c r="M708" s="33" t="s">
        <v>46</v>
      </c>
      <c r="N708" s="33">
        <f>IF(AND(E708="Electricité",M708="Hiver"),INDEX('Base de données Mono'!E:E,MATCH(B708,'Base de données Mono'!D:D,0)),IF(AND(E708="Electricité",M708="Mi-saison"),INDEX('Base de données Mono'!F:F,MATCH(B708,'Base de données Mono'!D:D,0)),IF(AND(E708="Electricité",M708="Eté"),INDEX('Base de données Mono'!G:G,MATCH(B708,'Base de données Mono'!D:D,0)),IF(AND(E708="Gaz",M708="Hiver"),INDEX('Base de données Mono'!J:J,MATCH(B708,'Base de données Mono'!D:D,0)),IF(AND(E708="Gaz",M708="Mi-saison"),INDEX('Base de données Mono'!#REF!,MATCH(B708,'Base de données Mono'!D:D,0)),IF(AND(E708="Gaz",M708="Eté"),INDEX('Base de données Mono'!#REF!,MATCH(B708,'Base de données Mono'!D:D,0)),"-"))))))</f>
        <v>45</v>
      </c>
      <c r="O708" s="123">
        <v>45384</v>
      </c>
      <c r="P708" s="123">
        <v>45385</v>
      </c>
      <c r="Q708" s="34">
        <v>80</v>
      </c>
      <c r="R708" s="33">
        <f>IF(Q708="","",Q708-N708)</f>
        <v>35</v>
      </c>
      <c r="S708" s="34">
        <v>8</v>
      </c>
      <c r="T708" s="34">
        <f>P708-O708</f>
        <v>1</v>
      </c>
      <c r="U708" s="33">
        <f>R708*S708*T708</f>
        <v>280</v>
      </c>
      <c r="V708" s="38" t="s">
        <v>827</v>
      </c>
      <c r="W708" s="39">
        <f>IFERROR(IF(E708="Gaz","-",R708/N708),"-")</f>
        <v>0.77777777777777779</v>
      </c>
      <c r="X708" s="40" t="s">
        <v>304</v>
      </c>
      <c r="Y708" s="40" t="s">
        <v>283</v>
      </c>
      <c r="Z708" s="40" t="s">
        <v>749</v>
      </c>
      <c r="AA708" s="33" t="s">
        <v>749</v>
      </c>
      <c r="AB708" s="95"/>
      <c r="AC708" s="95"/>
    </row>
    <row r="709" spans="1:29" ht="14.45" hidden="1" customHeight="1" x14ac:dyDescent="0.25">
      <c r="A709" s="36" t="str">
        <f>INDEX('Base de données Mono'!C:C,MATCH(B709,'Base de données Mono'!D:D,0))</f>
        <v>LE VESINET</v>
      </c>
      <c r="B709" t="s">
        <v>19</v>
      </c>
      <c r="C709" s="36" t="str">
        <f>INDEX('Base de données Mono'!B:B,MATCH(B709,'Base de données Mono'!D:D,0))</f>
        <v>SES8</v>
      </c>
      <c r="D709" s="36" t="str">
        <f>INDEX('Base de données Mono'!A:A,MATCH(B709,'Base de données Mono'!D:D,0))</f>
        <v>AD</v>
      </c>
      <c r="E709" s="37" t="s">
        <v>303</v>
      </c>
      <c r="F709" s="41">
        <f t="shared" si="73"/>
        <v>14</v>
      </c>
      <c r="G709" s="41">
        <f t="shared" si="74"/>
        <v>4</v>
      </c>
      <c r="H709">
        <v>8.33</v>
      </c>
      <c r="I709" s="131">
        <f>INDEX('Base de données Mono'!K:K,MATCH(B709,'Base de données Mono'!D:D,0))</f>
        <v>0.24305555555555555</v>
      </c>
      <c r="J709" s="131">
        <f>INDEX('Base de données Mono'!L:L,MATCH(B709,'Base de données Mono'!D:D,0))</f>
        <v>0.89583333333333337</v>
      </c>
      <c r="K709" s="131">
        <f>INDEX('Base de données Mono'!M:M,MATCH(B709,'Base de données Mono'!D:D,0))</f>
        <v>0.29166666666666669</v>
      </c>
      <c r="L709" s="131">
        <f>INDEX('Base de données Mono'!N:N,MATCH(B709,'Base de données Mono'!D:D,0))</f>
        <v>0.5625</v>
      </c>
      <c r="M709" s="33" t="s">
        <v>46</v>
      </c>
      <c r="N709" s="33">
        <f>IF(AND(E709="Electricité",M709="Hiver"),INDEX('Base de données Mono'!E:E,MATCH(B709,'Base de données Mono'!D:D,0)),IF(AND(E709="Electricité",M709="Mi-saison"),INDEX('Base de données Mono'!F:F,MATCH(B709,'Base de données Mono'!D:D,0)),IF(AND(E709="Electricité",M709="Eté"),INDEX('Base de données Mono'!G:G,MATCH(B709,'Base de données Mono'!D:D,0)),IF(AND(E709="Gaz",M709="Hiver"),INDEX('Base de données Mono'!J:J,MATCH(B709,'Base de données Mono'!D:D,0)),IF(AND(E709="Gaz",M709="Mi-saison"),INDEX('Base de données Mono'!#REF!,MATCH(B709,'Base de données Mono'!D:D,0)),IF(AND(E709="Gaz",M709="Eté"),INDEX('Base de données Mono'!#REF!,MATCH(B709,'Base de données Mono'!D:D,0)),"-"))))))</f>
        <v>45</v>
      </c>
      <c r="O709" s="123">
        <v>45385</v>
      </c>
      <c r="P709" s="123">
        <v>45388</v>
      </c>
      <c r="Q709" s="34">
        <v>60</v>
      </c>
      <c r="R709" s="33">
        <f t="shared" si="75"/>
        <v>15</v>
      </c>
      <c r="S709" s="34">
        <v>8</v>
      </c>
      <c r="T709" s="34">
        <f t="shared" si="76"/>
        <v>3</v>
      </c>
      <c r="U709" s="33">
        <f t="shared" si="77"/>
        <v>360</v>
      </c>
      <c r="V709" s="38" t="s">
        <v>827</v>
      </c>
      <c r="W709" s="39">
        <f t="shared" si="78"/>
        <v>0.33333333333333331</v>
      </c>
      <c r="X709" s="40" t="s">
        <v>304</v>
      </c>
      <c r="Y709" s="40" t="s">
        <v>284</v>
      </c>
      <c r="Z709" s="40" t="s">
        <v>305</v>
      </c>
      <c r="AA709" s="33" t="s">
        <v>771</v>
      </c>
      <c r="AB709" s="95"/>
      <c r="AC709" s="95"/>
    </row>
    <row r="710" spans="1:29" ht="14.45" hidden="1" customHeight="1" x14ac:dyDescent="0.25">
      <c r="A710" s="36" t="str">
        <f>INDEX('Base de données Mono'!C:C,MATCH(B710,'Base de données Mono'!D:D,0))</f>
        <v>LE VESINET</v>
      </c>
      <c r="B710" t="s">
        <v>19</v>
      </c>
      <c r="C710" s="36" t="str">
        <f>INDEX('Base de données Mono'!B:B,MATCH(B710,'Base de données Mono'!D:D,0))</f>
        <v>SES8</v>
      </c>
      <c r="D710" s="36" t="str">
        <f>INDEX('Base de données Mono'!A:A,MATCH(B710,'Base de données Mono'!D:D,0))</f>
        <v>AD</v>
      </c>
      <c r="E710" s="37" t="s">
        <v>303</v>
      </c>
      <c r="F710" s="41">
        <f t="shared" si="73"/>
        <v>14</v>
      </c>
      <c r="G710" s="41">
        <f t="shared" si="74"/>
        <v>4</v>
      </c>
      <c r="H710">
        <v>8.33</v>
      </c>
      <c r="I710" s="131">
        <f>INDEX('Base de données Mono'!K:K,MATCH(B710,'Base de données Mono'!D:D,0))</f>
        <v>0.24305555555555555</v>
      </c>
      <c r="J710" s="131">
        <f>INDEX('Base de données Mono'!L:L,MATCH(B710,'Base de données Mono'!D:D,0))</f>
        <v>0.89583333333333337</v>
      </c>
      <c r="K710" s="131">
        <f>INDEX('Base de données Mono'!M:M,MATCH(B710,'Base de données Mono'!D:D,0))</f>
        <v>0.29166666666666669</v>
      </c>
      <c r="L710" s="131">
        <f>INDEX('Base de données Mono'!N:N,MATCH(B710,'Base de données Mono'!D:D,0))</f>
        <v>0.5625</v>
      </c>
      <c r="M710" s="33" t="s">
        <v>46</v>
      </c>
      <c r="N710" s="33">
        <f>IF(AND(E710="Electricité",M710="Hiver"),INDEX('Base de données Mono'!E:E,MATCH(B710,'Base de données Mono'!D:D,0)),IF(AND(E710="Electricité",M710="Mi-saison"),INDEX('Base de données Mono'!F:F,MATCH(B710,'Base de données Mono'!D:D,0)),IF(AND(E710="Electricité",M710="Eté"),INDEX('Base de données Mono'!G:G,MATCH(B710,'Base de données Mono'!D:D,0)),IF(AND(E710="Gaz",M710="Hiver"),INDEX('Base de données Mono'!J:J,MATCH(B710,'Base de données Mono'!D:D,0)),IF(AND(E710="Gaz",M710="Mi-saison"),INDEX('Base de données Mono'!#REF!,MATCH(B710,'Base de données Mono'!D:D,0)),IF(AND(E710="Gaz",M710="Eté"),INDEX('Base de données Mono'!#REF!,MATCH(B710,'Base de données Mono'!D:D,0)),"-"))))))</f>
        <v>45</v>
      </c>
      <c r="O710" s="123">
        <v>45388</v>
      </c>
      <c r="P710" s="123">
        <v>45389</v>
      </c>
      <c r="Q710" s="34">
        <v>60</v>
      </c>
      <c r="R710" s="33">
        <f t="shared" si="75"/>
        <v>15</v>
      </c>
      <c r="S710" s="34">
        <v>9.3000000000000007</v>
      </c>
      <c r="T710" s="34">
        <f t="shared" si="76"/>
        <v>1</v>
      </c>
      <c r="U710" s="33">
        <f t="shared" si="77"/>
        <v>139.5</v>
      </c>
      <c r="V710" s="38" t="s">
        <v>827</v>
      </c>
      <c r="W710" s="39">
        <f t="shared" si="78"/>
        <v>0.33333333333333331</v>
      </c>
      <c r="X710" s="40" t="s">
        <v>304</v>
      </c>
      <c r="Y710" s="40" t="s">
        <v>284</v>
      </c>
      <c r="Z710" s="40" t="s">
        <v>305</v>
      </c>
      <c r="AA710" s="33" t="s">
        <v>771</v>
      </c>
      <c r="AB710" s="95"/>
      <c r="AC710" s="95"/>
    </row>
    <row r="711" spans="1:29" ht="14.45" hidden="1" customHeight="1" x14ac:dyDescent="0.25">
      <c r="A711" s="36" t="str">
        <f>INDEX('Base de données Mono'!C:C,MATCH(B711,'Base de données Mono'!D:D,0))</f>
        <v>LE VESINET</v>
      </c>
      <c r="B711" t="s">
        <v>19</v>
      </c>
      <c r="C711" s="36" t="str">
        <f>INDEX('Base de données Mono'!B:B,MATCH(B711,'Base de données Mono'!D:D,0))</f>
        <v>SES8</v>
      </c>
      <c r="D711" s="36" t="str">
        <f>INDEX('Base de données Mono'!A:A,MATCH(B711,'Base de données Mono'!D:D,0))</f>
        <v>AD</v>
      </c>
      <c r="E711" s="37" t="s">
        <v>303</v>
      </c>
      <c r="F711" s="41">
        <f t="shared" si="73"/>
        <v>14</v>
      </c>
      <c r="G711" s="41">
        <f t="shared" si="74"/>
        <v>4</v>
      </c>
      <c r="H711">
        <v>8.33</v>
      </c>
      <c r="I711" s="131">
        <f>INDEX('Base de données Mono'!K:K,MATCH(B711,'Base de données Mono'!D:D,0))</f>
        <v>0.24305555555555555</v>
      </c>
      <c r="J711" s="131">
        <f>INDEX('Base de données Mono'!L:L,MATCH(B711,'Base de données Mono'!D:D,0))</f>
        <v>0.89583333333333337</v>
      </c>
      <c r="K711" s="131">
        <f>INDEX('Base de données Mono'!M:M,MATCH(B711,'Base de données Mono'!D:D,0))</f>
        <v>0.29166666666666669</v>
      </c>
      <c r="L711" s="131">
        <f>INDEX('Base de données Mono'!N:N,MATCH(B711,'Base de données Mono'!D:D,0))</f>
        <v>0.5625</v>
      </c>
      <c r="M711" s="33" t="s">
        <v>46</v>
      </c>
      <c r="N711" s="33">
        <f>IF(AND(E711="Electricité",M711="Hiver"),INDEX('Base de données Mono'!E:E,MATCH(B711,'Base de données Mono'!D:D,0)),IF(AND(E711="Electricité",M711="Mi-saison"),INDEX('Base de données Mono'!F:F,MATCH(B711,'Base de données Mono'!D:D,0)),IF(AND(E711="Electricité",M711="Eté"),INDEX('Base de données Mono'!G:G,MATCH(B711,'Base de données Mono'!D:D,0)),IF(AND(E711="Gaz",M711="Hiver"),INDEX('Base de données Mono'!J:J,MATCH(B711,'Base de données Mono'!D:D,0)),IF(AND(E711="Gaz",M711="Mi-saison"),INDEX('Base de données Mono'!#REF!,MATCH(B711,'Base de données Mono'!D:D,0)),IF(AND(E711="Gaz",M711="Eté"),INDEX('Base de données Mono'!#REF!,MATCH(B711,'Base de données Mono'!D:D,0)),"-"))))))</f>
        <v>45</v>
      </c>
      <c r="O711" s="123">
        <v>45389</v>
      </c>
      <c r="P711" s="123">
        <v>45389</v>
      </c>
      <c r="Q711" s="34">
        <v>90</v>
      </c>
      <c r="R711" s="33">
        <f t="shared" si="75"/>
        <v>45</v>
      </c>
      <c r="S711" s="34">
        <v>6.5</v>
      </c>
      <c r="T711" s="34">
        <v>1</v>
      </c>
      <c r="U711" s="33">
        <f t="shared" si="77"/>
        <v>292.5</v>
      </c>
      <c r="V711" s="38" t="s">
        <v>827</v>
      </c>
      <c r="W711" s="39">
        <f t="shared" si="78"/>
        <v>1</v>
      </c>
      <c r="X711" s="40" t="s">
        <v>730</v>
      </c>
      <c r="Y711" s="40" t="s">
        <v>284</v>
      </c>
      <c r="Z711" s="40" t="s">
        <v>307</v>
      </c>
      <c r="AA711" s="33" t="s">
        <v>308</v>
      </c>
      <c r="AB711" s="95"/>
      <c r="AC711" s="95"/>
    </row>
    <row r="712" spans="1:29" ht="14.45" hidden="1" customHeight="1" x14ac:dyDescent="0.25">
      <c r="A712" s="36" t="str">
        <f>INDEX('Base de données Mono'!C:C,MATCH(B712,'Base de données Mono'!D:D,0))</f>
        <v xml:space="preserve">La Celle Saint Cloud 2 </v>
      </c>
      <c r="B712" t="s">
        <v>377</v>
      </c>
      <c r="C712" s="36" t="str">
        <f>INDEX('Base de données Mono'!B:B,MATCH(B712,'Base de données Mono'!D:D,0))</f>
        <v>Monoprix</v>
      </c>
      <c r="D712" s="36" t="str">
        <f>INDEX('Base de données Mono'!A:A,MATCH(B712,'Base de données Mono'!D:D,0))</f>
        <v>JG</v>
      </c>
      <c r="E712" s="37" t="s">
        <v>303</v>
      </c>
      <c r="F712" s="41">
        <f t="shared" si="73"/>
        <v>14</v>
      </c>
      <c r="G712" s="41">
        <f t="shared" si="74"/>
        <v>4</v>
      </c>
      <c r="H712">
        <v>9.5</v>
      </c>
      <c r="I712" s="131">
        <f>INDEX('Base de données Mono'!K:K,MATCH(B712,'Base de données Mono'!D:D,0))</f>
        <v>0.27083333333333331</v>
      </c>
      <c r="J712" s="131">
        <f>INDEX('Base de données Mono'!L:L,MATCH(B712,'Base de données Mono'!D:D,0))</f>
        <v>0.875</v>
      </c>
      <c r="K712" s="131">
        <f>INDEX('Base de données Mono'!M:M,MATCH(B712,'Base de données Mono'!D:D,0))</f>
        <v>0.3125</v>
      </c>
      <c r="L712" s="131">
        <f>INDEX('Base de données Mono'!N:N,MATCH(B712,'Base de données Mono'!D:D,0))</f>
        <v>0.83333333333333337</v>
      </c>
      <c r="M712" s="33" t="s">
        <v>46</v>
      </c>
      <c r="N712" s="33">
        <f>IF(AND(E712="Electricité",M712="Hiver"),INDEX('Base de données Mono'!E:E,MATCH(B712,'Base de données Mono'!D:D,0)),IF(AND(E712="Electricité",M712="Mi-saison"),INDEX('Base de données Mono'!F:F,MATCH(B712,'Base de données Mono'!D:D,0)),IF(AND(E712="Electricité",M712="Eté"),INDEX('Base de données Mono'!G:G,MATCH(B712,'Base de données Mono'!D:D,0)),IF(AND(E712="Gaz",M712="Hiver"),INDEX('Base de données Mono'!J:J,MATCH(B712,'Base de données Mono'!D:D,0)),IF(AND(E712="Gaz",M712="Mi-saison"),INDEX('Base de données Mono'!#REF!,MATCH(B712,'Base de données Mono'!D:D,0)),IF(AND(E712="Gaz",M712="Eté"),INDEX('Base de données Mono'!#REF!,MATCH(B712,'Base de données Mono'!D:D,0)),"-"))))))</f>
        <v>50</v>
      </c>
      <c r="O712" s="123">
        <v>45383</v>
      </c>
      <c r="P712" s="123">
        <v>45384</v>
      </c>
      <c r="Q712" s="34">
        <v>70</v>
      </c>
      <c r="R712" s="33">
        <f t="shared" si="75"/>
        <v>20</v>
      </c>
      <c r="S712" s="34">
        <v>1</v>
      </c>
      <c r="T712" s="34">
        <f t="shared" si="76"/>
        <v>1</v>
      </c>
      <c r="U712" s="33">
        <f t="shared" si="77"/>
        <v>20</v>
      </c>
      <c r="V712" s="38" t="s">
        <v>827</v>
      </c>
      <c r="W712" s="39">
        <f t="shared" si="78"/>
        <v>0.4</v>
      </c>
      <c r="X712" s="40" t="s">
        <v>304</v>
      </c>
      <c r="Y712" s="40" t="s">
        <v>283</v>
      </c>
      <c r="Z712" s="40" t="s">
        <v>749</v>
      </c>
      <c r="AA712" s="33" t="s">
        <v>749</v>
      </c>
      <c r="AB712" s="95"/>
      <c r="AC712" s="95"/>
    </row>
    <row r="713" spans="1:29" ht="14.45" hidden="1" customHeight="1" x14ac:dyDescent="0.25">
      <c r="A713" s="36" t="str">
        <f>INDEX('Base de données Mono'!C:C,MATCH(B713,'Base de données Mono'!D:D,0))</f>
        <v xml:space="preserve">La Celle Saint Cloud 2 </v>
      </c>
      <c r="B713" t="s">
        <v>377</v>
      </c>
      <c r="C713" s="36" t="str">
        <f>INDEX('Base de données Mono'!B:B,MATCH(B713,'Base de données Mono'!D:D,0))</f>
        <v>Monoprix</v>
      </c>
      <c r="D713" s="36" t="str">
        <f>INDEX('Base de données Mono'!A:A,MATCH(B713,'Base de données Mono'!D:D,0))</f>
        <v>JG</v>
      </c>
      <c r="E713" s="37" t="s">
        <v>303</v>
      </c>
      <c r="F713" s="41">
        <f t="shared" si="73"/>
        <v>14</v>
      </c>
      <c r="G713" s="41">
        <f t="shared" si="74"/>
        <v>4</v>
      </c>
      <c r="H713">
        <v>9.5</v>
      </c>
      <c r="I713" s="131">
        <f>INDEX('Base de données Mono'!K:K,MATCH(B713,'Base de données Mono'!D:D,0))</f>
        <v>0.27083333333333331</v>
      </c>
      <c r="J713" s="131">
        <f>INDEX('Base de données Mono'!L:L,MATCH(B713,'Base de données Mono'!D:D,0))</f>
        <v>0.875</v>
      </c>
      <c r="K713" s="131">
        <f>INDEX('Base de données Mono'!M:M,MATCH(B713,'Base de données Mono'!D:D,0))</f>
        <v>0.3125</v>
      </c>
      <c r="L713" s="131">
        <f>INDEX('Base de données Mono'!N:N,MATCH(B713,'Base de données Mono'!D:D,0))</f>
        <v>0.83333333333333337</v>
      </c>
      <c r="M713" s="33" t="s">
        <v>46</v>
      </c>
      <c r="N713" s="33">
        <f>IF(AND(E713="Electricité",M713="Hiver"),INDEX('Base de données Mono'!E:E,MATCH(B713,'Base de données Mono'!D:D,0)),IF(AND(E713="Electricité",M713="Mi-saison"),INDEX('Base de données Mono'!F:F,MATCH(B713,'Base de données Mono'!D:D,0)),IF(AND(E713="Electricité",M713="Eté"),INDEX('Base de données Mono'!G:G,MATCH(B713,'Base de données Mono'!D:D,0)),IF(AND(E713="Gaz",M713="Hiver"),INDEX('Base de données Mono'!J:J,MATCH(B713,'Base de données Mono'!D:D,0)),IF(AND(E713="Gaz",M713="Mi-saison"),INDEX('Base de données Mono'!#REF!,MATCH(B713,'Base de données Mono'!D:D,0)),IF(AND(E713="Gaz",M713="Eté"),INDEX('Base de données Mono'!#REF!,MATCH(B713,'Base de données Mono'!D:D,0)),"-"))))))</f>
        <v>50</v>
      </c>
      <c r="O713" s="123">
        <v>45384</v>
      </c>
      <c r="P713" s="123">
        <v>45385</v>
      </c>
      <c r="Q713" s="34">
        <v>65</v>
      </c>
      <c r="R713" s="33">
        <f t="shared" si="75"/>
        <v>15</v>
      </c>
      <c r="S713" s="34">
        <v>1</v>
      </c>
      <c r="T713" s="34">
        <f t="shared" si="76"/>
        <v>1</v>
      </c>
      <c r="U713" s="33">
        <f t="shared" si="77"/>
        <v>15</v>
      </c>
      <c r="V713" s="38" t="s">
        <v>827</v>
      </c>
      <c r="W713" s="39">
        <f t="shared" si="78"/>
        <v>0.3</v>
      </c>
      <c r="X713" s="40" t="s">
        <v>304</v>
      </c>
      <c r="Y713" s="40" t="s">
        <v>283</v>
      </c>
      <c r="Z713" s="40" t="s">
        <v>749</v>
      </c>
      <c r="AA713" s="33" t="s">
        <v>749</v>
      </c>
      <c r="AB713" s="95"/>
      <c r="AC713" s="95"/>
    </row>
    <row r="714" spans="1:29" ht="14.45" hidden="1" customHeight="1" x14ac:dyDescent="0.25">
      <c r="A714" s="36" t="str">
        <f>INDEX('Base de données Mono'!C:C,MATCH(B714,'Base de données Mono'!D:D,0))</f>
        <v xml:space="preserve">La Celle Saint Cloud 2 </v>
      </c>
      <c r="B714" t="s">
        <v>377</v>
      </c>
      <c r="C714" s="36" t="str">
        <f>INDEX('Base de données Mono'!B:B,MATCH(B714,'Base de données Mono'!D:D,0))</f>
        <v>Monoprix</v>
      </c>
      <c r="D714" s="36" t="str">
        <f>INDEX('Base de données Mono'!A:A,MATCH(B714,'Base de données Mono'!D:D,0))</f>
        <v>JG</v>
      </c>
      <c r="E714" s="37" t="s">
        <v>303</v>
      </c>
      <c r="F714" s="41">
        <f t="shared" ref="F714:F756" si="79">IF(O714="","-",IF(AND(X714="Nuit",WEEKDAY(O714,2)=7,O714&lt;&gt;P714),WEEKNUM(O714,2),WEEKNUM(O714,2)-1))+1</f>
        <v>14</v>
      </c>
      <c r="G714" s="41">
        <f t="shared" ref="G714:G756" si="80">IF(O714="","-",MONTH(O714))</f>
        <v>4</v>
      </c>
      <c r="H714">
        <v>9.5</v>
      </c>
      <c r="I714" s="131">
        <f>INDEX('Base de données Mono'!K:K,MATCH(B714,'Base de données Mono'!D:D,0))</f>
        <v>0.27083333333333331</v>
      </c>
      <c r="J714" s="131">
        <f>INDEX('Base de données Mono'!L:L,MATCH(B714,'Base de données Mono'!D:D,0))</f>
        <v>0.875</v>
      </c>
      <c r="K714" s="131">
        <f>INDEX('Base de données Mono'!M:M,MATCH(B714,'Base de données Mono'!D:D,0))</f>
        <v>0.3125</v>
      </c>
      <c r="L714" s="131">
        <f>INDEX('Base de données Mono'!N:N,MATCH(B714,'Base de données Mono'!D:D,0))</f>
        <v>0.83333333333333337</v>
      </c>
      <c r="M714" s="33" t="s">
        <v>46</v>
      </c>
      <c r="N714" s="33">
        <f>IF(AND(E714="Electricité",M714="Hiver"),INDEX('Base de données Mono'!E:E,MATCH(B714,'Base de données Mono'!D:D,0)),IF(AND(E714="Electricité",M714="Mi-saison"),INDEX('Base de données Mono'!F:F,MATCH(B714,'Base de données Mono'!D:D,0)),IF(AND(E714="Electricité",M714="Eté"),INDEX('Base de données Mono'!G:G,MATCH(B714,'Base de données Mono'!D:D,0)),IF(AND(E714="Gaz",M714="Hiver"),INDEX('Base de données Mono'!J:J,MATCH(B714,'Base de données Mono'!D:D,0)),IF(AND(E714="Gaz",M714="Mi-saison"),INDEX('Base de données Mono'!#REF!,MATCH(B714,'Base de données Mono'!D:D,0)),IF(AND(E714="Gaz",M714="Eté"),INDEX('Base de données Mono'!#REF!,MATCH(B714,'Base de données Mono'!D:D,0)),"-"))))))</f>
        <v>50</v>
      </c>
      <c r="O714" s="123">
        <v>45385</v>
      </c>
      <c r="P714" s="123">
        <v>45388</v>
      </c>
      <c r="Q714" s="34">
        <v>55</v>
      </c>
      <c r="R714" s="33">
        <f t="shared" ref="R714:R756" si="81">IF(Q714="","",Q714-N714)</f>
        <v>5</v>
      </c>
      <c r="S714" s="34">
        <v>1</v>
      </c>
      <c r="T714" s="34">
        <f t="shared" ref="T714:T756" si="82">P714-O714</f>
        <v>3</v>
      </c>
      <c r="U714" s="33">
        <f t="shared" ref="U714:U756" si="83">R714*S714*T714</f>
        <v>15</v>
      </c>
      <c r="V714" s="38" t="s">
        <v>827</v>
      </c>
      <c r="W714" s="39">
        <f t="shared" ref="W714:W756" si="84">IFERROR(IF(E714="Gaz","-",R714/N714),"-")</f>
        <v>0.1</v>
      </c>
      <c r="X714" s="40" t="s">
        <v>304</v>
      </c>
      <c r="Y714" s="40" t="s">
        <v>283</v>
      </c>
      <c r="Z714" s="40" t="s">
        <v>749</v>
      </c>
      <c r="AA714" s="33" t="s">
        <v>749</v>
      </c>
      <c r="AB714" s="95"/>
      <c r="AC714" s="95"/>
    </row>
    <row r="715" spans="1:29" ht="14.45" hidden="1" customHeight="1" x14ac:dyDescent="0.25">
      <c r="A715" s="36" t="str">
        <f>INDEX('Base de données Mono'!C:C,MATCH(B715,'Base de données Mono'!D:D,0))</f>
        <v xml:space="preserve">La Celle Saint Cloud 2 </v>
      </c>
      <c r="B715" t="s">
        <v>377</v>
      </c>
      <c r="C715" s="36" t="str">
        <f>INDEX('Base de données Mono'!B:B,MATCH(B715,'Base de données Mono'!D:D,0))</f>
        <v>Monoprix</v>
      </c>
      <c r="D715" s="36" t="str">
        <f>INDEX('Base de données Mono'!A:A,MATCH(B715,'Base de données Mono'!D:D,0))</f>
        <v>JG</v>
      </c>
      <c r="E715" s="37" t="s">
        <v>303</v>
      </c>
      <c r="F715" s="41">
        <f t="shared" si="79"/>
        <v>14</v>
      </c>
      <c r="G715" s="41">
        <f t="shared" si="80"/>
        <v>4</v>
      </c>
      <c r="H715">
        <v>9.5</v>
      </c>
      <c r="I715" s="131">
        <f>INDEX('Base de données Mono'!K:K,MATCH(B715,'Base de données Mono'!D:D,0))</f>
        <v>0.27083333333333331</v>
      </c>
      <c r="J715" s="131">
        <f>INDEX('Base de données Mono'!L:L,MATCH(B715,'Base de données Mono'!D:D,0))</f>
        <v>0.875</v>
      </c>
      <c r="K715" s="131">
        <f>INDEX('Base de données Mono'!M:M,MATCH(B715,'Base de données Mono'!D:D,0))</f>
        <v>0.3125</v>
      </c>
      <c r="L715" s="131">
        <f>INDEX('Base de données Mono'!N:N,MATCH(B715,'Base de données Mono'!D:D,0))</f>
        <v>0.83333333333333337</v>
      </c>
      <c r="M715" s="33" t="s">
        <v>46</v>
      </c>
      <c r="N715" s="33">
        <f>IF(AND(E715="Electricité",M715="Hiver"),INDEX('Base de données Mono'!E:E,MATCH(B715,'Base de données Mono'!D:D,0)),IF(AND(E715="Electricité",M715="Mi-saison"),INDEX('Base de données Mono'!F:F,MATCH(B715,'Base de données Mono'!D:D,0)),IF(AND(E715="Electricité",M715="Eté"),INDEX('Base de données Mono'!G:G,MATCH(B715,'Base de données Mono'!D:D,0)),IF(AND(E715="Gaz",M715="Hiver"),INDEX('Base de données Mono'!J:J,MATCH(B715,'Base de données Mono'!D:D,0)),IF(AND(E715="Gaz",M715="Mi-saison"),INDEX('Base de données Mono'!#REF!,MATCH(B715,'Base de données Mono'!D:D,0)),IF(AND(E715="Gaz",M715="Eté"),INDEX('Base de données Mono'!#REF!,MATCH(B715,'Base de données Mono'!D:D,0)),"-"))))))</f>
        <v>50</v>
      </c>
      <c r="O715" s="123">
        <v>45386</v>
      </c>
      <c r="P715" s="123">
        <v>45387</v>
      </c>
      <c r="Q715" s="34">
        <v>65</v>
      </c>
      <c r="R715" s="33">
        <f t="shared" si="81"/>
        <v>15</v>
      </c>
      <c r="S715" s="34">
        <v>1</v>
      </c>
      <c r="T715" s="34">
        <f t="shared" si="82"/>
        <v>1</v>
      </c>
      <c r="U715" s="33">
        <f t="shared" si="83"/>
        <v>15</v>
      </c>
      <c r="V715" s="38" t="s">
        <v>827</v>
      </c>
      <c r="W715" s="39">
        <f t="shared" si="84"/>
        <v>0.3</v>
      </c>
      <c r="X715" s="40" t="s">
        <v>304</v>
      </c>
      <c r="Y715" s="40" t="s">
        <v>283</v>
      </c>
      <c r="Z715" s="40" t="s">
        <v>749</v>
      </c>
      <c r="AA715" s="33" t="s">
        <v>749</v>
      </c>
      <c r="AB715" s="95"/>
      <c r="AC715" s="95"/>
    </row>
    <row r="716" spans="1:29" ht="14.45" hidden="1" customHeight="1" x14ac:dyDescent="0.25">
      <c r="A716" s="36" t="str">
        <f>INDEX('Base de données Mono'!C:C,MATCH(B716,'Base de données Mono'!D:D,0))</f>
        <v xml:space="preserve">La Celle Saint Cloud 2 </v>
      </c>
      <c r="B716" t="s">
        <v>377</v>
      </c>
      <c r="C716" s="36" t="str">
        <f>INDEX('Base de données Mono'!B:B,MATCH(B716,'Base de données Mono'!D:D,0))</f>
        <v>Monoprix</v>
      </c>
      <c r="D716" s="36" t="str">
        <f>INDEX('Base de données Mono'!A:A,MATCH(B716,'Base de données Mono'!D:D,0))</f>
        <v>JG</v>
      </c>
      <c r="E716" s="37" t="s">
        <v>303</v>
      </c>
      <c r="F716" s="41">
        <f t="shared" si="79"/>
        <v>14</v>
      </c>
      <c r="G716" s="41">
        <f t="shared" si="80"/>
        <v>4</v>
      </c>
      <c r="H716">
        <v>9.5</v>
      </c>
      <c r="I716" s="131">
        <f>INDEX('Base de données Mono'!K:K,MATCH(B716,'Base de données Mono'!D:D,0))</f>
        <v>0.27083333333333331</v>
      </c>
      <c r="J716" s="131">
        <f>INDEX('Base de données Mono'!L:L,MATCH(B716,'Base de données Mono'!D:D,0))</f>
        <v>0.875</v>
      </c>
      <c r="K716" s="131">
        <f>INDEX('Base de données Mono'!M:M,MATCH(B716,'Base de données Mono'!D:D,0))</f>
        <v>0.3125</v>
      </c>
      <c r="L716" s="131">
        <f>INDEX('Base de données Mono'!N:N,MATCH(B716,'Base de données Mono'!D:D,0))</f>
        <v>0.83333333333333337</v>
      </c>
      <c r="M716" s="33" t="s">
        <v>46</v>
      </c>
      <c r="N716" s="33">
        <f>IF(AND(E716="Electricité",M716="Hiver"),INDEX('Base de données Mono'!E:E,MATCH(B716,'Base de données Mono'!D:D,0)),IF(AND(E716="Electricité",M716="Mi-saison"),INDEX('Base de données Mono'!F:F,MATCH(B716,'Base de données Mono'!D:D,0)),IF(AND(E716="Electricité",M716="Eté"),INDEX('Base de données Mono'!G:G,MATCH(B716,'Base de données Mono'!D:D,0)),IF(AND(E716="Gaz",M716="Hiver"),INDEX('Base de données Mono'!J:J,MATCH(B716,'Base de données Mono'!D:D,0)),IF(AND(E716="Gaz",M716="Mi-saison"),INDEX('Base de données Mono'!#REF!,MATCH(B716,'Base de données Mono'!D:D,0)),IF(AND(E716="Gaz",M716="Eté"),INDEX('Base de données Mono'!#REF!,MATCH(B716,'Base de données Mono'!D:D,0)),"-"))))))</f>
        <v>50</v>
      </c>
      <c r="O716" s="123">
        <v>45387</v>
      </c>
      <c r="P716" s="123">
        <v>45388</v>
      </c>
      <c r="Q716" s="34">
        <v>60</v>
      </c>
      <c r="R716" s="33">
        <f t="shared" si="81"/>
        <v>10</v>
      </c>
      <c r="S716" s="34">
        <v>1</v>
      </c>
      <c r="T716" s="34">
        <f t="shared" si="82"/>
        <v>1</v>
      </c>
      <c r="U716" s="33">
        <f t="shared" si="83"/>
        <v>10</v>
      </c>
      <c r="V716" s="38" t="s">
        <v>827</v>
      </c>
      <c r="W716" s="39">
        <f t="shared" si="84"/>
        <v>0.2</v>
      </c>
      <c r="X716" s="40" t="s">
        <v>304</v>
      </c>
      <c r="Y716" s="40" t="s">
        <v>283</v>
      </c>
      <c r="Z716" s="40" t="s">
        <v>749</v>
      </c>
      <c r="AA716" s="33" t="s">
        <v>749</v>
      </c>
      <c r="AB716" s="95"/>
      <c r="AC716" s="95"/>
    </row>
    <row r="717" spans="1:29" ht="14.45" hidden="1" customHeight="1" x14ac:dyDescent="0.25">
      <c r="A717" s="36" t="str">
        <f>INDEX('Base de données Mono'!C:C,MATCH(B717,'Base de données Mono'!D:D,0))</f>
        <v xml:space="preserve">La Celle Saint Cloud 2 </v>
      </c>
      <c r="B717" t="s">
        <v>377</v>
      </c>
      <c r="C717" s="36" t="str">
        <f>INDEX('Base de données Mono'!B:B,MATCH(B717,'Base de données Mono'!D:D,0))</f>
        <v>Monoprix</v>
      </c>
      <c r="D717" s="36" t="str">
        <f>INDEX('Base de données Mono'!A:A,MATCH(B717,'Base de données Mono'!D:D,0))</f>
        <v>JG</v>
      </c>
      <c r="E717" s="37" t="s">
        <v>303</v>
      </c>
      <c r="F717" s="41">
        <f t="shared" si="79"/>
        <v>14</v>
      </c>
      <c r="G717" s="41">
        <f t="shared" si="80"/>
        <v>4</v>
      </c>
      <c r="H717">
        <v>9.5</v>
      </c>
      <c r="I717" s="131">
        <f>INDEX('Base de données Mono'!K:K,MATCH(B717,'Base de données Mono'!D:D,0))</f>
        <v>0.27083333333333331</v>
      </c>
      <c r="J717" s="131">
        <f>INDEX('Base de données Mono'!L:L,MATCH(B717,'Base de données Mono'!D:D,0))</f>
        <v>0.875</v>
      </c>
      <c r="K717" s="131">
        <f>INDEX('Base de données Mono'!M:M,MATCH(B717,'Base de données Mono'!D:D,0))</f>
        <v>0.3125</v>
      </c>
      <c r="L717" s="131">
        <f>INDEX('Base de données Mono'!N:N,MATCH(B717,'Base de données Mono'!D:D,0))</f>
        <v>0.83333333333333337</v>
      </c>
      <c r="M717" s="33" t="s">
        <v>46</v>
      </c>
      <c r="N717" s="33">
        <f>IF(AND(E717="Electricité",M717="Hiver"),INDEX('Base de données Mono'!E:E,MATCH(B717,'Base de données Mono'!D:D,0)),IF(AND(E717="Electricité",M717="Mi-saison"),INDEX('Base de données Mono'!F:F,MATCH(B717,'Base de données Mono'!D:D,0)),IF(AND(E717="Electricité",M717="Eté"),INDEX('Base de données Mono'!G:G,MATCH(B717,'Base de données Mono'!D:D,0)),IF(AND(E717="Gaz",M717="Hiver"),INDEX('Base de données Mono'!J:J,MATCH(B717,'Base de données Mono'!D:D,0)),IF(AND(E717="Gaz",M717="Mi-saison"),INDEX('Base de données Mono'!#REF!,MATCH(B717,'Base de données Mono'!D:D,0)),IF(AND(E717="Gaz",M717="Eté"),INDEX('Base de données Mono'!#REF!,MATCH(B717,'Base de données Mono'!D:D,0)),"-"))))))</f>
        <v>50</v>
      </c>
      <c r="O717" s="123">
        <v>45387</v>
      </c>
      <c r="P717" s="123">
        <v>45388</v>
      </c>
      <c r="Q717" s="34">
        <v>75</v>
      </c>
      <c r="R717" s="33">
        <f t="shared" si="81"/>
        <v>25</v>
      </c>
      <c r="S717" s="34">
        <v>1</v>
      </c>
      <c r="T717" s="34">
        <f t="shared" si="82"/>
        <v>1</v>
      </c>
      <c r="U717" s="33">
        <f t="shared" si="83"/>
        <v>25</v>
      </c>
      <c r="V717" s="38" t="s">
        <v>827</v>
      </c>
      <c r="W717" s="39">
        <f t="shared" si="84"/>
        <v>0.5</v>
      </c>
      <c r="X717" s="40" t="s">
        <v>304</v>
      </c>
      <c r="Y717" s="40" t="s">
        <v>283</v>
      </c>
      <c r="Z717" s="40" t="s">
        <v>749</v>
      </c>
      <c r="AA717" s="33" t="s">
        <v>749</v>
      </c>
      <c r="AB717" s="95"/>
      <c r="AC717" s="95"/>
    </row>
    <row r="718" spans="1:29" ht="14.45" hidden="1" customHeight="1" x14ac:dyDescent="0.25">
      <c r="A718" s="36" t="str">
        <f>INDEX('Base de données Mono'!C:C,MATCH(B718,'Base de données Mono'!D:D,0))</f>
        <v>CASTELANNE</v>
      </c>
      <c r="B718" t="s">
        <v>369</v>
      </c>
      <c r="C718" s="36" t="str">
        <f>INDEX('Base de données Mono'!B:B,MATCH(B718,'Base de données Mono'!D:D,0))</f>
        <v>Monoprix</v>
      </c>
      <c r="D718" s="36" t="str">
        <f>INDEX('Base de données Mono'!A:A,MATCH(B718,'Base de données Mono'!D:D,0))</f>
        <v>JG</v>
      </c>
      <c r="E718" s="37" t="s">
        <v>303</v>
      </c>
      <c r="F718" s="41">
        <f t="shared" si="79"/>
        <v>14</v>
      </c>
      <c r="G718" s="41">
        <f t="shared" si="80"/>
        <v>4</v>
      </c>
      <c r="H718">
        <v>8</v>
      </c>
      <c r="I718" s="131">
        <f>INDEX('Base de données Mono'!K:K,MATCH(B718,'Base de données Mono'!D:D,0))</f>
        <v>0.20833333333333334</v>
      </c>
      <c r="J718" s="131">
        <f>INDEX('Base de données Mono'!L:L,MATCH(B718,'Base de données Mono'!D:D,0))</f>
        <v>0.875</v>
      </c>
      <c r="K718" s="131">
        <f>INDEX('Base de données Mono'!M:M,MATCH(B718,'Base de données Mono'!D:D,0))</f>
        <v>0.20833333333333334</v>
      </c>
      <c r="L718" s="131">
        <f>INDEX('Base de données Mono'!N:N,MATCH(B718,'Base de données Mono'!D:D,0))</f>
        <v>0.58333333333333337</v>
      </c>
      <c r="M718" s="33" t="s">
        <v>46</v>
      </c>
      <c r="N718" s="33">
        <f>IF(AND(E718="Electricité",M718="Hiver"),INDEX('Base de données Mono'!E:E,MATCH(B718,'Base de données Mono'!D:D,0)),IF(AND(E718="Electricité",M718="Mi-saison"),INDEX('Base de données Mono'!F:F,MATCH(B718,'Base de données Mono'!D:D,0)),IF(AND(E718="Electricité",M718="Eté"),INDEX('Base de données Mono'!G:G,MATCH(B718,'Base de données Mono'!D:D,0)),IF(AND(E718="Gaz",M718="Hiver"),INDEX('Base de données Mono'!J:J,MATCH(B718,'Base de données Mono'!D:D,0)),IF(AND(E718="Gaz",M718="Mi-saison"),INDEX('Base de données Mono'!#REF!,MATCH(B718,'Base de données Mono'!D:D,0)),IF(AND(E718="Gaz",M718="Eté"),INDEX('Base de données Mono'!#REF!,MATCH(B718,'Base de données Mono'!D:D,0)),"-"))))))</f>
        <v>45</v>
      </c>
      <c r="O718" s="123">
        <v>45383</v>
      </c>
      <c r="P718" s="123">
        <v>45385</v>
      </c>
      <c r="Q718" s="34">
        <v>52.5</v>
      </c>
      <c r="R718" s="33">
        <f t="shared" si="81"/>
        <v>7.5</v>
      </c>
      <c r="S718" s="34">
        <v>7</v>
      </c>
      <c r="T718" s="34">
        <f t="shared" si="82"/>
        <v>2</v>
      </c>
      <c r="U718" s="33">
        <f t="shared" si="83"/>
        <v>105</v>
      </c>
      <c r="V718" s="38" t="s">
        <v>827</v>
      </c>
      <c r="W718" s="39">
        <f t="shared" si="84"/>
        <v>0.16666666666666666</v>
      </c>
      <c r="X718" s="40" t="s">
        <v>304</v>
      </c>
      <c r="Y718" s="40" t="s">
        <v>283</v>
      </c>
      <c r="Z718" s="40" t="s">
        <v>749</v>
      </c>
      <c r="AA718" s="33" t="s">
        <v>749</v>
      </c>
      <c r="AB718" s="95"/>
      <c r="AC718" s="95"/>
    </row>
    <row r="719" spans="1:29" ht="14.45" hidden="1" customHeight="1" x14ac:dyDescent="0.25">
      <c r="A719" s="36" t="str">
        <f>INDEX('Base de données Mono'!C:C,MATCH(B719,'Base de données Mono'!D:D,0))</f>
        <v>CASTELANNE</v>
      </c>
      <c r="B719" t="s">
        <v>369</v>
      </c>
      <c r="C719" s="36" t="str">
        <f>INDEX('Base de données Mono'!B:B,MATCH(B719,'Base de données Mono'!D:D,0))</f>
        <v>Monoprix</v>
      </c>
      <c r="D719" s="36" t="str">
        <f>INDEX('Base de données Mono'!A:A,MATCH(B719,'Base de données Mono'!D:D,0))</f>
        <v>JG</v>
      </c>
      <c r="E719" s="37" t="s">
        <v>303</v>
      </c>
      <c r="F719" s="41">
        <f t="shared" si="79"/>
        <v>14</v>
      </c>
      <c r="G719" s="41">
        <f t="shared" si="80"/>
        <v>4</v>
      </c>
      <c r="H719">
        <v>8</v>
      </c>
      <c r="I719" s="131">
        <f>INDEX('Base de données Mono'!K:K,MATCH(B719,'Base de données Mono'!D:D,0))</f>
        <v>0.20833333333333334</v>
      </c>
      <c r="J719" s="131">
        <f>INDEX('Base de données Mono'!L:L,MATCH(B719,'Base de données Mono'!D:D,0))</f>
        <v>0.875</v>
      </c>
      <c r="K719" s="131">
        <f>INDEX('Base de données Mono'!M:M,MATCH(B719,'Base de données Mono'!D:D,0))</f>
        <v>0.20833333333333334</v>
      </c>
      <c r="L719" s="131">
        <f>INDEX('Base de données Mono'!N:N,MATCH(B719,'Base de données Mono'!D:D,0))</f>
        <v>0.58333333333333337</v>
      </c>
      <c r="M719" s="33" t="s">
        <v>46</v>
      </c>
      <c r="N719" s="33">
        <f>IF(AND(E719="Electricité",M719="Hiver"),INDEX('Base de données Mono'!E:E,MATCH(B719,'Base de données Mono'!D:D,0)),IF(AND(E719="Electricité",M719="Mi-saison"),INDEX('Base de données Mono'!F:F,MATCH(B719,'Base de données Mono'!D:D,0)),IF(AND(E719="Electricité",M719="Eté"),INDEX('Base de données Mono'!G:G,MATCH(B719,'Base de données Mono'!D:D,0)),IF(AND(E719="Gaz",M719="Hiver"),INDEX('Base de données Mono'!J:J,MATCH(B719,'Base de données Mono'!D:D,0)),IF(AND(E719="Gaz",M719="Mi-saison"),INDEX('Base de données Mono'!#REF!,MATCH(B719,'Base de données Mono'!D:D,0)),IF(AND(E719="Gaz",M719="Eté"),INDEX('Base de données Mono'!#REF!,MATCH(B719,'Base de données Mono'!D:D,0)),"-"))))))</f>
        <v>45</v>
      </c>
      <c r="O719" s="123">
        <v>45385</v>
      </c>
      <c r="P719" s="123">
        <v>45387</v>
      </c>
      <c r="Q719" s="34">
        <v>50</v>
      </c>
      <c r="R719" s="33">
        <f t="shared" si="81"/>
        <v>5</v>
      </c>
      <c r="S719" s="34">
        <v>1</v>
      </c>
      <c r="T719" s="34">
        <f t="shared" si="82"/>
        <v>2</v>
      </c>
      <c r="U719" s="33">
        <f t="shared" si="83"/>
        <v>10</v>
      </c>
      <c r="V719" s="38" t="s">
        <v>827</v>
      </c>
      <c r="W719" s="39">
        <f t="shared" si="84"/>
        <v>0.1111111111111111</v>
      </c>
      <c r="X719" s="40" t="s">
        <v>304</v>
      </c>
      <c r="Y719" s="40" t="s">
        <v>283</v>
      </c>
      <c r="Z719" s="40" t="s">
        <v>749</v>
      </c>
      <c r="AA719" s="33" t="s">
        <v>749</v>
      </c>
      <c r="AB719" s="95"/>
      <c r="AC719" s="95"/>
    </row>
    <row r="720" spans="1:29" ht="14.45" hidden="1" customHeight="1" x14ac:dyDescent="0.25">
      <c r="A720" s="36" t="str">
        <f>INDEX('Base de données Mono'!C:C,MATCH(B720,'Base de données Mono'!D:D,0))</f>
        <v>TROYES ZOLA</v>
      </c>
      <c r="B720" t="s">
        <v>355</v>
      </c>
      <c r="C720" s="36" t="str">
        <f>INDEX('Base de données Mono'!B:B,MATCH(B720,'Base de données Mono'!D:D,0))</f>
        <v>Monoprix</v>
      </c>
      <c r="D720" s="36" t="str">
        <f>INDEX('Base de données Mono'!A:A,MATCH(B720,'Base de données Mono'!D:D,0))</f>
        <v>JG</v>
      </c>
      <c r="E720" s="37" t="s">
        <v>303</v>
      </c>
      <c r="F720" s="41">
        <f t="shared" si="79"/>
        <v>14</v>
      </c>
      <c r="G720" s="41">
        <f t="shared" si="80"/>
        <v>4</v>
      </c>
      <c r="H720">
        <v>11</v>
      </c>
      <c r="I720" s="131">
        <f>INDEX('Base de données Mono'!K:K,MATCH(B720,'Base de données Mono'!D:D,0))</f>
        <v>0.25</v>
      </c>
      <c r="J720" s="131">
        <f>INDEX('Base de données Mono'!L:L,MATCH(B720,'Base de données Mono'!D:D,0))</f>
        <v>0.79166666666666663</v>
      </c>
      <c r="K720" s="131">
        <f>INDEX('Base de données Mono'!M:M,MATCH(B720,'Base de données Mono'!D:D,0))</f>
        <v>0.33333333333333331</v>
      </c>
      <c r="L720" s="131">
        <f>INDEX('Base de données Mono'!N:N,MATCH(B720,'Base de données Mono'!D:D,0))</f>
        <v>0.52083333333333337</v>
      </c>
      <c r="M720" s="33" t="s">
        <v>46</v>
      </c>
      <c r="N720" s="33">
        <f>IF(AND(E720="Electricité",M720="Hiver"),INDEX('Base de données Mono'!E:E,MATCH(B720,'Base de données Mono'!D:D,0)),IF(AND(E720="Electricité",M720="Mi-saison"),INDEX('Base de données Mono'!F:F,MATCH(B720,'Base de données Mono'!D:D,0)),IF(AND(E720="Electricité",M720="Eté"),INDEX('Base de données Mono'!G:G,MATCH(B720,'Base de données Mono'!D:D,0)),IF(AND(E720="Gaz",M720="Hiver"),INDEX('Base de données Mono'!J:J,MATCH(B720,'Base de données Mono'!D:D,0)),IF(AND(E720="Gaz",M720="Mi-saison"),INDEX('Base de données Mono'!#REF!,MATCH(B720,'Base de données Mono'!D:D,0)),IF(AND(E720="Gaz",M720="Eté"),INDEX('Base de données Mono'!#REF!,MATCH(B720,'Base de données Mono'!D:D,0)),"-"))))))</f>
        <v>65</v>
      </c>
      <c r="O720" s="123">
        <v>45385</v>
      </c>
      <c r="P720" s="123">
        <v>45386</v>
      </c>
      <c r="Q720" s="34">
        <v>70</v>
      </c>
      <c r="R720" s="33">
        <f t="shared" si="81"/>
        <v>5</v>
      </c>
      <c r="S720" s="34">
        <v>1</v>
      </c>
      <c r="T720" s="34">
        <f t="shared" si="82"/>
        <v>1</v>
      </c>
      <c r="U720" s="33">
        <f t="shared" si="83"/>
        <v>5</v>
      </c>
      <c r="V720" s="38" t="s">
        <v>827</v>
      </c>
      <c r="W720" s="39">
        <f t="shared" si="84"/>
        <v>7.6923076923076927E-2</v>
      </c>
      <c r="X720" s="40" t="s">
        <v>304</v>
      </c>
      <c r="Y720" s="40" t="s">
        <v>283</v>
      </c>
      <c r="Z720" s="40" t="s">
        <v>749</v>
      </c>
      <c r="AA720" s="33" t="s">
        <v>749</v>
      </c>
      <c r="AB720" s="95"/>
      <c r="AC720" s="95"/>
    </row>
    <row r="721" spans="1:29" ht="14.45" hidden="1" customHeight="1" x14ac:dyDescent="0.25">
      <c r="A721" s="36" t="str">
        <f>INDEX('Base de données Mono'!C:C,MATCH(B721,'Base de données Mono'!D:D,0))</f>
        <v>ALESIA ALI</v>
      </c>
      <c r="B721" t="s">
        <v>56</v>
      </c>
      <c r="C721" s="36" t="str">
        <f>INDEX('Base de données Mono'!B:B,MATCH(B721,'Base de données Mono'!D:D,0))</f>
        <v>SES8</v>
      </c>
      <c r="D721" s="36" t="str">
        <f>INDEX('Base de données Mono'!A:A,MATCH(B721,'Base de données Mono'!D:D,0))</f>
        <v>AD</v>
      </c>
      <c r="E721" s="37" t="s">
        <v>303</v>
      </c>
      <c r="F721" s="41">
        <f t="shared" si="79"/>
        <v>14</v>
      </c>
      <c r="G721" s="41">
        <f t="shared" si="80"/>
        <v>4</v>
      </c>
      <c r="H721">
        <v>9</v>
      </c>
      <c r="I721" s="131">
        <f>INDEX('Base de données Mono'!K:K,MATCH(B721,'Base de données Mono'!D:D,0))</f>
        <v>0.20833333333333334</v>
      </c>
      <c r="J721" s="131">
        <f>INDEX('Base de données Mono'!L:L,MATCH(B721,'Base de données Mono'!D:D,0))</f>
        <v>0.83333333333333337</v>
      </c>
      <c r="K721" s="131">
        <f>INDEX('Base de données Mono'!M:M,MATCH(B721,'Base de données Mono'!D:D,0))</f>
        <v>0.25</v>
      </c>
      <c r="L721" s="131">
        <f>INDEX('Base de données Mono'!N:N,MATCH(B721,'Base de données Mono'!D:D,0))</f>
        <v>0.54166666666666663</v>
      </c>
      <c r="M721" s="33" t="s">
        <v>46</v>
      </c>
      <c r="N721" s="33">
        <f>IF(AND(E721="Electricité",M721="Hiver"),INDEX('Base de données Mono'!E:E,MATCH(B721,'Base de données Mono'!D:D,0)),IF(AND(E721="Electricité",M721="Mi-saison"),INDEX('Base de données Mono'!F:F,MATCH(B721,'Base de données Mono'!D:D,0)),IF(AND(E721="Electricité",M721="Eté"),INDEX('Base de données Mono'!G:G,MATCH(B721,'Base de données Mono'!D:D,0)),IF(AND(E721="Gaz",M721="Hiver"),INDEX('Base de données Mono'!J:J,MATCH(B721,'Base de données Mono'!D:D,0)),IF(AND(E721="Gaz",M721="Mi-saison"),INDEX('Base de données Mono'!#REF!,MATCH(B721,'Base de données Mono'!D:D,0)),IF(AND(E721="Gaz",M721="Eté"),INDEX('Base de données Mono'!#REF!,MATCH(B721,'Base de données Mono'!D:D,0)),"-"))))))</f>
        <v>55</v>
      </c>
      <c r="O721" s="123">
        <v>45384</v>
      </c>
      <c r="P721" s="123">
        <v>45389</v>
      </c>
      <c r="Q721" s="34">
        <v>75</v>
      </c>
      <c r="R721" s="33">
        <f t="shared" si="81"/>
        <v>20</v>
      </c>
      <c r="S721" s="164">
        <v>1.7</v>
      </c>
      <c r="T721" s="34">
        <f t="shared" si="82"/>
        <v>5</v>
      </c>
      <c r="U721" s="33">
        <f t="shared" si="83"/>
        <v>170</v>
      </c>
      <c r="V721" s="38" t="s">
        <v>148</v>
      </c>
      <c r="W721" s="39">
        <f t="shared" si="84"/>
        <v>0.36363636363636365</v>
      </c>
      <c r="X721" s="40" t="s">
        <v>304</v>
      </c>
      <c r="Y721" s="40" t="s">
        <v>284</v>
      </c>
      <c r="Z721" s="40" t="s">
        <v>307</v>
      </c>
      <c r="AA721" s="33" t="s">
        <v>313</v>
      </c>
      <c r="AB721" s="95"/>
      <c r="AC721" s="95"/>
    </row>
    <row r="722" spans="1:29" ht="14.45" hidden="1" customHeight="1" x14ac:dyDescent="0.25">
      <c r="A722" s="36" t="str">
        <f>INDEX('Base de données Mono'!C:C,MATCH(B722,'Base de données Mono'!D:D,0))</f>
        <v>ALESIA ALI</v>
      </c>
      <c r="B722" t="s">
        <v>56</v>
      </c>
      <c r="C722" s="36" t="str">
        <f>INDEX('Base de données Mono'!B:B,MATCH(B722,'Base de données Mono'!D:D,0))</f>
        <v>SES8</v>
      </c>
      <c r="D722" s="36" t="str">
        <f>INDEX('Base de données Mono'!A:A,MATCH(B722,'Base de données Mono'!D:D,0))</f>
        <v>AD</v>
      </c>
      <c r="E722" s="37" t="s">
        <v>303</v>
      </c>
      <c r="F722" s="41">
        <f t="shared" si="79"/>
        <v>14</v>
      </c>
      <c r="G722" s="41">
        <f t="shared" si="80"/>
        <v>4</v>
      </c>
      <c r="H722">
        <v>9</v>
      </c>
      <c r="I722" s="131">
        <f>INDEX('Base de données Mono'!K:K,MATCH(B722,'Base de données Mono'!D:D,0))</f>
        <v>0.20833333333333334</v>
      </c>
      <c r="J722" s="131">
        <f>INDEX('Base de données Mono'!L:L,MATCH(B722,'Base de données Mono'!D:D,0))</f>
        <v>0.83333333333333337</v>
      </c>
      <c r="K722" s="131">
        <f>INDEX('Base de données Mono'!M:M,MATCH(B722,'Base de données Mono'!D:D,0))</f>
        <v>0.25</v>
      </c>
      <c r="L722" s="131">
        <f>INDEX('Base de données Mono'!N:N,MATCH(B722,'Base de données Mono'!D:D,0))</f>
        <v>0.54166666666666663</v>
      </c>
      <c r="M722" s="33" t="s">
        <v>46</v>
      </c>
      <c r="N722" s="33">
        <f>IF(AND(E722="Electricité",M722="Hiver"),INDEX('Base de données Mono'!E:E,MATCH(B722,'Base de données Mono'!D:D,0)),IF(AND(E722="Electricité",M722="Mi-saison"),INDEX('Base de données Mono'!F:F,MATCH(B722,'Base de données Mono'!D:D,0)),IF(AND(E722="Electricité",M722="Eté"),INDEX('Base de données Mono'!G:G,MATCH(B722,'Base de données Mono'!D:D,0)),IF(AND(E722="Gaz",M722="Hiver"),INDEX('Base de données Mono'!J:J,MATCH(B722,'Base de données Mono'!D:D,0)),IF(AND(E722="Gaz",M722="Mi-saison"),INDEX('Base de données Mono'!#REF!,MATCH(B722,'Base de données Mono'!D:D,0)),IF(AND(E722="Gaz",M722="Eté"),INDEX('Base de données Mono'!#REF!,MATCH(B722,'Base de données Mono'!D:D,0)),"-"))))))</f>
        <v>55</v>
      </c>
      <c r="O722" s="123">
        <v>45384</v>
      </c>
      <c r="P722" s="123">
        <v>45389</v>
      </c>
      <c r="Q722" s="34">
        <v>60</v>
      </c>
      <c r="R722" s="33">
        <f t="shared" si="81"/>
        <v>5</v>
      </c>
      <c r="S722" s="34">
        <v>2</v>
      </c>
      <c r="T722" s="34">
        <f t="shared" si="82"/>
        <v>5</v>
      </c>
      <c r="U722" s="33">
        <f t="shared" si="83"/>
        <v>50</v>
      </c>
      <c r="V722" s="38" t="s">
        <v>827</v>
      </c>
      <c r="W722" s="39">
        <f t="shared" si="84"/>
        <v>9.0909090909090912E-2</v>
      </c>
      <c r="X722" s="40" t="s">
        <v>304</v>
      </c>
      <c r="Y722" s="40" t="s">
        <v>284</v>
      </c>
      <c r="Z722" s="40" t="s">
        <v>305</v>
      </c>
      <c r="AA722" s="33" t="s">
        <v>771</v>
      </c>
      <c r="AB722" s="95"/>
      <c r="AC722" s="95"/>
    </row>
    <row r="723" spans="1:29" ht="14.45" hidden="1" customHeight="1" x14ac:dyDescent="0.25">
      <c r="A723" s="36" t="str">
        <f>INDEX('Base de données Mono'!C:C,MATCH(B723,'Base de données Mono'!D:D,0))</f>
        <v>ALESIA ALI</v>
      </c>
      <c r="B723" t="s">
        <v>56</v>
      </c>
      <c r="C723" s="36" t="str">
        <f>INDEX('Base de données Mono'!B:B,MATCH(B723,'Base de données Mono'!D:D,0))</f>
        <v>SES8</v>
      </c>
      <c r="D723" s="36" t="str">
        <f>INDEX('Base de données Mono'!A:A,MATCH(B723,'Base de données Mono'!D:D,0))</f>
        <v>AD</v>
      </c>
      <c r="E723" s="37" t="s">
        <v>303</v>
      </c>
      <c r="F723" s="41">
        <f t="shared" si="79"/>
        <v>14</v>
      </c>
      <c r="G723" s="41">
        <f t="shared" si="80"/>
        <v>4</v>
      </c>
      <c r="H723">
        <v>9</v>
      </c>
      <c r="I723" s="131">
        <f>INDEX('Base de données Mono'!K:K,MATCH(B723,'Base de données Mono'!D:D,0))</f>
        <v>0.20833333333333334</v>
      </c>
      <c r="J723" s="131">
        <f>INDEX('Base de données Mono'!L:L,MATCH(B723,'Base de données Mono'!D:D,0))</f>
        <v>0.83333333333333337</v>
      </c>
      <c r="K723" s="131">
        <f>INDEX('Base de données Mono'!M:M,MATCH(B723,'Base de données Mono'!D:D,0))</f>
        <v>0.25</v>
      </c>
      <c r="L723" s="131">
        <f>INDEX('Base de données Mono'!N:N,MATCH(B723,'Base de données Mono'!D:D,0))</f>
        <v>0.54166666666666663</v>
      </c>
      <c r="M723" s="33" t="s">
        <v>46</v>
      </c>
      <c r="N723" s="33">
        <f>IF(AND(E723="Electricité",M723="Hiver"),INDEX('Base de données Mono'!E:E,MATCH(B723,'Base de données Mono'!D:D,0)),IF(AND(E723="Electricité",M723="Mi-saison"),INDEX('Base de données Mono'!F:F,MATCH(B723,'Base de données Mono'!D:D,0)),IF(AND(E723="Electricité",M723="Eté"),INDEX('Base de données Mono'!G:G,MATCH(B723,'Base de données Mono'!D:D,0)),IF(AND(E723="Gaz",M723="Hiver"),INDEX('Base de données Mono'!J:J,MATCH(B723,'Base de données Mono'!D:D,0)),IF(AND(E723="Gaz",M723="Mi-saison"),INDEX('Base de données Mono'!#REF!,MATCH(B723,'Base de données Mono'!D:D,0)),IF(AND(E723="Gaz",M723="Eté"),INDEX('Base de données Mono'!#REF!,MATCH(B723,'Base de données Mono'!D:D,0)),"-"))))))</f>
        <v>55</v>
      </c>
      <c r="O723" s="123">
        <v>45389</v>
      </c>
      <c r="P723" s="123">
        <v>45389</v>
      </c>
      <c r="Q723" s="34">
        <v>75</v>
      </c>
      <c r="R723" s="33">
        <f t="shared" si="81"/>
        <v>20</v>
      </c>
      <c r="S723" s="34">
        <v>7</v>
      </c>
      <c r="T723" s="34">
        <v>1</v>
      </c>
      <c r="U723" s="33">
        <f t="shared" si="83"/>
        <v>140</v>
      </c>
      <c r="V723" s="38" t="s">
        <v>827</v>
      </c>
      <c r="W723" s="39">
        <f t="shared" si="84"/>
        <v>0.36363636363636365</v>
      </c>
      <c r="X723" s="40" t="s">
        <v>730</v>
      </c>
      <c r="Y723" s="40" t="s">
        <v>284</v>
      </c>
      <c r="Z723" s="40" t="s">
        <v>307</v>
      </c>
      <c r="AA723" s="33" t="s">
        <v>308</v>
      </c>
      <c r="AB723" s="95"/>
      <c r="AC723" s="95"/>
    </row>
    <row r="724" spans="1:29" ht="14.45" hidden="1" customHeight="1" x14ac:dyDescent="0.25">
      <c r="A724" s="36" t="str">
        <f>INDEX('Base de données Mono'!C:C,MATCH(B724,'Base de données Mono'!D:D,0))</f>
        <v>Saint Cyr L'Ecole</v>
      </c>
      <c r="B724" t="s">
        <v>480</v>
      </c>
      <c r="C724" s="36" t="str">
        <f>INDEX('Base de données Mono'!B:B,MATCH(B724,'Base de données Mono'!D:D,0))</f>
        <v>Monoprix</v>
      </c>
      <c r="D724" s="36" t="str">
        <f>INDEX('Base de données Mono'!A:A,MATCH(B724,'Base de données Mono'!D:D,0))</f>
        <v>AD</v>
      </c>
      <c r="E724" s="37" t="s">
        <v>303</v>
      </c>
      <c r="F724" s="41">
        <f t="shared" si="79"/>
        <v>14</v>
      </c>
      <c r="G724" s="41">
        <f t="shared" si="80"/>
        <v>4</v>
      </c>
      <c r="H724">
        <v>9.67</v>
      </c>
      <c r="I724" s="131">
        <f>INDEX('Base de données Mono'!K:K,MATCH(B724,'Base de données Mono'!D:D,0))</f>
        <v>0.2638888888888889</v>
      </c>
      <c r="J724" s="131">
        <f>INDEX('Base de données Mono'!L:L,MATCH(B724,'Base de données Mono'!D:D,0))</f>
        <v>0.86111111111111116</v>
      </c>
      <c r="K724" s="131">
        <f>INDEX('Base de données Mono'!M:M,MATCH(B724,'Base de données Mono'!D:D,0))</f>
        <v>0.27083333333333331</v>
      </c>
      <c r="L724" s="131">
        <f>INDEX('Base de données Mono'!N:N,MATCH(B724,'Base de données Mono'!D:D,0))</f>
        <v>0.54861111111111105</v>
      </c>
      <c r="M724" s="33" t="s">
        <v>46</v>
      </c>
      <c r="N724" s="33">
        <f>IF(AND(E724="Electricité",M724="Hiver"),INDEX('Base de données Mono'!E:E,MATCH(B724,'Base de données Mono'!D:D,0)),IF(AND(E724="Electricité",M724="Mi-saison"),INDEX('Base de données Mono'!F:F,MATCH(B724,'Base de données Mono'!D:D,0)),IF(AND(E724="Electricité",M724="Eté"),INDEX('Base de données Mono'!G:G,MATCH(B724,'Base de données Mono'!D:D,0)),IF(AND(E724="Gaz",M724="Hiver"),INDEX('Base de données Mono'!J:J,MATCH(B724,'Base de données Mono'!D:D,0)),IF(AND(E724="Gaz",M724="Mi-saison"),INDEX('Base de données Mono'!#REF!,MATCH(B724,'Base de données Mono'!D:D,0)),IF(AND(E724="Gaz",M724="Eté"),INDEX('Base de données Mono'!#REF!,MATCH(B724,'Base de données Mono'!D:D,0)),"-"))))))</f>
        <v>45</v>
      </c>
      <c r="O724" s="123">
        <v>45383</v>
      </c>
      <c r="P724" s="123">
        <v>45384</v>
      </c>
      <c r="Q724" s="34">
        <v>60</v>
      </c>
      <c r="R724" s="33">
        <f t="shared" si="81"/>
        <v>15</v>
      </c>
      <c r="S724" s="34">
        <v>2</v>
      </c>
      <c r="T724" s="34">
        <f t="shared" si="82"/>
        <v>1</v>
      </c>
      <c r="U724" s="33">
        <f t="shared" si="83"/>
        <v>30</v>
      </c>
      <c r="V724" s="38" t="s">
        <v>827</v>
      </c>
      <c r="W724" s="39">
        <f t="shared" si="84"/>
        <v>0.33333333333333331</v>
      </c>
      <c r="X724" s="40" t="s">
        <v>304</v>
      </c>
      <c r="Y724" s="40" t="s">
        <v>283</v>
      </c>
      <c r="Z724" s="40" t="s">
        <v>749</v>
      </c>
      <c r="AA724" s="33" t="s">
        <v>749</v>
      </c>
      <c r="AB724" s="95"/>
      <c r="AC724" s="95"/>
    </row>
    <row r="725" spans="1:29" ht="14.45" hidden="1" customHeight="1" x14ac:dyDescent="0.25">
      <c r="A725" s="36" t="str">
        <f>INDEX('Base de données Mono'!C:C,MATCH(B725,'Base de données Mono'!D:D,0))</f>
        <v>Saint Cyr L'Ecole</v>
      </c>
      <c r="B725" t="s">
        <v>480</v>
      </c>
      <c r="C725" s="36" t="str">
        <f>INDEX('Base de données Mono'!B:B,MATCH(B725,'Base de données Mono'!D:D,0))</f>
        <v>Monoprix</v>
      </c>
      <c r="D725" s="36" t="str">
        <f>INDEX('Base de données Mono'!A:A,MATCH(B725,'Base de données Mono'!D:D,0))</f>
        <v>AD</v>
      </c>
      <c r="E725" s="37" t="s">
        <v>303</v>
      </c>
      <c r="F725" s="41">
        <f t="shared" si="79"/>
        <v>14</v>
      </c>
      <c r="G725" s="41">
        <f t="shared" si="80"/>
        <v>4</v>
      </c>
      <c r="H725">
        <v>9.67</v>
      </c>
      <c r="I725" s="131">
        <f>INDEX('Base de données Mono'!K:K,MATCH(B725,'Base de données Mono'!D:D,0))</f>
        <v>0.2638888888888889</v>
      </c>
      <c r="J725" s="131">
        <f>INDEX('Base de données Mono'!L:L,MATCH(B725,'Base de données Mono'!D:D,0))</f>
        <v>0.86111111111111116</v>
      </c>
      <c r="K725" s="131">
        <f>INDEX('Base de données Mono'!M:M,MATCH(B725,'Base de données Mono'!D:D,0))</f>
        <v>0.27083333333333331</v>
      </c>
      <c r="L725" s="131">
        <f>INDEX('Base de données Mono'!N:N,MATCH(B725,'Base de données Mono'!D:D,0))</f>
        <v>0.54861111111111105</v>
      </c>
      <c r="M725" s="33" t="s">
        <v>46</v>
      </c>
      <c r="N725" s="33">
        <f>IF(AND(E725="Electricité",M725="Hiver"),INDEX('Base de données Mono'!E:E,MATCH(B725,'Base de données Mono'!D:D,0)),IF(AND(E725="Electricité",M725="Mi-saison"),INDEX('Base de données Mono'!F:F,MATCH(B725,'Base de données Mono'!D:D,0)),IF(AND(E725="Electricité",M725="Eté"),INDEX('Base de données Mono'!G:G,MATCH(B725,'Base de données Mono'!D:D,0)),IF(AND(E725="Gaz",M725="Hiver"),INDEX('Base de données Mono'!J:J,MATCH(B725,'Base de données Mono'!D:D,0)),IF(AND(E725="Gaz",M725="Mi-saison"),INDEX('Base de données Mono'!#REF!,MATCH(B725,'Base de données Mono'!D:D,0)),IF(AND(E725="Gaz",M725="Eté"),INDEX('Base de données Mono'!#REF!,MATCH(B725,'Base de données Mono'!D:D,0)),"-"))))))</f>
        <v>45</v>
      </c>
      <c r="O725" s="123">
        <v>45383</v>
      </c>
      <c r="P725" s="123">
        <v>45384</v>
      </c>
      <c r="Q725" s="34">
        <v>90</v>
      </c>
      <c r="R725" s="33">
        <f t="shared" si="81"/>
        <v>45</v>
      </c>
      <c r="S725" s="34">
        <v>1</v>
      </c>
      <c r="T725" s="34">
        <f t="shared" si="82"/>
        <v>1</v>
      </c>
      <c r="U725" s="33">
        <f t="shared" si="83"/>
        <v>45</v>
      </c>
      <c r="V725" s="38" t="s">
        <v>827</v>
      </c>
      <c r="W725" s="39">
        <f t="shared" si="84"/>
        <v>1</v>
      </c>
      <c r="X725" s="40" t="s">
        <v>304</v>
      </c>
      <c r="Y725" s="40" t="s">
        <v>283</v>
      </c>
      <c r="Z725" s="40" t="s">
        <v>749</v>
      </c>
      <c r="AA725" s="33" t="s">
        <v>749</v>
      </c>
      <c r="AB725" s="95"/>
      <c r="AC725" s="95"/>
    </row>
    <row r="726" spans="1:29" ht="14.45" hidden="1" customHeight="1" x14ac:dyDescent="0.25">
      <c r="A726" s="36" t="str">
        <f>INDEX('Base de données Mono'!C:C,MATCH(B726,'Base de données Mono'!D:D,0))</f>
        <v>Saint Cyr L'Ecole</v>
      </c>
      <c r="B726" t="s">
        <v>480</v>
      </c>
      <c r="C726" s="36" t="str">
        <f>INDEX('Base de données Mono'!B:B,MATCH(B726,'Base de données Mono'!D:D,0))</f>
        <v>Monoprix</v>
      </c>
      <c r="D726" s="36" t="str">
        <f>INDEX('Base de données Mono'!A:A,MATCH(B726,'Base de données Mono'!D:D,0))</f>
        <v>AD</v>
      </c>
      <c r="E726" s="37" t="s">
        <v>303</v>
      </c>
      <c r="F726" s="41">
        <f t="shared" si="79"/>
        <v>14</v>
      </c>
      <c r="G726" s="41">
        <f t="shared" si="80"/>
        <v>4</v>
      </c>
      <c r="H726">
        <v>9.67</v>
      </c>
      <c r="I726" s="131">
        <f>INDEX('Base de données Mono'!K:K,MATCH(B726,'Base de données Mono'!D:D,0))</f>
        <v>0.2638888888888889</v>
      </c>
      <c r="J726" s="131">
        <f>INDEX('Base de données Mono'!L:L,MATCH(B726,'Base de données Mono'!D:D,0))</f>
        <v>0.86111111111111116</v>
      </c>
      <c r="K726" s="131">
        <f>INDEX('Base de données Mono'!M:M,MATCH(B726,'Base de données Mono'!D:D,0))</f>
        <v>0.27083333333333331</v>
      </c>
      <c r="L726" s="131">
        <f>INDEX('Base de données Mono'!N:N,MATCH(B726,'Base de données Mono'!D:D,0))</f>
        <v>0.54861111111111105</v>
      </c>
      <c r="M726" s="33" t="s">
        <v>46</v>
      </c>
      <c r="N726" s="33">
        <f>IF(AND(E726="Electricité",M726="Hiver"),INDEX('Base de données Mono'!E:E,MATCH(B726,'Base de données Mono'!D:D,0)),IF(AND(E726="Electricité",M726="Mi-saison"),INDEX('Base de données Mono'!F:F,MATCH(B726,'Base de données Mono'!D:D,0)),IF(AND(E726="Electricité",M726="Eté"),INDEX('Base de données Mono'!G:G,MATCH(B726,'Base de données Mono'!D:D,0)),IF(AND(E726="Gaz",M726="Hiver"),INDEX('Base de données Mono'!J:J,MATCH(B726,'Base de données Mono'!D:D,0)),IF(AND(E726="Gaz",M726="Mi-saison"),INDEX('Base de données Mono'!#REF!,MATCH(B726,'Base de données Mono'!D:D,0)),IF(AND(E726="Gaz",M726="Eté"),INDEX('Base de données Mono'!#REF!,MATCH(B726,'Base de données Mono'!D:D,0)),"-"))))))</f>
        <v>45</v>
      </c>
      <c r="O726" s="123">
        <v>45384</v>
      </c>
      <c r="P726" s="123">
        <v>45385</v>
      </c>
      <c r="Q726" s="34">
        <v>85</v>
      </c>
      <c r="R726" s="33">
        <f t="shared" si="81"/>
        <v>40</v>
      </c>
      <c r="S726" s="34">
        <v>9</v>
      </c>
      <c r="T726" s="34">
        <f t="shared" si="82"/>
        <v>1</v>
      </c>
      <c r="U726" s="33">
        <f t="shared" si="83"/>
        <v>360</v>
      </c>
      <c r="V726" s="38" t="s">
        <v>827</v>
      </c>
      <c r="W726" s="39">
        <f t="shared" si="84"/>
        <v>0.88888888888888884</v>
      </c>
      <c r="X726" s="40" t="s">
        <v>304</v>
      </c>
      <c r="Y726" s="40" t="s">
        <v>283</v>
      </c>
      <c r="Z726" s="40" t="s">
        <v>749</v>
      </c>
      <c r="AA726" s="33" t="s">
        <v>749</v>
      </c>
      <c r="AB726" s="95"/>
      <c r="AC726" s="95"/>
    </row>
    <row r="727" spans="1:29" ht="14.45" hidden="1" customHeight="1" x14ac:dyDescent="0.25">
      <c r="A727" s="36" t="str">
        <f>INDEX('Base de données Mono'!C:C,MATCH(B727,'Base de données Mono'!D:D,0))</f>
        <v>Saint Cyr L'Ecole</v>
      </c>
      <c r="B727" t="s">
        <v>480</v>
      </c>
      <c r="C727" s="36" t="str">
        <f>INDEX('Base de données Mono'!B:B,MATCH(B727,'Base de données Mono'!D:D,0))</f>
        <v>Monoprix</v>
      </c>
      <c r="D727" s="36" t="str">
        <f>INDEX('Base de données Mono'!A:A,MATCH(B727,'Base de données Mono'!D:D,0))</f>
        <v>AD</v>
      </c>
      <c r="E727" s="37" t="s">
        <v>303</v>
      </c>
      <c r="F727" s="41">
        <f t="shared" si="79"/>
        <v>14</v>
      </c>
      <c r="G727" s="41">
        <f t="shared" si="80"/>
        <v>4</v>
      </c>
      <c r="H727">
        <v>9.67</v>
      </c>
      <c r="I727" s="131">
        <f>INDEX('Base de données Mono'!K:K,MATCH(B727,'Base de données Mono'!D:D,0))</f>
        <v>0.2638888888888889</v>
      </c>
      <c r="J727" s="131">
        <f>INDEX('Base de données Mono'!L:L,MATCH(B727,'Base de données Mono'!D:D,0))</f>
        <v>0.86111111111111116</v>
      </c>
      <c r="K727" s="131">
        <f>INDEX('Base de données Mono'!M:M,MATCH(B727,'Base de données Mono'!D:D,0))</f>
        <v>0.27083333333333331</v>
      </c>
      <c r="L727" s="131">
        <f>INDEX('Base de données Mono'!N:N,MATCH(B727,'Base de données Mono'!D:D,0))</f>
        <v>0.54861111111111105</v>
      </c>
      <c r="M727" s="33" t="s">
        <v>46</v>
      </c>
      <c r="N727" s="33">
        <f>IF(AND(E727="Electricité",M727="Hiver"),INDEX('Base de données Mono'!E:E,MATCH(B727,'Base de données Mono'!D:D,0)),IF(AND(E727="Electricité",M727="Mi-saison"),INDEX('Base de données Mono'!F:F,MATCH(B727,'Base de données Mono'!D:D,0)),IF(AND(E727="Electricité",M727="Eté"),INDEX('Base de données Mono'!G:G,MATCH(B727,'Base de données Mono'!D:D,0)),IF(AND(E727="Gaz",M727="Hiver"),INDEX('Base de données Mono'!J:J,MATCH(B727,'Base de données Mono'!D:D,0)),IF(AND(E727="Gaz",M727="Mi-saison"),INDEX('Base de données Mono'!#REF!,MATCH(B727,'Base de données Mono'!D:D,0)),IF(AND(E727="Gaz",M727="Eté"),INDEX('Base de données Mono'!#REF!,MATCH(B727,'Base de données Mono'!D:D,0)),"-"))))))</f>
        <v>45</v>
      </c>
      <c r="O727" s="123">
        <v>45384</v>
      </c>
      <c r="P727" s="123">
        <v>45385</v>
      </c>
      <c r="Q727" s="34">
        <v>110</v>
      </c>
      <c r="R727" s="33">
        <f t="shared" si="81"/>
        <v>65</v>
      </c>
      <c r="S727" s="34">
        <v>1</v>
      </c>
      <c r="T727" s="34">
        <f t="shared" si="82"/>
        <v>1</v>
      </c>
      <c r="U727" s="33">
        <f t="shared" si="83"/>
        <v>65</v>
      </c>
      <c r="V727" s="38" t="s">
        <v>827</v>
      </c>
      <c r="W727" s="39">
        <f t="shared" si="84"/>
        <v>1.4444444444444444</v>
      </c>
      <c r="X727" s="40" t="s">
        <v>304</v>
      </c>
      <c r="Y727" s="40" t="s">
        <v>283</v>
      </c>
      <c r="Z727" s="40" t="s">
        <v>749</v>
      </c>
      <c r="AA727" s="33" t="s">
        <v>749</v>
      </c>
      <c r="AB727" s="95"/>
      <c r="AC727" s="95"/>
    </row>
    <row r="728" spans="1:29" ht="14.45" hidden="1" customHeight="1" x14ac:dyDescent="0.25">
      <c r="A728" s="36" t="str">
        <f>INDEX('Base de données Mono'!C:C,MATCH(B728,'Base de données Mono'!D:D,0))</f>
        <v>Saint Cyr L'Ecole</v>
      </c>
      <c r="B728" t="s">
        <v>480</v>
      </c>
      <c r="C728" s="36" t="str">
        <f>INDEX('Base de données Mono'!B:B,MATCH(B728,'Base de données Mono'!D:D,0))</f>
        <v>Monoprix</v>
      </c>
      <c r="D728" s="36" t="str">
        <f>INDEX('Base de données Mono'!A:A,MATCH(B728,'Base de données Mono'!D:D,0))</f>
        <v>AD</v>
      </c>
      <c r="E728" s="37" t="s">
        <v>303</v>
      </c>
      <c r="F728" s="41">
        <f t="shared" si="79"/>
        <v>14</v>
      </c>
      <c r="G728" s="41">
        <f t="shared" si="80"/>
        <v>4</v>
      </c>
      <c r="H728">
        <v>9.67</v>
      </c>
      <c r="I728" s="131">
        <f>INDEX('Base de données Mono'!K:K,MATCH(B728,'Base de données Mono'!D:D,0))</f>
        <v>0.2638888888888889</v>
      </c>
      <c r="J728" s="131">
        <f>INDEX('Base de données Mono'!L:L,MATCH(B728,'Base de données Mono'!D:D,0))</f>
        <v>0.86111111111111116</v>
      </c>
      <c r="K728" s="131">
        <f>INDEX('Base de données Mono'!M:M,MATCH(B728,'Base de données Mono'!D:D,0))</f>
        <v>0.27083333333333331</v>
      </c>
      <c r="L728" s="131">
        <f>INDEX('Base de données Mono'!N:N,MATCH(B728,'Base de données Mono'!D:D,0))</f>
        <v>0.54861111111111105</v>
      </c>
      <c r="M728" s="33" t="s">
        <v>46</v>
      </c>
      <c r="N728" s="33">
        <f>IF(AND(E728="Electricité",M728="Hiver"),INDEX('Base de données Mono'!E:E,MATCH(B728,'Base de données Mono'!D:D,0)),IF(AND(E728="Electricité",M728="Mi-saison"),INDEX('Base de données Mono'!F:F,MATCH(B728,'Base de données Mono'!D:D,0)),IF(AND(E728="Electricité",M728="Eté"),INDEX('Base de données Mono'!G:G,MATCH(B728,'Base de données Mono'!D:D,0)),IF(AND(E728="Gaz",M728="Hiver"),INDEX('Base de données Mono'!J:J,MATCH(B728,'Base de données Mono'!D:D,0)),IF(AND(E728="Gaz",M728="Mi-saison"),INDEX('Base de données Mono'!#REF!,MATCH(B728,'Base de données Mono'!D:D,0)),IF(AND(E728="Gaz",M728="Eté"),INDEX('Base de données Mono'!#REF!,MATCH(B728,'Base de données Mono'!D:D,0)),"-"))))))</f>
        <v>45</v>
      </c>
      <c r="O728" s="123">
        <v>45385</v>
      </c>
      <c r="P728" s="123">
        <v>45388</v>
      </c>
      <c r="Q728" s="34">
        <v>60</v>
      </c>
      <c r="R728" s="33">
        <f t="shared" si="81"/>
        <v>15</v>
      </c>
      <c r="S728" s="34">
        <v>6</v>
      </c>
      <c r="T728" s="34">
        <f t="shared" si="82"/>
        <v>3</v>
      </c>
      <c r="U728" s="33">
        <f t="shared" si="83"/>
        <v>270</v>
      </c>
      <c r="V728" s="38" t="s">
        <v>827</v>
      </c>
      <c r="W728" s="39">
        <f t="shared" si="84"/>
        <v>0.33333333333333331</v>
      </c>
      <c r="X728" s="40" t="s">
        <v>304</v>
      </c>
      <c r="Y728" s="40" t="s">
        <v>283</v>
      </c>
      <c r="Z728" s="40" t="s">
        <v>749</v>
      </c>
      <c r="AA728" s="33" t="s">
        <v>749</v>
      </c>
      <c r="AB728" s="95"/>
      <c r="AC728" s="95"/>
    </row>
    <row r="729" spans="1:29" ht="14.45" hidden="1" customHeight="1" x14ac:dyDescent="0.25">
      <c r="A729" s="36" t="str">
        <f>INDEX('Base de données Mono'!C:C,MATCH(B729,'Base de données Mono'!D:D,0))</f>
        <v>Saint Cyr L'Ecole</v>
      </c>
      <c r="B729" t="s">
        <v>480</v>
      </c>
      <c r="C729" s="36" t="str">
        <f>INDEX('Base de données Mono'!B:B,MATCH(B729,'Base de données Mono'!D:D,0))</f>
        <v>Monoprix</v>
      </c>
      <c r="D729" s="36" t="str">
        <f>INDEX('Base de données Mono'!A:A,MATCH(B729,'Base de données Mono'!D:D,0))</f>
        <v>AD</v>
      </c>
      <c r="E729" s="37" t="s">
        <v>303</v>
      </c>
      <c r="F729" s="41">
        <f t="shared" si="79"/>
        <v>14</v>
      </c>
      <c r="G729" s="41">
        <f t="shared" si="80"/>
        <v>4</v>
      </c>
      <c r="H729">
        <v>9.67</v>
      </c>
      <c r="I729" s="131">
        <f>INDEX('Base de données Mono'!K:K,MATCH(B729,'Base de données Mono'!D:D,0))</f>
        <v>0.2638888888888889</v>
      </c>
      <c r="J729" s="131">
        <f>INDEX('Base de données Mono'!L:L,MATCH(B729,'Base de données Mono'!D:D,0))</f>
        <v>0.86111111111111116</v>
      </c>
      <c r="K729" s="131">
        <f>INDEX('Base de données Mono'!M:M,MATCH(B729,'Base de données Mono'!D:D,0))</f>
        <v>0.27083333333333331</v>
      </c>
      <c r="L729" s="131">
        <f>INDEX('Base de données Mono'!N:N,MATCH(B729,'Base de données Mono'!D:D,0))</f>
        <v>0.54861111111111105</v>
      </c>
      <c r="M729" s="33" t="s">
        <v>46</v>
      </c>
      <c r="N729" s="33">
        <f>IF(AND(E729="Electricité",M729="Hiver"),INDEX('Base de données Mono'!E:E,MATCH(B729,'Base de données Mono'!D:D,0)),IF(AND(E729="Electricité",M729="Mi-saison"),INDEX('Base de données Mono'!F:F,MATCH(B729,'Base de données Mono'!D:D,0)),IF(AND(E729="Electricité",M729="Eté"),INDEX('Base de données Mono'!G:G,MATCH(B729,'Base de données Mono'!D:D,0)),IF(AND(E729="Gaz",M729="Hiver"),INDEX('Base de données Mono'!J:J,MATCH(B729,'Base de données Mono'!D:D,0)),IF(AND(E729="Gaz",M729="Mi-saison"),INDEX('Base de données Mono'!#REF!,MATCH(B729,'Base de données Mono'!D:D,0)),IF(AND(E729="Gaz",M729="Eté"),INDEX('Base de données Mono'!#REF!,MATCH(B729,'Base de données Mono'!D:D,0)),"-"))))))</f>
        <v>45</v>
      </c>
      <c r="O729" s="123">
        <v>45385</v>
      </c>
      <c r="P729" s="123">
        <v>45386</v>
      </c>
      <c r="Q729" s="34">
        <v>95</v>
      </c>
      <c r="R729" s="33">
        <f t="shared" si="81"/>
        <v>50</v>
      </c>
      <c r="S729" s="34">
        <v>1</v>
      </c>
      <c r="T729" s="34">
        <f t="shared" si="82"/>
        <v>1</v>
      </c>
      <c r="U729" s="33">
        <f t="shared" si="83"/>
        <v>50</v>
      </c>
      <c r="V729" s="38" t="s">
        <v>827</v>
      </c>
      <c r="W729" s="39">
        <f t="shared" si="84"/>
        <v>1.1111111111111112</v>
      </c>
      <c r="X729" s="40" t="s">
        <v>304</v>
      </c>
      <c r="Y729" s="40" t="s">
        <v>283</v>
      </c>
      <c r="Z729" s="40" t="s">
        <v>749</v>
      </c>
      <c r="AA729" s="33" t="s">
        <v>749</v>
      </c>
      <c r="AB729" s="95"/>
      <c r="AC729" s="95"/>
    </row>
    <row r="730" spans="1:29" ht="14.45" hidden="1" customHeight="1" x14ac:dyDescent="0.25">
      <c r="A730" s="36" t="str">
        <f>INDEX('Base de données Mono'!C:C,MATCH(B730,'Base de données Mono'!D:D,0))</f>
        <v>Saint Cyr L'Ecole</v>
      </c>
      <c r="B730" t="s">
        <v>480</v>
      </c>
      <c r="C730" s="36" t="str">
        <f>INDEX('Base de données Mono'!B:B,MATCH(B730,'Base de données Mono'!D:D,0))</f>
        <v>Monoprix</v>
      </c>
      <c r="D730" s="36" t="str">
        <f>INDEX('Base de données Mono'!A:A,MATCH(B730,'Base de données Mono'!D:D,0))</f>
        <v>AD</v>
      </c>
      <c r="E730" s="37" t="s">
        <v>303</v>
      </c>
      <c r="F730" s="41">
        <f t="shared" si="79"/>
        <v>14</v>
      </c>
      <c r="G730" s="41">
        <f t="shared" si="80"/>
        <v>4</v>
      </c>
      <c r="H730">
        <v>9.67</v>
      </c>
      <c r="I730" s="131">
        <f>INDEX('Base de données Mono'!K:K,MATCH(B730,'Base de données Mono'!D:D,0))</f>
        <v>0.2638888888888889</v>
      </c>
      <c r="J730" s="131">
        <f>INDEX('Base de données Mono'!L:L,MATCH(B730,'Base de données Mono'!D:D,0))</f>
        <v>0.86111111111111116</v>
      </c>
      <c r="K730" s="131">
        <f>INDEX('Base de données Mono'!M:M,MATCH(B730,'Base de données Mono'!D:D,0))</f>
        <v>0.27083333333333331</v>
      </c>
      <c r="L730" s="131">
        <f>INDEX('Base de données Mono'!N:N,MATCH(B730,'Base de données Mono'!D:D,0))</f>
        <v>0.54861111111111105</v>
      </c>
      <c r="M730" s="33" t="s">
        <v>46</v>
      </c>
      <c r="N730" s="33">
        <f>IF(AND(E730="Electricité",M730="Hiver"),INDEX('Base de données Mono'!E:E,MATCH(B730,'Base de données Mono'!D:D,0)),IF(AND(E730="Electricité",M730="Mi-saison"),INDEX('Base de données Mono'!F:F,MATCH(B730,'Base de données Mono'!D:D,0)),IF(AND(E730="Electricité",M730="Eté"),INDEX('Base de données Mono'!G:G,MATCH(B730,'Base de données Mono'!D:D,0)),IF(AND(E730="Gaz",M730="Hiver"),INDEX('Base de données Mono'!J:J,MATCH(B730,'Base de données Mono'!D:D,0)),IF(AND(E730="Gaz",M730="Mi-saison"),INDEX('Base de données Mono'!#REF!,MATCH(B730,'Base de données Mono'!D:D,0)),IF(AND(E730="Gaz",M730="Eté"),INDEX('Base de données Mono'!#REF!,MATCH(B730,'Base de données Mono'!D:D,0)),"-"))))))</f>
        <v>45</v>
      </c>
      <c r="O730" s="123">
        <v>45386</v>
      </c>
      <c r="P730" s="123">
        <v>45387</v>
      </c>
      <c r="Q730" s="34">
        <v>100</v>
      </c>
      <c r="R730" s="33">
        <f t="shared" si="81"/>
        <v>55</v>
      </c>
      <c r="S730" s="34">
        <v>1</v>
      </c>
      <c r="T730" s="34">
        <f t="shared" si="82"/>
        <v>1</v>
      </c>
      <c r="U730" s="33">
        <f t="shared" si="83"/>
        <v>55</v>
      </c>
      <c r="V730" s="38" t="s">
        <v>827</v>
      </c>
      <c r="W730" s="39">
        <f t="shared" si="84"/>
        <v>1.2222222222222223</v>
      </c>
      <c r="X730" s="40" t="s">
        <v>304</v>
      </c>
      <c r="Y730" s="40" t="s">
        <v>283</v>
      </c>
      <c r="Z730" s="40" t="s">
        <v>749</v>
      </c>
      <c r="AA730" s="33" t="s">
        <v>749</v>
      </c>
      <c r="AB730" s="95"/>
      <c r="AC730" s="95"/>
    </row>
    <row r="731" spans="1:29" ht="14.45" hidden="1" customHeight="1" x14ac:dyDescent="0.25">
      <c r="A731" s="36" t="str">
        <f>INDEX('Base de données Mono'!C:C,MATCH(B731,'Base de données Mono'!D:D,0))</f>
        <v>Saint Cyr L'Ecole</v>
      </c>
      <c r="B731" t="s">
        <v>480</v>
      </c>
      <c r="C731" s="36" t="str">
        <f>INDEX('Base de données Mono'!B:B,MATCH(B731,'Base de données Mono'!D:D,0))</f>
        <v>Monoprix</v>
      </c>
      <c r="D731" s="36" t="str">
        <f>INDEX('Base de données Mono'!A:A,MATCH(B731,'Base de données Mono'!D:D,0))</f>
        <v>AD</v>
      </c>
      <c r="E731" s="37" t="s">
        <v>303</v>
      </c>
      <c r="F731" s="41">
        <f t="shared" si="79"/>
        <v>14</v>
      </c>
      <c r="G731" s="41">
        <f t="shared" si="80"/>
        <v>4</v>
      </c>
      <c r="H731">
        <v>9.67</v>
      </c>
      <c r="I731" s="131">
        <f>INDEX('Base de données Mono'!K:K,MATCH(B731,'Base de données Mono'!D:D,0))</f>
        <v>0.2638888888888889</v>
      </c>
      <c r="J731" s="131">
        <f>INDEX('Base de données Mono'!L:L,MATCH(B731,'Base de données Mono'!D:D,0))</f>
        <v>0.86111111111111116</v>
      </c>
      <c r="K731" s="131">
        <f>INDEX('Base de données Mono'!M:M,MATCH(B731,'Base de données Mono'!D:D,0))</f>
        <v>0.27083333333333331</v>
      </c>
      <c r="L731" s="131">
        <f>INDEX('Base de données Mono'!N:N,MATCH(B731,'Base de données Mono'!D:D,0))</f>
        <v>0.54861111111111105</v>
      </c>
      <c r="M731" s="33" t="s">
        <v>46</v>
      </c>
      <c r="N731" s="33">
        <f>IF(AND(E731="Electricité",M731="Hiver"),INDEX('Base de données Mono'!E:E,MATCH(B731,'Base de données Mono'!D:D,0)),IF(AND(E731="Electricité",M731="Mi-saison"),INDEX('Base de données Mono'!F:F,MATCH(B731,'Base de données Mono'!D:D,0)),IF(AND(E731="Electricité",M731="Eté"),INDEX('Base de données Mono'!G:G,MATCH(B731,'Base de données Mono'!D:D,0)),IF(AND(E731="Gaz",M731="Hiver"),INDEX('Base de données Mono'!J:J,MATCH(B731,'Base de données Mono'!D:D,0)),IF(AND(E731="Gaz",M731="Mi-saison"),INDEX('Base de données Mono'!#REF!,MATCH(B731,'Base de données Mono'!D:D,0)),IF(AND(E731="Gaz",M731="Eté"),INDEX('Base de données Mono'!#REF!,MATCH(B731,'Base de données Mono'!D:D,0)),"-"))))))</f>
        <v>45</v>
      </c>
      <c r="O731" s="123">
        <v>45387</v>
      </c>
      <c r="P731" s="123">
        <v>45388</v>
      </c>
      <c r="Q731" s="34">
        <v>80</v>
      </c>
      <c r="R731" s="33">
        <f t="shared" si="81"/>
        <v>35</v>
      </c>
      <c r="S731" s="34">
        <v>1</v>
      </c>
      <c r="T731" s="34">
        <f t="shared" si="82"/>
        <v>1</v>
      </c>
      <c r="U731" s="33">
        <f t="shared" si="83"/>
        <v>35</v>
      </c>
      <c r="V731" s="38" t="s">
        <v>827</v>
      </c>
      <c r="W731" s="39">
        <f t="shared" si="84"/>
        <v>0.77777777777777779</v>
      </c>
      <c r="X731" s="40" t="s">
        <v>304</v>
      </c>
      <c r="Y731" s="40" t="s">
        <v>283</v>
      </c>
      <c r="Z731" s="40" t="s">
        <v>749</v>
      </c>
      <c r="AA731" s="33" t="s">
        <v>749</v>
      </c>
      <c r="AB731" s="95"/>
      <c r="AC731" s="95"/>
    </row>
    <row r="732" spans="1:29" ht="14.45" hidden="1" customHeight="1" x14ac:dyDescent="0.25">
      <c r="A732" s="36" t="str">
        <f>INDEX('Base de données Mono'!C:C,MATCH(B732,'Base de données Mono'!D:D,0))</f>
        <v>Saint Cyr L'Ecole</v>
      </c>
      <c r="B732" t="s">
        <v>480</v>
      </c>
      <c r="C732" s="36" t="str">
        <f>INDEX('Base de données Mono'!B:B,MATCH(B732,'Base de données Mono'!D:D,0))</f>
        <v>Monoprix</v>
      </c>
      <c r="D732" s="36" t="str">
        <f>INDEX('Base de données Mono'!A:A,MATCH(B732,'Base de données Mono'!D:D,0))</f>
        <v>AD</v>
      </c>
      <c r="E732" s="37" t="s">
        <v>303</v>
      </c>
      <c r="F732" s="41">
        <f t="shared" si="79"/>
        <v>14</v>
      </c>
      <c r="G732" s="41">
        <f t="shared" si="80"/>
        <v>4</v>
      </c>
      <c r="H732">
        <v>9.67</v>
      </c>
      <c r="I732" s="131">
        <f>INDEX('Base de données Mono'!K:K,MATCH(B732,'Base de données Mono'!D:D,0))</f>
        <v>0.2638888888888889</v>
      </c>
      <c r="J732" s="131">
        <f>INDEX('Base de données Mono'!L:L,MATCH(B732,'Base de données Mono'!D:D,0))</f>
        <v>0.86111111111111116</v>
      </c>
      <c r="K732" s="131">
        <f>INDEX('Base de données Mono'!M:M,MATCH(B732,'Base de données Mono'!D:D,0))</f>
        <v>0.27083333333333331</v>
      </c>
      <c r="L732" s="131">
        <f>INDEX('Base de données Mono'!N:N,MATCH(B732,'Base de données Mono'!D:D,0))</f>
        <v>0.54861111111111105</v>
      </c>
      <c r="M732" s="33" t="s">
        <v>46</v>
      </c>
      <c r="N732" s="33">
        <f>IF(AND(E732="Electricité",M732="Hiver"),INDEX('Base de données Mono'!E:E,MATCH(B732,'Base de données Mono'!D:D,0)),IF(AND(E732="Electricité",M732="Mi-saison"),INDEX('Base de données Mono'!F:F,MATCH(B732,'Base de données Mono'!D:D,0)),IF(AND(E732="Electricité",M732="Eté"),INDEX('Base de données Mono'!G:G,MATCH(B732,'Base de données Mono'!D:D,0)),IF(AND(E732="Gaz",M732="Hiver"),INDEX('Base de données Mono'!J:J,MATCH(B732,'Base de données Mono'!D:D,0)),IF(AND(E732="Gaz",M732="Mi-saison"),INDEX('Base de données Mono'!#REF!,MATCH(B732,'Base de données Mono'!D:D,0)),IF(AND(E732="Gaz",M732="Eté"),INDEX('Base de données Mono'!#REF!,MATCH(B732,'Base de données Mono'!D:D,0)),"-"))))))</f>
        <v>45</v>
      </c>
      <c r="O732" s="123">
        <v>45388</v>
      </c>
      <c r="P732" s="123">
        <v>45389</v>
      </c>
      <c r="Q732" s="34">
        <v>60</v>
      </c>
      <c r="R732" s="33">
        <f t="shared" si="81"/>
        <v>15</v>
      </c>
      <c r="S732" s="34">
        <v>2</v>
      </c>
      <c r="T732" s="34">
        <f t="shared" si="82"/>
        <v>1</v>
      </c>
      <c r="U732" s="33">
        <f t="shared" si="83"/>
        <v>30</v>
      </c>
      <c r="V732" s="38" t="s">
        <v>827</v>
      </c>
      <c r="W732" s="39">
        <f t="shared" si="84"/>
        <v>0.33333333333333331</v>
      </c>
      <c r="X732" s="40" t="s">
        <v>304</v>
      </c>
      <c r="Y732" s="40" t="s">
        <v>283</v>
      </c>
      <c r="Z732" s="40" t="s">
        <v>749</v>
      </c>
      <c r="AA732" s="33" t="s">
        <v>749</v>
      </c>
      <c r="AB732" s="95"/>
      <c r="AC732" s="95"/>
    </row>
    <row r="733" spans="1:29" ht="14.45" hidden="1" customHeight="1" x14ac:dyDescent="0.25">
      <c r="A733" s="36" t="str">
        <f>INDEX('Base de données Mono'!C:C,MATCH(B733,'Base de données Mono'!D:D,0))</f>
        <v>LE COURBE</v>
      </c>
      <c r="B733" t="s">
        <v>20</v>
      </c>
      <c r="C733" s="36" t="str">
        <f>INDEX('Base de données Mono'!B:B,MATCH(B733,'Base de données Mono'!D:D,0))</f>
        <v>SES8</v>
      </c>
      <c r="D733" s="36" t="str">
        <f>INDEX('Base de données Mono'!A:A,MATCH(B733,'Base de données Mono'!D:D,0))</f>
        <v>AD</v>
      </c>
      <c r="E733" s="37" t="s">
        <v>303</v>
      </c>
      <c r="F733" s="41">
        <f>IF(O733="","-",IF(AND(X733="Nuit",WEEKDAY(O733,2)=7,O733&lt;&gt;P733),WEEKNUM(O733,2),WEEKNUM(O733,2)-1))+1</f>
        <v>14</v>
      </c>
      <c r="G733" s="41">
        <f>IF(O733="","-",MONTH(O733))</f>
        <v>4</v>
      </c>
      <c r="H733">
        <v>8.83</v>
      </c>
      <c r="I733" s="131">
        <f>INDEX('Base de données Mono'!K:K,MATCH(B733,'Base de données Mono'!D:D,0))</f>
        <v>0.24305555555555555</v>
      </c>
      <c r="J733" s="131">
        <f>INDEX('Base de données Mono'!L:L,MATCH(B733,'Base de données Mono'!D:D,0))</f>
        <v>0.875</v>
      </c>
      <c r="K733" s="131" t="str">
        <f>INDEX('Base de données Mono'!M:M,MATCH(B733,'Base de données Mono'!D:D,0))</f>
        <v>-</v>
      </c>
      <c r="L733" s="131" t="str">
        <f>INDEX('Base de données Mono'!N:N,MATCH(B733,'Base de données Mono'!D:D,0))</f>
        <v>-</v>
      </c>
      <c r="M733" s="33" t="s">
        <v>46</v>
      </c>
      <c r="N733" s="33">
        <f>IF(AND(E733="Electricité",M733="Hiver"),INDEX('Base de données Mono'!E:E,MATCH(B733,'Base de données Mono'!D:D,0)),IF(AND(E733="Electricité",M733="Mi-saison"),INDEX('Base de données Mono'!F:F,MATCH(B733,'Base de données Mono'!D:D,0)),IF(AND(E733="Electricité",M733="Eté"),INDEX('Base de données Mono'!G:G,MATCH(B733,'Base de données Mono'!D:D,0)),IF(AND(E733="Gaz",M733="Hiver"),INDEX('Base de données Mono'!J:J,MATCH(B733,'Base de données Mono'!D:D,0)),IF(AND(E733="Gaz",M733="Mi-saison"),INDEX('Base de données Mono'!#REF!,MATCH(B733,'Base de données Mono'!D:D,0)),IF(AND(E733="Gaz",M733="Eté"),INDEX('Base de données Mono'!#REF!,MATCH(B733,'Base de données Mono'!D:D,0)),"-"))))))</f>
        <v>75</v>
      </c>
      <c r="O733" s="123">
        <v>45383</v>
      </c>
      <c r="P733" s="123">
        <v>45388</v>
      </c>
      <c r="Q733" s="34">
        <v>105</v>
      </c>
      <c r="R733" s="33">
        <f>IF(Q733="","",Q733-N733)</f>
        <v>30</v>
      </c>
      <c r="S733" s="34">
        <v>0.5</v>
      </c>
      <c r="T733" s="34">
        <f>P733-O733</f>
        <v>5</v>
      </c>
      <c r="U733" s="33">
        <f>R733*S733*T733</f>
        <v>75</v>
      </c>
      <c r="V733" s="38" t="s">
        <v>827</v>
      </c>
      <c r="W733" s="39">
        <f>IFERROR(IF(E733="Gaz","-",R733/N733),"-")</f>
        <v>0.4</v>
      </c>
      <c r="X733" s="40" t="s">
        <v>304</v>
      </c>
      <c r="Y733" s="40" t="s">
        <v>284</v>
      </c>
      <c r="Z733" s="40" t="s">
        <v>307</v>
      </c>
      <c r="AA733" s="33" t="s">
        <v>414</v>
      </c>
      <c r="AB733" s="95"/>
      <c r="AC733" s="95"/>
    </row>
    <row r="734" spans="1:29" ht="14.45" hidden="1" customHeight="1" x14ac:dyDescent="0.25">
      <c r="A734" s="36" t="str">
        <f>INDEX('Base de données Mono'!C:C,MATCH(B734,'Base de données Mono'!D:D,0))</f>
        <v>LE COURBE</v>
      </c>
      <c r="B734" t="s">
        <v>20</v>
      </c>
      <c r="C734" s="36" t="str">
        <f>INDEX('Base de données Mono'!B:B,MATCH(B734,'Base de données Mono'!D:D,0))</f>
        <v>SES8</v>
      </c>
      <c r="D734" s="36" t="str">
        <f>INDEX('Base de données Mono'!A:A,MATCH(B734,'Base de données Mono'!D:D,0))</f>
        <v>AD</v>
      </c>
      <c r="E734" s="37" t="s">
        <v>303</v>
      </c>
      <c r="F734" s="41">
        <f>IF(O734="","-",IF(AND(X734="Nuit",WEEKDAY(O734,2)=7,O734&lt;&gt;P734),WEEKNUM(O734,2),WEEKNUM(O734,2)-1))+1</f>
        <v>14</v>
      </c>
      <c r="G734" s="41">
        <f>IF(O734="","-",MONTH(O734))</f>
        <v>4</v>
      </c>
      <c r="H734">
        <v>8.83</v>
      </c>
      <c r="I734" s="131">
        <f>INDEX('Base de données Mono'!K:K,MATCH(B734,'Base de données Mono'!D:D,0))</f>
        <v>0.24305555555555555</v>
      </c>
      <c r="J734" s="131">
        <f>INDEX('Base de données Mono'!L:L,MATCH(B734,'Base de données Mono'!D:D,0))</f>
        <v>0.875</v>
      </c>
      <c r="K734" s="131" t="str">
        <f>INDEX('Base de données Mono'!M:M,MATCH(B734,'Base de données Mono'!D:D,0))</f>
        <v>-</v>
      </c>
      <c r="L734" s="131" t="str">
        <f>INDEX('Base de données Mono'!N:N,MATCH(B734,'Base de données Mono'!D:D,0))</f>
        <v>-</v>
      </c>
      <c r="M734" s="33" t="s">
        <v>46</v>
      </c>
      <c r="N734" s="33">
        <f>IF(AND(E734="Electricité",M734="Hiver"),INDEX('Base de données Mono'!E:E,MATCH(B734,'Base de données Mono'!D:D,0)),IF(AND(E734="Electricité",M734="Mi-saison"),INDEX('Base de données Mono'!F:F,MATCH(B734,'Base de données Mono'!D:D,0)),IF(AND(E734="Electricité",M734="Eté"),INDEX('Base de données Mono'!G:G,MATCH(B734,'Base de données Mono'!D:D,0)),IF(AND(E734="Gaz",M734="Hiver"),INDEX('Base de données Mono'!J:J,MATCH(B734,'Base de données Mono'!D:D,0)),IF(AND(E734="Gaz",M734="Mi-saison"),INDEX('Base de données Mono'!#REF!,MATCH(B734,'Base de données Mono'!D:D,0)),IF(AND(E734="Gaz",M734="Eté"),INDEX('Base de données Mono'!#REF!,MATCH(B734,'Base de données Mono'!D:D,0)),"-"))))))</f>
        <v>75</v>
      </c>
      <c r="O734" s="123">
        <v>45384</v>
      </c>
      <c r="P734" s="123">
        <v>45389</v>
      </c>
      <c r="Q734" s="34">
        <v>115</v>
      </c>
      <c r="R734" s="33">
        <f>IF(Q734="","",Q734-N734)</f>
        <v>40</v>
      </c>
      <c r="S734" s="34">
        <v>1</v>
      </c>
      <c r="T734" s="34">
        <f>P734-O734</f>
        <v>5</v>
      </c>
      <c r="U734" s="33">
        <f>R734*S734*T734</f>
        <v>200</v>
      </c>
      <c r="V734" s="38" t="s">
        <v>827</v>
      </c>
      <c r="W734" s="39">
        <f>IFERROR(IF(E734="Gaz","-",R734/N734),"-")</f>
        <v>0.53333333333333333</v>
      </c>
      <c r="X734" s="40" t="s">
        <v>304</v>
      </c>
      <c r="Y734" s="40" t="s">
        <v>284</v>
      </c>
      <c r="Z734" s="40" t="s">
        <v>307</v>
      </c>
      <c r="AA734" s="33" t="s">
        <v>313</v>
      </c>
      <c r="AB734" s="95"/>
      <c r="AC734" s="95"/>
    </row>
    <row r="735" spans="1:29" ht="14.45" hidden="1" customHeight="1" x14ac:dyDescent="0.25">
      <c r="A735" s="36" t="str">
        <f>INDEX('Base de données Mono'!C:C,MATCH(B735,'Base de données Mono'!D:D,0))</f>
        <v>LE COURBE</v>
      </c>
      <c r="B735" t="s">
        <v>20</v>
      </c>
      <c r="C735" s="36" t="str">
        <f>INDEX('Base de données Mono'!B:B,MATCH(B735,'Base de données Mono'!D:D,0))</f>
        <v>SES8</v>
      </c>
      <c r="D735" s="36" t="str">
        <f>INDEX('Base de données Mono'!A:A,MATCH(B735,'Base de données Mono'!D:D,0))</f>
        <v>AD</v>
      </c>
      <c r="E735" s="37" t="s">
        <v>303</v>
      </c>
      <c r="F735" s="41">
        <f>IF(O735="","-",IF(AND(X735="Nuit",WEEKDAY(O735,2)=7,O735&lt;&gt;P735),WEEKNUM(O735,2),WEEKNUM(O735,2)-1))+1</f>
        <v>14</v>
      </c>
      <c r="G735" s="41">
        <f>IF(O735="","-",MONTH(O735))</f>
        <v>4</v>
      </c>
      <c r="H735">
        <v>8.83</v>
      </c>
      <c r="I735" s="131">
        <f>INDEX('Base de données Mono'!K:K,MATCH(B735,'Base de données Mono'!D:D,0))</f>
        <v>0.24305555555555555</v>
      </c>
      <c r="J735" s="131">
        <f>INDEX('Base de données Mono'!L:L,MATCH(B735,'Base de données Mono'!D:D,0))</f>
        <v>0.875</v>
      </c>
      <c r="K735" s="131" t="str">
        <f>INDEX('Base de données Mono'!M:M,MATCH(B735,'Base de données Mono'!D:D,0))</f>
        <v>-</v>
      </c>
      <c r="L735" s="131" t="str">
        <f>INDEX('Base de données Mono'!N:N,MATCH(B735,'Base de données Mono'!D:D,0))</f>
        <v>-</v>
      </c>
      <c r="M735" s="33" t="s">
        <v>46</v>
      </c>
      <c r="N735" s="33">
        <f>IF(AND(E735="Electricité",M735="Hiver"),INDEX('Base de données Mono'!E:E,MATCH(B735,'Base de données Mono'!D:D,0)),IF(AND(E735="Electricité",M735="Mi-saison"),INDEX('Base de données Mono'!F:F,MATCH(B735,'Base de données Mono'!D:D,0)),IF(AND(E735="Electricité",M735="Eté"),INDEX('Base de données Mono'!G:G,MATCH(B735,'Base de données Mono'!D:D,0)),IF(AND(E735="Gaz",M735="Hiver"),INDEX('Base de données Mono'!J:J,MATCH(B735,'Base de données Mono'!D:D,0)),IF(AND(E735="Gaz",M735="Mi-saison"),INDEX('Base de données Mono'!#REF!,MATCH(B735,'Base de données Mono'!D:D,0)),IF(AND(E735="Gaz",M735="Eté"),INDEX('Base de données Mono'!#REF!,MATCH(B735,'Base de données Mono'!D:D,0)),"-"))))))</f>
        <v>75</v>
      </c>
      <c r="O735" s="123">
        <v>45385</v>
      </c>
      <c r="P735" s="123">
        <v>45387</v>
      </c>
      <c r="Q735" s="34">
        <v>85</v>
      </c>
      <c r="R735" s="33">
        <f>IF(Q735="","",Q735-N735)</f>
        <v>10</v>
      </c>
      <c r="S735" s="34">
        <v>7.3</v>
      </c>
      <c r="T735" s="34">
        <f>P735-O735</f>
        <v>2</v>
      </c>
      <c r="U735" s="33">
        <f>R735*S735*T735</f>
        <v>146</v>
      </c>
      <c r="V735" s="38" t="s">
        <v>827</v>
      </c>
      <c r="W735" s="39">
        <f>IFERROR(IF(E735="Gaz","-",R735/N735),"-")</f>
        <v>0.13333333333333333</v>
      </c>
      <c r="X735" s="40" t="s">
        <v>304</v>
      </c>
      <c r="Y735" s="40" t="s">
        <v>283</v>
      </c>
      <c r="Z735" s="40" t="s">
        <v>749</v>
      </c>
      <c r="AA735" s="33" t="s">
        <v>749</v>
      </c>
      <c r="AB735" s="95"/>
      <c r="AC735" s="95" t="s">
        <v>836</v>
      </c>
    </row>
    <row r="736" spans="1:29" ht="14.45" hidden="1" customHeight="1" x14ac:dyDescent="0.25">
      <c r="A736" s="36" t="str">
        <f>INDEX('Base de données Mono'!C:C,MATCH(B736,'Base de données Mono'!D:D,0))</f>
        <v>LE COURBE</v>
      </c>
      <c r="B736" t="s">
        <v>20</v>
      </c>
      <c r="C736" s="36" t="str">
        <f>INDEX('Base de données Mono'!B:B,MATCH(B736,'Base de données Mono'!D:D,0))</f>
        <v>SES8</v>
      </c>
      <c r="D736" s="36" t="str">
        <f>INDEX('Base de données Mono'!A:A,MATCH(B736,'Base de données Mono'!D:D,0))</f>
        <v>AD</v>
      </c>
      <c r="E736" s="37" t="s">
        <v>303</v>
      </c>
      <c r="F736" s="41">
        <f t="shared" si="79"/>
        <v>14</v>
      </c>
      <c r="G736" s="41">
        <f t="shared" si="80"/>
        <v>4</v>
      </c>
      <c r="H736">
        <v>8.83</v>
      </c>
      <c r="I736" s="131">
        <f>INDEX('Base de données Mono'!K:K,MATCH(B736,'Base de données Mono'!D:D,0))</f>
        <v>0.24305555555555555</v>
      </c>
      <c r="J736" s="131">
        <f>INDEX('Base de données Mono'!L:L,MATCH(B736,'Base de données Mono'!D:D,0))</f>
        <v>0.875</v>
      </c>
      <c r="K736" s="131" t="str">
        <f>INDEX('Base de données Mono'!M:M,MATCH(B736,'Base de données Mono'!D:D,0))</f>
        <v>-</v>
      </c>
      <c r="L736" s="131" t="str">
        <f>INDEX('Base de données Mono'!N:N,MATCH(B736,'Base de données Mono'!D:D,0))</f>
        <v>-</v>
      </c>
      <c r="M736" s="33" t="s">
        <v>46</v>
      </c>
      <c r="N736" s="33">
        <f>IF(AND(E736="Electricité",M736="Hiver"),INDEX('Base de données Mono'!E:E,MATCH(B736,'Base de données Mono'!D:D,0)),IF(AND(E736="Electricité",M736="Mi-saison"),INDEX('Base de données Mono'!F:F,MATCH(B736,'Base de données Mono'!D:D,0)),IF(AND(E736="Electricité",M736="Eté"),INDEX('Base de données Mono'!G:G,MATCH(B736,'Base de données Mono'!D:D,0)),IF(AND(E736="Gaz",M736="Hiver"),INDEX('Base de données Mono'!J:J,MATCH(B736,'Base de données Mono'!D:D,0)),IF(AND(E736="Gaz",M736="Mi-saison"),INDEX('Base de données Mono'!#REF!,MATCH(B736,'Base de données Mono'!D:D,0)),IF(AND(E736="Gaz",M736="Eté"),INDEX('Base de données Mono'!#REF!,MATCH(B736,'Base de données Mono'!D:D,0)),"-"))))))</f>
        <v>75</v>
      </c>
      <c r="O736" s="123">
        <v>45389</v>
      </c>
      <c r="P736" s="123">
        <v>45389</v>
      </c>
      <c r="Q736" s="34">
        <v>110</v>
      </c>
      <c r="R736" s="33">
        <f>IF(Q736="","",Q736-N736)</f>
        <v>35</v>
      </c>
      <c r="S736" s="34">
        <v>13</v>
      </c>
      <c r="T736" s="34">
        <v>1</v>
      </c>
      <c r="U736" s="33">
        <f>R736*S736*T736</f>
        <v>455</v>
      </c>
      <c r="V736" s="38" t="s">
        <v>827</v>
      </c>
      <c r="W736" s="39">
        <f>IFERROR(IF(E736="Gaz","-",R736/N736),"-")</f>
        <v>0.46666666666666667</v>
      </c>
      <c r="X736" s="40" t="s">
        <v>730</v>
      </c>
      <c r="Y736" s="40" t="s">
        <v>284</v>
      </c>
      <c r="Z736" s="40" t="s">
        <v>307</v>
      </c>
      <c r="AA736" s="33" t="s">
        <v>308</v>
      </c>
      <c r="AB736" s="95"/>
      <c r="AC736" s="95"/>
    </row>
    <row r="737" spans="1:29" ht="14.45" hidden="1" customHeight="1" x14ac:dyDescent="0.25">
      <c r="A737" s="36" t="str">
        <f>INDEX('Base de données Mono'!C:C,MATCH(B737,'Base de données Mono'!D:D,0))</f>
        <v>Reims</v>
      </c>
      <c r="B737" t="s">
        <v>413</v>
      </c>
      <c r="C737" s="36" t="str">
        <f>INDEX('Base de données Mono'!B:B,MATCH(B737,'Base de données Mono'!D:D,0))</f>
        <v>Monop</v>
      </c>
      <c r="D737" s="36" t="str">
        <f>INDEX('Base de données Mono'!A:A,MATCH(B737,'Base de données Mono'!D:D,0))</f>
        <v>JG</v>
      </c>
      <c r="E737" s="37" t="s">
        <v>303</v>
      </c>
      <c r="F737" s="41">
        <f t="shared" si="79"/>
        <v>14</v>
      </c>
      <c r="G737" s="41">
        <f t="shared" si="80"/>
        <v>4</v>
      </c>
      <c r="H737">
        <v>9.17</v>
      </c>
      <c r="I737" s="131">
        <f>INDEX('Base de données Mono'!K:K,MATCH(B737,'Base de données Mono'!D:D,0))</f>
        <v>0.24305555555555555</v>
      </c>
      <c r="J737" s="131">
        <f>INDEX('Base de données Mono'!L:L,MATCH(B737,'Base de données Mono'!D:D,0))</f>
        <v>0.86111111111111116</v>
      </c>
      <c r="K737" s="131">
        <f>INDEX('Base de données Mono'!M:M,MATCH(B737,'Base de données Mono'!D:D,0))</f>
        <v>0.28472222222222221</v>
      </c>
      <c r="L737" s="131">
        <f>INDEX('Base de données Mono'!N:N,MATCH(B737,'Base de données Mono'!D:D,0))</f>
        <v>0.55555555555555558</v>
      </c>
      <c r="M737" s="33" t="s">
        <v>46</v>
      </c>
      <c r="N737" s="33">
        <f>IF(AND(E737="Electricité",M737="Hiver"),INDEX('Base de données Mono'!E:E,MATCH(B737,'Base de données Mono'!D:D,0)),IF(AND(E737="Electricité",M737="Mi-saison"),INDEX('Base de données Mono'!F:F,MATCH(B737,'Base de données Mono'!D:D,0)),IF(AND(E737="Electricité",M737="Eté"),INDEX('Base de données Mono'!G:G,MATCH(B737,'Base de données Mono'!D:D,0)),IF(AND(E737="Gaz",M737="Hiver"),INDEX('Base de données Mono'!J:J,MATCH(B737,'Base de données Mono'!D:D,0)),IF(AND(E737="Gaz",M737="Mi-saison"),INDEX('Base de données Mono'!#REF!,MATCH(B737,'Base de données Mono'!D:D,0)),IF(AND(E737="Gaz",M737="Eté"),INDEX('Base de données Mono'!#REF!,MATCH(B737,'Base de données Mono'!D:D,0)),"-"))))))</f>
        <v>15</v>
      </c>
      <c r="O737" s="123">
        <v>45383</v>
      </c>
      <c r="P737" s="123">
        <v>45384</v>
      </c>
      <c r="Q737" s="34">
        <v>40</v>
      </c>
      <c r="R737" s="33">
        <f t="shared" si="81"/>
        <v>25</v>
      </c>
      <c r="S737" s="34">
        <v>1</v>
      </c>
      <c r="T737" s="34">
        <f t="shared" si="82"/>
        <v>1</v>
      </c>
      <c r="U737" s="33">
        <f t="shared" si="83"/>
        <v>25</v>
      </c>
      <c r="V737" s="38" t="s">
        <v>827</v>
      </c>
      <c r="W737" s="39">
        <f t="shared" si="84"/>
        <v>1.6666666666666667</v>
      </c>
      <c r="X737" s="40" t="s">
        <v>304</v>
      </c>
      <c r="Y737" s="40" t="s">
        <v>283</v>
      </c>
      <c r="Z737" s="40" t="s">
        <v>749</v>
      </c>
      <c r="AA737" s="33" t="s">
        <v>749</v>
      </c>
      <c r="AB737" s="95"/>
      <c r="AC737" s="95"/>
    </row>
    <row r="738" spans="1:29" ht="14.45" hidden="1" customHeight="1" x14ac:dyDescent="0.25">
      <c r="A738" s="36" t="str">
        <f>INDEX('Base de données Mono'!C:C,MATCH(B738,'Base de données Mono'!D:D,0))</f>
        <v>Reims</v>
      </c>
      <c r="B738" t="s">
        <v>413</v>
      </c>
      <c r="C738" s="36" t="str">
        <f>INDEX('Base de données Mono'!B:B,MATCH(B738,'Base de données Mono'!D:D,0))</f>
        <v>Monop</v>
      </c>
      <c r="D738" s="36" t="str">
        <f>INDEX('Base de données Mono'!A:A,MATCH(B738,'Base de données Mono'!D:D,0))</f>
        <v>JG</v>
      </c>
      <c r="E738" s="37" t="s">
        <v>303</v>
      </c>
      <c r="F738" s="41">
        <f t="shared" si="79"/>
        <v>14</v>
      </c>
      <c r="G738" s="41">
        <f t="shared" si="80"/>
        <v>4</v>
      </c>
      <c r="H738">
        <v>9.17</v>
      </c>
      <c r="I738" s="131">
        <f>INDEX('Base de données Mono'!K:K,MATCH(B738,'Base de données Mono'!D:D,0))</f>
        <v>0.24305555555555555</v>
      </c>
      <c r="J738" s="131">
        <f>INDEX('Base de données Mono'!L:L,MATCH(B738,'Base de données Mono'!D:D,0))</f>
        <v>0.86111111111111116</v>
      </c>
      <c r="K738" s="131">
        <f>INDEX('Base de données Mono'!M:M,MATCH(B738,'Base de données Mono'!D:D,0))</f>
        <v>0.28472222222222221</v>
      </c>
      <c r="L738" s="131">
        <f>INDEX('Base de données Mono'!N:N,MATCH(B738,'Base de données Mono'!D:D,0))</f>
        <v>0.55555555555555558</v>
      </c>
      <c r="M738" s="33" t="s">
        <v>46</v>
      </c>
      <c r="N738" s="33">
        <f>IF(AND(E738="Electricité",M738="Hiver"),INDEX('Base de données Mono'!E:E,MATCH(B738,'Base de données Mono'!D:D,0)),IF(AND(E738="Electricité",M738="Mi-saison"),INDEX('Base de données Mono'!F:F,MATCH(B738,'Base de données Mono'!D:D,0)),IF(AND(E738="Electricité",M738="Eté"),INDEX('Base de données Mono'!G:G,MATCH(B738,'Base de données Mono'!D:D,0)),IF(AND(E738="Gaz",M738="Hiver"),INDEX('Base de données Mono'!J:J,MATCH(B738,'Base de données Mono'!D:D,0)),IF(AND(E738="Gaz",M738="Mi-saison"),INDEX('Base de données Mono'!#REF!,MATCH(B738,'Base de données Mono'!D:D,0)),IF(AND(E738="Gaz",M738="Eté"),INDEX('Base de données Mono'!#REF!,MATCH(B738,'Base de données Mono'!D:D,0)),"-"))))))</f>
        <v>15</v>
      </c>
      <c r="O738" s="123">
        <v>45383</v>
      </c>
      <c r="P738" s="123">
        <v>45384</v>
      </c>
      <c r="Q738" s="34">
        <v>20</v>
      </c>
      <c r="R738" s="33">
        <f t="shared" si="81"/>
        <v>5</v>
      </c>
      <c r="S738" s="34">
        <v>1</v>
      </c>
      <c r="T738" s="34">
        <f t="shared" si="82"/>
        <v>1</v>
      </c>
      <c r="U738" s="33">
        <f t="shared" si="83"/>
        <v>5</v>
      </c>
      <c r="V738" s="38" t="s">
        <v>827</v>
      </c>
      <c r="W738" s="39">
        <f t="shared" si="84"/>
        <v>0.33333333333333331</v>
      </c>
      <c r="X738" s="40" t="s">
        <v>304</v>
      </c>
      <c r="Y738" s="40" t="s">
        <v>283</v>
      </c>
      <c r="Z738" s="40" t="s">
        <v>749</v>
      </c>
      <c r="AA738" s="33" t="s">
        <v>749</v>
      </c>
      <c r="AB738" s="95"/>
      <c r="AC738" s="95"/>
    </row>
    <row r="739" spans="1:29" ht="14.45" hidden="1" customHeight="1" x14ac:dyDescent="0.25">
      <c r="A739" s="36" t="str">
        <f>INDEX('Base de données Mono'!C:C,MATCH(B739,'Base de données Mono'!D:D,0))</f>
        <v>Reims</v>
      </c>
      <c r="B739" t="s">
        <v>413</v>
      </c>
      <c r="C739" s="36" t="str">
        <f>INDEX('Base de données Mono'!B:B,MATCH(B739,'Base de données Mono'!D:D,0))</f>
        <v>Monop</v>
      </c>
      <c r="D739" s="36" t="str">
        <f>INDEX('Base de données Mono'!A:A,MATCH(B739,'Base de données Mono'!D:D,0))</f>
        <v>JG</v>
      </c>
      <c r="E739" s="37" t="s">
        <v>303</v>
      </c>
      <c r="F739" s="41">
        <f t="shared" si="79"/>
        <v>14</v>
      </c>
      <c r="G739" s="41">
        <f t="shared" si="80"/>
        <v>4</v>
      </c>
      <c r="H739">
        <v>9.17</v>
      </c>
      <c r="I739" s="131">
        <f>INDEX('Base de données Mono'!K:K,MATCH(B739,'Base de données Mono'!D:D,0))</f>
        <v>0.24305555555555555</v>
      </c>
      <c r="J739" s="131">
        <f>INDEX('Base de données Mono'!L:L,MATCH(B739,'Base de données Mono'!D:D,0))</f>
        <v>0.86111111111111116</v>
      </c>
      <c r="K739" s="131">
        <f>INDEX('Base de données Mono'!M:M,MATCH(B739,'Base de données Mono'!D:D,0))</f>
        <v>0.28472222222222221</v>
      </c>
      <c r="L739" s="131">
        <f>INDEX('Base de données Mono'!N:N,MATCH(B739,'Base de données Mono'!D:D,0))</f>
        <v>0.55555555555555558</v>
      </c>
      <c r="M739" s="33" t="s">
        <v>46</v>
      </c>
      <c r="N739" s="33">
        <f>IF(AND(E739="Electricité",M739="Hiver"),INDEX('Base de données Mono'!E:E,MATCH(B739,'Base de données Mono'!D:D,0)),IF(AND(E739="Electricité",M739="Mi-saison"),INDEX('Base de données Mono'!F:F,MATCH(B739,'Base de données Mono'!D:D,0)),IF(AND(E739="Electricité",M739="Eté"),INDEX('Base de données Mono'!G:G,MATCH(B739,'Base de données Mono'!D:D,0)),IF(AND(E739="Gaz",M739="Hiver"),INDEX('Base de données Mono'!J:J,MATCH(B739,'Base de données Mono'!D:D,0)),IF(AND(E739="Gaz",M739="Mi-saison"),INDEX('Base de données Mono'!#REF!,MATCH(B739,'Base de données Mono'!D:D,0)),IF(AND(E739="Gaz",M739="Eté"),INDEX('Base de données Mono'!#REF!,MATCH(B739,'Base de données Mono'!D:D,0)),"-"))))))</f>
        <v>15</v>
      </c>
      <c r="O739" s="123">
        <v>45384</v>
      </c>
      <c r="P739" s="123">
        <v>45385</v>
      </c>
      <c r="Q739" s="34">
        <v>40</v>
      </c>
      <c r="R739" s="33">
        <f t="shared" si="81"/>
        <v>25</v>
      </c>
      <c r="S739" s="34">
        <v>1</v>
      </c>
      <c r="T739" s="34">
        <f t="shared" si="82"/>
        <v>1</v>
      </c>
      <c r="U739" s="33">
        <f t="shared" si="83"/>
        <v>25</v>
      </c>
      <c r="V739" s="38" t="s">
        <v>827</v>
      </c>
      <c r="W739" s="39">
        <f t="shared" si="84"/>
        <v>1.6666666666666667</v>
      </c>
      <c r="X739" s="40" t="s">
        <v>304</v>
      </c>
      <c r="Y739" s="40" t="s">
        <v>283</v>
      </c>
      <c r="Z739" s="40" t="s">
        <v>749</v>
      </c>
      <c r="AA739" s="33" t="s">
        <v>749</v>
      </c>
      <c r="AB739" s="95"/>
      <c r="AC739" s="95"/>
    </row>
    <row r="740" spans="1:29" ht="14.45" hidden="1" customHeight="1" x14ac:dyDescent="0.25">
      <c r="A740" s="36" t="str">
        <f>INDEX('Base de données Mono'!C:C,MATCH(B740,'Base de données Mono'!D:D,0))</f>
        <v>Reims</v>
      </c>
      <c r="B740" t="s">
        <v>413</v>
      </c>
      <c r="C740" s="36" t="str">
        <f>INDEX('Base de données Mono'!B:B,MATCH(B740,'Base de données Mono'!D:D,0))</f>
        <v>Monop</v>
      </c>
      <c r="D740" s="36" t="str">
        <f>INDEX('Base de données Mono'!A:A,MATCH(B740,'Base de données Mono'!D:D,0))</f>
        <v>JG</v>
      </c>
      <c r="E740" s="37" t="s">
        <v>303</v>
      </c>
      <c r="F740" s="41">
        <f t="shared" si="79"/>
        <v>14</v>
      </c>
      <c r="G740" s="41">
        <f t="shared" si="80"/>
        <v>4</v>
      </c>
      <c r="H740">
        <v>9.17</v>
      </c>
      <c r="I740" s="131">
        <f>INDEX('Base de données Mono'!K:K,MATCH(B740,'Base de données Mono'!D:D,0))</f>
        <v>0.24305555555555555</v>
      </c>
      <c r="J740" s="131">
        <f>INDEX('Base de données Mono'!L:L,MATCH(B740,'Base de données Mono'!D:D,0))</f>
        <v>0.86111111111111116</v>
      </c>
      <c r="K740" s="131">
        <f>INDEX('Base de données Mono'!M:M,MATCH(B740,'Base de données Mono'!D:D,0))</f>
        <v>0.28472222222222221</v>
      </c>
      <c r="L740" s="131">
        <f>INDEX('Base de données Mono'!N:N,MATCH(B740,'Base de données Mono'!D:D,0))</f>
        <v>0.55555555555555558</v>
      </c>
      <c r="M740" s="33" t="s">
        <v>46</v>
      </c>
      <c r="N740" s="33">
        <f>IF(AND(E740="Electricité",M740="Hiver"),INDEX('Base de données Mono'!E:E,MATCH(B740,'Base de données Mono'!D:D,0)),IF(AND(E740="Electricité",M740="Mi-saison"),INDEX('Base de données Mono'!F:F,MATCH(B740,'Base de données Mono'!D:D,0)),IF(AND(E740="Electricité",M740="Eté"),INDEX('Base de données Mono'!G:G,MATCH(B740,'Base de données Mono'!D:D,0)),IF(AND(E740="Gaz",M740="Hiver"),INDEX('Base de données Mono'!J:J,MATCH(B740,'Base de données Mono'!D:D,0)),IF(AND(E740="Gaz",M740="Mi-saison"),INDEX('Base de données Mono'!#REF!,MATCH(B740,'Base de données Mono'!D:D,0)),IF(AND(E740="Gaz",M740="Eté"),INDEX('Base de données Mono'!#REF!,MATCH(B740,'Base de données Mono'!D:D,0)),"-"))))))</f>
        <v>15</v>
      </c>
      <c r="O740" s="123">
        <v>45384</v>
      </c>
      <c r="P740" s="123">
        <v>45385</v>
      </c>
      <c r="Q740" s="34">
        <v>30</v>
      </c>
      <c r="R740" s="33">
        <f t="shared" si="81"/>
        <v>15</v>
      </c>
      <c r="S740" s="34">
        <v>1</v>
      </c>
      <c r="T740" s="34">
        <f t="shared" si="82"/>
        <v>1</v>
      </c>
      <c r="U740" s="33">
        <f t="shared" si="83"/>
        <v>15</v>
      </c>
      <c r="V740" s="38" t="s">
        <v>827</v>
      </c>
      <c r="W740" s="39">
        <f t="shared" si="84"/>
        <v>1</v>
      </c>
      <c r="X740" s="40" t="s">
        <v>304</v>
      </c>
      <c r="Y740" s="40" t="s">
        <v>283</v>
      </c>
      <c r="Z740" s="40" t="s">
        <v>749</v>
      </c>
      <c r="AA740" s="33" t="s">
        <v>749</v>
      </c>
      <c r="AB740" s="95"/>
      <c r="AC740" s="95"/>
    </row>
    <row r="741" spans="1:29" ht="14.45" hidden="1" customHeight="1" x14ac:dyDescent="0.25">
      <c r="A741" s="36" t="str">
        <f>INDEX('Base de données Mono'!C:C,MATCH(B741,'Base de données Mono'!D:D,0))</f>
        <v>Reims</v>
      </c>
      <c r="B741" t="s">
        <v>413</v>
      </c>
      <c r="C741" s="36" t="str">
        <f>INDEX('Base de données Mono'!B:B,MATCH(B741,'Base de données Mono'!D:D,0))</f>
        <v>Monop</v>
      </c>
      <c r="D741" s="36" t="str">
        <f>INDEX('Base de données Mono'!A:A,MATCH(B741,'Base de données Mono'!D:D,0))</f>
        <v>JG</v>
      </c>
      <c r="E741" s="37" t="s">
        <v>303</v>
      </c>
      <c r="F741" s="41">
        <f t="shared" si="79"/>
        <v>14</v>
      </c>
      <c r="G741" s="41">
        <f t="shared" si="80"/>
        <v>4</v>
      </c>
      <c r="H741">
        <v>9.17</v>
      </c>
      <c r="I741" s="131">
        <f>INDEX('Base de données Mono'!K:K,MATCH(B741,'Base de données Mono'!D:D,0))</f>
        <v>0.24305555555555555</v>
      </c>
      <c r="J741" s="131">
        <f>INDEX('Base de données Mono'!L:L,MATCH(B741,'Base de données Mono'!D:D,0))</f>
        <v>0.86111111111111116</v>
      </c>
      <c r="K741" s="131">
        <f>INDEX('Base de données Mono'!M:M,MATCH(B741,'Base de données Mono'!D:D,0))</f>
        <v>0.28472222222222221</v>
      </c>
      <c r="L741" s="131">
        <f>INDEX('Base de données Mono'!N:N,MATCH(B741,'Base de données Mono'!D:D,0))</f>
        <v>0.55555555555555558</v>
      </c>
      <c r="M741" s="33" t="s">
        <v>46</v>
      </c>
      <c r="N741" s="33">
        <f>IF(AND(E741="Electricité",M741="Hiver"),INDEX('Base de données Mono'!E:E,MATCH(B741,'Base de données Mono'!D:D,0)),IF(AND(E741="Electricité",M741="Mi-saison"),INDEX('Base de données Mono'!F:F,MATCH(B741,'Base de données Mono'!D:D,0)),IF(AND(E741="Electricité",M741="Eté"),INDEX('Base de données Mono'!G:G,MATCH(B741,'Base de données Mono'!D:D,0)),IF(AND(E741="Gaz",M741="Hiver"),INDEX('Base de données Mono'!J:J,MATCH(B741,'Base de données Mono'!D:D,0)),IF(AND(E741="Gaz",M741="Mi-saison"),INDEX('Base de données Mono'!#REF!,MATCH(B741,'Base de données Mono'!D:D,0)),IF(AND(E741="Gaz",M741="Eté"),INDEX('Base de données Mono'!#REF!,MATCH(B741,'Base de données Mono'!D:D,0)),"-"))))))</f>
        <v>15</v>
      </c>
      <c r="O741" s="123">
        <v>45384</v>
      </c>
      <c r="P741" s="123">
        <v>45386</v>
      </c>
      <c r="Q741" s="34">
        <v>20</v>
      </c>
      <c r="R741" s="33">
        <f t="shared" si="81"/>
        <v>5</v>
      </c>
      <c r="S741" s="34">
        <v>1</v>
      </c>
      <c r="T741" s="34">
        <f t="shared" si="82"/>
        <v>2</v>
      </c>
      <c r="U741" s="33">
        <f t="shared" si="83"/>
        <v>10</v>
      </c>
      <c r="V741" s="38" t="s">
        <v>827</v>
      </c>
      <c r="W741" s="39">
        <f t="shared" si="84"/>
        <v>0.33333333333333331</v>
      </c>
      <c r="X741" s="40" t="s">
        <v>304</v>
      </c>
      <c r="Y741" s="40" t="s">
        <v>283</v>
      </c>
      <c r="Z741" s="40" t="s">
        <v>749</v>
      </c>
      <c r="AA741" s="33" t="s">
        <v>749</v>
      </c>
      <c r="AB741" s="95"/>
      <c r="AC741" s="95"/>
    </row>
    <row r="742" spans="1:29" ht="14.45" hidden="1" customHeight="1" x14ac:dyDescent="0.25">
      <c r="A742" s="36" t="str">
        <f>INDEX('Base de données Mono'!C:C,MATCH(B742,'Base de données Mono'!D:D,0))</f>
        <v>Reims</v>
      </c>
      <c r="B742" t="s">
        <v>413</v>
      </c>
      <c r="C742" s="36" t="str">
        <f>INDEX('Base de données Mono'!B:B,MATCH(B742,'Base de données Mono'!D:D,0))</f>
        <v>Monop</v>
      </c>
      <c r="D742" s="36" t="str">
        <f>INDEX('Base de données Mono'!A:A,MATCH(B742,'Base de données Mono'!D:D,0))</f>
        <v>JG</v>
      </c>
      <c r="E742" s="37" t="s">
        <v>303</v>
      </c>
      <c r="F742" s="41">
        <f t="shared" si="79"/>
        <v>14</v>
      </c>
      <c r="G742" s="41">
        <f t="shared" si="80"/>
        <v>4</v>
      </c>
      <c r="H742">
        <v>9.17</v>
      </c>
      <c r="I742" s="131">
        <f>INDEX('Base de données Mono'!K:K,MATCH(B742,'Base de données Mono'!D:D,0))</f>
        <v>0.24305555555555555</v>
      </c>
      <c r="J742" s="131">
        <f>INDEX('Base de données Mono'!L:L,MATCH(B742,'Base de données Mono'!D:D,0))</f>
        <v>0.86111111111111116</v>
      </c>
      <c r="K742" s="131">
        <f>INDEX('Base de données Mono'!M:M,MATCH(B742,'Base de données Mono'!D:D,0))</f>
        <v>0.28472222222222221</v>
      </c>
      <c r="L742" s="131">
        <f>INDEX('Base de données Mono'!N:N,MATCH(B742,'Base de données Mono'!D:D,0))</f>
        <v>0.55555555555555558</v>
      </c>
      <c r="M742" s="33" t="s">
        <v>46</v>
      </c>
      <c r="N742" s="33">
        <f>IF(AND(E742="Electricité",M742="Hiver"),INDEX('Base de données Mono'!E:E,MATCH(B742,'Base de données Mono'!D:D,0)),IF(AND(E742="Electricité",M742="Mi-saison"),INDEX('Base de données Mono'!F:F,MATCH(B742,'Base de données Mono'!D:D,0)),IF(AND(E742="Electricité",M742="Eté"),INDEX('Base de données Mono'!G:G,MATCH(B742,'Base de données Mono'!D:D,0)),IF(AND(E742="Gaz",M742="Hiver"),INDEX('Base de données Mono'!J:J,MATCH(B742,'Base de données Mono'!D:D,0)),IF(AND(E742="Gaz",M742="Mi-saison"),INDEX('Base de données Mono'!#REF!,MATCH(B742,'Base de données Mono'!D:D,0)),IF(AND(E742="Gaz",M742="Eté"),INDEX('Base de données Mono'!#REF!,MATCH(B742,'Base de données Mono'!D:D,0)),"-"))))))</f>
        <v>15</v>
      </c>
      <c r="O742" s="123">
        <v>45385</v>
      </c>
      <c r="P742" s="123">
        <v>45386</v>
      </c>
      <c r="Q742" s="34">
        <v>35</v>
      </c>
      <c r="R742" s="33">
        <f t="shared" si="81"/>
        <v>20</v>
      </c>
      <c r="S742" s="34">
        <v>2</v>
      </c>
      <c r="T742" s="34">
        <f t="shared" si="82"/>
        <v>1</v>
      </c>
      <c r="U742" s="33">
        <f t="shared" si="83"/>
        <v>40</v>
      </c>
      <c r="V742" s="38" t="s">
        <v>827</v>
      </c>
      <c r="W742" s="39">
        <f t="shared" si="84"/>
        <v>1.3333333333333333</v>
      </c>
      <c r="X742" s="40" t="s">
        <v>304</v>
      </c>
      <c r="Y742" s="40" t="s">
        <v>283</v>
      </c>
      <c r="Z742" s="40" t="s">
        <v>749</v>
      </c>
      <c r="AA742" s="33" t="s">
        <v>749</v>
      </c>
      <c r="AB742" s="95"/>
      <c r="AC742" s="95"/>
    </row>
    <row r="743" spans="1:29" ht="14.45" hidden="1" customHeight="1" x14ac:dyDescent="0.25">
      <c r="A743" s="36" t="str">
        <f>INDEX('Base de données Mono'!C:C,MATCH(B743,'Base de données Mono'!D:D,0))</f>
        <v>Reims</v>
      </c>
      <c r="B743" t="s">
        <v>413</v>
      </c>
      <c r="C743" s="36" t="str">
        <f>INDEX('Base de données Mono'!B:B,MATCH(B743,'Base de données Mono'!D:D,0))</f>
        <v>Monop</v>
      </c>
      <c r="D743" s="36" t="str">
        <f>INDEX('Base de données Mono'!A:A,MATCH(B743,'Base de données Mono'!D:D,0))</f>
        <v>JG</v>
      </c>
      <c r="E743" s="37" t="s">
        <v>303</v>
      </c>
      <c r="F743" s="41">
        <f t="shared" si="79"/>
        <v>14</v>
      </c>
      <c r="G743" s="41">
        <f t="shared" si="80"/>
        <v>4</v>
      </c>
      <c r="H743">
        <v>9.17</v>
      </c>
      <c r="I743" s="131">
        <f>INDEX('Base de données Mono'!K:K,MATCH(B743,'Base de données Mono'!D:D,0))</f>
        <v>0.24305555555555555</v>
      </c>
      <c r="J743" s="131">
        <f>INDEX('Base de données Mono'!L:L,MATCH(B743,'Base de données Mono'!D:D,0))</f>
        <v>0.86111111111111116</v>
      </c>
      <c r="K743" s="131">
        <f>INDEX('Base de données Mono'!M:M,MATCH(B743,'Base de données Mono'!D:D,0))</f>
        <v>0.28472222222222221</v>
      </c>
      <c r="L743" s="131">
        <f>INDEX('Base de données Mono'!N:N,MATCH(B743,'Base de données Mono'!D:D,0))</f>
        <v>0.55555555555555558</v>
      </c>
      <c r="M743" s="33" t="s">
        <v>46</v>
      </c>
      <c r="N743" s="33">
        <f>IF(AND(E743="Electricité",M743="Hiver"),INDEX('Base de données Mono'!E:E,MATCH(B743,'Base de données Mono'!D:D,0)),IF(AND(E743="Electricité",M743="Mi-saison"),INDEX('Base de données Mono'!F:F,MATCH(B743,'Base de données Mono'!D:D,0)),IF(AND(E743="Electricité",M743="Eté"),INDEX('Base de données Mono'!G:G,MATCH(B743,'Base de données Mono'!D:D,0)),IF(AND(E743="Gaz",M743="Hiver"),INDEX('Base de données Mono'!J:J,MATCH(B743,'Base de données Mono'!D:D,0)),IF(AND(E743="Gaz",M743="Mi-saison"),INDEX('Base de données Mono'!#REF!,MATCH(B743,'Base de données Mono'!D:D,0)),IF(AND(E743="Gaz",M743="Eté"),INDEX('Base de données Mono'!#REF!,MATCH(B743,'Base de données Mono'!D:D,0)),"-"))))))</f>
        <v>15</v>
      </c>
      <c r="O743" s="123">
        <v>45385</v>
      </c>
      <c r="P743" s="123">
        <v>45386</v>
      </c>
      <c r="Q743" s="34">
        <v>25</v>
      </c>
      <c r="R743" s="33">
        <f t="shared" si="81"/>
        <v>10</v>
      </c>
      <c r="S743" s="34">
        <v>1</v>
      </c>
      <c r="T743" s="34">
        <f t="shared" si="82"/>
        <v>1</v>
      </c>
      <c r="U743" s="33">
        <f t="shared" si="83"/>
        <v>10</v>
      </c>
      <c r="V743" s="38" t="s">
        <v>827</v>
      </c>
      <c r="W743" s="39">
        <f t="shared" si="84"/>
        <v>0.66666666666666663</v>
      </c>
      <c r="X743" s="40" t="s">
        <v>304</v>
      </c>
      <c r="Y743" s="40" t="s">
        <v>283</v>
      </c>
      <c r="Z743" s="40" t="s">
        <v>749</v>
      </c>
      <c r="AA743" s="33" t="s">
        <v>749</v>
      </c>
      <c r="AB743" s="95"/>
      <c r="AC743" s="95"/>
    </row>
    <row r="744" spans="1:29" ht="14.45" hidden="1" customHeight="1" x14ac:dyDescent="0.25">
      <c r="A744" s="36" t="str">
        <f>INDEX('Base de données Mono'!C:C,MATCH(B744,'Base de données Mono'!D:D,0))</f>
        <v>Reims</v>
      </c>
      <c r="B744" t="s">
        <v>413</v>
      </c>
      <c r="C744" s="36" t="str">
        <f>INDEX('Base de données Mono'!B:B,MATCH(B744,'Base de données Mono'!D:D,0))</f>
        <v>Monop</v>
      </c>
      <c r="D744" s="36" t="str">
        <f>INDEX('Base de données Mono'!A:A,MATCH(B744,'Base de données Mono'!D:D,0))</f>
        <v>JG</v>
      </c>
      <c r="E744" s="37" t="s">
        <v>303</v>
      </c>
      <c r="F744" s="41">
        <f t="shared" si="79"/>
        <v>14</v>
      </c>
      <c r="G744" s="41">
        <f t="shared" si="80"/>
        <v>4</v>
      </c>
      <c r="H744">
        <v>9.17</v>
      </c>
      <c r="I744" s="131">
        <f>INDEX('Base de données Mono'!K:K,MATCH(B744,'Base de données Mono'!D:D,0))</f>
        <v>0.24305555555555555</v>
      </c>
      <c r="J744" s="131">
        <f>INDEX('Base de données Mono'!L:L,MATCH(B744,'Base de données Mono'!D:D,0))</f>
        <v>0.86111111111111116</v>
      </c>
      <c r="K744" s="131">
        <f>INDEX('Base de données Mono'!M:M,MATCH(B744,'Base de données Mono'!D:D,0))</f>
        <v>0.28472222222222221</v>
      </c>
      <c r="L744" s="131">
        <f>INDEX('Base de données Mono'!N:N,MATCH(B744,'Base de données Mono'!D:D,0))</f>
        <v>0.55555555555555558</v>
      </c>
      <c r="M744" s="33" t="s">
        <v>46</v>
      </c>
      <c r="N744" s="33">
        <f>IF(AND(E744="Electricité",M744="Hiver"),INDEX('Base de données Mono'!E:E,MATCH(B744,'Base de données Mono'!D:D,0)),IF(AND(E744="Electricité",M744="Mi-saison"),INDEX('Base de données Mono'!F:F,MATCH(B744,'Base de données Mono'!D:D,0)),IF(AND(E744="Electricité",M744="Eté"),INDEX('Base de données Mono'!G:G,MATCH(B744,'Base de données Mono'!D:D,0)),IF(AND(E744="Gaz",M744="Hiver"),INDEX('Base de données Mono'!J:J,MATCH(B744,'Base de données Mono'!D:D,0)),IF(AND(E744="Gaz",M744="Mi-saison"),INDEX('Base de données Mono'!#REF!,MATCH(B744,'Base de données Mono'!D:D,0)),IF(AND(E744="Gaz",M744="Eté"),INDEX('Base de données Mono'!#REF!,MATCH(B744,'Base de données Mono'!D:D,0)),"-"))))))</f>
        <v>15</v>
      </c>
      <c r="O744" s="123">
        <v>45386</v>
      </c>
      <c r="P744" s="123">
        <v>45387</v>
      </c>
      <c r="Q744" s="34">
        <v>37.5</v>
      </c>
      <c r="R744" s="33">
        <f t="shared" si="81"/>
        <v>22.5</v>
      </c>
      <c r="S744" s="34">
        <v>2</v>
      </c>
      <c r="T744" s="34">
        <f t="shared" si="82"/>
        <v>1</v>
      </c>
      <c r="U744" s="33">
        <f t="shared" si="83"/>
        <v>45</v>
      </c>
      <c r="V744" s="38" t="s">
        <v>827</v>
      </c>
      <c r="W744" s="39">
        <f t="shared" si="84"/>
        <v>1.5</v>
      </c>
      <c r="X744" s="40" t="s">
        <v>304</v>
      </c>
      <c r="Y744" s="40" t="s">
        <v>283</v>
      </c>
      <c r="Z744" s="40" t="s">
        <v>749</v>
      </c>
      <c r="AA744" s="33" t="s">
        <v>749</v>
      </c>
      <c r="AB744" s="95"/>
      <c r="AC744" s="95"/>
    </row>
    <row r="745" spans="1:29" ht="14.45" hidden="1" customHeight="1" x14ac:dyDescent="0.25">
      <c r="A745" s="36" t="str">
        <f>INDEX('Base de données Mono'!C:C,MATCH(B745,'Base de données Mono'!D:D,0))</f>
        <v>Reims</v>
      </c>
      <c r="B745" t="s">
        <v>413</v>
      </c>
      <c r="C745" s="36" t="str">
        <f>INDEX('Base de données Mono'!B:B,MATCH(B745,'Base de données Mono'!D:D,0))</f>
        <v>Monop</v>
      </c>
      <c r="D745" s="36" t="str">
        <f>INDEX('Base de données Mono'!A:A,MATCH(B745,'Base de données Mono'!D:D,0))</f>
        <v>JG</v>
      </c>
      <c r="E745" s="37" t="s">
        <v>303</v>
      </c>
      <c r="F745" s="41">
        <f t="shared" si="79"/>
        <v>14</v>
      </c>
      <c r="G745" s="41">
        <f t="shared" si="80"/>
        <v>4</v>
      </c>
      <c r="H745">
        <v>9.17</v>
      </c>
      <c r="I745" s="131">
        <f>INDEX('Base de données Mono'!K:K,MATCH(B745,'Base de données Mono'!D:D,0))</f>
        <v>0.24305555555555555</v>
      </c>
      <c r="J745" s="131">
        <f>INDEX('Base de données Mono'!L:L,MATCH(B745,'Base de données Mono'!D:D,0))</f>
        <v>0.86111111111111116</v>
      </c>
      <c r="K745" s="131">
        <f>INDEX('Base de données Mono'!M:M,MATCH(B745,'Base de données Mono'!D:D,0))</f>
        <v>0.28472222222222221</v>
      </c>
      <c r="L745" s="131">
        <f>INDEX('Base de données Mono'!N:N,MATCH(B745,'Base de données Mono'!D:D,0))</f>
        <v>0.55555555555555558</v>
      </c>
      <c r="M745" s="33" t="s">
        <v>46</v>
      </c>
      <c r="N745" s="33">
        <f>IF(AND(E745="Electricité",M745="Hiver"),INDEX('Base de données Mono'!E:E,MATCH(B745,'Base de données Mono'!D:D,0)),IF(AND(E745="Electricité",M745="Mi-saison"),INDEX('Base de données Mono'!F:F,MATCH(B745,'Base de données Mono'!D:D,0)),IF(AND(E745="Electricité",M745="Eté"),INDEX('Base de données Mono'!G:G,MATCH(B745,'Base de données Mono'!D:D,0)),IF(AND(E745="Gaz",M745="Hiver"),INDEX('Base de données Mono'!J:J,MATCH(B745,'Base de données Mono'!D:D,0)),IF(AND(E745="Gaz",M745="Mi-saison"),INDEX('Base de données Mono'!#REF!,MATCH(B745,'Base de données Mono'!D:D,0)),IF(AND(E745="Gaz",M745="Eté"),INDEX('Base de données Mono'!#REF!,MATCH(B745,'Base de données Mono'!D:D,0)),"-"))))))</f>
        <v>15</v>
      </c>
      <c r="O745" s="123">
        <v>45387</v>
      </c>
      <c r="P745" s="123">
        <v>45388</v>
      </c>
      <c r="Q745" s="34">
        <v>40</v>
      </c>
      <c r="R745" s="33">
        <f t="shared" si="81"/>
        <v>25</v>
      </c>
      <c r="S745" s="34">
        <v>2</v>
      </c>
      <c r="T745" s="34">
        <f t="shared" si="82"/>
        <v>1</v>
      </c>
      <c r="U745" s="33">
        <f t="shared" si="83"/>
        <v>50</v>
      </c>
      <c r="V745" s="38" t="s">
        <v>827</v>
      </c>
      <c r="W745" s="39">
        <f t="shared" si="84"/>
        <v>1.6666666666666667</v>
      </c>
      <c r="X745" s="40" t="s">
        <v>304</v>
      </c>
      <c r="Y745" s="40" t="s">
        <v>283</v>
      </c>
      <c r="Z745" s="40" t="s">
        <v>749</v>
      </c>
      <c r="AA745" s="33" t="s">
        <v>749</v>
      </c>
      <c r="AB745" s="95"/>
      <c r="AC745" s="95"/>
    </row>
    <row r="746" spans="1:29" ht="14.45" hidden="1" customHeight="1" x14ac:dyDescent="0.25">
      <c r="A746" s="36" t="str">
        <f>INDEX('Base de données Mono'!C:C,MATCH(B746,'Base de données Mono'!D:D,0))</f>
        <v>Reims</v>
      </c>
      <c r="B746" t="s">
        <v>413</v>
      </c>
      <c r="C746" s="36" t="str">
        <f>INDEX('Base de données Mono'!B:B,MATCH(B746,'Base de données Mono'!D:D,0))</f>
        <v>Monop</v>
      </c>
      <c r="D746" s="36" t="str">
        <f>INDEX('Base de données Mono'!A:A,MATCH(B746,'Base de données Mono'!D:D,0))</f>
        <v>JG</v>
      </c>
      <c r="E746" s="37" t="s">
        <v>303</v>
      </c>
      <c r="F746" s="41">
        <f t="shared" si="79"/>
        <v>14</v>
      </c>
      <c r="G746" s="41">
        <f t="shared" si="80"/>
        <v>4</v>
      </c>
      <c r="H746">
        <v>9.17</v>
      </c>
      <c r="I746" s="131">
        <f>INDEX('Base de données Mono'!K:K,MATCH(B746,'Base de données Mono'!D:D,0))</f>
        <v>0.24305555555555555</v>
      </c>
      <c r="J746" s="131">
        <f>INDEX('Base de données Mono'!L:L,MATCH(B746,'Base de données Mono'!D:D,0))</f>
        <v>0.86111111111111116</v>
      </c>
      <c r="K746" s="131">
        <f>INDEX('Base de données Mono'!M:M,MATCH(B746,'Base de données Mono'!D:D,0))</f>
        <v>0.28472222222222221</v>
      </c>
      <c r="L746" s="131">
        <f>INDEX('Base de données Mono'!N:N,MATCH(B746,'Base de données Mono'!D:D,0))</f>
        <v>0.55555555555555558</v>
      </c>
      <c r="M746" s="33" t="s">
        <v>46</v>
      </c>
      <c r="N746" s="33">
        <f>IF(AND(E746="Electricité",M746="Hiver"),INDEX('Base de données Mono'!E:E,MATCH(B746,'Base de données Mono'!D:D,0)),IF(AND(E746="Electricité",M746="Mi-saison"),INDEX('Base de données Mono'!F:F,MATCH(B746,'Base de données Mono'!D:D,0)),IF(AND(E746="Electricité",M746="Eté"),INDEX('Base de données Mono'!G:G,MATCH(B746,'Base de données Mono'!D:D,0)),IF(AND(E746="Gaz",M746="Hiver"),INDEX('Base de données Mono'!J:J,MATCH(B746,'Base de données Mono'!D:D,0)),IF(AND(E746="Gaz",M746="Mi-saison"),INDEX('Base de données Mono'!#REF!,MATCH(B746,'Base de données Mono'!D:D,0)),IF(AND(E746="Gaz",M746="Eté"),INDEX('Base de données Mono'!#REF!,MATCH(B746,'Base de données Mono'!D:D,0)),"-"))))))</f>
        <v>15</v>
      </c>
      <c r="O746" s="123">
        <v>45388</v>
      </c>
      <c r="P746" s="123">
        <v>45389</v>
      </c>
      <c r="Q746" s="34">
        <v>37.5</v>
      </c>
      <c r="R746" s="33">
        <f t="shared" si="81"/>
        <v>22.5</v>
      </c>
      <c r="S746" s="34">
        <v>2</v>
      </c>
      <c r="T746" s="34">
        <f t="shared" si="82"/>
        <v>1</v>
      </c>
      <c r="U746" s="33">
        <f t="shared" si="83"/>
        <v>45</v>
      </c>
      <c r="V746" s="38" t="s">
        <v>827</v>
      </c>
      <c r="W746" s="39">
        <f t="shared" si="84"/>
        <v>1.5</v>
      </c>
      <c r="X746" s="40" t="s">
        <v>304</v>
      </c>
      <c r="Y746" s="40" t="s">
        <v>283</v>
      </c>
      <c r="Z746" s="40" t="s">
        <v>749</v>
      </c>
      <c r="AA746" s="33" t="s">
        <v>749</v>
      </c>
      <c r="AB746" s="95"/>
      <c r="AC746" s="95"/>
    </row>
    <row r="747" spans="1:29" ht="14.45" hidden="1" customHeight="1" x14ac:dyDescent="0.25">
      <c r="A747" s="36" t="str">
        <f>INDEX('Base de données Mono'!C:C,MATCH(B747,'Base de données Mono'!D:D,0))</f>
        <v>Austerlitz</v>
      </c>
      <c r="B747" t="s">
        <v>398</v>
      </c>
      <c r="C747" s="36" t="str">
        <f>INDEX('Base de données Mono'!B:B,MATCH(B747,'Base de données Mono'!D:D,0))</f>
        <v>Monop</v>
      </c>
      <c r="D747" s="36" t="str">
        <f>INDEX('Base de données Mono'!A:A,MATCH(B747,'Base de données Mono'!D:D,0))</f>
        <v>JG</v>
      </c>
      <c r="E747" s="37" t="s">
        <v>303</v>
      </c>
      <c r="F747" s="41">
        <f t="shared" si="79"/>
        <v>14</v>
      </c>
      <c r="G747" s="41">
        <f t="shared" si="80"/>
        <v>4</v>
      </c>
      <c r="H747">
        <v>7</v>
      </c>
      <c r="I747" s="131">
        <f>INDEX('Base de données Mono'!K:K,MATCH(B747,'Base de données Mono'!D:D,0))</f>
        <v>0.25</v>
      </c>
      <c r="J747" s="131">
        <f>INDEX('Base de données Mono'!L:L,MATCH(B747,'Base de données Mono'!D:D,0))</f>
        <v>0.95833333333333337</v>
      </c>
      <c r="K747" s="131" t="str">
        <f>INDEX('Base de données Mono'!M:M,MATCH(B747,'Base de données Mono'!D:D,0))</f>
        <v>-</v>
      </c>
      <c r="L747" s="131" t="str">
        <f>INDEX('Base de données Mono'!N:N,MATCH(B747,'Base de données Mono'!D:D,0))</f>
        <v>-</v>
      </c>
      <c r="M747" s="33" t="s">
        <v>46</v>
      </c>
      <c r="N747" s="33">
        <f>IF(AND(E747="Electricité",M747="Hiver"),INDEX('Base de données Mono'!E:E,MATCH(B747,'Base de données Mono'!D:D,0)),IF(AND(E747="Electricité",M747="Mi-saison"),INDEX('Base de données Mono'!F:F,MATCH(B747,'Base de données Mono'!D:D,0)),IF(AND(E747="Electricité",M747="Eté"),INDEX('Base de données Mono'!G:G,MATCH(B747,'Base de données Mono'!D:D,0)),IF(AND(E747="Gaz",M747="Hiver"),INDEX('Base de données Mono'!J:J,MATCH(B747,'Base de données Mono'!D:D,0)),IF(AND(E747="Gaz",M747="Mi-saison"),INDEX('Base de données Mono'!#REF!,MATCH(B747,'Base de données Mono'!D:D,0)),IF(AND(E747="Gaz",M747="Eté"),INDEX('Base de données Mono'!#REF!,MATCH(B747,'Base de données Mono'!D:D,0)),"-"))))))</f>
        <v>15</v>
      </c>
      <c r="O747" s="123">
        <v>45383</v>
      </c>
      <c r="P747" s="123">
        <v>45389</v>
      </c>
      <c r="Q747" s="34">
        <v>20</v>
      </c>
      <c r="R747" s="33">
        <f t="shared" si="81"/>
        <v>5</v>
      </c>
      <c r="S747" s="34">
        <v>7</v>
      </c>
      <c r="T747" s="34">
        <f t="shared" si="82"/>
        <v>6</v>
      </c>
      <c r="U747" s="33">
        <f t="shared" si="83"/>
        <v>210</v>
      </c>
      <c r="V747" s="38" t="s">
        <v>827</v>
      </c>
      <c r="W747" s="39">
        <f t="shared" si="84"/>
        <v>0.33333333333333331</v>
      </c>
      <c r="X747" s="40" t="s">
        <v>304</v>
      </c>
      <c r="Y747" s="40" t="s">
        <v>283</v>
      </c>
      <c r="Z747" s="40" t="s">
        <v>749</v>
      </c>
      <c r="AA747" s="33" t="s">
        <v>749</v>
      </c>
      <c r="AB747" s="95"/>
      <c r="AC747" s="95"/>
    </row>
    <row r="748" spans="1:29" ht="14.45" hidden="1" customHeight="1" x14ac:dyDescent="0.25">
      <c r="A748" s="36" t="str">
        <f>INDEX('Base de données Mono'!C:C,MATCH(B748,'Base de données Mono'!D:D,0))</f>
        <v>Reims</v>
      </c>
      <c r="B748" t="s">
        <v>413</v>
      </c>
      <c r="C748" s="36" t="str">
        <f>INDEX('Base de données Mono'!B:B,MATCH(B748,'Base de données Mono'!D:D,0))</f>
        <v>Monop</v>
      </c>
      <c r="D748" s="36" t="str">
        <f>INDEX('Base de données Mono'!A:A,MATCH(B748,'Base de données Mono'!D:D,0))</f>
        <v>JG</v>
      </c>
      <c r="E748" s="37" t="s">
        <v>303</v>
      </c>
      <c r="F748" s="41">
        <f t="shared" si="79"/>
        <v>14</v>
      </c>
      <c r="G748" s="41">
        <f t="shared" si="80"/>
        <v>4</v>
      </c>
      <c r="H748">
        <v>9.17</v>
      </c>
      <c r="I748" s="131">
        <f>INDEX('Base de données Mono'!K:K,MATCH(B748,'Base de données Mono'!D:D,0))</f>
        <v>0.24305555555555555</v>
      </c>
      <c r="J748" s="131">
        <f>INDEX('Base de données Mono'!L:L,MATCH(B748,'Base de données Mono'!D:D,0))</f>
        <v>0.86111111111111116</v>
      </c>
      <c r="K748" s="131">
        <f>INDEX('Base de données Mono'!M:M,MATCH(B748,'Base de données Mono'!D:D,0))</f>
        <v>0.28472222222222221</v>
      </c>
      <c r="L748" s="131">
        <f>INDEX('Base de données Mono'!N:N,MATCH(B748,'Base de données Mono'!D:D,0))</f>
        <v>0.55555555555555558</v>
      </c>
      <c r="M748" s="33" t="s">
        <v>46</v>
      </c>
      <c r="N748" s="33">
        <f>IF(AND(E748="Electricité",M748="Hiver"),INDEX('Base de données Mono'!E:E,MATCH(B748,'Base de données Mono'!D:D,0)),IF(AND(E748="Electricité",M748="Mi-saison"),INDEX('Base de données Mono'!F:F,MATCH(B748,'Base de données Mono'!D:D,0)),IF(AND(E748="Electricité",M748="Eté"),INDEX('Base de données Mono'!G:G,MATCH(B748,'Base de données Mono'!D:D,0)),IF(AND(E748="Gaz",M748="Hiver"),INDEX('Base de données Mono'!J:J,MATCH(B748,'Base de données Mono'!D:D,0)),IF(AND(E748="Gaz",M748="Mi-saison"),INDEX('Base de données Mono'!#REF!,MATCH(B748,'Base de données Mono'!D:D,0)),IF(AND(E748="Gaz",M748="Eté"),INDEX('Base de données Mono'!#REF!,MATCH(B748,'Base de données Mono'!D:D,0)),"-"))))))</f>
        <v>15</v>
      </c>
      <c r="O748" s="123">
        <v>45388</v>
      </c>
      <c r="P748" s="123">
        <v>45389</v>
      </c>
      <c r="Q748" s="34">
        <v>20</v>
      </c>
      <c r="R748" s="33">
        <f t="shared" si="81"/>
        <v>5</v>
      </c>
      <c r="S748" s="34">
        <v>1</v>
      </c>
      <c r="T748" s="34">
        <f t="shared" si="82"/>
        <v>1</v>
      </c>
      <c r="U748" s="33">
        <f t="shared" si="83"/>
        <v>5</v>
      </c>
      <c r="V748" s="38" t="s">
        <v>827</v>
      </c>
      <c r="W748" s="39">
        <f t="shared" si="84"/>
        <v>0.33333333333333331</v>
      </c>
      <c r="X748" s="40" t="s">
        <v>304</v>
      </c>
      <c r="Y748" s="40" t="s">
        <v>283</v>
      </c>
      <c r="Z748" s="40" t="s">
        <v>749</v>
      </c>
      <c r="AA748" s="33" t="s">
        <v>749</v>
      </c>
      <c r="AB748" s="95"/>
      <c r="AC748" s="95"/>
    </row>
    <row r="749" spans="1:29" ht="14.45" hidden="1" customHeight="1" x14ac:dyDescent="0.25">
      <c r="A749" s="36" t="str">
        <f>INDEX('Base de données Mono'!C:C,MATCH(B749,'Base de données Mono'!D:D,0))</f>
        <v>Garches</v>
      </c>
      <c r="B749" t="s">
        <v>404</v>
      </c>
      <c r="C749" s="36" t="str">
        <f>INDEX('Base de données Mono'!B:B,MATCH(B749,'Base de données Mono'!D:D,0))</f>
        <v>Monoprix</v>
      </c>
      <c r="D749" s="36" t="str">
        <f>INDEX('Base de données Mono'!A:A,MATCH(B749,'Base de données Mono'!D:D,0))</f>
        <v>JG</v>
      </c>
      <c r="E749" s="37" t="s">
        <v>303</v>
      </c>
      <c r="F749" s="41">
        <f t="shared" si="79"/>
        <v>14</v>
      </c>
      <c r="G749" s="41">
        <f t="shared" si="80"/>
        <v>4</v>
      </c>
      <c r="H749">
        <v>8.08</v>
      </c>
      <c r="I749" s="131">
        <f>INDEX('Base de données Mono'!K:K,MATCH(B749,'Base de données Mono'!D:D,0))</f>
        <v>0.24305555555555555</v>
      </c>
      <c r="J749" s="131">
        <f>INDEX('Base de données Mono'!L:L,MATCH(B749,'Base de données Mono'!D:D,0))</f>
        <v>0.90625</v>
      </c>
      <c r="K749" s="131">
        <f>INDEX('Base de données Mono'!M:M,MATCH(B749,'Base de données Mono'!D:D,0))</f>
        <v>0.31944444444444448</v>
      </c>
      <c r="L749" s="131">
        <f>INDEX('Base de données Mono'!N:N,MATCH(B749,'Base de données Mono'!D:D,0))</f>
        <v>0.54861111111111105</v>
      </c>
      <c r="M749" s="33" t="s">
        <v>46</v>
      </c>
      <c r="N749" s="33">
        <f>IF(AND(E749="Electricité",M749="Hiver"),INDEX('Base de données Mono'!E:E,MATCH(B749,'Base de données Mono'!D:D,0)),IF(AND(E749="Electricité",M749="Mi-saison"),INDEX('Base de données Mono'!F:F,MATCH(B749,'Base de données Mono'!D:D,0)),IF(AND(E749="Electricité",M749="Eté"),INDEX('Base de données Mono'!G:G,MATCH(B749,'Base de données Mono'!D:D,0)),IF(AND(E749="Gaz",M749="Hiver"),INDEX('Base de données Mono'!J:J,MATCH(B749,'Base de données Mono'!D:D,0)),IF(AND(E749="Gaz",M749="Mi-saison"),INDEX('Base de données Mono'!#REF!,MATCH(B749,'Base de données Mono'!D:D,0)),IF(AND(E749="Gaz",M749="Eté"),INDEX('Base de données Mono'!#REF!,MATCH(B749,'Base de données Mono'!D:D,0)),"-"))))))</f>
        <v>25</v>
      </c>
      <c r="O749" s="123">
        <v>45383</v>
      </c>
      <c r="P749" s="123">
        <v>45384</v>
      </c>
      <c r="Q749" s="34">
        <v>27.5</v>
      </c>
      <c r="R749" s="33">
        <f t="shared" si="81"/>
        <v>2.5</v>
      </c>
      <c r="S749" s="34">
        <v>6</v>
      </c>
      <c r="T749" s="34">
        <f t="shared" si="82"/>
        <v>1</v>
      </c>
      <c r="U749" s="33">
        <f t="shared" si="83"/>
        <v>15</v>
      </c>
      <c r="V749" s="38" t="s">
        <v>827</v>
      </c>
      <c r="W749" s="39">
        <f t="shared" si="84"/>
        <v>0.1</v>
      </c>
      <c r="X749" s="40" t="s">
        <v>304</v>
      </c>
      <c r="Y749" s="40" t="s">
        <v>283</v>
      </c>
      <c r="Z749" s="40" t="s">
        <v>749</v>
      </c>
      <c r="AA749" s="33" t="s">
        <v>749</v>
      </c>
      <c r="AB749" s="95"/>
      <c r="AC749" s="95"/>
    </row>
    <row r="750" spans="1:29" ht="14.45" hidden="1" customHeight="1" x14ac:dyDescent="0.25">
      <c r="A750" s="36" t="str">
        <f>INDEX('Base de données Mono'!C:C,MATCH(B750,'Base de données Mono'!D:D,0))</f>
        <v>Monop Louise Michel</v>
      </c>
      <c r="B750" t="s">
        <v>506</v>
      </c>
      <c r="C750" s="36" t="str">
        <f>INDEX('Base de données Mono'!B:B,MATCH(B750,'Base de données Mono'!D:D,0))</f>
        <v>Monop</v>
      </c>
      <c r="D750" s="36" t="str">
        <f>INDEX('Base de données Mono'!A:A,MATCH(B750,'Base de données Mono'!D:D,0))</f>
        <v>-</v>
      </c>
      <c r="E750" s="37" t="s">
        <v>303</v>
      </c>
      <c r="F750" s="41">
        <f t="shared" si="79"/>
        <v>14</v>
      </c>
      <c r="G750" s="41">
        <f t="shared" si="80"/>
        <v>4</v>
      </c>
      <c r="H750">
        <v>5.83</v>
      </c>
      <c r="I750" s="131">
        <f>INDEX('Base de données Mono'!K:K,MATCH(B750,'Base de données Mono'!D:D,0))</f>
        <v>0.25</v>
      </c>
      <c r="J750" s="131">
        <f>INDEX('Base de données Mono'!L:L,MATCH(B750,'Base de données Mono'!D:D,0))</f>
        <v>6.9444444444444441E-3</v>
      </c>
      <c r="K750" s="131">
        <f>INDEX('Base de données Mono'!M:M,MATCH(B750,'Base de données Mono'!D:D,0))</f>
        <v>0.28472222222222221</v>
      </c>
      <c r="L750" s="131">
        <f>INDEX('Base de données Mono'!N:N,MATCH(B750,'Base de données Mono'!D:D,0))</f>
        <v>0.88194444444444453</v>
      </c>
      <c r="M750" s="33" t="s">
        <v>46</v>
      </c>
      <c r="N750" s="33">
        <f>IF(AND(E750="Electricité",M750="Hiver"),INDEX('Base de données Mono'!E:E,MATCH(B750,'Base de données Mono'!D:D,0)),IF(AND(E750="Electricité",M750="Mi-saison"),INDEX('Base de données Mono'!F:F,MATCH(B750,'Base de données Mono'!D:D,0)),IF(AND(E750="Electricité",M750="Eté"),INDEX('Base de données Mono'!G:G,MATCH(B750,'Base de données Mono'!D:D,0)),IF(AND(E750="Gaz",M750="Hiver"),INDEX('Base de données Mono'!J:J,MATCH(B750,'Base de données Mono'!D:D,0)),IF(AND(E750="Gaz",M750="Mi-saison"),INDEX('Base de données Mono'!#REF!,MATCH(B750,'Base de données Mono'!D:D,0)),IF(AND(E750="Gaz",M750="Eté"),INDEX('Base de données Mono'!#REF!,MATCH(B750,'Base de données Mono'!D:D,0)),"-"))))))</f>
        <v>25</v>
      </c>
      <c r="O750" s="123">
        <v>45383</v>
      </c>
      <c r="P750" s="123">
        <v>45388</v>
      </c>
      <c r="Q750" s="34">
        <v>30</v>
      </c>
      <c r="R750" s="33">
        <f t="shared" si="81"/>
        <v>5</v>
      </c>
      <c r="S750" s="34">
        <v>2</v>
      </c>
      <c r="T750" s="34">
        <f t="shared" si="82"/>
        <v>5</v>
      </c>
      <c r="U750" s="33">
        <f t="shared" si="83"/>
        <v>50</v>
      </c>
      <c r="V750" s="38" t="s">
        <v>827</v>
      </c>
      <c r="W750" s="39">
        <f t="shared" si="84"/>
        <v>0.2</v>
      </c>
      <c r="X750" s="40" t="s">
        <v>304</v>
      </c>
      <c r="Y750" s="40" t="s">
        <v>283</v>
      </c>
      <c r="Z750" s="40" t="s">
        <v>749</v>
      </c>
      <c r="AA750" s="33" t="s">
        <v>749</v>
      </c>
      <c r="AB750" s="95"/>
      <c r="AC750" s="95"/>
    </row>
    <row r="751" spans="1:29" ht="14.45" hidden="1" customHeight="1" x14ac:dyDescent="0.25">
      <c r="A751" s="36" t="str">
        <f>INDEX('Base de données Mono'!C:C,MATCH(B751,'Base de données Mono'!D:D,0))</f>
        <v>Garches</v>
      </c>
      <c r="B751" t="s">
        <v>404</v>
      </c>
      <c r="C751" s="36" t="str">
        <f>INDEX('Base de données Mono'!B:B,MATCH(B751,'Base de données Mono'!D:D,0))</f>
        <v>Monoprix</v>
      </c>
      <c r="D751" s="36" t="str">
        <f>INDEX('Base de données Mono'!A:A,MATCH(B751,'Base de données Mono'!D:D,0))</f>
        <v>JG</v>
      </c>
      <c r="E751" s="37" t="s">
        <v>303</v>
      </c>
      <c r="F751" s="41">
        <f t="shared" si="79"/>
        <v>14</v>
      </c>
      <c r="G751" s="41">
        <f t="shared" si="80"/>
        <v>4</v>
      </c>
      <c r="H751">
        <v>8.08</v>
      </c>
      <c r="I751" s="131">
        <f>INDEX('Base de données Mono'!K:K,MATCH(B751,'Base de données Mono'!D:D,0))</f>
        <v>0.24305555555555555</v>
      </c>
      <c r="J751" s="131">
        <f>INDEX('Base de données Mono'!L:L,MATCH(B751,'Base de données Mono'!D:D,0))</f>
        <v>0.90625</v>
      </c>
      <c r="K751" s="131">
        <f>INDEX('Base de données Mono'!M:M,MATCH(B751,'Base de données Mono'!D:D,0))</f>
        <v>0.31944444444444448</v>
      </c>
      <c r="L751" s="131">
        <f>INDEX('Base de données Mono'!N:N,MATCH(B751,'Base de données Mono'!D:D,0))</f>
        <v>0.54861111111111105</v>
      </c>
      <c r="M751" s="33" t="s">
        <v>46</v>
      </c>
      <c r="N751" s="33">
        <f>IF(AND(E751="Electricité",M751="Hiver"),INDEX('Base de données Mono'!E:E,MATCH(B751,'Base de données Mono'!D:D,0)),IF(AND(E751="Electricité",M751="Mi-saison"),INDEX('Base de données Mono'!F:F,MATCH(B751,'Base de données Mono'!D:D,0)),IF(AND(E751="Electricité",M751="Eté"),INDEX('Base de données Mono'!G:G,MATCH(B751,'Base de données Mono'!D:D,0)),IF(AND(E751="Gaz",M751="Hiver"),INDEX('Base de données Mono'!J:J,MATCH(B751,'Base de données Mono'!D:D,0)),IF(AND(E751="Gaz",M751="Mi-saison"),INDEX('Base de données Mono'!#REF!,MATCH(B751,'Base de données Mono'!D:D,0)),IF(AND(E751="Gaz",M751="Eté"),INDEX('Base de données Mono'!#REF!,MATCH(B751,'Base de données Mono'!D:D,0)),"-"))))))</f>
        <v>25</v>
      </c>
      <c r="O751" s="123">
        <v>45384</v>
      </c>
      <c r="P751" s="123">
        <v>45389</v>
      </c>
      <c r="Q751" s="34">
        <v>35</v>
      </c>
      <c r="R751" s="33">
        <f t="shared" si="81"/>
        <v>10</v>
      </c>
      <c r="S751" s="34">
        <v>1</v>
      </c>
      <c r="T751" s="34">
        <f t="shared" si="82"/>
        <v>5</v>
      </c>
      <c r="U751" s="33">
        <f t="shared" si="83"/>
        <v>50</v>
      </c>
      <c r="V751" s="38" t="s">
        <v>827</v>
      </c>
      <c r="W751" s="39">
        <f t="shared" si="84"/>
        <v>0.4</v>
      </c>
      <c r="X751" s="40" t="s">
        <v>304</v>
      </c>
      <c r="Y751" s="40" t="s">
        <v>283</v>
      </c>
      <c r="Z751" s="40" t="s">
        <v>749</v>
      </c>
      <c r="AA751" s="33" t="s">
        <v>749</v>
      </c>
      <c r="AB751" s="95"/>
      <c r="AC751" s="95"/>
    </row>
    <row r="752" spans="1:29" ht="14.45" hidden="1" customHeight="1" x14ac:dyDescent="0.25">
      <c r="A752" s="36" t="str">
        <f>INDEX('Base de données Mono'!C:C,MATCH(B752,'Base de données Mono'!D:D,0))</f>
        <v>BAGNERES DE BIGORRE</v>
      </c>
      <c r="B752" t="s">
        <v>73</v>
      </c>
      <c r="C752" s="36" t="str">
        <f>INDEX('Base de données Mono'!B:B,MATCH(B752,'Base de données Mono'!D:D,0))</f>
        <v>Monoprix</v>
      </c>
      <c r="D752" s="36" t="str">
        <f>INDEX('Base de données Mono'!A:A,MATCH(B752,'Base de données Mono'!D:D,0))</f>
        <v>AD</v>
      </c>
      <c r="E752" s="37" t="s">
        <v>303</v>
      </c>
      <c r="F752" s="41">
        <f t="shared" si="79"/>
        <v>14</v>
      </c>
      <c r="G752" s="41">
        <f t="shared" si="80"/>
        <v>4</v>
      </c>
      <c r="H752">
        <v>12</v>
      </c>
      <c r="I752" s="131">
        <f>INDEX('Base de données Mono'!K:K,MATCH(B752,'Base de données Mono'!D:D,0))</f>
        <v>0.27083333333333331</v>
      </c>
      <c r="J752" s="131">
        <f>INDEX('Base de données Mono'!L:L,MATCH(B752,'Base de données Mono'!D:D,0))</f>
        <v>0.77083333333333337</v>
      </c>
      <c r="K752" s="131" t="str">
        <f>INDEX('Base de données Mono'!M:M,MATCH(B752,'Base de données Mono'!D:D,0))</f>
        <v>-</v>
      </c>
      <c r="L752" s="131" t="str">
        <f>INDEX('Base de données Mono'!N:N,MATCH(B752,'Base de données Mono'!D:D,0))</f>
        <v>-</v>
      </c>
      <c r="M752" s="33" t="s">
        <v>46</v>
      </c>
      <c r="N752" s="33">
        <f>IF(AND(E752="Electricité",M752="Hiver"),INDEX('Base de données Mono'!E:E,MATCH(B752,'Base de données Mono'!D:D,0)),IF(AND(E752="Electricité",M752="Mi-saison"),INDEX('Base de données Mono'!F:F,MATCH(B752,'Base de données Mono'!D:D,0)),IF(AND(E752="Electricité",M752="Eté"),INDEX('Base de données Mono'!G:G,MATCH(B752,'Base de données Mono'!D:D,0)),IF(AND(E752="Gaz",M752="Hiver"),INDEX('Base de données Mono'!J:J,MATCH(B752,'Base de données Mono'!D:D,0)),IF(AND(E752="Gaz",M752="Mi-saison"),INDEX('Base de données Mono'!#REF!,MATCH(B752,'Base de données Mono'!D:D,0)),IF(AND(E752="Gaz",M752="Eté"),INDEX('Base de données Mono'!#REF!,MATCH(B752,'Base de données Mono'!D:D,0)),"-"))))))</f>
        <v>10</v>
      </c>
      <c r="O752" s="123">
        <v>45384</v>
      </c>
      <c r="P752" s="123">
        <v>45387</v>
      </c>
      <c r="Q752" s="34">
        <v>20</v>
      </c>
      <c r="R752" s="33">
        <f t="shared" si="81"/>
        <v>10</v>
      </c>
      <c r="S752" s="34">
        <v>1</v>
      </c>
      <c r="T752" s="34">
        <f t="shared" si="82"/>
        <v>3</v>
      </c>
      <c r="U752" s="33">
        <f t="shared" si="83"/>
        <v>30</v>
      </c>
      <c r="V752" s="38" t="s">
        <v>827</v>
      </c>
      <c r="W752" s="39">
        <f t="shared" si="84"/>
        <v>1</v>
      </c>
      <c r="X752" s="40" t="s">
        <v>304</v>
      </c>
      <c r="Y752" s="40" t="s">
        <v>283</v>
      </c>
      <c r="Z752" s="40" t="s">
        <v>749</v>
      </c>
      <c r="AA752" s="33" t="s">
        <v>749</v>
      </c>
      <c r="AB752" s="95"/>
      <c r="AC752" s="95"/>
    </row>
    <row r="753" spans="1:29" ht="14.45" hidden="1" customHeight="1" x14ac:dyDescent="0.25">
      <c r="A753" s="36" t="str">
        <f>INDEX('Base de données Mono'!C:C,MATCH(B753,'Base de données Mono'!D:D,0))</f>
        <v>BAGNERES DE BIGORRE</v>
      </c>
      <c r="B753" t="s">
        <v>73</v>
      </c>
      <c r="C753" s="36" t="str">
        <f>INDEX('Base de données Mono'!B:B,MATCH(B753,'Base de données Mono'!D:D,0))</f>
        <v>Monoprix</v>
      </c>
      <c r="D753" s="36" t="str">
        <f>INDEX('Base de données Mono'!A:A,MATCH(B753,'Base de données Mono'!D:D,0))</f>
        <v>AD</v>
      </c>
      <c r="E753" s="37" t="s">
        <v>303</v>
      </c>
      <c r="F753" s="41">
        <f t="shared" si="79"/>
        <v>14</v>
      </c>
      <c r="G753" s="41">
        <f t="shared" si="80"/>
        <v>4</v>
      </c>
      <c r="H753">
        <v>12</v>
      </c>
      <c r="I753" s="131">
        <f>INDEX('Base de données Mono'!K:K,MATCH(B753,'Base de données Mono'!D:D,0))</f>
        <v>0.27083333333333331</v>
      </c>
      <c r="J753" s="131">
        <f>INDEX('Base de données Mono'!L:L,MATCH(B753,'Base de données Mono'!D:D,0))</f>
        <v>0.77083333333333337</v>
      </c>
      <c r="K753" s="131" t="str">
        <f>INDEX('Base de données Mono'!M:M,MATCH(B753,'Base de données Mono'!D:D,0))</f>
        <v>-</v>
      </c>
      <c r="L753" s="131" t="str">
        <f>INDEX('Base de données Mono'!N:N,MATCH(B753,'Base de données Mono'!D:D,0))</f>
        <v>-</v>
      </c>
      <c r="M753" s="33" t="s">
        <v>46</v>
      </c>
      <c r="N753" s="33">
        <f>IF(AND(E753="Electricité",M753="Hiver"),INDEX('Base de données Mono'!E:E,MATCH(B753,'Base de données Mono'!D:D,0)),IF(AND(E753="Electricité",M753="Mi-saison"),INDEX('Base de données Mono'!F:F,MATCH(B753,'Base de données Mono'!D:D,0)),IF(AND(E753="Electricité",M753="Eté"),INDEX('Base de données Mono'!G:G,MATCH(B753,'Base de données Mono'!D:D,0)),IF(AND(E753="Gaz",M753="Hiver"),INDEX('Base de données Mono'!J:J,MATCH(B753,'Base de données Mono'!D:D,0)),IF(AND(E753="Gaz",M753="Mi-saison"),INDEX('Base de données Mono'!#REF!,MATCH(B753,'Base de données Mono'!D:D,0)),IF(AND(E753="Gaz",M753="Eté"),INDEX('Base de données Mono'!#REF!,MATCH(B753,'Base de données Mono'!D:D,0)),"-"))))))</f>
        <v>10</v>
      </c>
      <c r="O753" s="123">
        <v>45387</v>
      </c>
      <c r="P753" s="123">
        <v>45388</v>
      </c>
      <c r="Q753" s="34">
        <v>20</v>
      </c>
      <c r="R753" s="33">
        <f t="shared" si="81"/>
        <v>10</v>
      </c>
      <c r="S753" s="34">
        <v>1</v>
      </c>
      <c r="T753" s="34">
        <f t="shared" si="82"/>
        <v>1</v>
      </c>
      <c r="U753" s="33">
        <f t="shared" si="83"/>
        <v>10</v>
      </c>
      <c r="V753" s="38" t="s">
        <v>827</v>
      </c>
      <c r="W753" s="39">
        <f t="shared" si="84"/>
        <v>1</v>
      </c>
      <c r="X753" s="40" t="s">
        <v>304</v>
      </c>
      <c r="Y753" s="40" t="s">
        <v>283</v>
      </c>
      <c r="Z753" s="40" t="s">
        <v>749</v>
      </c>
      <c r="AA753" s="33" t="s">
        <v>749</v>
      </c>
      <c r="AB753" s="95"/>
      <c r="AC753" s="95"/>
    </row>
    <row r="754" spans="1:29" ht="14.45" hidden="1" customHeight="1" x14ac:dyDescent="0.25">
      <c r="A754" s="36" t="str">
        <f>INDEX('Base de données Mono'!C:C,MATCH(B754,'Base de données Mono'!D:D,0))</f>
        <v>BAGNERES DE BIGORRE</v>
      </c>
      <c r="B754" t="s">
        <v>73</v>
      </c>
      <c r="C754" s="36" t="str">
        <f>INDEX('Base de données Mono'!B:B,MATCH(B754,'Base de données Mono'!D:D,0))</f>
        <v>Monoprix</v>
      </c>
      <c r="D754" s="36" t="str">
        <f>INDEX('Base de données Mono'!A:A,MATCH(B754,'Base de données Mono'!D:D,0))</f>
        <v>AD</v>
      </c>
      <c r="E754" s="37" t="s">
        <v>303</v>
      </c>
      <c r="F754" s="41">
        <f t="shared" si="79"/>
        <v>14</v>
      </c>
      <c r="G754" s="41">
        <f t="shared" si="80"/>
        <v>4</v>
      </c>
      <c r="H754">
        <v>12</v>
      </c>
      <c r="I754" s="131">
        <f>INDEX('Base de données Mono'!K:K,MATCH(B754,'Base de données Mono'!D:D,0))</f>
        <v>0.27083333333333331</v>
      </c>
      <c r="J754" s="131">
        <f>INDEX('Base de données Mono'!L:L,MATCH(B754,'Base de données Mono'!D:D,0))</f>
        <v>0.77083333333333337</v>
      </c>
      <c r="K754" s="131" t="str">
        <f>INDEX('Base de données Mono'!M:M,MATCH(B754,'Base de données Mono'!D:D,0))</f>
        <v>-</v>
      </c>
      <c r="L754" s="131" t="str">
        <f>INDEX('Base de données Mono'!N:N,MATCH(B754,'Base de données Mono'!D:D,0))</f>
        <v>-</v>
      </c>
      <c r="M754" s="33" t="s">
        <v>46</v>
      </c>
      <c r="N754" s="33">
        <f>IF(AND(E754="Electricité",M754="Hiver"),INDEX('Base de données Mono'!E:E,MATCH(B754,'Base de données Mono'!D:D,0)),IF(AND(E754="Electricité",M754="Mi-saison"),INDEX('Base de données Mono'!F:F,MATCH(B754,'Base de données Mono'!D:D,0)),IF(AND(E754="Electricité",M754="Eté"),INDEX('Base de données Mono'!G:G,MATCH(B754,'Base de données Mono'!D:D,0)),IF(AND(E754="Gaz",M754="Hiver"),INDEX('Base de données Mono'!J:J,MATCH(B754,'Base de données Mono'!D:D,0)),IF(AND(E754="Gaz",M754="Mi-saison"),INDEX('Base de données Mono'!#REF!,MATCH(B754,'Base de données Mono'!D:D,0)),IF(AND(E754="Gaz",M754="Eté"),INDEX('Base de données Mono'!#REF!,MATCH(B754,'Base de données Mono'!D:D,0)),"-"))))))</f>
        <v>10</v>
      </c>
      <c r="O754" s="123">
        <v>45388</v>
      </c>
      <c r="P754" s="123">
        <v>45389</v>
      </c>
      <c r="Q754" s="34">
        <v>20</v>
      </c>
      <c r="R754" s="33">
        <f t="shared" si="81"/>
        <v>10</v>
      </c>
      <c r="S754" s="34">
        <v>1</v>
      </c>
      <c r="T754" s="34">
        <f t="shared" si="82"/>
        <v>1</v>
      </c>
      <c r="U754" s="33">
        <f t="shared" si="83"/>
        <v>10</v>
      </c>
      <c r="V754" s="38" t="s">
        <v>827</v>
      </c>
      <c r="W754" s="39">
        <f t="shared" si="84"/>
        <v>1</v>
      </c>
      <c r="X754" s="40" t="s">
        <v>304</v>
      </c>
      <c r="Y754" s="40" t="s">
        <v>283</v>
      </c>
      <c r="Z754" s="40" t="s">
        <v>749</v>
      </c>
      <c r="AA754" s="33" t="s">
        <v>749</v>
      </c>
      <c r="AB754" s="95"/>
      <c r="AC754" s="95"/>
    </row>
    <row r="755" spans="1:29" ht="14.45" hidden="1" customHeight="1" x14ac:dyDescent="0.25">
      <c r="A755" s="36" t="str">
        <f>INDEX('Base de données Mono'!C:C,MATCH(B755,'Base de données Mono'!D:D,0))</f>
        <v>BELFORT</v>
      </c>
      <c r="B755" t="s">
        <v>75</v>
      </c>
      <c r="C755" s="36" t="str">
        <f>INDEX('Base de données Mono'!B:B,MATCH(B755,'Base de données Mono'!D:D,0))</f>
        <v>Monoprix</v>
      </c>
      <c r="D755" s="36" t="str">
        <f>INDEX('Base de données Mono'!A:A,MATCH(B755,'Base de données Mono'!D:D,0))</f>
        <v>JG</v>
      </c>
      <c r="E755" s="37" t="s">
        <v>303</v>
      </c>
      <c r="F755" s="41">
        <f t="shared" si="79"/>
        <v>14</v>
      </c>
      <c r="G755" s="41">
        <f t="shared" si="80"/>
        <v>4</v>
      </c>
      <c r="H755">
        <v>8.5</v>
      </c>
      <c r="I755" s="131">
        <f>INDEX('Base de données Mono'!K:K,MATCH(B755,'Base de données Mono'!D:D,0))</f>
        <v>0.1875</v>
      </c>
      <c r="J755" s="131">
        <f>INDEX('Base de données Mono'!L:L,MATCH(B755,'Base de données Mono'!D:D,0))</f>
        <v>0.83333333333333304</v>
      </c>
      <c r="K755" s="131">
        <f>INDEX('Base de données Mono'!M:M,MATCH(B755,'Base de données Mono'!D:D,0))</f>
        <v>0.20833333333333334</v>
      </c>
      <c r="L755" s="131">
        <f>INDEX('Base de données Mono'!N:N,MATCH(B755,'Base de données Mono'!D:D,0))</f>
        <v>0.5625</v>
      </c>
      <c r="M755" s="33" t="s">
        <v>46</v>
      </c>
      <c r="N755" s="33">
        <f>IF(AND(E755="Electricité",M755="Hiver"),INDEX('Base de données Mono'!E:E,MATCH(B755,'Base de données Mono'!D:D,0)),IF(AND(E755="Electricité",M755="Mi-saison"),INDEX('Base de données Mono'!F:F,MATCH(B755,'Base de données Mono'!D:D,0)),IF(AND(E755="Electricité",M755="Eté"),INDEX('Base de données Mono'!G:G,MATCH(B755,'Base de données Mono'!D:D,0)),IF(AND(E755="Gaz",M755="Hiver"),INDEX('Base de données Mono'!J:J,MATCH(B755,'Base de données Mono'!D:D,0)),IF(AND(E755="Gaz",M755="Mi-saison"),INDEX('Base de données Mono'!#REF!,MATCH(B755,'Base de données Mono'!D:D,0)),IF(AND(E755="Gaz",M755="Eté"),INDEX('Base de données Mono'!#REF!,MATCH(B755,'Base de données Mono'!D:D,0)),"-"))))))</f>
        <v>45</v>
      </c>
      <c r="O755" s="123">
        <v>45383</v>
      </c>
      <c r="P755" s="123">
        <v>45385</v>
      </c>
      <c r="Q755" s="34">
        <v>50</v>
      </c>
      <c r="R755" s="33">
        <f t="shared" si="81"/>
        <v>5</v>
      </c>
      <c r="S755" s="34">
        <v>3</v>
      </c>
      <c r="T755" s="34">
        <f t="shared" si="82"/>
        <v>2</v>
      </c>
      <c r="U755" s="33">
        <f t="shared" si="83"/>
        <v>30</v>
      </c>
      <c r="V755" s="38" t="s">
        <v>827</v>
      </c>
      <c r="W755" s="39">
        <f t="shared" si="84"/>
        <v>0.1111111111111111</v>
      </c>
      <c r="X755" s="40" t="s">
        <v>304</v>
      </c>
      <c r="Y755" s="40" t="s">
        <v>283</v>
      </c>
      <c r="Z755" s="40" t="s">
        <v>749</v>
      </c>
      <c r="AA755" s="33" t="s">
        <v>749</v>
      </c>
      <c r="AB755" s="95"/>
      <c r="AC755" s="95"/>
    </row>
    <row r="756" spans="1:29" ht="14.45" hidden="1" customHeight="1" x14ac:dyDescent="0.25">
      <c r="A756" s="36" t="str">
        <f>INDEX('Base de données Mono'!C:C,MATCH(B756,'Base de données Mono'!D:D,0))</f>
        <v>BELFORT</v>
      </c>
      <c r="B756" t="s">
        <v>75</v>
      </c>
      <c r="C756" s="36" t="str">
        <f>INDEX('Base de données Mono'!B:B,MATCH(B756,'Base de données Mono'!D:D,0))</f>
        <v>Monoprix</v>
      </c>
      <c r="D756" s="36" t="str">
        <f>INDEX('Base de données Mono'!A:A,MATCH(B756,'Base de données Mono'!D:D,0))</f>
        <v>JG</v>
      </c>
      <c r="E756" s="37" t="s">
        <v>303</v>
      </c>
      <c r="F756" s="41">
        <f t="shared" si="79"/>
        <v>14</v>
      </c>
      <c r="G756" s="41">
        <f t="shared" si="80"/>
        <v>4</v>
      </c>
      <c r="H756">
        <v>8.5</v>
      </c>
      <c r="I756" s="131">
        <f>INDEX('Base de données Mono'!K:K,MATCH(B756,'Base de données Mono'!D:D,0))</f>
        <v>0.1875</v>
      </c>
      <c r="J756" s="131">
        <f>INDEX('Base de données Mono'!L:L,MATCH(B756,'Base de données Mono'!D:D,0))</f>
        <v>0.83333333333333304</v>
      </c>
      <c r="K756" s="131">
        <f>INDEX('Base de données Mono'!M:M,MATCH(B756,'Base de données Mono'!D:D,0))</f>
        <v>0.20833333333333334</v>
      </c>
      <c r="L756" s="131">
        <f>INDEX('Base de données Mono'!N:N,MATCH(B756,'Base de données Mono'!D:D,0))</f>
        <v>0.5625</v>
      </c>
      <c r="M756" s="33" t="s">
        <v>46</v>
      </c>
      <c r="N756" s="33">
        <f>IF(AND(E756="Electricité",M756="Hiver"),INDEX('Base de données Mono'!E:E,MATCH(B756,'Base de données Mono'!D:D,0)),IF(AND(E756="Electricité",M756="Mi-saison"),INDEX('Base de données Mono'!F:F,MATCH(B756,'Base de données Mono'!D:D,0)),IF(AND(E756="Electricité",M756="Eté"),INDEX('Base de données Mono'!G:G,MATCH(B756,'Base de données Mono'!D:D,0)),IF(AND(E756="Gaz",M756="Hiver"),INDEX('Base de données Mono'!J:J,MATCH(B756,'Base de données Mono'!D:D,0)),IF(AND(E756="Gaz",M756="Mi-saison"),INDEX('Base de données Mono'!#REF!,MATCH(B756,'Base de données Mono'!D:D,0)),IF(AND(E756="Gaz",M756="Eté"),INDEX('Base de données Mono'!#REF!,MATCH(B756,'Base de données Mono'!D:D,0)),"-"))))))</f>
        <v>45</v>
      </c>
      <c r="O756" s="123">
        <v>45384</v>
      </c>
      <c r="P756" s="123">
        <v>45385</v>
      </c>
      <c r="Q756" s="34">
        <v>50</v>
      </c>
      <c r="R756" s="33">
        <f t="shared" si="81"/>
        <v>5</v>
      </c>
      <c r="S756" s="34">
        <v>6</v>
      </c>
      <c r="T756" s="34">
        <f t="shared" si="82"/>
        <v>1</v>
      </c>
      <c r="U756" s="33">
        <f t="shared" si="83"/>
        <v>30</v>
      </c>
      <c r="V756" s="38" t="s">
        <v>827</v>
      </c>
      <c r="W756" s="39">
        <f t="shared" si="84"/>
        <v>0.1111111111111111</v>
      </c>
      <c r="X756" s="40" t="s">
        <v>304</v>
      </c>
      <c r="Y756" s="40" t="s">
        <v>283</v>
      </c>
      <c r="Z756" s="40" t="s">
        <v>749</v>
      </c>
      <c r="AA756" s="33" t="s">
        <v>749</v>
      </c>
      <c r="AB756" s="95"/>
      <c r="AC756" s="95"/>
    </row>
    <row r="757" spans="1:29" ht="14.45" hidden="1" customHeight="1" x14ac:dyDescent="0.25">
      <c r="A757" s="36" t="str">
        <f>INDEX('Base de données Mono'!C:C,MATCH(B757,'Base de données Mono'!D:D,0))</f>
        <v>ORDENER</v>
      </c>
      <c r="B757" t="s">
        <v>365</v>
      </c>
      <c r="C757" s="36" t="str">
        <f>INDEX('Base de données Mono'!B:B,MATCH(B757,'Base de données Mono'!D:D,0))</f>
        <v>Monoprix</v>
      </c>
      <c r="D757" s="36" t="str">
        <f>INDEX('Base de données Mono'!A:A,MATCH(B757,'Base de données Mono'!D:D,0))</f>
        <v>AD</v>
      </c>
      <c r="E757" s="37" t="s">
        <v>303</v>
      </c>
      <c r="F757" s="41">
        <f t="shared" ref="F757:F815" si="85">IF(O757="","-",IF(AND(X757="Nuit",WEEKDAY(O757,2)=7,O757&lt;&gt;P757),WEEKNUM(O757,2),WEEKNUM(O757,2)-1))+1</f>
        <v>14</v>
      </c>
      <c r="G757" s="41">
        <f t="shared" ref="G757:G815" si="86">IF(O757="","-",MONTH(O757))</f>
        <v>4</v>
      </c>
      <c r="H757">
        <v>8</v>
      </c>
      <c r="I757" s="131">
        <f>INDEX('Base de données Mono'!K:K,MATCH(B757,'Base de données Mono'!D:D,0))</f>
        <v>0.25</v>
      </c>
      <c r="J757" s="131">
        <f>INDEX('Base de données Mono'!L:L,MATCH(B757,'Base de données Mono'!D:D,0))</f>
        <v>0.91666666666666663</v>
      </c>
      <c r="K757" s="131">
        <f>INDEX('Base de données Mono'!M:M,MATCH(B757,'Base de données Mono'!D:D,0))</f>
        <v>0.27083333333333331</v>
      </c>
      <c r="L757" s="131">
        <f>INDEX('Base de données Mono'!N:N,MATCH(B757,'Base de données Mono'!D:D,0))</f>
        <v>0.85416666666666663</v>
      </c>
      <c r="M757" s="33" t="s">
        <v>46</v>
      </c>
      <c r="N757" s="33">
        <f>IF(AND(E757="Electricité",M757="Hiver"),INDEX('Base de données Mono'!E:E,MATCH(B757,'Base de données Mono'!D:D,0)),IF(AND(E757="Electricité",M757="Mi-saison"),INDEX('Base de données Mono'!F:F,MATCH(B757,'Base de données Mono'!D:D,0)),IF(AND(E757="Electricité",M757="Eté"),INDEX('Base de données Mono'!G:G,MATCH(B757,'Base de données Mono'!D:D,0)),IF(AND(E757="Gaz",M757="Hiver"),INDEX('Base de données Mono'!J:J,MATCH(B757,'Base de données Mono'!D:D,0)),IF(AND(E757="Gaz",M757="Mi-saison"),INDEX('Base de données Mono'!#REF!,MATCH(B757,'Base de données Mono'!D:D,0)),IF(AND(E757="Gaz",M757="Eté"),INDEX('Base de données Mono'!#REF!,MATCH(B757,'Base de données Mono'!D:D,0)),"-"))))))</f>
        <v>55</v>
      </c>
      <c r="O757" s="123">
        <v>45383</v>
      </c>
      <c r="P757" s="123">
        <v>45384</v>
      </c>
      <c r="Q757" s="34">
        <v>60</v>
      </c>
      <c r="R757" s="33">
        <f t="shared" ref="R757:R815" si="87">IF(Q757="","",Q757-N757)</f>
        <v>5</v>
      </c>
      <c r="S757" s="34">
        <v>2</v>
      </c>
      <c r="T757" s="34">
        <f t="shared" ref="T757:T815" si="88">P757-O757</f>
        <v>1</v>
      </c>
      <c r="U757" s="33">
        <f t="shared" ref="U757:U815" si="89">R757*S757*T757</f>
        <v>10</v>
      </c>
      <c r="V757" s="38" t="s">
        <v>827</v>
      </c>
      <c r="W757" s="39">
        <f t="shared" ref="W757:W815" si="90">IFERROR(IF(E757="Gaz","-",R757/N757),"-")</f>
        <v>9.0909090909090912E-2</v>
      </c>
      <c r="X757" s="40" t="s">
        <v>304</v>
      </c>
      <c r="Y757" s="40" t="s">
        <v>283</v>
      </c>
      <c r="Z757" s="40" t="s">
        <v>749</v>
      </c>
      <c r="AA757" s="33" t="s">
        <v>749</v>
      </c>
      <c r="AB757" s="95"/>
      <c r="AC757" s="95"/>
    </row>
    <row r="758" spans="1:29" ht="14.45" hidden="1" customHeight="1" x14ac:dyDescent="0.25">
      <c r="A758" s="36" t="str">
        <f>INDEX('Base de données Mono'!C:C,MATCH(B758,'Base de données Mono'!D:D,0))</f>
        <v>ORDENER</v>
      </c>
      <c r="B758" t="s">
        <v>365</v>
      </c>
      <c r="C758" s="36" t="str">
        <f>INDEX('Base de données Mono'!B:B,MATCH(B758,'Base de données Mono'!D:D,0))</f>
        <v>Monoprix</v>
      </c>
      <c r="D758" s="36" t="str">
        <f>INDEX('Base de données Mono'!A:A,MATCH(B758,'Base de données Mono'!D:D,0))</f>
        <v>AD</v>
      </c>
      <c r="E758" s="37" t="s">
        <v>303</v>
      </c>
      <c r="F758" s="41">
        <f t="shared" si="85"/>
        <v>14</v>
      </c>
      <c r="G758" s="41">
        <f t="shared" si="86"/>
        <v>4</v>
      </c>
      <c r="H758">
        <v>8</v>
      </c>
      <c r="I758" s="131">
        <f>INDEX('Base de données Mono'!K:K,MATCH(B758,'Base de données Mono'!D:D,0))</f>
        <v>0.25</v>
      </c>
      <c r="J758" s="131">
        <f>INDEX('Base de données Mono'!L:L,MATCH(B758,'Base de données Mono'!D:D,0))</f>
        <v>0.91666666666666663</v>
      </c>
      <c r="K758" s="131">
        <f>INDEX('Base de données Mono'!M:M,MATCH(B758,'Base de données Mono'!D:D,0))</f>
        <v>0.27083333333333331</v>
      </c>
      <c r="L758" s="131">
        <f>INDEX('Base de données Mono'!N:N,MATCH(B758,'Base de données Mono'!D:D,0))</f>
        <v>0.85416666666666663</v>
      </c>
      <c r="M758" s="33" t="s">
        <v>46</v>
      </c>
      <c r="N758" s="33">
        <f>IF(AND(E758="Electricité",M758="Hiver"),INDEX('Base de données Mono'!E:E,MATCH(B758,'Base de données Mono'!D:D,0)),IF(AND(E758="Electricité",M758="Mi-saison"),INDEX('Base de données Mono'!F:F,MATCH(B758,'Base de données Mono'!D:D,0)),IF(AND(E758="Electricité",M758="Eté"),INDEX('Base de données Mono'!G:G,MATCH(B758,'Base de données Mono'!D:D,0)),IF(AND(E758="Gaz",M758="Hiver"),INDEX('Base de données Mono'!J:J,MATCH(B758,'Base de données Mono'!D:D,0)),IF(AND(E758="Gaz",M758="Mi-saison"),INDEX('Base de données Mono'!#REF!,MATCH(B758,'Base de données Mono'!D:D,0)),IF(AND(E758="Gaz",M758="Eté"),INDEX('Base de données Mono'!#REF!,MATCH(B758,'Base de données Mono'!D:D,0)),"-"))))))</f>
        <v>55</v>
      </c>
      <c r="O758" s="123">
        <v>45383</v>
      </c>
      <c r="P758" s="123">
        <v>45384</v>
      </c>
      <c r="Q758" s="34">
        <v>85</v>
      </c>
      <c r="R758" s="33">
        <f t="shared" si="87"/>
        <v>30</v>
      </c>
      <c r="S758" s="34">
        <v>4</v>
      </c>
      <c r="T758" s="34">
        <f t="shared" si="88"/>
        <v>1</v>
      </c>
      <c r="U758" s="33">
        <f t="shared" si="89"/>
        <v>120</v>
      </c>
      <c r="V758" s="38" t="s">
        <v>827</v>
      </c>
      <c r="W758" s="39">
        <f t="shared" si="90"/>
        <v>0.54545454545454541</v>
      </c>
      <c r="X758" s="40" t="s">
        <v>304</v>
      </c>
      <c r="Y758" s="40" t="s">
        <v>283</v>
      </c>
      <c r="Z758" s="40" t="s">
        <v>749</v>
      </c>
      <c r="AA758" s="33" t="s">
        <v>749</v>
      </c>
      <c r="AB758" s="95"/>
      <c r="AC758" s="95"/>
    </row>
    <row r="759" spans="1:29" ht="14.45" hidden="1" customHeight="1" x14ac:dyDescent="0.25">
      <c r="A759" s="36" t="str">
        <f>INDEX('Base de données Mono'!C:C,MATCH(B759,'Base de données Mono'!D:D,0))</f>
        <v>ORDENER</v>
      </c>
      <c r="B759" t="s">
        <v>365</v>
      </c>
      <c r="C759" s="36" t="str">
        <f>INDEX('Base de données Mono'!B:B,MATCH(B759,'Base de données Mono'!D:D,0))</f>
        <v>Monoprix</v>
      </c>
      <c r="D759" s="36" t="str">
        <f>INDEX('Base de données Mono'!A:A,MATCH(B759,'Base de données Mono'!D:D,0))</f>
        <v>AD</v>
      </c>
      <c r="E759" s="37" t="s">
        <v>303</v>
      </c>
      <c r="F759" s="41">
        <f t="shared" si="85"/>
        <v>14</v>
      </c>
      <c r="G759" s="41">
        <f t="shared" si="86"/>
        <v>4</v>
      </c>
      <c r="H759">
        <v>8</v>
      </c>
      <c r="I759" s="131">
        <f>INDEX('Base de données Mono'!K:K,MATCH(B759,'Base de données Mono'!D:D,0))</f>
        <v>0.25</v>
      </c>
      <c r="J759" s="131">
        <f>INDEX('Base de données Mono'!L:L,MATCH(B759,'Base de données Mono'!D:D,0))</f>
        <v>0.91666666666666663</v>
      </c>
      <c r="K759" s="131">
        <f>INDEX('Base de données Mono'!M:M,MATCH(B759,'Base de données Mono'!D:D,0))</f>
        <v>0.27083333333333331</v>
      </c>
      <c r="L759" s="131">
        <f>INDEX('Base de données Mono'!N:N,MATCH(B759,'Base de données Mono'!D:D,0))</f>
        <v>0.85416666666666663</v>
      </c>
      <c r="M759" s="33" t="s">
        <v>46</v>
      </c>
      <c r="N759" s="33">
        <f>IF(AND(E759="Electricité",M759="Hiver"),INDEX('Base de données Mono'!E:E,MATCH(B759,'Base de données Mono'!D:D,0)),IF(AND(E759="Electricité",M759="Mi-saison"),INDEX('Base de données Mono'!F:F,MATCH(B759,'Base de données Mono'!D:D,0)),IF(AND(E759="Electricité",M759="Eté"),INDEX('Base de données Mono'!G:G,MATCH(B759,'Base de données Mono'!D:D,0)),IF(AND(E759="Gaz",M759="Hiver"),INDEX('Base de données Mono'!J:J,MATCH(B759,'Base de données Mono'!D:D,0)),IF(AND(E759="Gaz",M759="Mi-saison"),INDEX('Base de données Mono'!#REF!,MATCH(B759,'Base de données Mono'!D:D,0)),IF(AND(E759="Gaz",M759="Eté"),INDEX('Base de données Mono'!#REF!,MATCH(B759,'Base de données Mono'!D:D,0)),"-"))))))</f>
        <v>55</v>
      </c>
      <c r="O759" s="123">
        <v>45384</v>
      </c>
      <c r="P759" s="123">
        <v>45386</v>
      </c>
      <c r="Q759" s="34">
        <v>90</v>
      </c>
      <c r="R759" s="33">
        <f t="shared" si="87"/>
        <v>35</v>
      </c>
      <c r="S759" s="34">
        <v>8</v>
      </c>
      <c r="T759" s="34">
        <f t="shared" si="88"/>
        <v>2</v>
      </c>
      <c r="U759" s="33">
        <f t="shared" si="89"/>
        <v>560</v>
      </c>
      <c r="V759" s="38" t="s">
        <v>827</v>
      </c>
      <c r="W759" s="39">
        <f t="shared" si="90"/>
        <v>0.63636363636363635</v>
      </c>
      <c r="X759" s="40" t="s">
        <v>304</v>
      </c>
      <c r="Y759" s="40" t="s">
        <v>283</v>
      </c>
      <c r="Z759" s="40" t="s">
        <v>749</v>
      </c>
      <c r="AA759" s="33" t="s">
        <v>749</v>
      </c>
      <c r="AB759" s="95"/>
      <c r="AC759" s="95"/>
    </row>
    <row r="760" spans="1:29" ht="14.45" hidden="1" customHeight="1" x14ac:dyDescent="0.25">
      <c r="A760" s="36" t="str">
        <f>INDEX('Base de données Mono'!C:C,MATCH(B760,'Base de données Mono'!D:D,0))</f>
        <v>ORDENER</v>
      </c>
      <c r="B760" t="s">
        <v>365</v>
      </c>
      <c r="C760" s="36" t="str">
        <f>INDEX('Base de données Mono'!B:B,MATCH(B760,'Base de données Mono'!D:D,0))</f>
        <v>Monoprix</v>
      </c>
      <c r="D760" s="36" t="str">
        <f>INDEX('Base de données Mono'!A:A,MATCH(B760,'Base de données Mono'!D:D,0))</f>
        <v>AD</v>
      </c>
      <c r="E760" s="37" t="s">
        <v>303</v>
      </c>
      <c r="F760" s="41">
        <f t="shared" si="85"/>
        <v>14</v>
      </c>
      <c r="G760" s="41">
        <f t="shared" si="86"/>
        <v>4</v>
      </c>
      <c r="H760">
        <v>8</v>
      </c>
      <c r="I760" s="131">
        <f>INDEX('Base de données Mono'!K:K,MATCH(B760,'Base de données Mono'!D:D,0))</f>
        <v>0.25</v>
      </c>
      <c r="J760" s="131">
        <f>INDEX('Base de données Mono'!L:L,MATCH(B760,'Base de données Mono'!D:D,0))</f>
        <v>0.91666666666666663</v>
      </c>
      <c r="K760" s="131">
        <f>INDEX('Base de données Mono'!M:M,MATCH(B760,'Base de données Mono'!D:D,0))</f>
        <v>0.27083333333333331</v>
      </c>
      <c r="L760" s="131">
        <f>INDEX('Base de données Mono'!N:N,MATCH(B760,'Base de données Mono'!D:D,0))</f>
        <v>0.85416666666666663</v>
      </c>
      <c r="M760" s="33" t="s">
        <v>46</v>
      </c>
      <c r="N760" s="33">
        <f>IF(AND(E760="Electricité",M760="Hiver"),INDEX('Base de données Mono'!E:E,MATCH(B760,'Base de données Mono'!D:D,0)),IF(AND(E760="Electricité",M760="Mi-saison"),INDEX('Base de données Mono'!F:F,MATCH(B760,'Base de données Mono'!D:D,0)),IF(AND(E760="Electricité",M760="Eté"),INDEX('Base de données Mono'!G:G,MATCH(B760,'Base de données Mono'!D:D,0)),IF(AND(E760="Gaz",M760="Hiver"),INDEX('Base de données Mono'!J:J,MATCH(B760,'Base de données Mono'!D:D,0)),IF(AND(E760="Gaz",M760="Mi-saison"),INDEX('Base de données Mono'!#REF!,MATCH(B760,'Base de données Mono'!D:D,0)),IF(AND(E760="Gaz",M760="Eté"),INDEX('Base de données Mono'!#REF!,MATCH(B760,'Base de données Mono'!D:D,0)),"-"))))))</f>
        <v>55</v>
      </c>
      <c r="O760" s="123">
        <v>45386</v>
      </c>
      <c r="P760" s="123">
        <v>45387</v>
      </c>
      <c r="Q760" s="34">
        <v>75</v>
      </c>
      <c r="R760" s="33">
        <f t="shared" si="87"/>
        <v>20</v>
      </c>
      <c r="S760" s="34">
        <v>1</v>
      </c>
      <c r="T760" s="34">
        <f t="shared" si="88"/>
        <v>1</v>
      </c>
      <c r="U760" s="33">
        <f t="shared" si="89"/>
        <v>20</v>
      </c>
      <c r="V760" s="38" t="s">
        <v>827</v>
      </c>
      <c r="W760" s="39">
        <f t="shared" si="90"/>
        <v>0.36363636363636365</v>
      </c>
      <c r="X760" s="40" t="s">
        <v>304</v>
      </c>
      <c r="Y760" s="40" t="s">
        <v>283</v>
      </c>
      <c r="Z760" s="40" t="s">
        <v>749</v>
      </c>
      <c r="AA760" s="33" t="s">
        <v>749</v>
      </c>
      <c r="AB760" s="95"/>
      <c r="AC760" s="95"/>
    </row>
    <row r="761" spans="1:29" ht="14.45" hidden="1" customHeight="1" x14ac:dyDescent="0.25">
      <c r="A761" s="36" t="str">
        <f>INDEX('Base de données Mono'!C:C,MATCH(B761,'Base de données Mono'!D:D,0))</f>
        <v>ORDENER</v>
      </c>
      <c r="B761" t="s">
        <v>365</v>
      </c>
      <c r="C761" s="36" t="str">
        <f>INDEX('Base de données Mono'!B:B,MATCH(B761,'Base de données Mono'!D:D,0))</f>
        <v>Monoprix</v>
      </c>
      <c r="D761" s="36" t="str">
        <f>INDEX('Base de données Mono'!A:A,MATCH(B761,'Base de données Mono'!D:D,0))</f>
        <v>AD</v>
      </c>
      <c r="E761" s="37" t="s">
        <v>303</v>
      </c>
      <c r="F761" s="41">
        <f t="shared" si="85"/>
        <v>14</v>
      </c>
      <c r="G761" s="41">
        <f t="shared" si="86"/>
        <v>4</v>
      </c>
      <c r="H761">
        <v>8</v>
      </c>
      <c r="I761" s="131">
        <f>INDEX('Base de données Mono'!K:K,MATCH(B761,'Base de données Mono'!D:D,0))</f>
        <v>0.25</v>
      </c>
      <c r="J761" s="131">
        <f>INDEX('Base de données Mono'!L:L,MATCH(B761,'Base de données Mono'!D:D,0))</f>
        <v>0.91666666666666663</v>
      </c>
      <c r="K761" s="131">
        <f>INDEX('Base de données Mono'!M:M,MATCH(B761,'Base de données Mono'!D:D,0))</f>
        <v>0.27083333333333331</v>
      </c>
      <c r="L761" s="131">
        <f>INDEX('Base de données Mono'!N:N,MATCH(B761,'Base de données Mono'!D:D,0))</f>
        <v>0.85416666666666663</v>
      </c>
      <c r="M761" s="33" t="s">
        <v>46</v>
      </c>
      <c r="N761" s="33">
        <f>IF(AND(E761="Electricité",M761="Hiver"),INDEX('Base de données Mono'!E:E,MATCH(B761,'Base de données Mono'!D:D,0)),IF(AND(E761="Electricité",M761="Mi-saison"),INDEX('Base de données Mono'!F:F,MATCH(B761,'Base de données Mono'!D:D,0)),IF(AND(E761="Electricité",M761="Eté"),INDEX('Base de données Mono'!G:G,MATCH(B761,'Base de données Mono'!D:D,0)),IF(AND(E761="Gaz",M761="Hiver"),INDEX('Base de données Mono'!J:J,MATCH(B761,'Base de données Mono'!D:D,0)),IF(AND(E761="Gaz",M761="Mi-saison"),INDEX('Base de données Mono'!#REF!,MATCH(B761,'Base de données Mono'!D:D,0)),IF(AND(E761="Gaz",M761="Eté"),INDEX('Base de données Mono'!#REF!,MATCH(B761,'Base de données Mono'!D:D,0)),"-"))))))</f>
        <v>55</v>
      </c>
      <c r="O761" s="123">
        <v>45386</v>
      </c>
      <c r="P761" s="123">
        <v>45387</v>
      </c>
      <c r="Q761" s="34">
        <v>95</v>
      </c>
      <c r="R761" s="33">
        <f t="shared" si="87"/>
        <v>40</v>
      </c>
      <c r="S761" s="34">
        <v>7</v>
      </c>
      <c r="T761" s="34">
        <f t="shared" si="88"/>
        <v>1</v>
      </c>
      <c r="U761" s="33">
        <f t="shared" si="89"/>
        <v>280</v>
      </c>
      <c r="V761" s="38" t="s">
        <v>827</v>
      </c>
      <c r="W761" s="39">
        <f t="shared" si="90"/>
        <v>0.72727272727272729</v>
      </c>
      <c r="X761" s="40" t="s">
        <v>304</v>
      </c>
      <c r="Y761" s="40" t="s">
        <v>283</v>
      </c>
      <c r="Z761" s="40" t="s">
        <v>749</v>
      </c>
      <c r="AA761" s="33" t="s">
        <v>749</v>
      </c>
      <c r="AB761" s="95"/>
      <c r="AC761" s="95"/>
    </row>
    <row r="762" spans="1:29" ht="14.45" hidden="1" customHeight="1" x14ac:dyDescent="0.25">
      <c r="A762" s="36" t="str">
        <f>INDEX('Base de données Mono'!C:C,MATCH(B762,'Base de données Mono'!D:D,0))</f>
        <v>ORDENER</v>
      </c>
      <c r="B762" t="s">
        <v>365</v>
      </c>
      <c r="C762" s="36" t="str">
        <f>INDEX('Base de données Mono'!B:B,MATCH(B762,'Base de données Mono'!D:D,0))</f>
        <v>Monoprix</v>
      </c>
      <c r="D762" s="36" t="str">
        <f>INDEX('Base de données Mono'!A:A,MATCH(B762,'Base de données Mono'!D:D,0))</f>
        <v>AD</v>
      </c>
      <c r="E762" s="37" t="s">
        <v>303</v>
      </c>
      <c r="F762" s="41">
        <f t="shared" si="85"/>
        <v>14</v>
      </c>
      <c r="G762" s="41">
        <f t="shared" si="86"/>
        <v>4</v>
      </c>
      <c r="H762">
        <v>8</v>
      </c>
      <c r="I762" s="131">
        <f>INDEX('Base de données Mono'!K:K,MATCH(B762,'Base de données Mono'!D:D,0))</f>
        <v>0.25</v>
      </c>
      <c r="J762" s="131">
        <f>INDEX('Base de données Mono'!L:L,MATCH(B762,'Base de données Mono'!D:D,0))</f>
        <v>0.91666666666666663</v>
      </c>
      <c r="K762" s="131">
        <f>INDEX('Base de données Mono'!M:M,MATCH(B762,'Base de données Mono'!D:D,0))</f>
        <v>0.27083333333333331</v>
      </c>
      <c r="L762" s="131">
        <f>INDEX('Base de données Mono'!N:N,MATCH(B762,'Base de données Mono'!D:D,0))</f>
        <v>0.85416666666666663</v>
      </c>
      <c r="M762" s="33" t="s">
        <v>46</v>
      </c>
      <c r="N762" s="33">
        <f>IF(AND(E762="Electricité",M762="Hiver"),INDEX('Base de données Mono'!E:E,MATCH(B762,'Base de données Mono'!D:D,0)),IF(AND(E762="Electricité",M762="Mi-saison"),INDEX('Base de données Mono'!F:F,MATCH(B762,'Base de données Mono'!D:D,0)),IF(AND(E762="Electricité",M762="Eté"),INDEX('Base de données Mono'!G:G,MATCH(B762,'Base de données Mono'!D:D,0)),IF(AND(E762="Gaz",M762="Hiver"),INDEX('Base de données Mono'!J:J,MATCH(B762,'Base de données Mono'!D:D,0)),IF(AND(E762="Gaz",M762="Mi-saison"),INDEX('Base de données Mono'!#REF!,MATCH(B762,'Base de données Mono'!D:D,0)),IF(AND(E762="Gaz",M762="Eté"),INDEX('Base de données Mono'!#REF!,MATCH(B762,'Base de données Mono'!D:D,0)),"-"))))))</f>
        <v>55</v>
      </c>
      <c r="O762" s="123">
        <v>45387</v>
      </c>
      <c r="P762" s="123">
        <v>45388</v>
      </c>
      <c r="Q762" s="34">
        <v>65</v>
      </c>
      <c r="R762" s="33">
        <f t="shared" si="87"/>
        <v>10</v>
      </c>
      <c r="S762" s="34">
        <v>3</v>
      </c>
      <c r="T762" s="34">
        <f t="shared" si="88"/>
        <v>1</v>
      </c>
      <c r="U762" s="33">
        <f t="shared" si="89"/>
        <v>30</v>
      </c>
      <c r="V762" s="38" t="s">
        <v>827</v>
      </c>
      <c r="W762" s="39">
        <f t="shared" si="90"/>
        <v>0.18181818181818182</v>
      </c>
      <c r="X762" s="40" t="s">
        <v>304</v>
      </c>
      <c r="Y762" s="40" t="s">
        <v>283</v>
      </c>
      <c r="Z762" s="40" t="s">
        <v>749</v>
      </c>
      <c r="AA762" s="33" t="s">
        <v>749</v>
      </c>
      <c r="AB762" s="95"/>
      <c r="AC762" s="95"/>
    </row>
    <row r="763" spans="1:29" ht="14.45" hidden="1" customHeight="1" x14ac:dyDescent="0.25">
      <c r="A763" s="36" t="str">
        <f>INDEX('Base de données Mono'!C:C,MATCH(B763,'Base de données Mono'!D:D,0))</f>
        <v>ORDENER</v>
      </c>
      <c r="B763" t="s">
        <v>365</v>
      </c>
      <c r="C763" s="36" t="str">
        <f>INDEX('Base de données Mono'!B:B,MATCH(B763,'Base de données Mono'!D:D,0))</f>
        <v>Monoprix</v>
      </c>
      <c r="D763" s="36" t="str">
        <f>INDEX('Base de données Mono'!A:A,MATCH(B763,'Base de données Mono'!D:D,0))</f>
        <v>AD</v>
      </c>
      <c r="E763" s="37" t="s">
        <v>303</v>
      </c>
      <c r="F763" s="41">
        <f t="shared" si="85"/>
        <v>14</v>
      </c>
      <c r="G763" s="41">
        <f t="shared" si="86"/>
        <v>4</v>
      </c>
      <c r="H763">
        <v>8</v>
      </c>
      <c r="I763" s="131">
        <f>INDEX('Base de données Mono'!K:K,MATCH(B763,'Base de données Mono'!D:D,0))</f>
        <v>0.25</v>
      </c>
      <c r="J763" s="131">
        <f>INDEX('Base de données Mono'!L:L,MATCH(B763,'Base de données Mono'!D:D,0))</f>
        <v>0.91666666666666663</v>
      </c>
      <c r="K763" s="131">
        <f>INDEX('Base de données Mono'!M:M,MATCH(B763,'Base de données Mono'!D:D,0))</f>
        <v>0.27083333333333331</v>
      </c>
      <c r="L763" s="131">
        <f>INDEX('Base de données Mono'!N:N,MATCH(B763,'Base de données Mono'!D:D,0))</f>
        <v>0.85416666666666663</v>
      </c>
      <c r="M763" s="33" t="s">
        <v>46</v>
      </c>
      <c r="N763" s="33">
        <f>IF(AND(E763="Electricité",M763="Hiver"),INDEX('Base de données Mono'!E:E,MATCH(B763,'Base de données Mono'!D:D,0)),IF(AND(E763="Electricité",M763="Mi-saison"),INDEX('Base de données Mono'!F:F,MATCH(B763,'Base de données Mono'!D:D,0)),IF(AND(E763="Electricité",M763="Eté"),INDEX('Base de données Mono'!G:G,MATCH(B763,'Base de données Mono'!D:D,0)),IF(AND(E763="Gaz",M763="Hiver"),INDEX('Base de données Mono'!J:J,MATCH(B763,'Base de données Mono'!D:D,0)),IF(AND(E763="Gaz",M763="Mi-saison"),INDEX('Base de données Mono'!#REF!,MATCH(B763,'Base de données Mono'!D:D,0)),IF(AND(E763="Gaz",M763="Eté"),INDEX('Base de données Mono'!#REF!,MATCH(B763,'Base de données Mono'!D:D,0)),"-"))))))</f>
        <v>55</v>
      </c>
      <c r="O763" s="123">
        <v>45387</v>
      </c>
      <c r="P763" s="123">
        <v>45388</v>
      </c>
      <c r="Q763" s="34">
        <v>80</v>
      </c>
      <c r="R763" s="33">
        <f t="shared" si="87"/>
        <v>25</v>
      </c>
      <c r="S763" s="34">
        <v>1</v>
      </c>
      <c r="T763" s="34">
        <f t="shared" si="88"/>
        <v>1</v>
      </c>
      <c r="U763" s="33">
        <f t="shared" si="89"/>
        <v>25</v>
      </c>
      <c r="V763" s="38" t="s">
        <v>827</v>
      </c>
      <c r="W763" s="39">
        <f t="shared" si="90"/>
        <v>0.45454545454545453</v>
      </c>
      <c r="X763" s="40" t="s">
        <v>304</v>
      </c>
      <c r="Y763" s="40" t="s">
        <v>283</v>
      </c>
      <c r="Z763" s="40" t="s">
        <v>749</v>
      </c>
      <c r="AA763" s="33" t="s">
        <v>749</v>
      </c>
      <c r="AB763" s="95"/>
      <c r="AC763" s="95"/>
    </row>
    <row r="764" spans="1:29" ht="14.45" hidden="1" customHeight="1" x14ac:dyDescent="0.25">
      <c r="A764" s="36" t="str">
        <f>INDEX('Base de données Mono'!C:C,MATCH(B764,'Base de données Mono'!D:D,0))</f>
        <v>ORDENER</v>
      </c>
      <c r="B764" t="s">
        <v>365</v>
      </c>
      <c r="C764" s="36" t="str">
        <f>INDEX('Base de données Mono'!B:B,MATCH(B764,'Base de données Mono'!D:D,0))</f>
        <v>Monoprix</v>
      </c>
      <c r="D764" s="36" t="str">
        <f>INDEX('Base de données Mono'!A:A,MATCH(B764,'Base de données Mono'!D:D,0))</f>
        <v>AD</v>
      </c>
      <c r="E764" s="37" t="s">
        <v>303</v>
      </c>
      <c r="F764" s="41">
        <f t="shared" si="85"/>
        <v>14</v>
      </c>
      <c r="G764" s="41">
        <f t="shared" si="86"/>
        <v>4</v>
      </c>
      <c r="H764">
        <v>8</v>
      </c>
      <c r="I764" s="131">
        <f>INDEX('Base de données Mono'!K:K,MATCH(B764,'Base de données Mono'!D:D,0))</f>
        <v>0.25</v>
      </c>
      <c r="J764" s="131">
        <f>INDEX('Base de données Mono'!L:L,MATCH(B764,'Base de données Mono'!D:D,0))</f>
        <v>0.91666666666666663</v>
      </c>
      <c r="K764" s="131">
        <f>INDEX('Base de données Mono'!M:M,MATCH(B764,'Base de données Mono'!D:D,0))</f>
        <v>0.27083333333333331</v>
      </c>
      <c r="L764" s="131">
        <f>INDEX('Base de données Mono'!N:N,MATCH(B764,'Base de données Mono'!D:D,0))</f>
        <v>0.85416666666666663</v>
      </c>
      <c r="M764" s="33" t="s">
        <v>46</v>
      </c>
      <c r="N764" s="33">
        <f>IF(AND(E764="Electricité",M764="Hiver"),INDEX('Base de données Mono'!E:E,MATCH(B764,'Base de données Mono'!D:D,0)),IF(AND(E764="Electricité",M764="Mi-saison"),INDEX('Base de données Mono'!F:F,MATCH(B764,'Base de données Mono'!D:D,0)),IF(AND(E764="Electricité",M764="Eté"),INDEX('Base de données Mono'!G:G,MATCH(B764,'Base de données Mono'!D:D,0)),IF(AND(E764="Gaz",M764="Hiver"),INDEX('Base de données Mono'!J:J,MATCH(B764,'Base de données Mono'!D:D,0)),IF(AND(E764="Gaz",M764="Mi-saison"),INDEX('Base de données Mono'!#REF!,MATCH(B764,'Base de données Mono'!D:D,0)),IF(AND(E764="Gaz",M764="Eté"),INDEX('Base de données Mono'!#REF!,MATCH(B764,'Base de données Mono'!D:D,0)),"-"))))))</f>
        <v>55</v>
      </c>
      <c r="O764" s="123">
        <v>45387</v>
      </c>
      <c r="P764" s="123">
        <v>45388</v>
      </c>
      <c r="Q764" s="34">
        <v>100</v>
      </c>
      <c r="R764" s="33">
        <f t="shared" si="87"/>
        <v>45</v>
      </c>
      <c r="S764" s="34">
        <v>4</v>
      </c>
      <c r="T764" s="34">
        <f t="shared" si="88"/>
        <v>1</v>
      </c>
      <c r="U764" s="33">
        <f t="shared" si="89"/>
        <v>180</v>
      </c>
      <c r="V764" s="38" t="s">
        <v>827</v>
      </c>
      <c r="W764" s="39">
        <f t="shared" si="90"/>
        <v>0.81818181818181823</v>
      </c>
      <c r="X764" s="40" t="s">
        <v>304</v>
      </c>
      <c r="Y764" s="40" t="s">
        <v>283</v>
      </c>
      <c r="Z764" s="40" t="s">
        <v>749</v>
      </c>
      <c r="AA764" s="33" t="s">
        <v>749</v>
      </c>
      <c r="AB764" s="95"/>
      <c r="AC764" s="95"/>
    </row>
    <row r="765" spans="1:29" ht="14.45" hidden="1" customHeight="1" x14ac:dyDescent="0.25">
      <c r="A765" s="36" t="str">
        <f>INDEX('Base de données Mono'!C:C,MATCH(B765,'Base de données Mono'!D:D,0))</f>
        <v>ORDENER</v>
      </c>
      <c r="B765" t="s">
        <v>365</v>
      </c>
      <c r="C765" s="36" t="str">
        <f>INDEX('Base de données Mono'!B:B,MATCH(B765,'Base de données Mono'!D:D,0))</f>
        <v>Monoprix</v>
      </c>
      <c r="D765" s="36" t="str">
        <f>INDEX('Base de données Mono'!A:A,MATCH(B765,'Base de données Mono'!D:D,0))</f>
        <v>AD</v>
      </c>
      <c r="E765" s="37" t="s">
        <v>303</v>
      </c>
      <c r="F765" s="41">
        <f t="shared" si="85"/>
        <v>14</v>
      </c>
      <c r="G765" s="41">
        <f t="shared" si="86"/>
        <v>4</v>
      </c>
      <c r="H765">
        <v>8</v>
      </c>
      <c r="I765" s="131">
        <f>INDEX('Base de données Mono'!K:K,MATCH(B765,'Base de données Mono'!D:D,0))</f>
        <v>0.25</v>
      </c>
      <c r="J765" s="131">
        <f>INDEX('Base de données Mono'!L:L,MATCH(B765,'Base de données Mono'!D:D,0))</f>
        <v>0.91666666666666663</v>
      </c>
      <c r="K765" s="131">
        <f>INDEX('Base de données Mono'!M:M,MATCH(B765,'Base de données Mono'!D:D,0))</f>
        <v>0.27083333333333331</v>
      </c>
      <c r="L765" s="131">
        <f>INDEX('Base de données Mono'!N:N,MATCH(B765,'Base de données Mono'!D:D,0))</f>
        <v>0.85416666666666663</v>
      </c>
      <c r="M765" s="33" t="s">
        <v>46</v>
      </c>
      <c r="N765" s="33">
        <f>IF(AND(E765="Electricité",M765="Hiver"),INDEX('Base de données Mono'!E:E,MATCH(B765,'Base de données Mono'!D:D,0)),IF(AND(E765="Electricité",M765="Mi-saison"),INDEX('Base de données Mono'!F:F,MATCH(B765,'Base de données Mono'!D:D,0)),IF(AND(E765="Electricité",M765="Eté"),INDEX('Base de données Mono'!G:G,MATCH(B765,'Base de données Mono'!D:D,0)),IF(AND(E765="Gaz",M765="Hiver"),INDEX('Base de données Mono'!J:J,MATCH(B765,'Base de données Mono'!D:D,0)),IF(AND(E765="Gaz",M765="Mi-saison"),INDEX('Base de données Mono'!#REF!,MATCH(B765,'Base de données Mono'!D:D,0)),IF(AND(E765="Gaz",M765="Eté"),INDEX('Base de données Mono'!#REF!,MATCH(B765,'Base de données Mono'!D:D,0)),"-"))))))</f>
        <v>55</v>
      </c>
      <c r="O765" s="123">
        <v>45388</v>
      </c>
      <c r="P765" s="123">
        <v>45389</v>
      </c>
      <c r="Q765" s="34">
        <v>95</v>
      </c>
      <c r="R765" s="33">
        <f t="shared" si="87"/>
        <v>40</v>
      </c>
      <c r="S765" s="34">
        <v>8</v>
      </c>
      <c r="T765" s="34">
        <f t="shared" si="88"/>
        <v>1</v>
      </c>
      <c r="U765" s="33">
        <f t="shared" si="89"/>
        <v>320</v>
      </c>
      <c r="V765" s="38" t="s">
        <v>827</v>
      </c>
      <c r="W765" s="39">
        <f t="shared" si="90"/>
        <v>0.72727272727272729</v>
      </c>
      <c r="X765" s="40" t="s">
        <v>304</v>
      </c>
      <c r="Y765" s="40" t="s">
        <v>283</v>
      </c>
      <c r="Z765" s="40" t="s">
        <v>749</v>
      </c>
      <c r="AA765" s="33" t="s">
        <v>749</v>
      </c>
      <c r="AB765" s="95"/>
      <c r="AC765" s="95"/>
    </row>
    <row r="766" spans="1:29" ht="14.45" hidden="1" customHeight="1" x14ac:dyDescent="0.25">
      <c r="A766" s="36" t="str">
        <f>INDEX('Base de données Mono'!C:C,MATCH(B766,'Base de données Mono'!D:D,0))</f>
        <v>Marseille Montgrand</v>
      </c>
      <c r="B766" t="s">
        <v>504</v>
      </c>
      <c r="C766" s="36" t="str">
        <f>INDEX('Base de données Mono'!B:B,MATCH(B766,'Base de données Mono'!D:D,0))</f>
        <v>Monop</v>
      </c>
      <c r="D766" s="36" t="str">
        <f>INDEX('Base de données Mono'!A:A,MATCH(B766,'Base de données Mono'!D:D,0))</f>
        <v>-</v>
      </c>
      <c r="E766" s="37" t="s">
        <v>303</v>
      </c>
      <c r="F766" s="41">
        <f t="shared" si="85"/>
        <v>14</v>
      </c>
      <c r="G766" s="41">
        <f t="shared" si="86"/>
        <v>4</v>
      </c>
      <c r="H766">
        <v>5.67</v>
      </c>
      <c r="I766" s="131">
        <f>INDEX('Base de données Mono'!K:K,MATCH(B766,'Base de données Mono'!D:D,0))</f>
        <v>0.20833333333333334</v>
      </c>
      <c r="J766" s="131">
        <f>INDEX('Base de données Mono'!L:L,MATCH(B766,'Base de données Mono'!D:D,0))</f>
        <v>0.97222222222222221</v>
      </c>
      <c r="K766" s="131" t="str">
        <f>INDEX('Base de données Mono'!M:M,MATCH(B766,'Base de données Mono'!D:D,0))</f>
        <v>-</v>
      </c>
      <c r="L766" s="131" t="str">
        <f>INDEX('Base de données Mono'!N:N,MATCH(B766,'Base de données Mono'!D:D,0))</f>
        <v>-</v>
      </c>
      <c r="M766" s="33" t="s">
        <v>46</v>
      </c>
      <c r="N766" s="33">
        <f>IF(AND(E766="Electricité",M766="Hiver"),INDEX('Base de données Mono'!E:E,MATCH(B766,'Base de données Mono'!D:D,0)),IF(AND(E766="Electricité",M766="Mi-saison"),INDEX('Base de données Mono'!F:F,MATCH(B766,'Base de données Mono'!D:D,0)),IF(AND(E766="Electricité",M766="Eté"),INDEX('Base de données Mono'!G:G,MATCH(B766,'Base de données Mono'!D:D,0)),IF(AND(E766="Gaz",M766="Hiver"),INDEX('Base de données Mono'!J:J,MATCH(B766,'Base de données Mono'!D:D,0)),IF(AND(E766="Gaz",M766="Mi-saison"),INDEX('Base de données Mono'!#REF!,MATCH(B766,'Base de données Mono'!D:D,0)),IF(AND(E766="Gaz",M766="Eté"),INDEX('Base de données Mono'!#REF!,MATCH(B766,'Base de données Mono'!D:D,0)),"-"))))))</f>
        <v>10</v>
      </c>
      <c r="O766" s="123">
        <v>45383</v>
      </c>
      <c r="P766" s="123">
        <v>45389</v>
      </c>
      <c r="Q766" s="34">
        <v>15</v>
      </c>
      <c r="R766" s="33">
        <f t="shared" si="87"/>
        <v>5</v>
      </c>
      <c r="S766" s="34">
        <v>2</v>
      </c>
      <c r="T766" s="34">
        <f t="shared" si="88"/>
        <v>6</v>
      </c>
      <c r="U766" s="33">
        <f t="shared" si="89"/>
        <v>60</v>
      </c>
      <c r="V766" s="38" t="s">
        <v>827</v>
      </c>
      <c r="W766" s="39">
        <f t="shared" si="90"/>
        <v>0.5</v>
      </c>
      <c r="X766" s="40" t="s">
        <v>304</v>
      </c>
      <c r="Y766" s="40" t="s">
        <v>283</v>
      </c>
      <c r="Z766" s="40" t="s">
        <v>749</v>
      </c>
      <c r="AA766" s="33" t="s">
        <v>749</v>
      </c>
      <c r="AB766" s="95"/>
      <c r="AC766" s="95"/>
    </row>
    <row r="767" spans="1:29" ht="14.45" hidden="1" customHeight="1" x14ac:dyDescent="0.25">
      <c r="A767" s="36" t="str">
        <f>INDEX('Base de données Mono'!C:C,MATCH(B767,'Base de données Mono'!D:D,0))</f>
        <v>Saint Etienne</v>
      </c>
      <c r="B767" t="s">
        <v>495</v>
      </c>
      <c r="C767" s="36" t="str">
        <f>INDEX('Base de données Mono'!B:B,MATCH(B767,'Base de données Mono'!D:D,0))</f>
        <v>Monoprix</v>
      </c>
      <c r="D767" s="36" t="str">
        <f>INDEX('Base de données Mono'!A:A,MATCH(B767,'Base de données Mono'!D:D,0))</f>
        <v>AD</v>
      </c>
      <c r="E767" s="37" t="s">
        <v>303</v>
      </c>
      <c r="F767" s="41">
        <f t="shared" si="85"/>
        <v>14</v>
      </c>
      <c r="G767" s="41">
        <f t="shared" si="86"/>
        <v>4</v>
      </c>
      <c r="H767">
        <v>10.5</v>
      </c>
      <c r="I767" s="131">
        <f>INDEX('Base de données Mono'!K:K,MATCH(B767,'Base de données Mono'!D:D,0))</f>
        <v>0.24305555555555555</v>
      </c>
      <c r="J767" s="131">
        <f>INDEX('Base de données Mono'!L:L,MATCH(B767,'Base de données Mono'!D:D,0))</f>
        <v>0.80555555555555547</v>
      </c>
      <c r="K767" s="131">
        <f>INDEX('Base de données Mono'!M:M,MATCH(B767,'Base de données Mono'!D:D,0))</f>
        <v>0.29166666666666669</v>
      </c>
      <c r="L767" s="131">
        <f>INDEX('Base de données Mono'!N:N,MATCH(B767,'Base de données Mono'!D:D,0))</f>
        <v>0.90972222222222221</v>
      </c>
      <c r="M767" s="33" t="s">
        <v>46</v>
      </c>
      <c r="N767" s="33">
        <f>IF(AND(E767="Electricité",M767="Hiver"),INDEX('Base de données Mono'!E:E,MATCH(B767,'Base de données Mono'!D:D,0)),IF(AND(E767="Electricité",M767="Mi-saison"),INDEX('Base de données Mono'!F:F,MATCH(B767,'Base de données Mono'!D:D,0)),IF(AND(E767="Electricité",M767="Eté"),INDEX('Base de données Mono'!G:G,MATCH(B767,'Base de données Mono'!D:D,0)),IF(AND(E767="Gaz",M767="Hiver"),INDEX('Base de données Mono'!J:J,MATCH(B767,'Base de données Mono'!D:D,0)),IF(AND(E767="Gaz",M767="Mi-saison"),INDEX('Base de données Mono'!#REF!,MATCH(B767,'Base de données Mono'!D:D,0)),IF(AND(E767="Gaz",M767="Eté"),INDEX('Base de données Mono'!#REF!,MATCH(B767,'Base de données Mono'!D:D,0)),"-"))))))</f>
        <v>30</v>
      </c>
      <c r="O767" s="123">
        <v>45384</v>
      </c>
      <c r="P767" s="123">
        <v>45385</v>
      </c>
      <c r="Q767" s="34">
        <v>45</v>
      </c>
      <c r="R767" s="33">
        <f t="shared" si="87"/>
        <v>15</v>
      </c>
      <c r="S767" s="34">
        <v>4</v>
      </c>
      <c r="T767" s="34">
        <f t="shared" si="88"/>
        <v>1</v>
      </c>
      <c r="U767" s="33">
        <f t="shared" si="89"/>
        <v>60</v>
      </c>
      <c r="V767" s="38" t="s">
        <v>827</v>
      </c>
      <c r="W767" s="39">
        <f t="shared" si="90"/>
        <v>0.5</v>
      </c>
      <c r="X767" s="40" t="s">
        <v>304</v>
      </c>
      <c r="Y767" s="40" t="s">
        <v>283</v>
      </c>
      <c r="Z767" s="40" t="s">
        <v>749</v>
      </c>
      <c r="AA767" s="33" t="s">
        <v>749</v>
      </c>
      <c r="AB767" s="95"/>
      <c r="AC767" s="95"/>
    </row>
    <row r="768" spans="1:29" ht="14.45" hidden="1" customHeight="1" x14ac:dyDescent="0.25">
      <c r="A768" s="36" t="str">
        <f>INDEX('Base de données Mono'!C:C,MATCH(B768,'Base de données Mono'!D:D,0))</f>
        <v>Saint Etienne</v>
      </c>
      <c r="B768" t="s">
        <v>495</v>
      </c>
      <c r="C768" s="36" t="str">
        <f>INDEX('Base de données Mono'!B:B,MATCH(B768,'Base de données Mono'!D:D,0))</f>
        <v>Monoprix</v>
      </c>
      <c r="D768" s="36" t="str">
        <f>INDEX('Base de données Mono'!A:A,MATCH(B768,'Base de données Mono'!D:D,0))</f>
        <v>AD</v>
      </c>
      <c r="E768" s="37" t="s">
        <v>303</v>
      </c>
      <c r="F768" s="41">
        <f t="shared" si="85"/>
        <v>14</v>
      </c>
      <c r="G768" s="41">
        <f t="shared" si="86"/>
        <v>4</v>
      </c>
      <c r="H768">
        <v>10.5</v>
      </c>
      <c r="I768" s="131">
        <f>INDEX('Base de données Mono'!K:K,MATCH(B768,'Base de données Mono'!D:D,0))</f>
        <v>0.24305555555555555</v>
      </c>
      <c r="J768" s="131">
        <f>INDEX('Base de données Mono'!L:L,MATCH(B768,'Base de données Mono'!D:D,0))</f>
        <v>0.80555555555555547</v>
      </c>
      <c r="K768" s="131">
        <f>INDEX('Base de données Mono'!M:M,MATCH(B768,'Base de données Mono'!D:D,0))</f>
        <v>0.29166666666666669</v>
      </c>
      <c r="L768" s="131">
        <f>INDEX('Base de données Mono'!N:N,MATCH(B768,'Base de données Mono'!D:D,0))</f>
        <v>0.90972222222222221</v>
      </c>
      <c r="M768" s="33" t="s">
        <v>46</v>
      </c>
      <c r="N768" s="33">
        <f>IF(AND(E768="Electricité",M768="Hiver"),INDEX('Base de données Mono'!E:E,MATCH(B768,'Base de données Mono'!D:D,0)),IF(AND(E768="Electricité",M768="Mi-saison"),INDEX('Base de données Mono'!F:F,MATCH(B768,'Base de données Mono'!D:D,0)),IF(AND(E768="Electricité",M768="Eté"),INDEX('Base de données Mono'!G:G,MATCH(B768,'Base de données Mono'!D:D,0)),IF(AND(E768="Gaz",M768="Hiver"),INDEX('Base de données Mono'!J:J,MATCH(B768,'Base de données Mono'!D:D,0)),IF(AND(E768="Gaz",M768="Mi-saison"),INDEX('Base de données Mono'!#REF!,MATCH(B768,'Base de données Mono'!D:D,0)),IF(AND(E768="Gaz",M768="Eté"),INDEX('Base de données Mono'!#REF!,MATCH(B768,'Base de données Mono'!D:D,0)),"-"))))))</f>
        <v>30</v>
      </c>
      <c r="O768" s="123">
        <v>45385</v>
      </c>
      <c r="P768" s="123">
        <v>45386</v>
      </c>
      <c r="Q768" s="34">
        <v>45</v>
      </c>
      <c r="R768" s="33">
        <f t="shared" si="87"/>
        <v>15</v>
      </c>
      <c r="S768" s="34">
        <v>1</v>
      </c>
      <c r="T768" s="34">
        <f t="shared" si="88"/>
        <v>1</v>
      </c>
      <c r="U768" s="33">
        <f t="shared" si="89"/>
        <v>15</v>
      </c>
      <c r="V768" s="38" t="s">
        <v>827</v>
      </c>
      <c r="W768" s="39">
        <f t="shared" si="90"/>
        <v>0.5</v>
      </c>
      <c r="X768" s="40" t="s">
        <v>304</v>
      </c>
      <c r="Y768" s="40" t="s">
        <v>283</v>
      </c>
      <c r="Z768" s="40" t="s">
        <v>749</v>
      </c>
      <c r="AA768" s="33" t="s">
        <v>749</v>
      </c>
      <c r="AB768" s="95"/>
      <c r="AC768" s="95"/>
    </row>
    <row r="769" spans="1:29" ht="14.45" hidden="1" customHeight="1" x14ac:dyDescent="0.25">
      <c r="A769" s="36" t="str">
        <f>INDEX('Base de données Mono'!C:C,MATCH(B769,'Base de données Mono'!D:D,0))</f>
        <v>Bayonne</v>
      </c>
      <c r="B769" t="s">
        <v>745</v>
      </c>
      <c r="C769" s="36" t="str">
        <f>INDEX('Base de données Mono'!B:B,MATCH(B769,'Base de données Mono'!D:D,0))</f>
        <v>Monoprix</v>
      </c>
      <c r="D769" s="36" t="str">
        <f>INDEX('Base de données Mono'!A:A,MATCH(B769,'Base de données Mono'!D:D,0))</f>
        <v>-</v>
      </c>
      <c r="E769" s="37" t="s">
        <v>303</v>
      </c>
      <c r="F769" s="41">
        <f t="shared" si="85"/>
        <v>14</v>
      </c>
      <c r="G769" s="41">
        <f t="shared" si="86"/>
        <v>4</v>
      </c>
      <c r="H769">
        <v>9.67</v>
      </c>
      <c r="I769" s="131">
        <f>INDEX('Base de données Mono'!K:K,MATCH(B769,'Base de données Mono'!D:D,0))</f>
        <v>0.25</v>
      </c>
      <c r="J769" s="131">
        <f>INDEX('Base de données Mono'!L:L,MATCH(B769,'Base de données Mono'!D:D,0))</f>
        <v>0.84722222222222221</v>
      </c>
      <c r="K769" s="131">
        <f>INDEX('Base de données Mono'!M:M,MATCH(B769,'Base de données Mono'!D:D,0))</f>
        <v>0.33333333333333331</v>
      </c>
      <c r="L769" s="131">
        <f>INDEX('Base de données Mono'!N:N,MATCH(B769,'Base de données Mono'!D:D,0))</f>
        <v>0.54166666666666663</v>
      </c>
      <c r="M769" s="33" t="s">
        <v>46</v>
      </c>
      <c r="N769" s="33">
        <f>IF(AND(E769="Electricité",M769="Hiver"),INDEX('Base de données Mono'!E:E,MATCH(B769,'Base de données Mono'!D:D,0)),IF(AND(E769="Electricité",M769="Mi-saison"),INDEX('Base de données Mono'!F:F,MATCH(B769,'Base de données Mono'!D:D,0)),IF(AND(E769="Electricité",M769="Eté"),INDEX('Base de données Mono'!G:G,MATCH(B769,'Base de données Mono'!D:D,0)),IF(AND(E769="Gaz",M769="Hiver"),INDEX('Base de données Mono'!J:J,MATCH(B769,'Base de données Mono'!D:D,0)),IF(AND(E769="Gaz",M769="Mi-saison"),INDEX('Base de données Mono'!#REF!,MATCH(B769,'Base de données Mono'!D:D,0)),IF(AND(E769="Gaz",M769="Eté"),INDEX('Base de données Mono'!#REF!,MATCH(B769,'Base de données Mono'!D:D,0)),"-"))))))</f>
        <v>25</v>
      </c>
      <c r="O769" s="123">
        <v>45383</v>
      </c>
      <c r="P769" s="123">
        <v>45386</v>
      </c>
      <c r="Q769" s="34">
        <v>30</v>
      </c>
      <c r="R769" s="33">
        <f t="shared" si="87"/>
        <v>5</v>
      </c>
      <c r="S769" s="34">
        <v>2</v>
      </c>
      <c r="T769" s="34">
        <f t="shared" si="88"/>
        <v>3</v>
      </c>
      <c r="U769" s="33">
        <f t="shared" si="89"/>
        <v>30</v>
      </c>
      <c r="V769" s="38" t="s">
        <v>827</v>
      </c>
      <c r="W769" s="39">
        <f t="shared" si="90"/>
        <v>0.2</v>
      </c>
      <c r="X769" s="40" t="s">
        <v>304</v>
      </c>
      <c r="Y769" s="40" t="s">
        <v>283</v>
      </c>
      <c r="Z769" s="40" t="s">
        <v>749</v>
      </c>
      <c r="AA769" s="33" t="s">
        <v>749</v>
      </c>
      <c r="AB769" s="95"/>
      <c r="AC769" s="95"/>
    </row>
    <row r="770" spans="1:29" ht="14.45" hidden="1" customHeight="1" x14ac:dyDescent="0.25">
      <c r="A770" s="36" t="str">
        <f>INDEX('Base de données Mono'!C:C,MATCH(B770,'Base de données Mono'!D:D,0))</f>
        <v>Bayonne</v>
      </c>
      <c r="B770" t="s">
        <v>745</v>
      </c>
      <c r="C770" s="36" t="str">
        <f>INDEX('Base de données Mono'!B:B,MATCH(B770,'Base de données Mono'!D:D,0))</f>
        <v>Monoprix</v>
      </c>
      <c r="D770" s="36" t="str">
        <f>INDEX('Base de données Mono'!A:A,MATCH(B770,'Base de données Mono'!D:D,0))</f>
        <v>-</v>
      </c>
      <c r="E770" s="37" t="s">
        <v>303</v>
      </c>
      <c r="F770" s="41">
        <f t="shared" si="85"/>
        <v>14</v>
      </c>
      <c r="G770" s="41">
        <f t="shared" si="86"/>
        <v>4</v>
      </c>
      <c r="H770">
        <v>9.67</v>
      </c>
      <c r="I770" s="131">
        <f>INDEX('Base de données Mono'!K:K,MATCH(B770,'Base de données Mono'!D:D,0))</f>
        <v>0.25</v>
      </c>
      <c r="J770" s="131">
        <f>INDEX('Base de données Mono'!L:L,MATCH(B770,'Base de données Mono'!D:D,0))</f>
        <v>0.84722222222222221</v>
      </c>
      <c r="K770" s="131">
        <f>INDEX('Base de données Mono'!M:M,MATCH(B770,'Base de données Mono'!D:D,0))</f>
        <v>0.33333333333333331</v>
      </c>
      <c r="L770" s="131">
        <f>INDEX('Base de données Mono'!N:N,MATCH(B770,'Base de données Mono'!D:D,0))</f>
        <v>0.54166666666666663</v>
      </c>
      <c r="M770" s="33" t="s">
        <v>46</v>
      </c>
      <c r="N770" s="33">
        <f>IF(AND(E770="Electricité",M770="Hiver"),INDEX('Base de données Mono'!E:E,MATCH(B770,'Base de données Mono'!D:D,0)),IF(AND(E770="Electricité",M770="Mi-saison"),INDEX('Base de données Mono'!F:F,MATCH(B770,'Base de données Mono'!D:D,0)),IF(AND(E770="Electricité",M770="Eté"),INDEX('Base de données Mono'!G:G,MATCH(B770,'Base de données Mono'!D:D,0)),IF(AND(E770="Gaz",M770="Hiver"),INDEX('Base de données Mono'!J:J,MATCH(B770,'Base de données Mono'!D:D,0)),IF(AND(E770="Gaz",M770="Mi-saison"),INDEX('Base de données Mono'!#REF!,MATCH(B770,'Base de données Mono'!D:D,0)),IF(AND(E770="Gaz",M770="Eté"),INDEX('Base de données Mono'!#REF!,MATCH(B770,'Base de données Mono'!D:D,0)),"-"))))))</f>
        <v>25</v>
      </c>
      <c r="O770" s="123">
        <v>45383</v>
      </c>
      <c r="P770" s="123">
        <v>45387</v>
      </c>
      <c r="Q770" s="34">
        <v>45</v>
      </c>
      <c r="R770" s="33">
        <f t="shared" si="87"/>
        <v>20</v>
      </c>
      <c r="S770" s="34">
        <v>1</v>
      </c>
      <c r="T770" s="34">
        <f t="shared" si="88"/>
        <v>4</v>
      </c>
      <c r="U770" s="33">
        <f t="shared" si="89"/>
        <v>80</v>
      </c>
      <c r="V770" s="38" t="s">
        <v>827</v>
      </c>
      <c r="W770" s="39">
        <f t="shared" si="90"/>
        <v>0.8</v>
      </c>
      <c r="X770" s="40" t="s">
        <v>304</v>
      </c>
      <c r="Y770" s="40" t="s">
        <v>283</v>
      </c>
      <c r="Z770" s="40" t="s">
        <v>749</v>
      </c>
      <c r="AA770" s="33" t="s">
        <v>749</v>
      </c>
      <c r="AB770" s="95"/>
      <c r="AC770" s="95"/>
    </row>
    <row r="771" spans="1:29" ht="14.45" hidden="1" customHeight="1" x14ac:dyDescent="0.25">
      <c r="A771" s="36" t="str">
        <f>INDEX('Base de données Mono'!C:C,MATCH(B771,'Base de données Mono'!D:D,0))</f>
        <v>Bayonne</v>
      </c>
      <c r="B771" t="s">
        <v>745</v>
      </c>
      <c r="C771" s="36" t="str">
        <f>INDEX('Base de données Mono'!B:B,MATCH(B771,'Base de données Mono'!D:D,0))</f>
        <v>Monoprix</v>
      </c>
      <c r="D771" s="36" t="str">
        <f>INDEX('Base de données Mono'!A:A,MATCH(B771,'Base de données Mono'!D:D,0))</f>
        <v>-</v>
      </c>
      <c r="E771" s="37" t="s">
        <v>303</v>
      </c>
      <c r="F771" s="41">
        <f t="shared" si="85"/>
        <v>14</v>
      </c>
      <c r="G771" s="41">
        <f t="shared" si="86"/>
        <v>4</v>
      </c>
      <c r="H771">
        <v>9.67</v>
      </c>
      <c r="I771" s="131">
        <f>INDEX('Base de données Mono'!K:K,MATCH(B771,'Base de données Mono'!D:D,0))</f>
        <v>0.25</v>
      </c>
      <c r="J771" s="131">
        <f>INDEX('Base de données Mono'!L:L,MATCH(B771,'Base de données Mono'!D:D,0))</f>
        <v>0.84722222222222221</v>
      </c>
      <c r="K771" s="131">
        <f>INDEX('Base de données Mono'!M:M,MATCH(B771,'Base de données Mono'!D:D,0))</f>
        <v>0.33333333333333331</v>
      </c>
      <c r="L771" s="131">
        <f>INDEX('Base de données Mono'!N:N,MATCH(B771,'Base de données Mono'!D:D,0))</f>
        <v>0.54166666666666663</v>
      </c>
      <c r="M771" s="33" t="s">
        <v>46</v>
      </c>
      <c r="N771" s="33">
        <f>IF(AND(E771="Electricité",M771="Hiver"),INDEX('Base de données Mono'!E:E,MATCH(B771,'Base de données Mono'!D:D,0)),IF(AND(E771="Electricité",M771="Mi-saison"),INDEX('Base de données Mono'!F:F,MATCH(B771,'Base de données Mono'!D:D,0)),IF(AND(E771="Electricité",M771="Eté"),INDEX('Base de données Mono'!G:G,MATCH(B771,'Base de données Mono'!D:D,0)),IF(AND(E771="Gaz",M771="Hiver"),INDEX('Base de données Mono'!J:J,MATCH(B771,'Base de données Mono'!D:D,0)),IF(AND(E771="Gaz",M771="Mi-saison"),INDEX('Base de données Mono'!#REF!,MATCH(B771,'Base de données Mono'!D:D,0)),IF(AND(E771="Gaz",M771="Eté"),INDEX('Base de données Mono'!#REF!,MATCH(B771,'Base de données Mono'!D:D,0)),"-"))))))</f>
        <v>25</v>
      </c>
      <c r="O771" s="123">
        <v>45386</v>
      </c>
      <c r="P771" s="123">
        <v>45387</v>
      </c>
      <c r="Q771" s="34">
        <v>30</v>
      </c>
      <c r="R771" s="33">
        <f t="shared" si="87"/>
        <v>5</v>
      </c>
      <c r="S771" s="34">
        <v>7</v>
      </c>
      <c r="T771" s="34">
        <f t="shared" si="88"/>
        <v>1</v>
      </c>
      <c r="U771" s="33">
        <f t="shared" si="89"/>
        <v>35</v>
      </c>
      <c r="V771" s="38" t="s">
        <v>827</v>
      </c>
      <c r="W771" s="39">
        <f t="shared" si="90"/>
        <v>0.2</v>
      </c>
      <c r="X771" s="40" t="s">
        <v>304</v>
      </c>
      <c r="Y771" s="40" t="s">
        <v>283</v>
      </c>
      <c r="Z771" s="40" t="s">
        <v>749</v>
      </c>
      <c r="AA771" s="33" t="s">
        <v>749</v>
      </c>
      <c r="AB771" s="95"/>
      <c r="AC771" s="95"/>
    </row>
    <row r="772" spans="1:29" ht="14.45" hidden="1" customHeight="1" x14ac:dyDescent="0.25">
      <c r="A772" s="36" t="str">
        <f>INDEX('Base de données Mono'!C:C,MATCH(B772,'Base de données Mono'!D:D,0))</f>
        <v>Bayonne</v>
      </c>
      <c r="B772" t="s">
        <v>745</v>
      </c>
      <c r="C772" s="36" t="str">
        <f>INDEX('Base de données Mono'!B:B,MATCH(B772,'Base de données Mono'!D:D,0))</f>
        <v>Monoprix</v>
      </c>
      <c r="D772" s="36" t="str">
        <f>INDEX('Base de données Mono'!A:A,MATCH(B772,'Base de données Mono'!D:D,0))</f>
        <v>-</v>
      </c>
      <c r="E772" s="37" t="s">
        <v>303</v>
      </c>
      <c r="F772" s="41">
        <f t="shared" si="85"/>
        <v>14</v>
      </c>
      <c r="G772" s="41">
        <f t="shared" si="86"/>
        <v>4</v>
      </c>
      <c r="H772">
        <v>9.67</v>
      </c>
      <c r="I772" s="131">
        <f>INDEX('Base de données Mono'!K:K,MATCH(B772,'Base de données Mono'!D:D,0))</f>
        <v>0.25</v>
      </c>
      <c r="J772" s="131">
        <f>INDEX('Base de données Mono'!L:L,MATCH(B772,'Base de données Mono'!D:D,0))</f>
        <v>0.84722222222222221</v>
      </c>
      <c r="K772" s="131">
        <f>INDEX('Base de données Mono'!M:M,MATCH(B772,'Base de données Mono'!D:D,0))</f>
        <v>0.33333333333333331</v>
      </c>
      <c r="L772" s="131">
        <f>INDEX('Base de données Mono'!N:N,MATCH(B772,'Base de données Mono'!D:D,0))</f>
        <v>0.54166666666666663</v>
      </c>
      <c r="M772" s="33" t="s">
        <v>46</v>
      </c>
      <c r="N772" s="33">
        <f>IF(AND(E772="Electricité",M772="Hiver"),INDEX('Base de données Mono'!E:E,MATCH(B772,'Base de données Mono'!D:D,0)),IF(AND(E772="Electricité",M772="Mi-saison"),INDEX('Base de données Mono'!F:F,MATCH(B772,'Base de données Mono'!D:D,0)),IF(AND(E772="Electricité",M772="Eté"),INDEX('Base de données Mono'!G:G,MATCH(B772,'Base de données Mono'!D:D,0)),IF(AND(E772="Gaz",M772="Hiver"),INDEX('Base de données Mono'!J:J,MATCH(B772,'Base de données Mono'!D:D,0)),IF(AND(E772="Gaz",M772="Mi-saison"),INDEX('Base de données Mono'!#REF!,MATCH(B772,'Base de données Mono'!D:D,0)),IF(AND(E772="Gaz",M772="Eté"),INDEX('Base de données Mono'!#REF!,MATCH(B772,'Base de données Mono'!D:D,0)),"-"))))))</f>
        <v>25</v>
      </c>
      <c r="O772" s="123">
        <v>45386</v>
      </c>
      <c r="P772" s="123">
        <v>45388</v>
      </c>
      <c r="Q772" s="34">
        <v>55</v>
      </c>
      <c r="R772" s="33">
        <f t="shared" si="87"/>
        <v>30</v>
      </c>
      <c r="S772" s="34">
        <v>1</v>
      </c>
      <c r="T772" s="34">
        <f t="shared" si="88"/>
        <v>2</v>
      </c>
      <c r="U772" s="33">
        <f t="shared" si="89"/>
        <v>60</v>
      </c>
      <c r="V772" s="38" t="s">
        <v>827</v>
      </c>
      <c r="W772" s="39">
        <f t="shared" si="90"/>
        <v>1.2</v>
      </c>
      <c r="X772" s="40" t="s">
        <v>304</v>
      </c>
      <c r="Y772" s="40" t="s">
        <v>283</v>
      </c>
      <c r="Z772" s="40" t="s">
        <v>749</v>
      </c>
      <c r="AA772" s="33" t="s">
        <v>749</v>
      </c>
      <c r="AB772" s="95"/>
      <c r="AC772" s="95"/>
    </row>
    <row r="773" spans="1:29" ht="14.45" hidden="1" customHeight="1" x14ac:dyDescent="0.25">
      <c r="A773" s="36" t="str">
        <f>INDEX('Base de données Mono'!C:C,MATCH(B773,'Base de données Mono'!D:D,0))</f>
        <v>Bayonne</v>
      </c>
      <c r="B773" t="s">
        <v>745</v>
      </c>
      <c r="C773" s="36" t="str">
        <f>INDEX('Base de données Mono'!B:B,MATCH(B773,'Base de données Mono'!D:D,0))</f>
        <v>Monoprix</v>
      </c>
      <c r="D773" s="36" t="str">
        <f>INDEX('Base de données Mono'!A:A,MATCH(B773,'Base de données Mono'!D:D,0))</f>
        <v>-</v>
      </c>
      <c r="E773" s="37" t="s">
        <v>303</v>
      </c>
      <c r="F773" s="41">
        <f t="shared" si="85"/>
        <v>14</v>
      </c>
      <c r="G773" s="41">
        <f t="shared" si="86"/>
        <v>4</v>
      </c>
      <c r="H773">
        <v>9.67</v>
      </c>
      <c r="I773" s="131">
        <f>INDEX('Base de données Mono'!K:K,MATCH(B773,'Base de données Mono'!D:D,0))</f>
        <v>0.25</v>
      </c>
      <c r="J773" s="131">
        <f>INDEX('Base de données Mono'!L:L,MATCH(B773,'Base de données Mono'!D:D,0))</f>
        <v>0.84722222222222221</v>
      </c>
      <c r="K773" s="131">
        <f>INDEX('Base de données Mono'!M:M,MATCH(B773,'Base de données Mono'!D:D,0))</f>
        <v>0.33333333333333331</v>
      </c>
      <c r="L773" s="131">
        <f>INDEX('Base de données Mono'!N:N,MATCH(B773,'Base de données Mono'!D:D,0))</f>
        <v>0.54166666666666663</v>
      </c>
      <c r="M773" s="33" t="s">
        <v>46</v>
      </c>
      <c r="N773" s="33">
        <f>IF(AND(E773="Electricité",M773="Hiver"),INDEX('Base de données Mono'!E:E,MATCH(B773,'Base de données Mono'!D:D,0)),IF(AND(E773="Electricité",M773="Mi-saison"),INDEX('Base de données Mono'!F:F,MATCH(B773,'Base de données Mono'!D:D,0)),IF(AND(E773="Electricité",M773="Eté"),INDEX('Base de données Mono'!G:G,MATCH(B773,'Base de données Mono'!D:D,0)),IF(AND(E773="Gaz",M773="Hiver"),INDEX('Base de données Mono'!J:J,MATCH(B773,'Base de données Mono'!D:D,0)),IF(AND(E773="Gaz",M773="Mi-saison"),INDEX('Base de données Mono'!#REF!,MATCH(B773,'Base de données Mono'!D:D,0)),IF(AND(E773="Gaz",M773="Eté"),INDEX('Base de données Mono'!#REF!,MATCH(B773,'Base de données Mono'!D:D,0)),"-"))))))</f>
        <v>25</v>
      </c>
      <c r="O773" s="123">
        <v>45387</v>
      </c>
      <c r="P773" s="123">
        <v>45388</v>
      </c>
      <c r="Q773" s="34">
        <v>30</v>
      </c>
      <c r="R773" s="33">
        <f t="shared" si="87"/>
        <v>5</v>
      </c>
      <c r="S773" s="34">
        <v>7</v>
      </c>
      <c r="T773" s="34">
        <f t="shared" si="88"/>
        <v>1</v>
      </c>
      <c r="U773" s="33">
        <f t="shared" si="89"/>
        <v>35</v>
      </c>
      <c r="V773" s="38" t="s">
        <v>827</v>
      </c>
      <c r="W773" s="39">
        <f t="shared" si="90"/>
        <v>0.2</v>
      </c>
      <c r="X773" s="40" t="s">
        <v>304</v>
      </c>
      <c r="Y773" s="40" t="s">
        <v>283</v>
      </c>
      <c r="Z773" s="40" t="s">
        <v>749</v>
      </c>
      <c r="AA773" s="33" t="s">
        <v>749</v>
      </c>
      <c r="AB773" s="95"/>
      <c r="AC773" s="95"/>
    </row>
    <row r="774" spans="1:29" ht="14.45" hidden="1" customHeight="1" x14ac:dyDescent="0.25">
      <c r="A774" s="36" t="str">
        <f>INDEX('Base de données Mono'!C:C,MATCH(B774,'Base de données Mono'!D:D,0))</f>
        <v>Bayonne</v>
      </c>
      <c r="B774" t="s">
        <v>745</v>
      </c>
      <c r="C774" s="36" t="str">
        <f>INDEX('Base de données Mono'!B:B,MATCH(B774,'Base de données Mono'!D:D,0))</f>
        <v>Monoprix</v>
      </c>
      <c r="D774" s="36" t="str">
        <f>INDEX('Base de données Mono'!A:A,MATCH(B774,'Base de données Mono'!D:D,0))</f>
        <v>-</v>
      </c>
      <c r="E774" s="37" t="s">
        <v>303</v>
      </c>
      <c r="F774" s="41">
        <f t="shared" si="85"/>
        <v>14</v>
      </c>
      <c r="G774" s="41">
        <f t="shared" si="86"/>
        <v>4</v>
      </c>
      <c r="H774">
        <v>9.67</v>
      </c>
      <c r="I774" s="131">
        <f>INDEX('Base de données Mono'!K:K,MATCH(B774,'Base de données Mono'!D:D,0))</f>
        <v>0.25</v>
      </c>
      <c r="J774" s="131">
        <f>INDEX('Base de données Mono'!L:L,MATCH(B774,'Base de données Mono'!D:D,0))</f>
        <v>0.84722222222222221</v>
      </c>
      <c r="K774" s="131">
        <f>INDEX('Base de données Mono'!M:M,MATCH(B774,'Base de données Mono'!D:D,0))</f>
        <v>0.33333333333333331</v>
      </c>
      <c r="L774" s="131">
        <f>INDEX('Base de données Mono'!N:N,MATCH(B774,'Base de données Mono'!D:D,0))</f>
        <v>0.54166666666666663</v>
      </c>
      <c r="M774" s="33" t="s">
        <v>46</v>
      </c>
      <c r="N774" s="33">
        <f>IF(AND(E774="Electricité",M774="Hiver"),INDEX('Base de données Mono'!E:E,MATCH(B774,'Base de données Mono'!D:D,0)),IF(AND(E774="Electricité",M774="Mi-saison"),INDEX('Base de données Mono'!F:F,MATCH(B774,'Base de données Mono'!D:D,0)),IF(AND(E774="Electricité",M774="Eté"),INDEX('Base de données Mono'!G:G,MATCH(B774,'Base de données Mono'!D:D,0)),IF(AND(E774="Gaz",M774="Hiver"),INDEX('Base de données Mono'!J:J,MATCH(B774,'Base de données Mono'!D:D,0)),IF(AND(E774="Gaz",M774="Mi-saison"),INDEX('Base de données Mono'!#REF!,MATCH(B774,'Base de données Mono'!D:D,0)),IF(AND(E774="Gaz",M774="Eté"),INDEX('Base de données Mono'!#REF!,MATCH(B774,'Base de données Mono'!D:D,0)),"-"))))))</f>
        <v>25</v>
      </c>
      <c r="O774" s="123">
        <v>45387</v>
      </c>
      <c r="P774" s="123">
        <v>45388</v>
      </c>
      <c r="Q774" s="34">
        <v>50</v>
      </c>
      <c r="R774" s="33">
        <f t="shared" si="87"/>
        <v>25</v>
      </c>
      <c r="S774" s="34">
        <v>1</v>
      </c>
      <c r="T774" s="34">
        <f t="shared" si="88"/>
        <v>1</v>
      </c>
      <c r="U774" s="33">
        <f t="shared" si="89"/>
        <v>25</v>
      </c>
      <c r="V774" s="38" t="s">
        <v>827</v>
      </c>
      <c r="W774" s="39">
        <f t="shared" si="90"/>
        <v>1</v>
      </c>
      <c r="X774" s="40" t="s">
        <v>304</v>
      </c>
      <c r="Y774" s="40" t="s">
        <v>283</v>
      </c>
      <c r="Z774" s="40" t="s">
        <v>749</v>
      </c>
      <c r="AA774" s="33" t="s">
        <v>749</v>
      </c>
      <c r="AB774" s="95"/>
      <c r="AC774" s="95"/>
    </row>
    <row r="775" spans="1:29" ht="14.45" hidden="1" customHeight="1" x14ac:dyDescent="0.25">
      <c r="A775" s="36" t="str">
        <f>INDEX('Base de données Mono'!C:C,MATCH(B775,'Base de données Mono'!D:D,0))</f>
        <v>Bayonne</v>
      </c>
      <c r="B775" t="s">
        <v>745</v>
      </c>
      <c r="C775" s="36" t="str">
        <f>INDEX('Base de données Mono'!B:B,MATCH(B775,'Base de données Mono'!D:D,0))</f>
        <v>Monoprix</v>
      </c>
      <c r="D775" s="36" t="str">
        <f>INDEX('Base de données Mono'!A:A,MATCH(B775,'Base de données Mono'!D:D,0))</f>
        <v>-</v>
      </c>
      <c r="E775" s="37" t="s">
        <v>303</v>
      </c>
      <c r="F775" s="41">
        <f t="shared" si="85"/>
        <v>14</v>
      </c>
      <c r="G775" s="41">
        <f t="shared" si="86"/>
        <v>4</v>
      </c>
      <c r="H775">
        <v>9.67</v>
      </c>
      <c r="I775" s="131">
        <f>INDEX('Base de données Mono'!K:K,MATCH(B775,'Base de données Mono'!D:D,0))</f>
        <v>0.25</v>
      </c>
      <c r="J775" s="131">
        <f>INDEX('Base de données Mono'!L:L,MATCH(B775,'Base de données Mono'!D:D,0))</f>
        <v>0.84722222222222221</v>
      </c>
      <c r="K775" s="131">
        <f>INDEX('Base de données Mono'!M:M,MATCH(B775,'Base de données Mono'!D:D,0))</f>
        <v>0.33333333333333331</v>
      </c>
      <c r="L775" s="131">
        <f>INDEX('Base de données Mono'!N:N,MATCH(B775,'Base de données Mono'!D:D,0))</f>
        <v>0.54166666666666663</v>
      </c>
      <c r="M775" s="33" t="s">
        <v>46</v>
      </c>
      <c r="N775" s="33">
        <f>IF(AND(E775="Electricité",M775="Hiver"),INDEX('Base de données Mono'!E:E,MATCH(B775,'Base de données Mono'!D:D,0)),IF(AND(E775="Electricité",M775="Mi-saison"),INDEX('Base de données Mono'!F:F,MATCH(B775,'Base de données Mono'!D:D,0)),IF(AND(E775="Electricité",M775="Eté"),INDEX('Base de données Mono'!G:G,MATCH(B775,'Base de données Mono'!D:D,0)),IF(AND(E775="Gaz",M775="Hiver"),INDEX('Base de données Mono'!J:J,MATCH(B775,'Base de données Mono'!D:D,0)),IF(AND(E775="Gaz",M775="Mi-saison"),INDEX('Base de données Mono'!#REF!,MATCH(B775,'Base de données Mono'!D:D,0)),IF(AND(E775="Gaz",M775="Eté"),INDEX('Base de données Mono'!#REF!,MATCH(B775,'Base de données Mono'!D:D,0)),"-"))))))</f>
        <v>25</v>
      </c>
      <c r="O775" s="123">
        <v>45387</v>
      </c>
      <c r="P775" s="123">
        <v>45388</v>
      </c>
      <c r="Q775" s="34">
        <v>40</v>
      </c>
      <c r="R775" s="33">
        <f t="shared" si="87"/>
        <v>15</v>
      </c>
      <c r="S775" s="34">
        <v>1</v>
      </c>
      <c r="T775" s="34">
        <f t="shared" si="88"/>
        <v>1</v>
      </c>
      <c r="U775" s="33">
        <f t="shared" si="89"/>
        <v>15</v>
      </c>
      <c r="V775" s="38" t="s">
        <v>827</v>
      </c>
      <c r="W775" s="39">
        <f t="shared" si="90"/>
        <v>0.6</v>
      </c>
      <c r="X775" s="40" t="s">
        <v>304</v>
      </c>
      <c r="Y775" s="40" t="s">
        <v>283</v>
      </c>
      <c r="Z775" s="40" t="s">
        <v>749</v>
      </c>
      <c r="AA775" s="33" t="s">
        <v>749</v>
      </c>
      <c r="AB775" s="95"/>
      <c r="AC775" s="95"/>
    </row>
    <row r="776" spans="1:29" ht="14.45" hidden="1" customHeight="1" x14ac:dyDescent="0.25">
      <c r="A776" s="36" t="str">
        <f>INDEX('Base de données Mono'!C:C,MATCH(B776,'Base de données Mono'!D:D,0))</f>
        <v>COMMERCE</v>
      </c>
      <c r="B776" t="s">
        <v>110</v>
      </c>
      <c r="C776" s="36" t="str">
        <f>INDEX('Base de données Mono'!B:B,MATCH(B776,'Base de données Mono'!D:D,0))</f>
        <v>SES8</v>
      </c>
      <c r="D776" s="36" t="str">
        <f>INDEX('Base de données Mono'!A:A,MATCH(B776,'Base de données Mono'!D:D,0))</f>
        <v>AD</v>
      </c>
      <c r="E776" s="37" t="s">
        <v>303</v>
      </c>
      <c r="F776" s="41">
        <f t="shared" si="85"/>
        <v>14</v>
      </c>
      <c r="G776" s="41">
        <f t="shared" si="86"/>
        <v>4</v>
      </c>
      <c r="H776">
        <v>7.5</v>
      </c>
      <c r="I776" s="131">
        <f>INDEX('Base de données Mono'!K:K,MATCH(B776,'Base de données Mono'!D:D,0))</f>
        <v>0.20833333333333334</v>
      </c>
      <c r="J776" s="131">
        <f>INDEX('Base de données Mono'!L:L,MATCH(B776,'Base de données Mono'!D:D,0))</f>
        <v>0.89583333333333337</v>
      </c>
      <c r="K776" s="131">
        <f>INDEX('Base de données Mono'!M:M,MATCH(B776,'Base de données Mono'!D:D,0))</f>
        <v>0.27083333333333331</v>
      </c>
      <c r="L776" s="131">
        <f>INDEX('Base de données Mono'!N:N,MATCH(B776,'Base de données Mono'!D:D,0))</f>
        <v>0.55902777777777779</v>
      </c>
      <c r="M776" s="33" t="s">
        <v>46</v>
      </c>
      <c r="N776" s="33">
        <f>IF(AND(E776="Electricité",M776="Hiver"),INDEX('Base de données Mono'!E:E,MATCH(B776,'Base de données Mono'!D:D,0)),IF(AND(E776="Electricité",M776="Mi-saison"),INDEX('Base de données Mono'!F:F,MATCH(B776,'Base de données Mono'!D:D,0)),IF(AND(E776="Electricité",M776="Eté"),INDEX('Base de données Mono'!G:G,MATCH(B776,'Base de données Mono'!D:D,0)),IF(AND(E776="Gaz",M776="Hiver"),INDEX('Base de données Mono'!J:J,MATCH(B776,'Base de données Mono'!D:D,0)),IF(AND(E776="Gaz",M776="Mi-saison"),INDEX('Base de données Mono'!#REF!,MATCH(B776,'Base de données Mono'!D:D,0)),IF(AND(E776="Gaz",M776="Eté"),INDEX('Base de données Mono'!#REF!,MATCH(B776,'Base de données Mono'!D:D,0)),"-"))))))</f>
        <v>80</v>
      </c>
      <c r="O776" s="123">
        <v>45384</v>
      </c>
      <c r="P776" s="123">
        <v>45389</v>
      </c>
      <c r="Q776" s="34">
        <v>120</v>
      </c>
      <c r="R776" s="33">
        <f t="shared" si="87"/>
        <v>40</v>
      </c>
      <c r="S776" s="34">
        <v>0.5</v>
      </c>
      <c r="T776" s="34">
        <f>P776-O776</f>
        <v>5</v>
      </c>
      <c r="U776" s="33">
        <f t="shared" si="89"/>
        <v>100</v>
      </c>
      <c r="V776" s="38" t="s">
        <v>827</v>
      </c>
      <c r="W776" s="39">
        <f t="shared" si="90"/>
        <v>0.5</v>
      </c>
      <c r="X776" s="40" t="s">
        <v>304</v>
      </c>
      <c r="Y776" s="40" t="s">
        <v>284</v>
      </c>
      <c r="Z776" s="40" t="s">
        <v>307</v>
      </c>
      <c r="AA776" s="33" t="s">
        <v>313</v>
      </c>
      <c r="AB776" s="95"/>
      <c r="AC776" s="95"/>
    </row>
    <row r="777" spans="1:29" ht="14.45" hidden="1" customHeight="1" x14ac:dyDescent="0.25">
      <c r="A777" s="36" t="str">
        <f>INDEX('Base de données Mono'!C:C,MATCH(B777,'Base de données Mono'!D:D,0))</f>
        <v>Terrasse du Port</v>
      </c>
      <c r="B777" t="s">
        <v>464</v>
      </c>
      <c r="C777" s="36" t="str">
        <f>INDEX('Base de données Mono'!B:B,MATCH(B777,'Base de données Mono'!D:D,0))</f>
        <v>Monoprix</v>
      </c>
      <c r="D777" s="36" t="str">
        <f>INDEX('Base de données Mono'!A:A,MATCH(B777,'Base de données Mono'!D:D,0))</f>
        <v>AD</v>
      </c>
      <c r="E777" s="37" t="s">
        <v>303</v>
      </c>
      <c r="F777" s="41">
        <f t="shared" si="85"/>
        <v>14</v>
      </c>
      <c r="G777" s="41">
        <f t="shared" si="86"/>
        <v>4</v>
      </c>
      <c r="H777">
        <v>8.83</v>
      </c>
      <c r="I777" s="131">
        <f>INDEX('Base de données Mono'!K:K,MATCH(B777,'Base de données Mono'!D:D,0))</f>
        <v>0.25</v>
      </c>
      <c r="J777" s="131">
        <f>INDEX('Base de données Mono'!L:L,MATCH(B777,'Base de données Mono'!D:D,0))</f>
        <v>0.88194444444444453</v>
      </c>
      <c r="K777" s="131">
        <f>INDEX('Base de données Mono'!M:M,MATCH(B777,'Base de données Mono'!D:D,0))</f>
        <v>0.28472222222222221</v>
      </c>
      <c r="L777" s="131">
        <f>INDEX('Base de données Mono'!N:N,MATCH(B777,'Base de données Mono'!D:D,0))</f>
        <v>0.88194444444444453</v>
      </c>
      <c r="M777" s="33" t="s">
        <v>46</v>
      </c>
      <c r="N777" s="33">
        <f>IF(AND(E777="Electricité",M777="Hiver"),INDEX('Base de données Mono'!E:E,MATCH(B777,'Base de données Mono'!D:D,0)),IF(AND(E777="Electricité",M777="Mi-saison"),INDEX('Base de données Mono'!F:F,MATCH(B777,'Base de données Mono'!D:D,0)),IF(AND(E777="Electricité",M777="Eté"),INDEX('Base de données Mono'!G:G,MATCH(B777,'Base de données Mono'!D:D,0)),IF(AND(E777="Gaz",M777="Hiver"),INDEX('Base de données Mono'!J:J,MATCH(B777,'Base de données Mono'!D:D,0)),IF(AND(E777="Gaz",M777="Mi-saison"),INDEX('Base de données Mono'!#REF!,MATCH(B777,'Base de données Mono'!D:D,0)),IF(AND(E777="Gaz",M777="Eté"),INDEX('Base de données Mono'!#REF!,MATCH(B777,'Base de données Mono'!D:D,0)),"-"))))))</f>
        <v>50</v>
      </c>
      <c r="O777" s="123">
        <v>45383</v>
      </c>
      <c r="P777" s="123">
        <v>45388</v>
      </c>
      <c r="Q777" s="34">
        <v>70</v>
      </c>
      <c r="R777" s="33">
        <f t="shared" si="87"/>
        <v>20</v>
      </c>
      <c r="S777" s="34">
        <v>1</v>
      </c>
      <c r="T777" s="34">
        <f t="shared" si="88"/>
        <v>5</v>
      </c>
      <c r="U777" s="33">
        <f t="shared" si="89"/>
        <v>100</v>
      </c>
      <c r="V777" s="38" t="s">
        <v>827</v>
      </c>
      <c r="W777" s="39">
        <f t="shared" si="90"/>
        <v>0.4</v>
      </c>
      <c r="X777" s="40" t="s">
        <v>304</v>
      </c>
      <c r="Y777" s="40" t="s">
        <v>283</v>
      </c>
      <c r="Z777" s="40" t="s">
        <v>749</v>
      </c>
      <c r="AA777" s="33" t="s">
        <v>749</v>
      </c>
      <c r="AB777" s="95"/>
      <c r="AC777" s="95"/>
    </row>
    <row r="778" spans="1:29" ht="14.45" hidden="1" customHeight="1" x14ac:dyDescent="0.25">
      <c r="A778" s="36" t="str">
        <f>INDEX('Base de données Mono'!C:C,MATCH(B778,'Base de données Mono'!D:D,0))</f>
        <v>Terrasse du Port</v>
      </c>
      <c r="B778" t="s">
        <v>464</v>
      </c>
      <c r="C778" s="36" t="str">
        <f>INDEX('Base de données Mono'!B:B,MATCH(B778,'Base de données Mono'!D:D,0))</f>
        <v>Monoprix</v>
      </c>
      <c r="D778" s="36" t="str">
        <f>INDEX('Base de données Mono'!A:A,MATCH(B778,'Base de données Mono'!D:D,0))</f>
        <v>AD</v>
      </c>
      <c r="E778" s="37" t="s">
        <v>303</v>
      </c>
      <c r="F778" s="41">
        <f t="shared" si="85"/>
        <v>14</v>
      </c>
      <c r="G778" s="41">
        <f t="shared" si="86"/>
        <v>4</v>
      </c>
      <c r="H778">
        <v>8.83</v>
      </c>
      <c r="I778" s="131">
        <f>INDEX('Base de données Mono'!K:K,MATCH(B778,'Base de données Mono'!D:D,0))</f>
        <v>0.25</v>
      </c>
      <c r="J778" s="131">
        <f>INDEX('Base de données Mono'!L:L,MATCH(B778,'Base de données Mono'!D:D,0))</f>
        <v>0.88194444444444453</v>
      </c>
      <c r="K778" s="131">
        <f>INDEX('Base de données Mono'!M:M,MATCH(B778,'Base de données Mono'!D:D,0))</f>
        <v>0.28472222222222221</v>
      </c>
      <c r="L778" s="131">
        <f>INDEX('Base de données Mono'!N:N,MATCH(B778,'Base de données Mono'!D:D,0))</f>
        <v>0.88194444444444453</v>
      </c>
      <c r="M778" s="33" t="s">
        <v>46</v>
      </c>
      <c r="N778" s="33">
        <f>IF(AND(E778="Electricité",M778="Hiver"),INDEX('Base de données Mono'!E:E,MATCH(B778,'Base de données Mono'!D:D,0)),IF(AND(E778="Electricité",M778="Mi-saison"),INDEX('Base de données Mono'!F:F,MATCH(B778,'Base de données Mono'!D:D,0)),IF(AND(E778="Electricité",M778="Eté"),INDEX('Base de données Mono'!G:G,MATCH(B778,'Base de données Mono'!D:D,0)),IF(AND(E778="Gaz",M778="Hiver"),INDEX('Base de données Mono'!J:J,MATCH(B778,'Base de données Mono'!D:D,0)),IF(AND(E778="Gaz",M778="Mi-saison"),INDEX('Base de données Mono'!#REF!,MATCH(B778,'Base de données Mono'!D:D,0)),IF(AND(E778="Gaz",M778="Eté"),INDEX('Base de données Mono'!#REF!,MATCH(B778,'Base de données Mono'!D:D,0)),"-"))))))</f>
        <v>50</v>
      </c>
      <c r="O778" s="123">
        <v>45385</v>
      </c>
      <c r="P778" s="123">
        <v>45386</v>
      </c>
      <c r="Q778" s="34">
        <v>55</v>
      </c>
      <c r="R778" s="33">
        <f t="shared" si="87"/>
        <v>5</v>
      </c>
      <c r="S778" s="34">
        <v>1</v>
      </c>
      <c r="T778" s="34">
        <f t="shared" si="88"/>
        <v>1</v>
      </c>
      <c r="U778" s="33">
        <f t="shared" si="89"/>
        <v>5</v>
      </c>
      <c r="V778" s="38" t="s">
        <v>827</v>
      </c>
      <c r="W778" s="39">
        <f t="shared" si="90"/>
        <v>0.1</v>
      </c>
      <c r="X778" s="40" t="s">
        <v>304</v>
      </c>
      <c r="Y778" s="40" t="s">
        <v>283</v>
      </c>
      <c r="Z778" s="40" t="s">
        <v>749</v>
      </c>
      <c r="AA778" s="33" t="s">
        <v>749</v>
      </c>
      <c r="AB778" s="95"/>
      <c r="AC778" s="95"/>
    </row>
    <row r="779" spans="1:29" ht="14.45" hidden="1" customHeight="1" x14ac:dyDescent="0.25">
      <c r="A779" s="36" t="str">
        <f>INDEX('Base de données Mono'!C:C,MATCH(B779,'Base de données Mono'!D:D,0))</f>
        <v>Montpellier JCoeur</v>
      </c>
      <c r="B779" t="s">
        <v>500</v>
      </c>
      <c r="C779" s="36" t="str">
        <f>INDEX('Base de données Mono'!B:B,MATCH(B779,'Base de données Mono'!D:D,0))</f>
        <v>Monoprix</v>
      </c>
      <c r="D779" s="36" t="str">
        <f>INDEX('Base de données Mono'!A:A,MATCH(B779,'Base de données Mono'!D:D,0))</f>
        <v>-</v>
      </c>
      <c r="E779" s="37" t="s">
        <v>303</v>
      </c>
      <c r="F779" s="41">
        <f t="shared" si="85"/>
        <v>14</v>
      </c>
      <c r="G779" s="41">
        <f t="shared" si="86"/>
        <v>4</v>
      </c>
      <c r="H779">
        <v>8.33</v>
      </c>
      <c r="I779" s="131">
        <f>INDEX('Base de données Mono'!K:K,MATCH(B779,'Base de données Mono'!D:D,0))</f>
        <v>0.23611111111111113</v>
      </c>
      <c r="J779" s="131">
        <f>INDEX('Base de données Mono'!L:L,MATCH(B779,'Base de données Mono'!D:D,0))</f>
        <v>0.88888888888888884</v>
      </c>
      <c r="K779" s="131">
        <f>INDEX('Base de données Mono'!M:M,MATCH(B779,'Base de données Mono'!D:D,0))</f>
        <v>0.31944444444444448</v>
      </c>
      <c r="L779" s="131">
        <f>INDEX('Base de données Mono'!N:N,MATCH(B779,'Base de données Mono'!D:D,0))</f>
        <v>0.54861111111111105</v>
      </c>
      <c r="M779" s="33" t="s">
        <v>46</v>
      </c>
      <c r="N779" s="33">
        <f>IF(AND(E779="Electricité",M779="Hiver"),INDEX('Base de données Mono'!E:E,MATCH(B779,'Base de données Mono'!D:D,0)),IF(AND(E779="Electricité",M779="Mi-saison"),INDEX('Base de données Mono'!F:F,MATCH(B779,'Base de données Mono'!D:D,0)),IF(AND(E779="Electricité",M779="Eté"),INDEX('Base de données Mono'!G:G,MATCH(B779,'Base de données Mono'!D:D,0)),IF(AND(E779="Gaz",M779="Hiver"),INDEX('Base de données Mono'!J:J,MATCH(B779,'Base de données Mono'!D:D,0)),IF(AND(E779="Gaz",M779="Mi-saison"),INDEX('Base de données Mono'!#REF!,MATCH(B779,'Base de données Mono'!D:D,0)),IF(AND(E779="Gaz",M779="Eté"),INDEX('Base de données Mono'!#REF!,MATCH(B779,'Base de données Mono'!D:D,0)),"-"))))))</f>
        <v>30</v>
      </c>
      <c r="O779" s="123">
        <v>45383</v>
      </c>
      <c r="P779" s="123">
        <v>45389</v>
      </c>
      <c r="Q779" s="34">
        <v>35</v>
      </c>
      <c r="R779" s="33">
        <f t="shared" si="87"/>
        <v>5</v>
      </c>
      <c r="S779" s="34">
        <v>1</v>
      </c>
      <c r="T779" s="34">
        <f t="shared" si="88"/>
        <v>6</v>
      </c>
      <c r="U779" s="33">
        <f t="shared" si="89"/>
        <v>30</v>
      </c>
      <c r="V779" s="38" t="s">
        <v>827</v>
      </c>
      <c r="W779" s="39">
        <f t="shared" si="90"/>
        <v>0.16666666666666666</v>
      </c>
      <c r="X779" s="40" t="s">
        <v>304</v>
      </c>
      <c r="Y779" s="40" t="s">
        <v>283</v>
      </c>
      <c r="Z779" s="40" t="s">
        <v>749</v>
      </c>
      <c r="AA779" s="33" t="s">
        <v>749</v>
      </c>
      <c r="AB779" s="95"/>
      <c r="AC779" s="95"/>
    </row>
    <row r="780" spans="1:29" ht="14.45" hidden="1" customHeight="1" x14ac:dyDescent="0.25">
      <c r="A780" s="36" t="str">
        <f>INDEX('Base de données Mono'!C:C,MATCH(B780,'Base de données Mono'!D:D,0))</f>
        <v>Toulouse</v>
      </c>
      <c r="B780" t="s">
        <v>489</v>
      </c>
      <c r="C780" s="36" t="str">
        <f>INDEX('Base de données Mono'!B:B,MATCH(B780,'Base de données Mono'!D:D,0))</f>
        <v>Monoprix</v>
      </c>
      <c r="D780" s="36" t="str">
        <f>INDEX('Base de données Mono'!A:A,MATCH(B780,'Base de données Mono'!D:D,0))</f>
        <v>AD</v>
      </c>
      <c r="E780" s="37" t="s">
        <v>303</v>
      </c>
      <c r="F780" s="41">
        <f t="shared" si="85"/>
        <v>14</v>
      </c>
      <c r="G780" s="41">
        <f t="shared" si="86"/>
        <v>4</v>
      </c>
      <c r="H780">
        <v>7.67</v>
      </c>
      <c r="I780" s="131">
        <f>INDEX('Base de données Mono'!K:K,MATCH(B780,'Base de données Mono'!D:D,0))</f>
        <v>0.23611111111111113</v>
      </c>
      <c r="J780" s="131">
        <f>INDEX('Base de données Mono'!L:L,MATCH(B780,'Base de données Mono'!D:D,0))</f>
        <v>0.91666666666666663</v>
      </c>
      <c r="K780" s="131">
        <f>INDEX('Base de données Mono'!M:M,MATCH(B780,'Base de données Mono'!D:D,0))</f>
        <v>0.29166666666666669</v>
      </c>
      <c r="L780" s="131">
        <f>INDEX('Base de données Mono'!N:N,MATCH(B780,'Base de données Mono'!D:D,0))</f>
        <v>0.55555555555555558</v>
      </c>
      <c r="M780" s="33" t="s">
        <v>46</v>
      </c>
      <c r="N780" s="33">
        <f>IF(AND(E780="Electricité",M780="Hiver"),INDEX('Base de données Mono'!E:E,MATCH(B780,'Base de données Mono'!D:D,0)),IF(AND(E780="Electricité",M780="Mi-saison"),INDEX('Base de données Mono'!F:F,MATCH(B780,'Base de données Mono'!D:D,0)),IF(AND(E780="Electricité",M780="Eté"),INDEX('Base de données Mono'!G:G,MATCH(B780,'Base de données Mono'!D:D,0)),IF(AND(E780="Gaz",M780="Hiver"),INDEX('Base de données Mono'!J:J,MATCH(B780,'Base de données Mono'!D:D,0)),IF(AND(E780="Gaz",M780="Mi-saison"),INDEX('Base de données Mono'!#REF!,MATCH(B780,'Base de données Mono'!D:D,0)),IF(AND(E780="Gaz",M780="Eté"),INDEX('Base de données Mono'!#REF!,MATCH(B780,'Base de données Mono'!D:D,0)),"-"))))))</f>
        <v>80</v>
      </c>
      <c r="O780" s="123">
        <v>45384</v>
      </c>
      <c r="P780" s="123">
        <v>45387</v>
      </c>
      <c r="Q780" s="34">
        <v>105</v>
      </c>
      <c r="R780" s="33">
        <f t="shared" si="87"/>
        <v>25</v>
      </c>
      <c r="S780" s="34">
        <v>1</v>
      </c>
      <c r="T780" s="34">
        <f t="shared" si="88"/>
        <v>3</v>
      </c>
      <c r="U780" s="33">
        <f t="shared" si="89"/>
        <v>75</v>
      </c>
      <c r="V780" s="38" t="s">
        <v>827</v>
      </c>
      <c r="W780" s="39">
        <f t="shared" si="90"/>
        <v>0.3125</v>
      </c>
      <c r="X780" s="40" t="s">
        <v>304</v>
      </c>
      <c r="Y780" s="40" t="s">
        <v>283</v>
      </c>
      <c r="Z780" s="40" t="s">
        <v>749</v>
      </c>
      <c r="AA780" s="33" t="s">
        <v>749</v>
      </c>
      <c r="AB780" s="95"/>
      <c r="AC780" s="95"/>
    </row>
    <row r="781" spans="1:29" ht="14.45" hidden="1" customHeight="1" x14ac:dyDescent="0.25">
      <c r="A781" s="36" t="str">
        <f>INDEX('Base de données Mono'!C:C,MATCH(B781,'Base de données Mono'!D:D,0))</f>
        <v>Monop Paris Versailles</v>
      </c>
      <c r="B781" t="s">
        <v>508</v>
      </c>
      <c r="C781" s="36" t="str">
        <f>INDEX('Base de données Mono'!B:B,MATCH(B781,'Base de données Mono'!D:D,0))</f>
        <v>Monop</v>
      </c>
      <c r="D781" s="36" t="str">
        <f>INDEX('Base de données Mono'!A:A,MATCH(B781,'Base de données Mono'!D:D,0))</f>
        <v>-</v>
      </c>
      <c r="E781" s="37" t="s">
        <v>303</v>
      </c>
      <c r="F781" s="41">
        <f t="shared" si="85"/>
        <v>14</v>
      </c>
      <c r="G781" s="41">
        <f t="shared" si="86"/>
        <v>4</v>
      </c>
      <c r="H781">
        <v>6</v>
      </c>
      <c r="I781" s="131">
        <f>INDEX('Base de données Mono'!K:K,MATCH(B781,'Base de données Mono'!D:D,0))</f>
        <v>0.29166666666666669</v>
      </c>
      <c r="J781" s="131">
        <f>INDEX('Base de données Mono'!L:L,MATCH(B781,'Base de données Mono'!D:D,0))</f>
        <v>4.1666666666666664E-2</v>
      </c>
      <c r="K781" s="131">
        <f>INDEX('Base de données Mono'!M:M,MATCH(B781,'Base de données Mono'!D:D,0))</f>
        <v>0.39583333333333331</v>
      </c>
      <c r="L781" s="131">
        <f>INDEX('Base de données Mono'!N:N,MATCH(B781,'Base de données Mono'!D:D,0))</f>
        <v>0.97916666666666663</v>
      </c>
      <c r="M781" s="33" t="s">
        <v>46</v>
      </c>
      <c r="N781" s="33">
        <f>IF(AND(E781="Electricité",M781="Hiver"),INDEX('Base de données Mono'!E:E,MATCH(B781,'Base de données Mono'!D:D,0)),IF(AND(E781="Electricité",M781="Mi-saison"),INDEX('Base de données Mono'!F:F,MATCH(B781,'Base de données Mono'!D:D,0)),IF(AND(E781="Electricité",M781="Eté"),INDEX('Base de données Mono'!G:G,MATCH(B781,'Base de données Mono'!D:D,0)),IF(AND(E781="Gaz",M781="Hiver"),INDEX('Base de données Mono'!J:J,MATCH(B781,'Base de données Mono'!D:D,0)),IF(AND(E781="Gaz",M781="Mi-saison"),INDEX('Base de données Mono'!#REF!,MATCH(B781,'Base de données Mono'!D:D,0)),IF(AND(E781="Gaz",M781="Eté"),INDEX('Base de données Mono'!#REF!,MATCH(B781,'Base de données Mono'!D:D,0)),"-"))))))</f>
        <v>15</v>
      </c>
      <c r="O781" s="123">
        <v>45383</v>
      </c>
      <c r="P781" s="123">
        <v>45385</v>
      </c>
      <c r="Q781" s="34">
        <v>25</v>
      </c>
      <c r="R781" s="33">
        <f t="shared" si="87"/>
        <v>10</v>
      </c>
      <c r="S781" s="34">
        <v>4</v>
      </c>
      <c r="T781" s="34">
        <f t="shared" si="88"/>
        <v>2</v>
      </c>
      <c r="U781" s="33">
        <f t="shared" si="89"/>
        <v>80</v>
      </c>
      <c r="V781" s="38" t="s">
        <v>827</v>
      </c>
      <c r="W781" s="39">
        <f t="shared" si="90"/>
        <v>0.66666666666666663</v>
      </c>
      <c r="X781" s="40" t="s">
        <v>304</v>
      </c>
      <c r="Y781" s="40" t="s">
        <v>283</v>
      </c>
      <c r="Z781" s="40" t="s">
        <v>749</v>
      </c>
      <c r="AA781" s="33" t="s">
        <v>749</v>
      </c>
      <c r="AB781" s="95"/>
      <c r="AC781" s="95"/>
    </row>
    <row r="782" spans="1:29" ht="14.45" hidden="1" customHeight="1" x14ac:dyDescent="0.25">
      <c r="A782" s="36" t="str">
        <f>INDEX('Base de données Mono'!C:C,MATCH(B782,'Base de données Mono'!D:D,0))</f>
        <v>Monop Marseille Paradis</v>
      </c>
      <c r="B782" t="s">
        <v>493</v>
      </c>
      <c r="C782" s="36" t="str">
        <f>INDEX('Base de données Mono'!B:B,MATCH(B782,'Base de données Mono'!D:D,0))</f>
        <v>Monop</v>
      </c>
      <c r="D782" s="36" t="str">
        <f>INDEX('Base de données Mono'!A:A,MATCH(B782,'Base de données Mono'!D:D,0))</f>
        <v>AD</v>
      </c>
      <c r="E782" s="37" t="s">
        <v>303</v>
      </c>
      <c r="F782" s="41">
        <f t="shared" si="85"/>
        <v>14</v>
      </c>
      <c r="G782" s="41">
        <f t="shared" si="86"/>
        <v>4</v>
      </c>
      <c r="H782">
        <v>7</v>
      </c>
      <c r="I782" s="131">
        <f>INDEX('Base de données Mono'!K:K,MATCH(B782,'Base de données Mono'!D:D,0))</f>
        <v>0.25</v>
      </c>
      <c r="J782" s="131">
        <f>INDEX('Base de données Mono'!L:L,MATCH(B782,'Base de données Mono'!D:D,0))</f>
        <v>0.95833333333333337</v>
      </c>
      <c r="K782" s="131">
        <f>INDEX('Base de données Mono'!M:M,MATCH(B782,'Base de données Mono'!D:D,0))</f>
        <v>0.30555555555555552</v>
      </c>
      <c r="L782" s="131">
        <f>INDEX('Base de données Mono'!N:N,MATCH(B782,'Base de données Mono'!D:D,0))</f>
        <v>0.86111111111111116</v>
      </c>
      <c r="M782" s="33" t="s">
        <v>46</v>
      </c>
      <c r="N782" s="33">
        <f>IF(AND(E782="Electricité",M782="Hiver"),INDEX('Base de données Mono'!E:E,MATCH(B782,'Base de données Mono'!D:D,0)),IF(AND(E782="Electricité",M782="Mi-saison"),INDEX('Base de données Mono'!F:F,MATCH(B782,'Base de données Mono'!D:D,0)),IF(AND(E782="Electricité",M782="Eté"),INDEX('Base de données Mono'!G:G,MATCH(B782,'Base de données Mono'!D:D,0)),IF(AND(E782="Gaz",M782="Hiver"),INDEX('Base de données Mono'!J:J,MATCH(B782,'Base de données Mono'!D:D,0)),IF(AND(E782="Gaz",M782="Mi-saison"),INDEX('Base de données Mono'!#REF!,MATCH(B782,'Base de données Mono'!D:D,0)),IF(AND(E782="Gaz",M782="Eté"),INDEX('Base de données Mono'!#REF!,MATCH(B782,'Base de données Mono'!D:D,0)),"-"))))))</f>
        <v>15</v>
      </c>
      <c r="O782" s="123">
        <v>45383</v>
      </c>
      <c r="P782" s="123">
        <v>45389</v>
      </c>
      <c r="Q782" s="34">
        <v>20</v>
      </c>
      <c r="R782" s="33">
        <f t="shared" si="87"/>
        <v>5</v>
      </c>
      <c r="S782" s="34">
        <v>2</v>
      </c>
      <c r="T782" s="34">
        <f t="shared" si="88"/>
        <v>6</v>
      </c>
      <c r="U782" s="33">
        <f t="shared" si="89"/>
        <v>60</v>
      </c>
      <c r="V782" s="38" t="s">
        <v>827</v>
      </c>
      <c r="W782" s="39">
        <f t="shared" si="90"/>
        <v>0.33333333333333331</v>
      </c>
      <c r="X782" s="40" t="s">
        <v>304</v>
      </c>
      <c r="Y782" s="40" t="s">
        <v>283</v>
      </c>
      <c r="Z782" s="40" t="s">
        <v>749</v>
      </c>
      <c r="AA782" s="33" t="s">
        <v>749</v>
      </c>
      <c r="AB782" s="95"/>
      <c r="AC782" s="95"/>
    </row>
    <row r="783" spans="1:29" ht="14.45" hidden="1" customHeight="1" x14ac:dyDescent="0.25">
      <c r="A783" s="36" t="str">
        <f>INDEX('Base de données Mono'!C:C,MATCH(B783,'Base de données Mono'!D:D,0))</f>
        <v>Monop Paris Versailles</v>
      </c>
      <c r="B783" t="s">
        <v>508</v>
      </c>
      <c r="C783" s="36" t="str">
        <f>INDEX('Base de données Mono'!B:B,MATCH(B783,'Base de données Mono'!D:D,0))</f>
        <v>Monop</v>
      </c>
      <c r="D783" s="36" t="str">
        <f>INDEX('Base de données Mono'!A:A,MATCH(B783,'Base de données Mono'!D:D,0))</f>
        <v>-</v>
      </c>
      <c r="E783" s="37" t="s">
        <v>303</v>
      </c>
      <c r="F783" s="41">
        <f t="shared" si="85"/>
        <v>14</v>
      </c>
      <c r="G783" s="41">
        <f t="shared" si="86"/>
        <v>4</v>
      </c>
      <c r="H783">
        <v>6</v>
      </c>
      <c r="I783" s="131">
        <f>INDEX('Base de données Mono'!K:K,MATCH(B783,'Base de données Mono'!D:D,0))</f>
        <v>0.29166666666666669</v>
      </c>
      <c r="J783" s="131">
        <f>INDEX('Base de données Mono'!L:L,MATCH(B783,'Base de données Mono'!D:D,0))</f>
        <v>4.1666666666666664E-2</v>
      </c>
      <c r="K783" s="131">
        <f>INDEX('Base de données Mono'!M:M,MATCH(B783,'Base de données Mono'!D:D,0))</f>
        <v>0.39583333333333331</v>
      </c>
      <c r="L783" s="131">
        <f>INDEX('Base de données Mono'!N:N,MATCH(B783,'Base de données Mono'!D:D,0))</f>
        <v>0.97916666666666663</v>
      </c>
      <c r="M783" s="33" t="s">
        <v>46</v>
      </c>
      <c r="N783" s="33">
        <f>IF(AND(E783="Electricité",M783="Hiver"),INDEX('Base de données Mono'!E:E,MATCH(B783,'Base de données Mono'!D:D,0)),IF(AND(E783="Electricité",M783="Mi-saison"),INDEX('Base de données Mono'!F:F,MATCH(B783,'Base de données Mono'!D:D,0)),IF(AND(E783="Electricité",M783="Eté"),INDEX('Base de données Mono'!G:G,MATCH(B783,'Base de données Mono'!D:D,0)),IF(AND(E783="Gaz",M783="Hiver"),INDEX('Base de données Mono'!J:J,MATCH(B783,'Base de données Mono'!D:D,0)),IF(AND(E783="Gaz",M783="Mi-saison"),INDEX('Base de données Mono'!#REF!,MATCH(B783,'Base de données Mono'!D:D,0)),IF(AND(E783="Gaz",M783="Eté"),INDEX('Base de données Mono'!#REF!,MATCH(B783,'Base de données Mono'!D:D,0)),"-"))))))</f>
        <v>15</v>
      </c>
      <c r="O783" s="123">
        <v>45384</v>
      </c>
      <c r="P783" s="123">
        <v>45386</v>
      </c>
      <c r="Q783" s="34">
        <v>30</v>
      </c>
      <c r="R783" s="33">
        <f t="shared" si="87"/>
        <v>15</v>
      </c>
      <c r="S783" s="34">
        <v>2</v>
      </c>
      <c r="T783" s="34">
        <f t="shared" si="88"/>
        <v>2</v>
      </c>
      <c r="U783" s="33">
        <f t="shared" si="89"/>
        <v>60</v>
      </c>
      <c r="V783" s="38" t="s">
        <v>827</v>
      </c>
      <c r="W783" s="39">
        <f t="shared" si="90"/>
        <v>1</v>
      </c>
      <c r="X783" s="40" t="s">
        <v>304</v>
      </c>
      <c r="Y783" s="40" t="s">
        <v>283</v>
      </c>
      <c r="Z783" s="40" t="s">
        <v>749</v>
      </c>
      <c r="AA783" s="33" t="s">
        <v>749</v>
      </c>
      <c r="AB783" s="95"/>
      <c r="AC783" s="95"/>
    </row>
    <row r="784" spans="1:29" ht="14.45" hidden="1" customHeight="1" x14ac:dyDescent="0.25">
      <c r="A784" s="36" t="str">
        <f>INDEX('Base de données Mono'!C:C,MATCH(B784,'Base de données Mono'!D:D,0))</f>
        <v>Monop Paris Versailles</v>
      </c>
      <c r="B784" t="s">
        <v>508</v>
      </c>
      <c r="C784" s="36" t="str">
        <f>INDEX('Base de données Mono'!B:B,MATCH(B784,'Base de données Mono'!D:D,0))</f>
        <v>Monop</v>
      </c>
      <c r="D784" s="36" t="str">
        <f>INDEX('Base de données Mono'!A:A,MATCH(B784,'Base de données Mono'!D:D,0))</f>
        <v>-</v>
      </c>
      <c r="E784" s="37" t="s">
        <v>303</v>
      </c>
      <c r="F784" s="41">
        <f t="shared" si="85"/>
        <v>14</v>
      </c>
      <c r="G784" s="41">
        <f t="shared" si="86"/>
        <v>4</v>
      </c>
      <c r="H784">
        <v>6</v>
      </c>
      <c r="I784" s="131">
        <f>INDEX('Base de données Mono'!K:K,MATCH(B784,'Base de données Mono'!D:D,0))</f>
        <v>0.29166666666666669</v>
      </c>
      <c r="J784" s="131">
        <f>INDEX('Base de données Mono'!L:L,MATCH(B784,'Base de données Mono'!D:D,0))</f>
        <v>4.1666666666666664E-2</v>
      </c>
      <c r="K784" s="131">
        <f>INDEX('Base de données Mono'!M:M,MATCH(B784,'Base de données Mono'!D:D,0))</f>
        <v>0.39583333333333331</v>
      </c>
      <c r="L784" s="131">
        <f>INDEX('Base de données Mono'!N:N,MATCH(B784,'Base de données Mono'!D:D,0))</f>
        <v>0.97916666666666663</v>
      </c>
      <c r="M784" s="33" t="s">
        <v>46</v>
      </c>
      <c r="N784" s="33">
        <f>IF(AND(E784="Electricité",M784="Hiver"),INDEX('Base de données Mono'!E:E,MATCH(B784,'Base de données Mono'!D:D,0)),IF(AND(E784="Electricité",M784="Mi-saison"),INDEX('Base de données Mono'!F:F,MATCH(B784,'Base de données Mono'!D:D,0)),IF(AND(E784="Electricité",M784="Eté"),INDEX('Base de données Mono'!G:G,MATCH(B784,'Base de données Mono'!D:D,0)),IF(AND(E784="Gaz",M784="Hiver"),INDEX('Base de données Mono'!J:J,MATCH(B784,'Base de données Mono'!D:D,0)),IF(AND(E784="Gaz",M784="Mi-saison"),INDEX('Base de données Mono'!#REF!,MATCH(B784,'Base de données Mono'!D:D,0)),IF(AND(E784="Gaz",M784="Eté"),INDEX('Base de données Mono'!#REF!,MATCH(B784,'Base de données Mono'!D:D,0)),"-"))))))</f>
        <v>15</v>
      </c>
      <c r="O784" s="123">
        <v>45385</v>
      </c>
      <c r="P784" s="123">
        <v>45389</v>
      </c>
      <c r="Q784" s="34">
        <v>20</v>
      </c>
      <c r="R784" s="33">
        <f t="shared" si="87"/>
        <v>5</v>
      </c>
      <c r="S784" s="34">
        <v>5</v>
      </c>
      <c r="T784" s="34">
        <f t="shared" si="88"/>
        <v>4</v>
      </c>
      <c r="U784" s="33">
        <f t="shared" si="89"/>
        <v>100</v>
      </c>
      <c r="V784" s="38" t="s">
        <v>827</v>
      </c>
      <c r="W784" s="39">
        <f t="shared" si="90"/>
        <v>0.33333333333333331</v>
      </c>
      <c r="X784" s="40" t="s">
        <v>304</v>
      </c>
      <c r="Y784" s="40" t="s">
        <v>283</v>
      </c>
      <c r="Z784" s="40" t="s">
        <v>749</v>
      </c>
      <c r="AA784" s="33" t="s">
        <v>749</v>
      </c>
      <c r="AB784" s="95"/>
      <c r="AC784" s="95"/>
    </row>
    <row r="785" spans="1:29" ht="14.45" hidden="1" customHeight="1" x14ac:dyDescent="0.25">
      <c r="A785" s="36" t="str">
        <f>INDEX('Base de données Mono'!C:C,MATCH(B785,'Base de données Mono'!D:D,0))</f>
        <v>Saint Tropez</v>
      </c>
      <c r="B785" t="s">
        <v>491</v>
      </c>
      <c r="C785" s="36" t="str">
        <f>INDEX('Base de données Mono'!B:B,MATCH(B785,'Base de données Mono'!D:D,0))</f>
        <v>Monoprix</v>
      </c>
      <c r="D785" s="36" t="str">
        <f>INDEX('Base de données Mono'!A:A,MATCH(B785,'Base de données Mono'!D:D,0))</f>
        <v>AD</v>
      </c>
      <c r="E785" s="37" t="s">
        <v>303</v>
      </c>
      <c r="F785" s="41">
        <f t="shared" si="85"/>
        <v>14</v>
      </c>
      <c r="G785" s="41">
        <f t="shared" si="86"/>
        <v>4</v>
      </c>
      <c r="H785">
        <v>7.33</v>
      </c>
      <c r="I785" s="131">
        <f>INDEX('Base de données Mono'!K:K,MATCH(B785,'Base de données Mono'!D:D,0))</f>
        <v>0.16666666666666666</v>
      </c>
      <c r="J785" s="131">
        <f>INDEX('Base de données Mono'!L:L,MATCH(B785,'Base de données Mono'!D:D,0))</f>
        <v>0.86111111111111116</v>
      </c>
      <c r="K785" s="131">
        <f>INDEX('Base de données Mono'!M:M,MATCH(B785,'Base de données Mono'!D:D,0))</f>
        <v>0.24305555555555555</v>
      </c>
      <c r="L785" s="131">
        <f>INDEX('Base de données Mono'!N:N,MATCH(B785,'Base de données Mono'!D:D,0))</f>
        <v>0.55555555555555558</v>
      </c>
      <c r="M785" s="33" t="s">
        <v>46</v>
      </c>
      <c r="N785" s="33">
        <f>IF(AND(E785="Electricité",M785="Hiver"),INDEX('Base de données Mono'!E:E,MATCH(B785,'Base de données Mono'!D:D,0)),IF(AND(E785="Electricité",M785="Mi-saison"),INDEX('Base de données Mono'!F:F,MATCH(B785,'Base de données Mono'!D:D,0)),IF(AND(E785="Electricité",M785="Eté"),INDEX('Base de données Mono'!G:G,MATCH(B785,'Base de données Mono'!D:D,0)),IF(AND(E785="Gaz",M785="Hiver"),INDEX('Base de données Mono'!J:J,MATCH(B785,'Base de données Mono'!D:D,0)),IF(AND(E785="Gaz",M785="Mi-saison"),INDEX('Base de données Mono'!#REF!,MATCH(B785,'Base de données Mono'!D:D,0)),IF(AND(E785="Gaz",M785="Eté"),INDEX('Base de données Mono'!#REF!,MATCH(B785,'Base de données Mono'!D:D,0)),"-"))))))</f>
        <v>35</v>
      </c>
      <c r="O785" s="123">
        <v>45383</v>
      </c>
      <c r="P785" s="123">
        <v>45385</v>
      </c>
      <c r="Q785" s="34">
        <v>40</v>
      </c>
      <c r="R785" s="33">
        <f t="shared" si="87"/>
        <v>5</v>
      </c>
      <c r="S785" s="34">
        <v>7</v>
      </c>
      <c r="T785" s="34">
        <f t="shared" si="88"/>
        <v>2</v>
      </c>
      <c r="U785" s="33">
        <f t="shared" si="89"/>
        <v>70</v>
      </c>
      <c r="V785" s="38" t="s">
        <v>827</v>
      </c>
      <c r="W785" s="39">
        <f t="shared" si="90"/>
        <v>0.14285714285714285</v>
      </c>
      <c r="X785" s="40" t="s">
        <v>304</v>
      </c>
      <c r="Y785" s="40" t="s">
        <v>283</v>
      </c>
      <c r="Z785" s="40" t="s">
        <v>749</v>
      </c>
      <c r="AA785" s="33" t="s">
        <v>749</v>
      </c>
      <c r="AB785" s="95"/>
      <c r="AC785" s="95"/>
    </row>
    <row r="786" spans="1:29" ht="14.45" hidden="1" customHeight="1" x14ac:dyDescent="0.25">
      <c r="A786" s="36" t="str">
        <f>INDEX('Base de données Mono'!C:C,MATCH(B786,'Base de données Mono'!D:D,0))</f>
        <v>Monop Paris Versailles</v>
      </c>
      <c r="B786" t="s">
        <v>508</v>
      </c>
      <c r="C786" s="36" t="str">
        <f>INDEX('Base de données Mono'!B:B,MATCH(B786,'Base de données Mono'!D:D,0))</f>
        <v>Monop</v>
      </c>
      <c r="D786" s="36" t="str">
        <f>INDEX('Base de données Mono'!A:A,MATCH(B786,'Base de données Mono'!D:D,0))</f>
        <v>-</v>
      </c>
      <c r="E786" s="37" t="s">
        <v>303</v>
      </c>
      <c r="F786" s="41">
        <f t="shared" si="85"/>
        <v>14</v>
      </c>
      <c r="G786" s="41">
        <f t="shared" si="86"/>
        <v>4</v>
      </c>
      <c r="H786">
        <v>6</v>
      </c>
      <c r="I786" s="131">
        <f>INDEX('Base de données Mono'!K:K,MATCH(B786,'Base de données Mono'!D:D,0))</f>
        <v>0.29166666666666669</v>
      </c>
      <c r="J786" s="131">
        <f>INDEX('Base de données Mono'!L:L,MATCH(B786,'Base de données Mono'!D:D,0))</f>
        <v>4.1666666666666664E-2</v>
      </c>
      <c r="K786" s="131">
        <f>INDEX('Base de données Mono'!M:M,MATCH(B786,'Base de données Mono'!D:D,0))</f>
        <v>0.39583333333333331</v>
      </c>
      <c r="L786" s="131">
        <f>INDEX('Base de données Mono'!N:N,MATCH(B786,'Base de données Mono'!D:D,0))</f>
        <v>0.97916666666666663</v>
      </c>
      <c r="M786" s="33" t="s">
        <v>46</v>
      </c>
      <c r="N786" s="33">
        <f>IF(AND(E786="Electricité",M786="Hiver"),INDEX('Base de données Mono'!E:E,MATCH(B786,'Base de données Mono'!D:D,0)),IF(AND(E786="Electricité",M786="Mi-saison"),INDEX('Base de données Mono'!F:F,MATCH(B786,'Base de données Mono'!D:D,0)),IF(AND(E786="Electricité",M786="Eté"),INDEX('Base de données Mono'!G:G,MATCH(B786,'Base de données Mono'!D:D,0)),IF(AND(E786="Gaz",M786="Hiver"),INDEX('Base de données Mono'!J:J,MATCH(B786,'Base de données Mono'!D:D,0)),IF(AND(E786="Gaz",M786="Mi-saison"),INDEX('Base de données Mono'!#REF!,MATCH(B786,'Base de données Mono'!D:D,0)),IF(AND(E786="Gaz",M786="Eté"),INDEX('Base de données Mono'!#REF!,MATCH(B786,'Base de données Mono'!D:D,0)),"-"))))))</f>
        <v>15</v>
      </c>
      <c r="O786" s="123">
        <v>45386</v>
      </c>
      <c r="P786" s="123">
        <v>45388</v>
      </c>
      <c r="Q786" s="34">
        <v>35</v>
      </c>
      <c r="R786" s="33">
        <f t="shared" si="87"/>
        <v>20</v>
      </c>
      <c r="S786" s="34">
        <v>1</v>
      </c>
      <c r="T786" s="34">
        <f t="shared" si="88"/>
        <v>2</v>
      </c>
      <c r="U786" s="33">
        <f t="shared" si="89"/>
        <v>40</v>
      </c>
      <c r="V786" s="38" t="s">
        <v>827</v>
      </c>
      <c r="W786" s="39">
        <f t="shared" si="90"/>
        <v>1.3333333333333333</v>
      </c>
      <c r="X786" s="40" t="s">
        <v>304</v>
      </c>
      <c r="Y786" s="40" t="s">
        <v>283</v>
      </c>
      <c r="Z786" s="40" t="s">
        <v>749</v>
      </c>
      <c r="AA786" s="33" t="s">
        <v>749</v>
      </c>
      <c r="AB786" s="95"/>
      <c r="AC786" s="95"/>
    </row>
    <row r="787" spans="1:29" ht="14.45" hidden="1" customHeight="1" x14ac:dyDescent="0.25">
      <c r="A787" s="36" t="str">
        <f>INDEX('Base de données Mono'!C:C,MATCH(B787,'Base de données Mono'!D:D,0))</f>
        <v>Saint Tropez</v>
      </c>
      <c r="B787" t="s">
        <v>491</v>
      </c>
      <c r="C787" s="36" t="str">
        <f>INDEX('Base de données Mono'!B:B,MATCH(B787,'Base de données Mono'!D:D,0))</f>
        <v>Monoprix</v>
      </c>
      <c r="D787" s="36" t="str">
        <f>INDEX('Base de données Mono'!A:A,MATCH(B787,'Base de données Mono'!D:D,0))</f>
        <v>AD</v>
      </c>
      <c r="E787" s="37" t="s">
        <v>303</v>
      </c>
      <c r="F787" s="41">
        <f t="shared" si="85"/>
        <v>14</v>
      </c>
      <c r="G787" s="41">
        <f t="shared" si="86"/>
        <v>4</v>
      </c>
      <c r="H787">
        <v>7.33</v>
      </c>
      <c r="I787" s="131">
        <f>INDEX('Base de données Mono'!K:K,MATCH(B787,'Base de données Mono'!D:D,0))</f>
        <v>0.16666666666666666</v>
      </c>
      <c r="J787" s="131">
        <f>INDEX('Base de données Mono'!L:L,MATCH(B787,'Base de données Mono'!D:D,0))</f>
        <v>0.86111111111111116</v>
      </c>
      <c r="K787" s="131">
        <f>INDEX('Base de données Mono'!M:M,MATCH(B787,'Base de données Mono'!D:D,0))</f>
        <v>0.24305555555555555</v>
      </c>
      <c r="L787" s="131">
        <f>INDEX('Base de données Mono'!N:N,MATCH(B787,'Base de données Mono'!D:D,0))</f>
        <v>0.55555555555555558</v>
      </c>
      <c r="M787" s="33" t="s">
        <v>46</v>
      </c>
      <c r="N787" s="33">
        <f>IF(AND(E787="Electricité",M787="Hiver"),INDEX('Base de données Mono'!E:E,MATCH(B787,'Base de données Mono'!D:D,0)),IF(AND(E787="Electricité",M787="Mi-saison"),INDEX('Base de données Mono'!F:F,MATCH(B787,'Base de données Mono'!D:D,0)),IF(AND(E787="Electricité",M787="Eté"),INDEX('Base de données Mono'!G:G,MATCH(B787,'Base de données Mono'!D:D,0)),IF(AND(E787="Gaz",M787="Hiver"),INDEX('Base de données Mono'!J:J,MATCH(B787,'Base de données Mono'!D:D,0)),IF(AND(E787="Gaz",M787="Mi-saison"),INDEX('Base de données Mono'!#REF!,MATCH(B787,'Base de données Mono'!D:D,0)),IF(AND(E787="Gaz",M787="Eté"),INDEX('Base de données Mono'!#REF!,MATCH(B787,'Base de données Mono'!D:D,0)),"-"))))))</f>
        <v>35</v>
      </c>
      <c r="O787" s="123">
        <v>45383</v>
      </c>
      <c r="P787" s="123">
        <v>45384</v>
      </c>
      <c r="Q787" s="34">
        <v>65</v>
      </c>
      <c r="R787" s="33">
        <f t="shared" si="87"/>
        <v>30</v>
      </c>
      <c r="S787" s="34">
        <v>1</v>
      </c>
      <c r="T787" s="34">
        <f t="shared" si="88"/>
        <v>1</v>
      </c>
      <c r="U787" s="33">
        <f t="shared" si="89"/>
        <v>30</v>
      </c>
      <c r="V787" s="38" t="s">
        <v>827</v>
      </c>
      <c r="W787" s="39">
        <f t="shared" si="90"/>
        <v>0.8571428571428571</v>
      </c>
      <c r="X787" s="40" t="s">
        <v>304</v>
      </c>
      <c r="Y787" s="40" t="s">
        <v>283</v>
      </c>
      <c r="Z787" s="40" t="s">
        <v>749</v>
      </c>
      <c r="AA787" s="33" t="s">
        <v>749</v>
      </c>
      <c r="AB787" s="95"/>
      <c r="AC787" s="95"/>
    </row>
    <row r="788" spans="1:29" ht="14.45" hidden="1" customHeight="1" x14ac:dyDescent="0.25">
      <c r="A788" s="36" t="str">
        <f>INDEX('Base de données Mono'!C:C,MATCH(B788,'Base de données Mono'!D:D,0))</f>
        <v>Saint Tropez</v>
      </c>
      <c r="B788" t="s">
        <v>491</v>
      </c>
      <c r="C788" s="36" t="str">
        <f>INDEX('Base de données Mono'!B:B,MATCH(B788,'Base de données Mono'!D:D,0))</f>
        <v>Monoprix</v>
      </c>
      <c r="D788" s="36" t="str">
        <f>INDEX('Base de données Mono'!A:A,MATCH(B788,'Base de données Mono'!D:D,0))</f>
        <v>AD</v>
      </c>
      <c r="E788" s="37" t="s">
        <v>303</v>
      </c>
      <c r="F788" s="41">
        <f t="shared" si="85"/>
        <v>14</v>
      </c>
      <c r="G788" s="41">
        <f t="shared" si="86"/>
        <v>4</v>
      </c>
      <c r="H788">
        <v>7.33</v>
      </c>
      <c r="I788" s="131">
        <f>INDEX('Base de données Mono'!K:K,MATCH(B788,'Base de données Mono'!D:D,0))</f>
        <v>0.16666666666666666</v>
      </c>
      <c r="J788" s="131">
        <f>INDEX('Base de données Mono'!L:L,MATCH(B788,'Base de données Mono'!D:D,0))</f>
        <v>0.86111111111111116</v>
      </c>
      <c r="K788" s="131">
        <f>INDEX('Base de données Mono'!M:M,MATCH(B788,'Base de données Mono'!D:D,0))</f>
        <v>0.24305555555555555</v>
      </c>
      <c r="L788" s="131">
        <f>INDEX('Base de données Mono'!N:N,MATCH(B788,'Base de données Mono'!D:D,0))</f>
        <v>0.55555555555555558</v>
      </c>
      <c r="M788" s="33" t="s">
        <v>46</v>
      </c>
      <c r="N788" s="33">
        <f>IF(AND(E788="Electricité",M788="Hiver"),INDEX('Base de données Mono'!E:E,MATCH(B788,'Base de données Mono'!D:D,0)),IF(AND(E788="Electricité",M788="Mi-saison"),INDEX('Base de données Mono'!F:F,MATCH(B788,'Base de données Mono'!D:D,0)),IF(AND(E788="Electricité",M788="Eté"),INDEX('Base de données Mono'!G:G,MATCH(B788,'Base de données Mono'!D:D,0)),IF(AND(E788="Gaz",M788="Hiver"),INDEX('Base de données Mono'!J:J,MATCH(B788,'Base de données Mono'!D:D,0)),IF(AND(E788="Gaz",M788="Mi-saison"),INDEX('Base de données Mono'!#REF!,MATCH(B788,'Base de données Mono'!D:D,0)),IF(AND(E788="Gaz",M788="Eté"),INDEX('Base de données Mono'!#REF!,MATCH(B788,'Base de données Mono'!D:D,0)),"-"))))))</f>
        <v>35</v>
      </c>
      <c r="O788" s="123">
        <v>45384</v>
      </c>
      <c r="P788" s="123">
        <v>45385</v>
      </c>
      <c r="Q788" s="34">
        <v>70</v>
      </c>
      <c r="R788" s="33">
        <f t="shared" si="87"/>
        <v>35</v>
      </c>
      <c r="S788" s="34">
        <v>1</v>
      </c>
      <c r="T788" s="34">
        <f t="shared" si="88"/>
        <v>1</v>
      </c>
      <c r="U788" s="33">
        <f t="shared" si="89"/>
        <v>35</v>
      </c>
      <c r="V788" s="38" t="s">
        <v>827</v>
      </c>
      <c r="W788" s="39">
        <f t="shared" si="90"/>
        <v>1</v>
      </c>
      <c r="X788" s="40" t="s">
        <v>304</v>
      </c>
      <c r="Y788" s="40" t="s">
        <v>283</v>
      </c>
      <c r="Z788" s="40" t="s">
        <v>749</v>
      </c>
      <c r="AA788" s="33" t="s">
        <v>749</v>
      </c>
      <c r="AB788" s="95"/>
      <c r="AC788" s="95"/>
    </row>
    <row r="789" spans="1:29" ht="14.45" hidden="1" customHeight="1" x14ac:dyDescent="0.25">
      <c r="A789" s="36" t="str">
        <f>INDEX('Base de données Mono'!C:C,MATCH(B789,'Base de données Mono'!D:D,0))</f>
        <v>Saint Tropez</v>
      </c>
      <c r="B789" t="s">
        <v>491</v>
      </c>
      <c r="C789" s="36" t="str">
        <f>INDEX('Base de données Mono'!B:B,MATCH(B789,'Base de données Mono'!D:D,0))</f>
        <v>Monoprix</v>
      </c>
      <c r="D789" s="36" t="str">
        <f>INDEX('Base de données Mono'!A:A,MATCH(B789,'Base de données Mono'!D:D,0))</f>
        <v>AD</v>
      </c>
      <c r="E789" s="37" t="s">
        <v>303</v>
      </c>
      <c r="F789" s="41">
        <f t="shared" si="85"/>
        <v>14</v>
      </c>
      <c r="G789" s="41">
        <f t="shared" si="86"/>
        <v>4</v>
      </c>
      <c r="H789">
        <v>7.33</v>
      </c>
      <c r="I789" s="131">
        <f>INDEX('Base de données Mono'!K:K,MATCH(B789,'Base de données Mono'!D:D,0))</f>
        <v>0.16666666666666666</v>
      </c>
      <c r="J789" s="131">
        <f>INDEX('Base de données Mono'!L:L,MATCH(B789,'Base de données Mono'!D:D,0))</f>
        <v>0.86111111111111116</v>
      </c>
      <c r="K789" s="131">
        <f>INDEX('Base de données Mono'!M:M,MATCH(B789,'Base de données Mono'!D:D,0))</f>
        <v>0.24305555555555555</v>
      </c>
      <c r="L789" s="131">
        <f>INDEX('Base de données Mono'!N:N,MATCH(B789,'Base de données Mono'!D:D,0))</f>
        <v>0.55555555555555558</v>
      </c>
      <c r="M789" s="33" t="s">
        <v>46</v>
      </c>
      <c r="N789" s="33">
        <f>IF(AND(E789="Electricité",M789="Hiver"),INDEX('Base de données Mono'!E:E,MATCH(B789,'Base de données Mono'!D:D,0)),IF(AND(E789="Electricité",M789="Mi-saison"),INDEX('Base de données Mono'!F:F,MATCH(B789,'Base de données Mono'!D:D,0)),IF(AND(E789="Electricité",M789="Eté"),INDEX('Base de données Mono'!G:G,MATCH(B789,'Base de données Mono'!D:D,0)),IF(AND(E789="Gaz",M789="Hiver"),INDEX('Base de données Mono'!J:J,MATCH(B789,'Base de données Mono'!D:D,0)),IF(AND(E789="Gaz",M789="Mi-saison"),INDEX('Base de données Mono'!#REF!,MATCH(B789,'Base de données Mono'!D:D,0)),IF(AND(E789="Gaz",M789="Eté"),INDEX('Base de données Mono'!#REF!,MATCH(B789,'Base de données Mono'!D:D,0)),"-"))))))</f>
        <v>35</v>
      </c>
      <c r="O789" s="123">
        <v>45385</v>
      </c>
      <c r="P789" s="123">
        <v>45386</v>
      </c>
      <c r="Q789" s="34">
        <v>50</v>
      </c>
      <c r="R789" s="33">
        <f t="shared" si="87"/>
        <v>15</v>
      </c>
      <c r="S789" s="34">
        <v>8</v>
      </c>
      <c r="T789" s="34">
        <f t="shared" si="88"/>
        <v>1</v>
      </c>
      <c r="U789" s="33">
        <f t="shared" si="89"/>
        <v>120</v>
      </c>
      <c r="V789" s="38" t="s">
        <v>827</v>
      </c>
      <c r="W789" s="39">
        <f t="shared" si="90"/>
        <v>0.42857142857142855</v>
      </c>
      <c r="X789" s="40" t="s">
        <v>304</v>
      </c>
      <c r="Y789" s="40" t="s">
        <v>283</v>
      </c>
      <c r="Z789" s="40" t="s">
        <v>749</v>
      </c>
      <c r="AA789" s="33" t="s">
        <v>749</v>
      </c>
      <c r="AB789" s="95"/>
      <c r="AC789" s="95"/>
    </row>
    <row r="790" spans="1:29" ht="14.45" hidden="1" customHeight="1" x14ac:dyDescent="0.25">
      <c r="A790" s="36" t="str">
        <f>INDEX('Base de données Mono'!C:C,MATCH(B790,'Base de données Mono'!D:D,0))</f>
        <v>Saint Tropez</v>
      </c>
      <c r="B790" t="s">
        <v>491</v>
      </c>
      <c r="C790" s="36" t="str">
        <f>INDEX('Base de données Mono'!B:B,MATCH(B790,'Base de données Mono'!D:D,0))</f>
        <v>Monoprix</v>
      </c>
      <c r="D790" s="36" t="str">
        <f>INDEX('Base de données Mono'!A:A,MATCH(B790,'Base de données Mono'!D:D,0))</f>
        <v>AD</v>
      </c>
      <c r="E790" s="37" t="s">
        <v>303</v>
      </c>
      <c r="F790" s="41">
        <f t="shared" si="85"/>
        <v>14</v>
      </c>
      <c r="G790" s="41">
        <f t="shared" si="86"/>
        <v>4</v>
      </c>
      <c r="H790">
        <v>7.33</v>
      </c>
      <c r="I790" s="131">
        <f>INDEX('Base de données Mono'!K:K,MATCH(B790,'Base de données Mono'!D:D,0))</f>
        <v>0.16666666666666666</v>
      </c>
      <c r="J790" s="131">
        <f>INDEX('Base de données Mono'!L:L,MATCH(B790,'Base de données Mono'!D:D,0))</f>
        <v>0.86111111111111116</v>
      </c>
      <c r="K790" s="131">
        <f>INDEX('Base de données Mono'!M:M,MATCH(B790,'Base de données Mono'!D:D,0))</f>
        <v>0.24305555555555555</v>
      </c>
      <c r="L790" s="131">
        <f>INDEX('Base de données Mono'!N:N,MATCH(B790,'Base de données Mono'!D:D,0))</f>
        <v>0.55555555555555558</v>
      </c>
      <c r="M790" s="33" t="s">
        <v>46</v>
      </c>
      <c r="N790" s="33">
        <f>IF(AND(E790="Electricité",M790="Hiver"),INDEX('Base de données Mono'!E:E,MATCH(B790,'Base de données Mono'!D:D,0)),IF(AND(E790="Electricité",M790="Mi-saison"),INDEX('Base de données Mono'!F:F,MATCH(B790,'Base de données Mono'!D:D,0)),IF(AND(E790="Electricité",M790="Eté"),INDEX('Base de données Mono'!G:G,MATCH(B790,'Base de données Mono'!D:D,0)),IF(AND(E790="Gaz",M790="Hiver"),INDEX('Base de données Mono'!J:J,MATCH(B790,'Base de données Mono'!D:D,0)),IF(AND(E790="Gaz",M790="Mi-saison"),INDEX('Base de données Mono'!#REF!,MATCH(B790,'Base de données Mono'!D:D,0)),IF(AND(E790="Gaz",M790="Eté"),INDEX('Base de données Mono'!#REF!,MATCH(B790,'Base de données Mono'!D:D,0)),"-"))))))</f>
        <v>35</v>
      </c>
      <c r="O790" s="123">
        <v>45386</v>
      </c>
      <c r="P790" s="123">
        <v>45388</v>
      </c>
      <c r="Q790" s="34">
        <v>40</v>
      </c>
      <c r="R790" s="33">
        <f t="shared" si="87"/>
        <v>5</v>
      </c>
      <c r="S790" s="34">
        <v>7</v>
      </c>
      <c r="T790" s="34">
        <f t="shared" si="88"/>
        <v>2</v>
      </c>
      <c r="U790" s="33">
        <f t="shared" si="89"/>
        <v>70</v>
      </c>
      <c r="V790" s="38" t="s">
        <v>827</v>
      </c>
      <c r="W790" s="39">
        <f t="shared" si="90"/>
        <v>0.14285714285714285</v>
      </c>
      <c r="X790" s="40" t="s">
        <v>304</v>
      </c>
      <c r="Y790" s="40" t="s">
        <v>283</v>
      </c>
      <c r="Z790" s="40" t="s">
        <v>749</v>
      </c>
      <c r="AA790" s="33" t="s">
        <v>749</v>
      </c>
      <c r="AB790" s="95"/>
      <c r="AC790" s="95"/>
    </row>
    <row r="791" spans="1:29" ht="14.45" hidden="1" customHeight="1" x14ac:dyDescent="0.25">
      <c r="A791" s="36" t="str">
        <f>INDEX('Base de données Mono'!C:C,MATCH(B791,'Base de données Mono'!D:D,0))</f>
        <v>Saint Tropez</v>
      </c>
      <c r="B791" t="s">
        <v>491</v>
      </c>
      <c r="C791" s="36" t="str">
        <f>INDEX('Base de données Mono'!B:B,MATCH(B791,'Base de données Mono'!D:D,0))</f>
        <v>Monoprix</v>
      </c>
      <c r="D791" s="36" t="str">
        <f>INDEX('Base de données Mono'!A:A,MATCH(B791,'Base de données Mono'!D:D,0))</f>
        <v>AD</v>
      </c>
      <c r="E791" s="37" t="s">
        <v>303</v>
      </c>
      <c r="F791" s="41">
        <f t="shared" si="85"/>
        <v>14</v>
      </c>
      <c r="G791" s="41">
        <f t="shared" si="86"/>
        <v>4</v>
      </c>
      <c r="H791">
        <v>7.33</v>
      </c>
      <c r="I791" s="131">
        <f>INDEX('Base de données Mono'!K:K,MATCH(B791,'Base de données Mono'!D:D,0))</f>
        <v>0.16666666666666666</v>
      </c>
      <c r="J791" s="131">
        <f>INDEX('Base de données Mono'!L:L,MATCH(B791,'Base de données Mono'!D:D,0))</f>
        <v>0.86111111111111116</v>
      </c>
      <c r="K791" s="131">
        <f>INDEX('Base de données Mono'!M:M,MATCH(B791,'Base de données Mono'!D:D,0))</f>
        <v>0.24305555555555555</v>
      </c>
      <c r="L791" s="131">
        <f>INDEX('Base de données Mono'!N:N,MATCH(B791,'Base de données Mono'!D:D,0))</f>
        <v>0.55555555555555558</v>
      </c>
      <c r="M791" s="33" t="s">
        <v>46</v>
      </c>
      <c r="N791" s="33">
        <f>IF(AND(E791="Electricité",M791="Hiver"),INDEX('Base de données Mono'!E:E,MATCH(B791,'Base de données Mono'!D:D,0)),IF(AND(E791="Electricité",M791="Mi-saison"),INDEX('Base de données Mono'!F:F,MATCH(B791,'Base de données Mono'!D:D,0)),IF(AND(E791="Electricité",M791="Eté"),INDEX('Base de données Mono'!G:G,MATCH(B791,'Base de données Mono'!D:D,0)),IF(AND(E791="Gaz",M791="Hiver"),INDEX('Base de données Mono'!J:J,MATCH(B791,'Base de données Mono'!D:D,0)),IF(AND(E791="Gaz",M791="Mi-saison"),INDEX('Base de données Mono'!#REF!,MATCH(B791,'Base de données Mono'!D:D,0)),IF(AND(E791="Gaz",M791="Eté"),INDEX('Base de données Mono'!#REF!,MATCH(B791,'Base de données Mono'!D:D,0)),"-"))))))</f>
        <v>35</v>
      </c>
      <c r="O791" s="123">
        <v>45386</v>
      </c>
      <c r="P791" s="123">
        <v>45387</v>
      </c>
      <c r="Q791" s="34">
        <v>65</v>
      </c>
      <c r="R791" s="33">
        <f t="shared" si="87"/>
        <v>30</v>
      </c>
      <c r="S791" s="34">
        <v>1</v>
      </c>
      <c r="T791" s="34">
        <f t="shared" si="88"/>
        <v>1</v>
      </c>
      <c r="U791" s="33">
        <f t="shared" si="89"/>
        <v>30</v>
      </c>
      <c r="V791" s="38" t="s">
        <v>827</v>
      </c>
      <c r="W791" s="39">
        <f t="shared" si="90"/>
        <v>0.8571428571428571</v>
      </c>
      <c r="X791" s="40" t="s">
        <v>304</v>
      </c>
      <c r="Y791" s="40" t="s">
        <v>283</v>
      </c>
      <c r="Z791" s="40" t="s">
        <v>749</v>
      </c>
      <c r="AA791" s="33" t="s">
        <v>749</v>
      </c>
      <c r="AB791" s="95"/>
      <c r="AC791" s="95"/>
    </row>
    <row r="792" spans="1:29" ht="14.45" hidden="1" customHeight="1" x14ac:dyDescent="0.25">
      <c r="A792" s="36" t="str">
        <f>INDEX('Base de données Mono'!C:C,MATCH(B792,'Base de données Mono'!D:D,0))</f>
        <v>Saint Tropez</v>
      </c>
      <c r="B792" t="s">
        <v>491</v>
      </c>
      <c r="C792" s="36" t="str">
        <f>INDEX('Base de données Mono'!B:B,MATCH(B792,'Base de données Mono'!D:D,0))</f>
        <v>Monoprix</v>
      </c>
      <c r="D792" s="36" t="str">
        <f>INDEX('Base de données Mono'!A:A,MATCH(B792,'Base de données Mono'!D:D,0))</f>
        <v>AD</v>
      </c>
      <c r="E792" s="37" t="s">
        <v>303</v>
      </c>
      <c r="F792" s="41">
        <f t="shared" si="85"/>
        <v>14</v>
      </c>
      <c r="G792" s="41">
        <f t="shared" si="86"/>
        <v>4</v>
      </c>
      <c r="H792">
        <v>7.33</v>
      </c>
      <c r="I792" s="131">
        <f>INDEX('Base de données Mono'!K:K,MATCH(B792,'Base de données Mono'!D:D,0))</f>
        <v>0.16666666666666666</v>
      </c>
      <c r="J792" s="131">
        <f>INDEX('Base de données Mono'!L:L,MATCH(B792,'Base de données Mono'!D:D,0))</f>
        <v>0.86111111111111116</v>
      </c>
      <c r="K792" s="131">
        <f>INDEX('Base de données Mono'!M:M,MATCH(B792,'Base de données Mono'!D:D,0))</f>
        <v>0.24305555555555555</v>
      </c>
      <c r="L792" s="131">
        <f>INDEX('Base de données Mono'!N:N,MATCH(B792,'Base de données Mono'!D:D,0))</f>
        <v>0.55555555555555558</v>
      </c>
      <c r="M792" s="33" t="s">
        <v>46</v>
      </c>
      <c r="N792" s="33">
        <f>IF(AND(E792="Electricité",M792="Hiver"),INDEX('Base de données Mono'!E:E,MATCH(B792,'Base de données Mono'!D:D,0)),IF(AND(E792="Electricité",M792="Mi-saison"),INDEX('Base de données Mono'!F:F,MATCH(B792,'Base de données Mono'!D:D,0)),IF(AND(E792="Electricité",M792="Eté"),INDEX('Base de données Mono'!G:G,MATCH(B792,'Base de données Mono'!D:D,0)),IF(AND(E792="Gaz",M792="Hiver"),INDEX('Base de données Mono'!J:J,MATCH(B792,'Base de données Mono'!D:D,0)),IF(AND(E792="Gaz",M792="Mi-saison"),INDEX('Base de données Mono'!#REF!,MATCH(B792,'Base de données Mono'!D:D,0)),IF(AND(E792="Gaz",M792="Eté"),INDEX('Base de données Mono'!#REF!,MATCH(B792,'Base de données Mono'!D:D,0)),"-"))))))</f>
        <v>35</v>
      </c>
      <c r="O792" s="123">
        <v>45387</v>
      </c>
      <c r="P792" s="123">
        <v>45388</v>
      </c>
      <c r="Q792" s="34">
        <v>50</v>
      </c>
      <c r="R792" s="33">
        <f t="shared" si="87"/>
        <v>15</v>
      </c>
      <c r="S792" s="34">
        <v>1</v>
      </c>
      <c r="T792" s="34">
        <f t="shared" si="88"/>
        <v>1</v>
      </c>
      <c r="U792" s="33">
        <f t="shared" si="89"/>
        <v>15</v>
      </c>
      <c r="V792" s="38" t="s">
        <v>827</v>
      </c>
      <c r="W792" s="39">
        <f t="shared" si="90"/>
        <v>0.42857142857142855</v>
      </c>
      <c r="X792" s="40" t="s">
        <v>304</v>
      </c>
      <c r="Y792" s="40" t="s">
        <v>283</v>
      </c>
      <c r="Z792" s="40" t="s">
        <v>749</v>
      </c>
      <c r="AA792" s="33" t="s">
        <v>749</v>
      </c>
      <c r="AB792" s="95"/>
      <c r="AC792" s="95"/>
    </row>
    <row r="793" spans="1:29" ht="14.45" hidden="1" customHeight="1" x14ac:dyDescent="0.25">
      <c r="A793" s="36" t="str">
        <f>INDEX('Base de données Mono'!C:C,MATCH(B793,'Base de données Mono'!D:D,0))</f>
        <v>Saint Tropez</v>
      </c>
      <c r="B793" t="s">
        <v>491</v>
      </c>
      <c r="C793" s="36" t="str">
        <f>INDEX('Base de données Mono'!B:B,MATCH(B793,'Base de données Mono'!D:D,0))</f>
        <v>Monoprix</v>
      </c>
      <c r="D793" s="36" t="str">
        <f>INDEX('Base de données Mono'!A:A,MATCH(B793,'Base de données Mono'!D:D,0))</f>
        <v>AD</v>
      </c>
      <c r="E793" s="37" t="s">
        <v>303</v>
      </c>
      <c r="F793" s="41">
        <f t="shared" si="85"/>
        <v>14</v>
      </c>
      <c r="G793" s="41">
        <f t="shared" si="86"/>
        <v>4</v>
      </c>
      <c r="H793">
        <v>7.33</v>
      </c>
      <c r="I793" s="131">
        <f>INDEX('Base de données Mono'!K:K,MATCH(B793,'Base de données Mono'!D:D,0))</f>
        <v>0.16666666666666666</v>
      </c>
      <c r="J793" s="131">
        <f>INDEX('Base de données Mono'!L:L,MATCH(B793,'Base de données Mono'!D:D,0))</f>
        <v>0.86111111111111116</v>
      </c>
      <c r="K793" s="131">
        <f>INDEX('Base de données Mono'!M:M,MATCH(B793,'Base de données Mono'!D:D,0))</f>
        <v>0.24305555555555555</v>
      </c>
      <c r="L793" s="131">
        <f>INDEX('Base de données Mono'!N:N,MATCH(B793,'Base de données Mono'!D:D,0))</f>
        <v>0.55555555555555558</v>
      </c>
      <c r="M793" s="33" t="s">
        <v>46</v>
      </c>
      <c r="N793" s="33">
        <f>IF(AND(E793="Electricité",M793="Hiver"),INDEX('Base de données Mono'!E:E,MATCH(B793,'Base de données Mono'!D:D,0)),IF(AND(E793="Electricité",M793="Mi-saison"),INDEX('Base de données Mono'!F:F,MATCH(B793,'Base de données Mono'!D:D,0)),IF(AND(E793="Electricité",M793="Eté"),INDEX('Base de données Mono'!G:G,MATCH(B793,'Base de données Mono'!D:D,0)),IF(AND(E793="Gaz",M793="Hiver"),INDEX('Base de données Mono'!J:J,MATCH(B793,'Base de données Mono'!D:D,0)),IF(AND(E793="Gaz",M793="Mi-saison"),INDEX('Base de données Mono'!#REF!,MATCH(B793,'Base de données Mono'!D:D,0)),IF(AND(E793="Gaz",M793="Eté"),INDEX('Base de données Mono'!#REF!,MATCH(B793,'Base de données Mono'!D:D,0)),"-"))))))</f>
        <v>35</v>
      </c>
      <c r="O793" s="123">
        <v>45388</v>
      </c>
      <c r="P793" s="123">
        <v>45389</v>
      </c>
      <c r="Q793" s="34">
        <v>40</v>
      </c>
      <c r="R793" s="33">
        <f t="shared" si="87"/>
        <v>5</v>
      </c>
      <c r="S793" s="34">
        <v>2</v>
      </c>
      <c r="T793" s="34">
        <f t="shared" si="88"/>
        <v>1</v>
      </c>
      <c r="U793" s="33">
        <f t="shared" si="89"/>
        <v>10</v>
      </c>
      <c r="V793" s="38" t="s">
        <v>827</v>
      </c>
      <c r="W793" s="39">
        <f t="shared" si="90"/>
        <v>0.14285714285714285</v>
      </c>
      <c r="X793" s="40" t="s">
        <v>304</v>
      </c>
      <c r="Y793" s="40" t="s">
        <v>283</v>
      </c>
      <c r="Z793" s="40" t="s">
        <v>749</v>
      </c>
      <c r="AA793" s="33" t="s">
        <v>749</v>
      </c>
      <c r="AB793" s="95"/>
      <c r="AC793" s="95"/>
    </row>
    <row r="794" spans="1:29" ht="14.45" hidden="1" customHeight="1" x14ac:dyDescent="0.25">
      <c r="A794" s="36" t="str">
        <f>INDEX('Base de données Mono'!C:C,MATCH(B794,'Base de données Mono'!D:D,0))</f>
        <v>Saint Tropez</v>
      </c>
      <c r="B794" t="s">
        <v>491</v>
      </c>
      <c r="C794" s="36" t="str">
        <f>INDEX('Base de données Mono'!B:B,MATCH(B794,'Base de données Mono'!D:D,0))</f>
        <v>Monoprix</v>
      </c>
      <c r="D794" s="36" t="str">
        <f>INDEX('Base de données Mono'!A:A,MATCH(B794,'Base de données Mono'!D:D,0))</f>
        <v>AD</v>
      </c>
      <c r="E794" s="37" t="s">
        <v>303</v>
      </c>
      <c r="F794" s="41">
        <f t="shared" si="85"/>
        <v>14</v>
      </c>
      <c r="G794" s="41">
        <f t="shared" si="86"/>
        <v>4</v>
      </c>
      <c r="H794">
        <v>7.33</v>
      </c>
      <c r="I794" s="131">
        <f>INDEX('Base de données Mono'!K:K,MATCH(B794,'Base de données Mono'!D:D,0))</f>
        <v>0.16666666666666666</v>
      </c>
      <c r="J794" s="131">
        <f>INDEX('Base de données Mono'!L:L,MATCH(B794,'Base de données Mono'!D:D,0))</f>
        <v>0.86111111111111116</v>
      </c>
      <c r="K794" s="131">
        <f>INDEX('Base de données Mono'!M:M,MATCH(B794,'Base de données Mono'!D:D,0))</f>
        <v>0.24305555555555555</v>
      </c>
      <c r="L794" s="131">
        <f>INDEX('Base de données Mono'!N:N,MATCH(B794,'Base de données Mono'!D:D,0))</f>
        <v>0.55555555555555558</v>
      </c>
      <c r="M794" s="33" t="s">
        <v>46</v>
      </c>
      <c r="N794" s="33">
        <f>IF(AND(E794="Electricité",M794="Hiver"),INDEX('Base de données Mono'!E:E,MATCH(B794,'Base de données Mono'!D:D,0)),IF(AND(E794="Electricité",M794="Mi-saison"),INDEX('Base de données Mono'!F:F,MATCH(B794,'Base de données Mono'!D:D,0)),IF(AND(E794="Electricité",M794="Eté"),INDEX('Base de données Mono'!G:G,MATCH(B794,'Base de données Mono'!D:D,0)),IF(AND(E794="Gaz",M794="Hiver"),INDEX('Base de données Mono'!J:J,MATCH(B794,'Base de données Mono'!D:D,0)),IF(AND(E794="Gaz",M794="Mi-saison"),INDEX('Base de données Mono'!#REF!,MATCH(B794,'Base de données Mono'!D:D,0)),IF(AND(E794="Gaz",M794="Eté"),INDEX('Base de données Mono'!#REF!,MATCH(B794,'Base de données Mono'!D:D,0)),"-"))))))</f>
        <v>35</v>
      </c>
      <c r="O794" s="123">
        <v>45388</v>
      </c>
      <c r="P794" s="123">
        <v>45389</v>
      </c>
      <c r="Q794" s="34">
        <v>60</v>
      </c>
      <c r="R794" s="33">
        <f t="shared" si="87"/>
        <v>25</v>
      </c>
      <c r="S794" s="34">
        <v>1</v>
      </c>
      <c r="T794" s="34">
        <f t="shared" si="88"/>
        <v>1</v>
      </c>
      <c r="U794" s="33">
        <f t="shared" si="89"/>
        <v>25</v>
      </c>
      <c r="V794" s="38" t="s">
        <v>827</v>
      </c>
      <c r="W794" s="39">
        <f t="shared" si="90"/>
        <v>0.7142857142857143</v>
      </c>
      <c r="X794" s="40" t="s">
        <v>304</v>
      </c>
      <c r="Y794" s="40" t="s">
        <v>283</v>
      </c>
      <c r="Z794" s="40" t="s">
        <v>749</v>
      </c>
      <c r="AA794" s="33" t="s">
        <v>749</v>
      </c>
      <c r="AB794" s="95"/>
      <c r="AC794" s="95"/>
    </row>
    <row r="795" spans="1:29" ht="14.45" hidden="1" customHeight="1" x14ac:dyDescent="0.25">
      <c r="A795" s="36" t="str">
        <f>INDEX('Base de données Mono'!C:C,MATCH(B795,'Base de données Mono'!D:D,0))</f>
        <v>CAUMARTIN</v>
      </c>
      <c r="B795" t="s">
        <v>96</v>
      </c>
      <c r="C795" s="36" t="str">
        <f>INDEX('Base de données Mono'!B:B,MATCH(B795,'Base de données Mono'!D:D,0))</f>
        <v>Monoprix</v>
      </c>
      <c r="D795" s="36" t="str">
        <f>INDEX('Base de données Mono'!A:A,MATCH(B795,'Base de données Mono'!D:D,0))</f>
        <v>AD</v>
      </c>
      <c r="E795" s="37" t="s">
        <v>303</v>
      </c>
      <c r="F795" s="41">
        <f t="shared" si="85"/>
        <v>14</v>
      </c>
      <c r="G795" s="41">
        <f t="shared" si="86"/>
        <v>4</v>
      </c>
      <c r="H795">
        <v>8.25</v>
      </c>
      <c r="I795" s="131">
        <f>INDEX('Base de données Mono'!K:K,MATCH(B795,'Base de données Mono'!D:D,0))</f>
        <v>0.16666666666666666</v>
      </c>
      <c r="J795" s="131">
        <f>INDEX('Base de données Mono'!L:L,MATCH(B795,'Base de données Mono'!D:D,0))</f>
        <v>0.82291666666666663</v>
      </c>
      <c r="K795" s="131">
        <f>INDEX('Base de données Mono'!M:M,MATCH(B795,'Base de données Mono'!D:D,0))</f>
        <v>0.29166666666666669</v>
      </c>
      <c r="L795" s="131">
        <f>INDEX('Base de données Mono'!N:N,MATCH(B795,'Base de données Mono'!D:D,0))</f>
        <v>0.58333333333333337</v>
      </c>
      <c r="M795" s="33" t="s">
        <v>46</v>
      </c>
      <c r="N795" s="33">
        <f>IF(AND(E795="Electricité",M795="Hiver"),INDEX('Base de données Mono'!E:E,MATCH(B795,'Base de données Mono'!D:D,0)),IF(AND(E795="Electricité",M795="Mi-saison"),INDEX('Base de données Mono'!F:F,MATCH(B795,'Base de données Mono'!D:D,0)),IF(AND(E795="Electricité",M795="Eté"),INDEX('Base de données Mono'!G:G,MATCH(B795,'Base de données Mono'!D:D,0)),IF(AND(E795="Gaz",M795="Hiver"),INDEX('Base de données Mono'!J:J,MATCH(B795,'Base de données Mono'!D:D,0)),IF(AND(E795="Gaz",M795="Mi-saison"),INDEX('Base de données Mono'!#REF!,MATCH(B795,'Base de données Mono'!D:D,0)),IF(AND(E795="Gaz",M795="Eté"),INDEX('Base de données Mono'!#REF!,MATCH(B795,'Base de données Mono'!D:D,0)),"-"))))))</f>
        <v>110</v>
      </c>
      <c r="O795" s="123">
        <v>45383</v>
      </c>
      <c r="P795" s="123">
        <v>45389</v>
      </c>
      <c r="Q795" s="34">
        <v>135</v>
      </c>
      <c r="R795" s="33">
        <f t="shared" si="87"/>
        <v>25</v>
      </c>
      <c r="S795" s="34">
        <v>9</v>
      </c>
      <c r="T795" s="34">
        <f t="shared" si="88"/>
        <v>6</v>
      </c>
      <c r="U795" s="33">
        <f t="shared" si="89"/>
        <v>1350</v>
      </c>
      <c r="V795" s="38" t="s">
        <v>827</v>
      </c>
      <c r="W795" s="39">
        <f t="shared" si="90"/>
        <v>0.22727272727272727</v>
      </c>
      <c r="X795" s="40" t="s">
        <v>304</v>
      </c>
      <c r="Y795" s="40" t="s">
        <v>283</v>
      </c>
      <c r="Z795" s="40" t="s">
        <v>749</v>
      </c>
      <c r="AA795" s="33" t="s">
        <v>749</v>
      </c>
      <c r="AB795" s="95"/>
      <c r="AC795" s="95"/>
    </row>
    <row r="796" spans="1:29" ht="14.45" hidden="1" customHeight="1" x14ac:dyDescent="0.25">
      <c r="A796" s="36" t="str">
        <f>INDEX('Base de données Mono'!C:C,MATCH(B796,'Base de données Mono'!D:D,0))</f>
        <v>LA ROCHELLE</v>
      </c>
      <c r="B796" t="s">
        <v>325</v>
      </c>
      <c r="C796" s="36" t="str">
        <f>INDEX('Base de données Mono'!B:B,MATCH(B796,'Base de données Mono'!D:D,0))</f>
        <v>Monoprix</v>
      </c>
      <c r="D796" s="36" t="str">
        <f>INDEX('Base de données Mono'!A:A,MATCH(B796,'Base de données Mono'!D:D,0))</f>
        <v>AD</v>
      </c>
      <c r="E796" s="37" t="s">
        <v>303</v>
      </c>
      <c r="F796" s="41">
        <f t="shared" si="85"/>
        <v>14</v>
      </c>
      <c r="G796" s="41">
        <f t="shared" si="86"/>
        <v>4</v>
      </c>
      <c r="H796">
        <v>10</v>
      </c>
      <c r="I796" s="131">
        <f>INDEX('Base de données Mono'!K:K,MATCH(B796,'Base de données Mono'!D:D,0))</f>
        <v>0.25</v>
      </c>
      <c r="J796" s="131">
        <f>INDEX('Base de données Mono'!L:L,MATCH(B796,'Base de données Mono'!D:D,0))</f>
        <v>0.83333333333333337</v>
      </c>
      <c r="K796" s="131">
        <f>INDEX('Base de données Mono'!M:M,MATCH(B796,'Base de données Mono'!D:D,0))</f>
        <v>0.28472222222222221</v>
      </c>
      <c r="L796" s="131">
        <f>INDEX('Base de données Mono'!N:N,MATCH(B796,'Base de données Mono'!D:D,0))</f>
        <v>0.54861111111111105</v>
      </c>
      <c r="M796" s="33" t="s">
        <v>46</v>
      </c>
      <c r="N796" s="33">
        <f>IF(AND(E796="Electricité",M796="Hiver"),INDEX('Base de données Mono'!E:E,MATCH(B796,'Base de données Mono'!D:D,0)),IF(AND(E796="Electricité",M796="Mi-saison"),INDEX('Base de données Mono'!F:F,MATCH(B796,'Base de données Mono'!D:D,0)),IF(AND(E796="Electricité",M796="Eté"),INDEX('Base de données Mono'!G:G,MATCH(B796,'Base de données Mono'!D:D,0)),IF(AND(E796="Gaz",M796="Hiver"),INDEX('Base de données Mono'!J:J,MATCH(B796,'Base de données Mono'!D:D,0)),IF(AND(E796="Gaz",M796="Mi-saison"),INDEX('Base de données Mono'!#REF!,MATCH(B796,'Base de données Mono'!D:D,0)),IF(AND(E796="Gaz",M796="Eté"),INDEX('Base de données Mono'!#REF!,MATCH(B796,'Base de données Mono'!D:D,0)),"-"))))))</f>
        <v>30</v>
      </c>
      <c r="O796" s="123">
        <v>45383</v>
      </c>
      <c r="P796" s="123">
        <v>45385</v>
      </c>
      <c r="Q796" s="34">
        <v>35</v>
      </c>
      <c r="R796" s="33">
        <f t="shared" si="87"/>
        <v>5</v>
      </c>
      <c r="S796" s="34">
        <v>9</v>
      </c>
      <c r="T796" s="34">
        <f t="shared" si="88"/>
        <v>2</v>
      </c>
      <c r="U796" s="33">
        <f t="shared" si="89"/>
        <v>90</v>
      </c>
      <c r="V796" s="38" t="s">
        <v>827</v>
      </c>
      <c r="W796" s="39">
        <f t="shared" si="90"/>
        <v>0.16666666666666666</v>
      </c>
      <c r="X796" s="40" t="s">
        <v>304</v>
      </c>
      <c r="Y796" s="40" t="s">
        <v>283</v>
      </c>
      <c r="Z796" s="40" t="s">
        <v>749</v>
      </c>
      <c r="AA796" s="33" t="s">
        <v>749</v>
      </c>
      <c r="AB796" s="95"/>
      <c r="AC796" s="95"/>
    </row>
    <row r="797" spans="1:29" ht="14.45" hidden="1" customHeight="1" x14ac:dyDescent="0.25">
      <c r="A797" s="36" t="str">
        <f>INDEX('Base de données Mono'!C:C,MATCH(B797,'Base de données Mono'!D:D,0))</f>
        <v>LA ROCHELLE</v>
      </c>
      <c r="B797" t="s">
        <v>325</v>
      </c>
      <c r="C797" s="36" t="str">
        <f>INDEX('Base de données Mono'!B:B,MATCH(B797,'Base de données Mono'!D:D,0))</f>
        <v>Monoprix</v>
      </c>
      <c r="D797" s="36" t="str">
        <f>INDEX('Base de données Mono'!A:A,MATCH(B797,'Base de données Mono'!D:D,0))</f>
        <v>AD</v>
      </c>
      <c r="E797" s="37" t="s">
        <v>303</v>
      </c>
      <c r="F797" s="41">
        <f t="shared" si="85"/>
        <v>14</v>
      </c>
      <c r="G797" s="41">
        <f t="shared" si="86"/>
        <v>4</v>
      </c>
      <c r="H797">
        <v>10</v>
      </c>
      <c r="I797" s="131">
        <f>INDEX('Base de données Mono'!K:K,MATCH(B797,'Base de données Mono'!D:D,0))</f>
        <v>0.25</v>
      </c>
      <c r="J797" s="131">
        <f>INDEX('Base de données Mono'!L:L,MATCH(B797,'Base de données Mono'!D:D,0))</f>
        <v>0.83333333333333337</v>
      </c>
      <c r="K797" s="131">
        <f>INDEX('Base de données Mono'!M:M,MATCH(B797,'Base de données Mono'!D:D,0))</f>
        <v>0.28472222222222221</v>
      </c>
      <c r="L797" s="131">
        <f>INDEX('Base de données Mono'!N:N,MATCH(B797,'Base de données Mono'!D:D,0))</f>
        <v>0.54861111111111105</v>
      </c>
      <c r="M797" s="33" t="s">
        <v>46</v>
      </c>
      <c r="N797" s="33">
        <f>IF(AND(E797="Electricité",M797="Hiver"),INDEX('Base de données Mono'!E:E,MATCH(B797,'Base de données Mono'!D:D,0)),IF(AND(E797="Electricité",M797="Mi-saison"),INDEX('Base de données Mono'!F:F,MATCH(B797,'Base de données Mono'!D:D,0)),IF(AND(E797="Electricité",M797="Eté"),INDEX('Base de données Mono'!G:G,MATCH(B797,'Base de données Mono'!D:D,0)),IF(AND(E797="Gaz",M797="Hiver"),INDEX('Base de données Mono'!J:J,MATCH(B797,'Base de données Mono'!D:D,0)),IF(AND(E797="Gaz",M797="Mi-saison"),INDEX('Base de données Mono'!#REF!,MATCH(B797,'Base de données Mono'!D:D,0)),IF(AND(E797="Gaz",M797="Eté"),INDEX('Base de données Mono'!#REF!,MATCH(B797,'Base de données Mono'!D:D,0)),"-"))))))</f>
        <v>30</v>
      </c>
      <c r="O797" s="123">
        <v>45383</v>
      </c>
      <c r="P797" s="123">
        <v>45385</v>
      </c>
      <c r="Q797" s="34">
        <v>65</v>
      </c>
      <c r="R797" s="33">
        <f t="shared" si="87"/>
        <v>35</v>
      </c>
      <c r="S797" s="34">
        <v>1</v>
      </c>
      <c r="T797" s="34">
        <f t="shared" si="88"/>
        <v>2</v>
      </c>
      <c r="U797" s="33">
        <f t="shared" si="89"/>
        <v>70</v>
      </c>
      <c r="V797" s="38" t="s">
        <v>827</v>
      </c>
      <c r="W797" s="39">
        <f t="shared" si="90"/>
        <v>1.1666666666666667</v>
      </c>
      <c r="X797" s="40" t="s">
        <v>304</v>
      </c>
      <c r="Y797" s="40" t="s">
        <v>283</v>
      </c>
      <c r="Z797" s="40" t="s">
        <v>749</v>
      </c>
      <c r="AA797" s="33" t="s">
        <v>749</v>
      </c>
      <c r="AB797" s="95"/>
      <c r="AC797" s="95"/>
    </row>
    <row r="798" spans="1:29" ht="14.45" hidden="1" customHeight="1" x14ac:dyDescent="0.25">
      <c r="A798" s="36" t="str">
        <f>INDEX('Base de données Mono'!C:C,MATCH(B798,'Base de données Mono'!D:D,0))</f>
        <v>LA ROCHELLE</v>
      </c>
      <c r="B798" t="s">
        <v>325</v>
      </c>
      <c r="C798" s="36" t="str">
        <f>INDEX('Base de données Mono'!B:B,MATCH(B798,'Base de données Mono'!D:D,0))</f>
        <v>Monoprix</v>
      </c>
      <c r="D798" s="36" t="str">
        <f>INDEX('Base de données Mono'!A:A,MATCH(B798,'Base de données Mono'!D:D,0))</f>
        <v>AD</v>
      </c>
      <c r="E798" s="37" t="s">
        <v>303</v>
      </c>
      <c r="F798" s="41">
        <f t="shared" si="85"/>
        <v>14</v>
      </c>
      <c r="G798" s="41">
        <f t="shared" si="86"/>
        <v>4</v>
      </c>
      <c r="H798">
        <v>10</v>
      </c>
      <c r="I798" s="131">
        <f>INDEX('Base de données Mono'!K:K,MATCH(B798,'Base de données Mono'!D:D,0))</f>
        <v>0.25</v>
      </c>
      <c r="J798" s="131">
        <f>INDEX('Base de données Mono'!L:L,MATCH(B798,'Base de données Mono'!D:D,0))</f>
        <v>0.83333333333333337</v>
      </c>
      <c r="K798" s="131">
        <f>INDEX('Base de données Mono'!M:M,MATCH(B798,'Base de données Mono'!D:D,0))</f>
        <v>0.28472222222222221</v>
      </c>
      <c r="L798" s="131">
        <f>INDEX('Base de données Mono'!N:N,MATCH(B798,'Base de données Mono'!D:D,0))</f>
        <v>0.54861111111111105</v>
      </c>
      <c r="M798" s="33" t="s">
        <v>46</v>
      </c>
      <c r="N798" s="33">
        <f>IF(AND(E798="Electricité",M798="Hiver"),INDEX('Base de données Mono'!E:E,MATCH(B798,'Base de données Mono'!D:D,0)),IF(AND(E798="Electricité",M798="Mi-saison"),INDEX('Base de données Mono'!F:F,MATCH(B798,'Base de données Mono'!D:D,0)),IF(AND(E798="Electricité",M798="Eté"),INDEX('Base de données Mono'!G:G,MATCH(B798,'Base de données Mono'!D:D,0)),IF(AND(E798="Gaz",M798="Hiver"),INDEX('Base de données Mono'!J:J,MATCH(B798,'Base de données Mono'!D:D,0)),IF(AND(E798="Gaz",M798="Mi-saison"),INDEX('Base de données Mono'!#REF!,MATCH(B798,'Base de données Mono'!D:D,0)),IF(AND(E798="Gaz",M798="Eté"),INDEX('Base de données Mono'!#REF!,MATCH(B798,'Base de données Mono'!D:D,0)),"-"))))))</f>
        <v>30</v>
      </c>
      <c r="O798" s="123">
        <v>45385</v>
      </c>
      <c r="P798" s="123">
        <v>45387</v>
      </c>
      <c r="Q798" s="34">
        <v>35</v>
      </c>
      <c r="R798" s="33">
        <f t="shared" si="87"/>
        <v>5</v>
      </c>
      <c r="S798" s="34">
        <v>9</v>
      </c>
      <c r="T798" s="34">
        <f t="shared" si="88"/>
        <v>2</v>
      </c>
      <c r="U798" s="33">
        <f t="shared" si="89"/>
        <v>90</v>
      </c>
      <c r="V798" s="38" t="s">
        <v>827</v>
      </c>
      <c r="W798" s="39">
        <f t="shared" si="90"/>
        <v>0.16666666666666666</v>
      </c>
      <c r="X798" s="40" t="s">
        <v>304</v>
      </c>
      <c r="Y798" s="40" t="s">
        <v>283</v>
      </c>
      <c r="Z798" s="40" t="s">
        <v>749</v>
      </c>
      <c r="AA798" s="33" t="s">
        <v>749</v>
      </c>
      <c r="AB798" s="95"/>
      <c r="AC798" s="95"/>
    </row>
    <row r="799" spans="1:29" ht="14.45" hidden="1" customHeight="1" x14ac:dyDescent="0.25">
      <c r="A799" s="36" t="str">
        <f>INDEX('Base de données Mono'!C:C,MATCH(B799,'Base de données Mono'!D:D,0))</f>
        <v>LA ROCHELLE</v>
      </c>
      <c r="B799" t="s">
        <v>325</v>
      </c>
      <c r="C799" s="36" t="str">
        <f>INDEX('Base de données Mono'!B:B,MATCH(B799,'Base de données Mono'!D:D,0))</f>
        <v>Monoprix</v>
      </c>
      <c r="D799" s="36" t="str">
        <f>INDEX('Base de données Mono'!A:A,MATCH(B799,'Base de données Mono'!D:D,0))</f>
        <v>AD</v>
      </c>
      <c r="E799" s="37" t="s">
        <v>303</v>
      </c>
      <c r="F799" s="41">
        <f t="shared" si="85"/>
        <v>14</v>
      </c>
      <c r="G799" s="41">
        <f t="shared" si="86"/>
        <v>4</v>
      </c>
      <c r="H799">
        <v>10</v>
      </c>
      <c r="I799" s="131">
        <f>INDEX('Base de données Mono'!K:K,MATCH(B799,'Base de données Mono'!D:D,0))</f>
        <v>0.25</v>
      </c>
      <c r="J799" s="131">
        <f>INDEX('Base de données Mono'!L:L,MATCH(B799,'Base de données Mono'!D:D,0))</f>
        <v>0.83333333333333337</v>
      </c>
      <c r="K799" s="131">
        <f>INDEX('Base de données Mono'!M:M,MATCH(B799,'Base de données Mono'!D:D,0))</f>
        <v>0.28472222222222221</v>
      </c>
      <c r="L799" s="131">
        <f>INDEX('Base de données Mono'!N:N,MATCH(B799,'Base de données Mono'!D:D,0))</f>
        <v>0.54861111111111105</v>
      </c>
      <c r="M799" s="33" t="s">
        <v>46</v>
      </c>
      <c r="N799" s="33">
        <f>IF(AND(E799="Electricité",M799="Hiver"),INDEX('Base de données Mono'!E:E,MATCH(B799,'Base de données Mono'!D:D,0)),IF(AND(E799="Electricité",M799="Mi-saison"),INDEX('Base de données Mono'!F:F,MATCH(B799,'Base de données Mono'!D:D,0)),IF(AND(E799="Electricité",M799="Eté"),INDEX('Base de données Mono'!G:G,MATCH(B799,'Base de données Mono'!D:D,0)),IF(AND(E799="Gaz",M799="Hiver"),INDEX('Base de données Mono'!J:J,MATCH(B799,'Base de données Mono'!D:D,0)),IF(AND(E799="Gaz",M799="Mi-saison"),INDEX('Base de données Mono'!#REF!,MATCH(B799,'Base de données Mono'!D:D,0)),IF(AND(E799="Gaz",M799="Eté"),INDEX('Base de données Mono'!#REF!,MATCH(B799,'Base de données Mono'!D:D,0)),"-"))))))</f>
        <v>30</v>
      </c>
      <c r="O799" s="123">
        <v>45385</v>
      </c>
      <c r="P799" s="123">
        <v>45387</v>
      </c>
      <c r="Q799" s="34">
        <v>65</v>
      </c>
      <c r="R799" s="33">
        <f t="shared" si="87"/>
        <v>35</v>
      </c>
      <c r="S799" s="34">
        <v>1</v>
      </c>
      <c r="T799" s="34">
        <f t="shared" si="88"/>
        <v>2</v>
      </c>
      <c r="U799" s="33">
        <f t="shared" si="89"/>
        <v>70</v>
      </c>
      <c r="V799" s="38" t="s">
        <v>827</v>
      </c>
      <c r="W799" s="39">
        <f t="shared" si="90"/>
        <v>1.1666666666666667</v>
      </c>
      <c r="X799" s="40" t="s">
        <v>304</v>
      </c>
      <c r="Y799" s="40" t="s">
        <v>283</v>
      </c>
      <c r="Z799" s="40" t="s">
        <v>749</v>
      </c>
      <c r="AA799" s="33" t="s">
        <v>749</v>
      </c>
      <c r="AB799" s="95"/>
      <c r="AC799" s="95"/>
    </row>
    <row r="800" spans="1:29" ht="14.45" hidden="1" customHeight="1" x14ac:dyDescent="0.25">
      <c r="A800" s="36" t="str">
        <f>INDEX('Base de données Mono'!C:C,MATCH(B800,'Base de données Mono'!D:D,0))</f>
        <v>LA ROCHELLE</v>
      </c>
      <c r="B800" t="s">
        <v>325</v>
      </c>
      <c r="C800" s="36" t="str">
        <f>INDEX('Base de données Mono'!B:B,MATCH(B800,'Base de données Mono'!D:D,0))</f>
        <v>Monoprix</v>
      </c>
      <c r="D800" s="36" t="str">
        <f>INDEX('Base de données Mono'!A:A,MATCH(B800,'Base de données Mono'!D:D,0))</f>
        <v>AD</v>
      </c>
      <c r="E800" s="37" t="s">
        <v>303</v>
      </c>
      <c r="F800" s="41">
        <f t="shared" si="85"/>
        <v>14</v>
      </c>
      <c r="G800" s="41">
        <f t="shared" si="86"/>
        <v>4</v>
      </c>
      <c r="H800">
        <v>10</v>
      </c>
      <c r="I800" s="131">
        <f>INDEX('Base de données Mono'!K:K,MATCH(B800,'Base de données Mono'!D:D,0))</f>
        <v>0.25</v>
      </c>
      <c r="J800" s="131">
        <f>INDEX('Base de données Mono'!L:L,MATCH(B800,'Base de données Mono'!D:D,0))</f>
        <v>0.83333333333333337</v>
      </c>
      <c r="K800" s="131">
        <f>INDEX('Base de données Mono'!M:M,MATCH(B800,'Base de données Mono'!D:D,0))</f>
        <v>0.28472222222222221</v>
      </c>
      <c r="L800" s="131">
        <f>INDEX('Base de données Mono'!N:N,MATCH(B800,'Base de données Mono'!D:D,0))</f>
        <v>0.54861111111111105</v>
      </c>
      <c r="M800" s="33" t="s">
        <v>46</v>
      </c>
      <c r="N800" s="33">
        <f>IF(AND(E800="Electricité",M800="Hiver"),INDEX('Base de données Mono'!E:E,MATCH(B800,'Base de données Mono'!D:D,0)),IF(AND(E800="Electricité",M800="Mi-saison"),INDEX('Base de données Mono'!F:F,MATCH(B800,'Base de données Mono'!D:D,0)),IF(AND(E800="Electricité",M800="Eté"),INDEX('Base de données Mono'!G:G,MATCH(B800,'Base de données Mono'!D:D,0)),IF(AND(E800="Gaz",M800="Hiver"),INDEX('Base de données Mono'!J:J,MATCH(B800,'Base de données Mono'!D:D,0)),IF(AND(E800="Gaz",M800="Mi-saison"),INDEX('Base de données Mono'!#REF!,MATCH(B800,'Base de données Mono'!D:D,0)),IF(AND(E800="Gaz",M800="Eté"),INDEX('Base de données Mono'!#REF!,MATCH(B800,'Base de données Mono'!D:D,0)),"-"))))))</f>
        <v>30</v>
      </c>
      <c r="O800" s="123">
        <v>45387</v>
      </c>
      <c r="P800" s="123">
        <v>45389</v>
      </c>
      <c r="Q800" s="34">
        <v>35</v>
      </c>
      <c r="R800" s="33">
        <f t="shared" si="87"/>
        <v>5</v>
      </c>
      <c r="S800" s="34">
        <v>10</v>
      </c>
      <c r="T800" s="34">
        <f t="shared" si="88"/>
        <v>2</v>
      </c>
      <c r="U800" s="33">
        <f t="shared" si="89"/>
        <v>100</v>
      </c>
      <c r="V800" s="38" t="s">
        <v>827</v>
      </c>
      <c r="W800" s="39">
        <f t="shared" si="90"/>
        <v>0.16666666666666666</v>
      </c>
      <c r="X800" s="40" t="s">
        <v>304</v>
      </c>
      <c r="Y800" s="40" t="s">
        <v>283</v>
      </c>
      <c r="Z800" s="40" t="s">
        <v>749</v>
      </c>
      <c r="AA800" s="33" t="s">
        <v>749</v>
      </c>
      <c r="AB800" s="95"/>
      <c r="AC800" s="95"/>
    </row>
    <row r="801" spans="1:29" ht="14.45" hidden="1" customHeight="1" x14ac:dyDescent="0.25">
      <c r="A801" s="36" t="str">
        <f>INDEX('Base de données Mono'!C:C,MATCH(B801,'Base de données Mono'!D:D,0))</f>
        <v>LA ROCHELLE</v>
      </c>
      <c r="B801" t="s">
        <v>325</v>
      </c>
      <c r="C801" s="36" t="str">
        <f>INDEX('Base de données Mono'!B:B,MATCH(B801,'Base de données Mono'!D:D,0))</f>
        <v>Monoprix</v>
      </c>
      <c r="D801" s="36" t="str">
        <f>INDEX('Base de données Mono'!A:A,MATCH(B801,'Base de données Mono'!D:D,0))</f>
        <v>AD</v>
      </c>
      <c r="E801" s="37" t="s">
        <v>303</v>
      </c>
      <c r="F801" s="41">
        <f t="shared" si="85"/>
        <v>14</v>
      </c>
      <c r="G801" s="41">
        <f t="shared" si="86"/>
        <v>4</v>
      </c>
      <c r="H801">
        <v>10</v>
      </c>
      <c r="I801" s="131">
        <f>INDEX('Base de données Mono'!K:K,MATCH(B801,'Base de données Mono'!D:D,0))</f>
        <v>0.25</v>
      </c>
      <c r="J801" s="131">
        <f>INDEX('Base de données Mono'!L:L,MATCH(B801,'Base de données Mono'!D:D,0))</f>
        <v>0.83333333333333337</v>
      </c>
      <c r="K801" s="131">
        <f>INDEX('Base de données Mono'!M:M,MATCH(B801,'Base de données Mono'!D:D,0))</f>
        <v>0.28472222222222221</v>
      </c>
      <c r="L801" s="131">
        <f>INDEX('Base de données Mono'!N:N,MATCH(B801,'Base de données Mono'!D:D,0))</f>
        <v>0.54861111111111105</v>
      </c>
      <c r="M801" s="33" t="s">
        <v>46</v>
      </c>
      <c r="N801" s="33">
        <f>IF(AND(E801="Electricité",M801="Hiver"),INDEX('Base de données Mono'!E:E,MATCH(B801,'Base de données Mono'!D:D,0)),IF(AND(E801="Electricité",M801="Mi-saison"),INDEX('Base de données Mono'!F:F,MATCH(B801,'Base de données Mono'!D:D,0)),IF(AND(E801="Electricité",M801="Eté"),INDEX('Base de données Mono'!G:G,MATCH(B801,'Base de données Mono'!D:D,0)),IF(AND(E801="Gaz",M801="Hiver"),INDEX('Base de données Mono'!J:J,MATCH(B801,'Base de données Mono'!D:D,0)),IF(AND(E801="Gaz",M801="Mi-saison"),INDEX('Base de données Mono'!#REF!,MATCH(B801,'Base de données Mono'!D:D,0)),IF(AND(E801="Gaz",M801="Eté"),INDEX('Base de données Mono'!#REF!,MATCH(B801,'Base de données Mono'!D:D,0)),"-"))))))</f>
        <v>30</v>
      </c>
      <c r="O801" s="123">
        <v>45387</v>
      </c>
      <c r="P801" s="123">
        <v>45388</v>
      </c>
      <c r="Q801" s="34">
        <v>65</v>
      </c>
      <c r="R801" s="33">
        <f t="shared" si="87"/>
        <v>35</v>
      </c>
      <c r="S801" s="34">
        <v>1</v>
      </c>
      <c r="T801" s="34">
        <f t="shared" si="88"/>
        <v>1</v>
      </c>
      <c r="U801" s="33">
        <f t="shared" si="89"/>
        <v>35</v>
      </c>
      <c r="V801" s="38" t="s">
        <v>827</v>
      </c>
      <c r="W801" s="39">
        <f t="shared" si="90"/>
        <v>1.1666666666666667</v>
      </c>
      <c r="X801" s="40" t="s">
        <v>304</v>
      </c>
      <c r="Y801" s="40" t="s">
        <v>283</v>
      </c>
      <c r="Z801" s="40" t="s">
        <v>749</v>
      </c>
      <c r="AA801" s="33" t="s">
        <v>749</v>
      </c>
      <c r="AB801" s="95"/>
      <c r="AC801" s="95"/>
    </row>
    <row r="802" spans="1:29" ht="14.45" hidden="1" customHeight="1" x14ac:dyDescent="0.25">
      <c r="A802" s="36" t="str">
        <f>INDEX('Base de données Mono'!C:C,MATCH(B802,'Base de données Mono'!D:D,0))</f>
        <v>Cannes</v>
      </c>
      <c r="B802" t="s">
        <v>392</v>
      </c>
      <c r="C802" s="36" t="str">
        <f>INDEX('Base de données Mono'!B:B,MATCH(B802,'Base de données Mono'!D:D,0))</f>
        <v>Monoprix</v>
      </c>
      <c r="D802" s="36" t="str">
        <f>INDEX('Base de données Mono'!A:A,MATCH(B802,'Base de données Mono'!D:D,0))</f>
        <v>JG</v>
      </c>
      <c r="E802" s="37" t="s">
        <v>303</v>
      </c>
      <c r="F802" s="41">
        <f t="shared" si="85"/>
        <v>14</v>
      </c>
      <c r="G802" s="41">
        <f t="shared" si="86"/>
        <v>4</v>
      </c>
      <c r="H802">
        <v>9</v>
      </c>
      <c r="I802" s="131">
        <f>INDEX('Base de données Mono'!K:K,MATCH(B802,'Base de données Mono'!D:D,0))</f>
        <v>0.20833333333333334</v>
      </c>
      <c r="J802" s="131">
        <f>INDEX('Base de données Mono'!L:L,MATCH(B802,'Base de données Mono'!D:D,0))</f>
        <v>0.83333333333333337</v>
      </c>
      <c r="K802" s="131">
        <f>INDEX('Base de données Mono'!M:M,MATCH(B802,'Base de données Mono'!D:D,0))</f>
        <v>0.28472222222222221</v>
      </c>
      <c r="L802" s="131">
        <f>INDEX('Base de données Mono'!N:N,MATCH(B802,'Base de données Mono'!D:D,0))</f>
        <v>0.77083333333333337</v>
      </c>
      <c r="M802" s="33" t="s">
        <v>46</v>
      </c>
      <c r="N802" s="33">
        <f>IF(AND(E802="Electricité",M802="Hiver"),INDEX('Base de données Mono'!E:E,MATCH(B802,'Base de données Mono'!D:D,0)),IF(AND(E802="Electricité",M802="Mi-saison"),INDEX('Base de données Mono'!F:F,MATCH(B802,'Base de données Mono'!D:D,0)),IF(AND(E802="Electricité",M802="Eté"),INDEX('Base de données Mono'!G:G,MATCH(B802,'Base de données Mono'!D:D,0)),IF(AND(E802="Gaz",M802="Hiver"),INDEX('Base de données Mono'!J:J,MATCH(B802,'Base de données Mono'!D:D,0)),IF(AND(E802="Gaz",M802="Mi-saison"),INDEX('Base de données Mono'!#REF!,MATCH(B802,'Base de données Mono'!D:D,0)),IF(AND(E802="Gaz",M802="Eté"),INDEX('Base de données Mono'!#REF!,MATCH(B802,'Base de données Mono'!D:D,0)),"-"))))))</f>
        <v>55</v>
      </c>
      <c r="O802" s="123">
        <v>45383</v>
      </c>
      <c r="P802" s="123">
        <v>45387</v>
      </c>
      <c r="Q802" s="34">
        <v>100</v>
      </c>
      <c r="R802" s="33">
        <f t="shared" si="87"/>
        <v>45</v>
      </c>
      <c r="S802" s="34">
        <v>1</v>
      </c>
      <c r="T802" s="34">
        <f t="shared" si="88"/>
        <v>4</v>
      </c>
      <c r="U802" s="33">
        <f t="shared" si="89"/>
        <v>180</v>
      </c>
      <c r="V802" s="38" t="s">
        <v>827</v>
      </c>
      <c r="W802" s="39">
        <f t="shared" si="90"/>
        <v>0.81818181818181823</v>
      </c>
      <c r="X802" s="40" t="s">
        <v>304</v>
      </c>
      <c r="Y802" s="40" t="s">
        <v>283</v>
      </c>
      <c r="Z802" s="40" t="s">
        <v>749</v>
      </c>
      <c r="AA802" s="33" t="s">
        <v>749</v>
      </c>
      <c r="AB802" s="95"/>
      <c r="AC802" s="95"/>
    </row>
    <row r="803" spans="1:29" ht="14.45" hidden="1" customHeight="1" x14ac:dyDescent="0.25">
      <c r="A803" s="36" t="str">
        <f>INDEX('Base de données Mono'!C:C,MATCH(B803,'Base de données Mono'!D:D,0))</f>
        <v>Cannes</v>
      </c>
      <c r="B803" t="s">
        <v>392</v>
      </c>
      <c r="C803" s="36" t="str">
        <f>INDEX('Base de données Mono'!B:B,MATCH(B803,'Base de données Mono'!D:D,0))</f>
        <v>Monoprix</v>
      </c>
      <c r="D803" s="36" t="str">
        <f>INDEX('Base de données Mono'!A:A,MATCH(B803,'Base de données Mono'!D:D,0))</f>
        <v>JG</v>
      </c>
      <c r="E803" s="37" t="s">
        <v>303</v>
      </c>
      <c r="F803" s="41">
        <f t="shared" si="85"/>
        <v>14</v>
      </c>
      <c r="G803" s="41">
        <f t="shared" si="86"/>
        <v>4</v>
      </c>
      <c r="H803">
        <v>9</v>
      </c>
      <c r="I803" s="131">
        <f>INDEX('Base de données Mono'!K:K,MATCH(B803,'Base de données Mono'!D:D,0))</f>
        <v>0.20833333333333334</v>
      </c>
      <c r="J803" s="131">
        <f>INDEX('Base de données Mono'!L:L,MATCH(B803,'Base de données Mono'!D:D,0))</f>
        <v>0.83333333333333337</v>
      </c>
      <c r="K803" s="131">
        <f>INDEX('Base de données Mono'!M:M,MATCH(B803,'Base de données Mono'!D:D,0))</f>
        <v>0.28472222222222221</v>
      </c>
      <c r="L803" s="131">
        <f>INDEX('Base de données Mono'!N:N,MATCH(B803,'Base de données Mono'!D:D,0))</f>
        <v>0.77083333333333337</v>
      </c>
      <c r="M803" s="33" t="s">
        <v>46</v>
      </c>
      <c r="N803" s="33">
        <f>IF(AND(E803="Electricité",M803="Hiver"),INDEX('Base de données Mono'!E:E,MATCH(B803,'Base de données Mono'!D:D,0)),IF(AND(E803="Electricité",M803="Mi-saison"),INDEX('Base de données Mono'!F:F,MATCH(B803,'Base de données Mono'!D:D,0)),IF(AND(E803="Electricité",M803="Eté"),INDEX('Base de données Mono'!G:G,MATCH(B803,'Base de données Mono'!D:D,0)),IF(AND(E803="Gaz",M803="Hiver"),INDEX('Base de données Mono'!J:J,MATCH(B803,'Base de données Mono'!D:D,0)),IF(AND(E803="Gaz",M803="Mi-saison"),INDEX('Base de données Mono'!#REF!,MATCH(B803,'Base de données Mono'!D:D,0)),IF(AND(E803="Gaz",M803="Eté"),INDEX('Base de données Mono'!#REF!,MATCH(B803,'Base de données Mono'!D:D,0)),"-"))))))</f>
        <v>55</v>
      </c>
      <c r="O803" s="123">
        <v>45387</v>
      </c>
      <c r="P803" s="123">
        <v>45389</v>
      </c>
      <c r="Q803" s="34">
        <v>75</v>
      </c>
      <c r="R803" s="33">
        <f t="shared" si="87"/>
        <v>20</v>
      </c>
      <c r="S803" s="34">
        <v>8</v>
      </c>
      <c r="T803" s="34">
        <f t="shared" si="88"/>
        <v>2</v>
      </c>
      <c r="U803" s="33">
        <f t="shared" si="89"/>
        <v>320</v>
      </c>
      <c r="V803" s="38" t="s">
        <v>827</v>
      </c>
      <c r="W803" s="39">
        <f t="shared" si="90"/>
        <v>0.36363636363636365</v>
      </c>
      <c r="X803" s="40" t="s">
        <v>304</v>
      </c>
      <c r="Y803" s="40" t="s">
        <v>283</v>
      </c>
      <c r="Z803" s="40" t="s">
        <v>749</v>
      </c>
      <c r="AA803" s="33" t="s">
        <v>749</v>
      </c>
      <c r="AB803" s="95"/>
      <c r="AC803" s="95"/>
    </row>
    <row r="804" spans="1:29" ht="14.45" hidden="1" customHeight="1" x14ac:dyDescent="0.25">
      <c r="A804" s="36" t="str">
        <f>INDEX('Base de données Mono'!C:C,MATCH(B804,'Base de données Mono'!D:D,0))</f>
        <v>Cannes</v>
      </c>
      <c r="B804" t="s">
        <v>392</v>
      </c>
      <c r="C804" s="36" t="str">
        <f>INDEX('Base de données Mono'!B:B,MATCH(B804,'Base de données Mono'!D:D,0))</f>
        <v>Monoprix</v>
      </c>
      <c r="D804" s="36" t="str">
        <f>INDEX('Base de données Mono'!A:A,MATCH(B804,'Base de données Mono'!D:D,0))</f>
        <v>JG</v>
      </c>
      <c r="E804" s="37" t="s">
        <v>303</v>
      </c>
      <c r="F804" s="41">
        <f t="shared" si="85"/>
        <v>14</v>
      </c>
      <c r="G804" s="41">
        <f t="shared" si="86"/>
        <v>4</v>
      </c>
      <c r="H804">
        <v>9</v>
      </c>
      <c r="I804" s="131">
        <f>INDEX('Base de données Mono'!K:K,MATCH(B804,'Base de données Mono'!D:D,0))</f>
        <v>0.20833333333333334</v>
      </c>
      <c r="J804" s="131">
        <f>INDEX('Base de données Mono'!L:L,MATCH(B804,'Base de données Mono'!D:D,0))</f>
        <v>0.83333333333333337</v>
      </c>
      <c r="K804" s="131">
        <f>INDEX('Base de données Mono'!M:M,MATCH(B804,'Base de données Mono'!D:D,0))</f>
        <v>0.28472222222222221</v>
      </c>
      <c r="L804" s="131">
        <f>INDEX('Base de données Mono'!N:N,MATCH(B804,'Base de données Mono'!D:D,0))</f>
        <v>0.77083333333333337</v>
      </c>
      <c r="M804" s="33" t="s">
        <v>46</v>
      </c>
      <c r="N804" s="33">
        <f>IF(AND(E804="Electricité",M804="Hiver"),INDEX('Base de données Mono'!E:E,MATCH(B804,'Base de données Mono'!D:D,0)),IF(AND(E804="Electricité",M804="Mi-saison"),INDEX('Base de données Mono'!F:F,MATCH(B804,'Base de données Mono'!D:D,0)),IF(AND(E804="Electricité",M804="Eté"),INDEX('Base de données Mono'!G:G,MATCH(B804,'Base de données Mono'!D:D,0)),IF(AND(E804="Gaz",M804="Hiver"),INDEX('Base de données Mono'!J:J,MATCH(B804,'Base de données Mono'!D:D,0)),IF(AND(E804="Gaz",M804="Mi-saison"),INDEX('Base de données Mono'!#REF!,MATCH(B804,'Base de données Mono'!D:D,0)),IF(AND(E804="Gaz",M804="Eté"),INDEX('Base de données Mono'!#REF!,MATCH(B804,'Base de données Mono'!D:D,0)),"-"))))))</f>
        <v>55</v>
      </c>
      <c r="O804" s="123">
        <v>45387</v>
      </c>
      <c r="P804" s="123">
        <v>45388</v>
      </c>
      <c r="Q804" s="34">
        <v>120</v>
      </c>
      <c r="R804" s="33">
        <f t="shared" si="87"/>
        <v>65</v>
      </c>
      <c r="S804" s="34">
        <v>1</v>
      </c>
      <c r="T804" s="34">
        <f t="shared" si="88"/>
        <v>1</v>
      </c>
      <c r="U804" s="33">
        <f t="shared" si="89"/>
        <v>65</v>
      </c>
      <c r="V804" s="38" t="s">
        <v>827</v>
      </c>
      <c r="W804" s="39">
        <f t="shared" si="90"/>
        <v>1.1818181818181819</v>
      </c>
      <c r="X804" s="40" t="s">
        <v>304</v>
      </c>
      <c r="Y804" s="40" t="s">
        <v>283</v>
      </c>
      <c r="Z804" s="40" t="s">
        <v>749</v>
      </c>
      <c r="AA804" s="33" t="s">
        <v>749</v>
      </c>
      <c r="AB804" s="95"/>
      <c r="AC804" s="95"/>
    </row>
    <row r="805" spans="1:29" ht="14.45" hidden="1" customHeight="1" x14ac:dyDescent="0.25">
      <c r="A805" s="36" t="str">
        <f>INDEX('Base de données Mono'!C:C,MATCH(B805,'Base de données Mono'!D:D,0))</f>
        <v>Nimes</v>
      </c>
      <c r="B805" t="s">
        <v>393</v>
      </c>
      <c r="C805" s="36" t="str">
        <f>INDEX('Base de données Mono'!B:B,MATCH(B805,'Base de données Mono'!D:D,0))</f>
        <v>Monoprix</v>
      </c>
      <c r="D805" s="36" t="str">
        <f>INDEX('Base de données Mono'!A:A,MATCH(B805,'Base de données Mono'!D:D,0))</f>
        <v>JG</v>
      </c>
      <c r="E805" s="37" t="s">
        <v>303</v>
      </c>
      <c r="F805" s="41">
        <f t="shared" si="85"/>
        <v>14</v>
      </c>
      <c r="G805" s="41">
        <f t="shared" si="86"/>
        <v>4</v>
      </c>
      <c r="H805">
        <v>9.25</v>
      </c>
      <c r="I805" s="131">
        <f>INDEX('Base de données Mono'!K:K,MATCH(B805,'Base de données Mono'!D:D,0))</f>
        <v>0.23958333333333334</v>
      </c>
      <c r="J805" s="131">
        <f>INDEX('Base de données Mono'!L:L,MATCH(B805,'Base de données Mono'!D:D,0))</f>
        <v>0.85416666666666663</v>
      </c>
      <c r="K805" s="131">
        <f>INDEX('Base de données Mono'!M:M,MATCH(B805,'Base de données Mono'!D:D,0))</f>
        <v>0.3125</v>
      </c>
      <c r="L805" s="131">
        <f>INDEX('Base de données Mono'!N:N,MATCH(B805,'Base de données Mono'!D:D,0))</f>
        <v>0.54861111111111105</v>
      </c>
      <c r="M805" s="33" t="s">
        <v>46</v>
      </c>
      <c r="N805" s="33">
        <f>IF(AND(E805="Electricité",M805="Hiver"),INDEX('Base de données Mono'!E:E,MATCH(B805,'Base de données Mono'!D:D,0)),IF(AND(E805="Electricité",M805="Mi-saison"),INDEX('Base de données Mono'!F:F,MATCH(B805,'Base de données Mono'!D:D,0)),IF(AND(E805="Electricité",M805="Eté"),INDEX('Base de données Mono'!G:G,MATCH(B805,'Base de données Mono'!D:D,0)),IF(AND(E805="Gaz",M805="Hiver"),INDEX('Base de données Mono'!J:J,MATCH(B805,'Base de données Mono'!D:D,0)),IF(AND(E805="Gaz",M805="Mi-saison"),INDEX('Base de données Mono'!#REF!,MATCH(B805,'Base de données Mono'!D:D,0)),IF(AND(E805="Gaz",M805="Eté"),INDEX('Base de données Mono'!#REF!,MATCH(B805,'Base de données Mono'!D:D,0)),"-"))))))</f>
        <v>55</v>
      </c>
      <c r="O805" s="123">
        <v>45388</v>
      </c>
      <c r="P805" s="123">
        <v>45389</v>
      </c>
      <c r="Q805" s="34">
        <v>65</v>
      </c>
      <c r="R805" s="33">
        <f t="shared" si="87"/>
        <v>10</v>
      </c>
      <c r="S805" s="34">
        <v>1</v>
      </c>
      <c r="T805" s="34">
        <f t="shared" si="88"/>
        <v>1</v>
      </c>
      <c r="U805" s="33">
        <f t="shared" si="89"/>
        <v>10</v>
      </c>
      <c r="V805" s="38" t="s">
        <v>827</v>
      </c>
      <c r="W805" s="39">
        <f t="shared" si="90"/>
        <v>0.18181818181818182</v>
      </c>
      <c r="X805" s="40" t="s">
        <v>304</v>
      </c>
      <c r="Y805" s="40" t="s">
        <v>283</v>
      </c>
      <c r="Z805" s="40" t="s">
        <v>749</v>
      </c>
      <c r="AA805" s="33" t="s">
        <v>749</v>
      </c>
      <c r="AB805" s="95"/>
      <c r="AC805" s="95"/>
    </row>
    <row r="806" spans="1:29" ht="14.45" hidden="1" customHeight="1" x14ac:dyDescent="0.25">
      <c r="A806" s="36" t="str">
        <f>INDEX('Base de données Mono'!C:C,MATCH(B806,'Base de données Mono'!D:D,0))</f>
        <v>ANNECY MG</v>
      </c>
      <c r="B806" t="s">
        <v>61</v>
      </c>
      <c r="C806" s="36" t="str">
        <f>INDEX('Base de données Mono'!B:B,MATCH(B806,'Base de données Mono'!D:D,0))</f>
        <v>Monoprix</v>
      </c>
      <c r="D806" s="36" t="str">
        <f>INDEX('Base de données Mono'!A:A,MATCH(B806,'Base de données Mono'!D:D,0))</f>
        <v>JG</v>
      </c>
      <c r="E806" s="37" t="s">
        <v>303</v>
      </c>
      <c r="F806" s="41">
        <f t="shared" si="85"/>
        <v>14</v>
      </c>
      <c r="G806" s="41">
        <f t="shared" si="86"/>
        <v>4</v>
      </c>
      <c r="H806">
        <v>9</v>
      </c>
      <c r="I806" s="131">
        <f>INDEX('Base de données Mono'!K:K,MATCH(B806,'Base de données Mono'!D:D,0))</f>
        <v>0.20833333333333334</v>
      </c>
      <c r="J806" s="131">
        <f>INDEX('Base de données Mono'!L:L,MATCH(B806,'Base de données Mono'!D:D,0))</f>
        <v>0.83333333333333304</v>
      </c>
      <c r="K806" s="131" t="str">
        <f>INDEX('Base de données Mono'!M:M,MATCH(B806,'Base de données Mono'!D:D,0))</f>
        <v>-</v>
      </c>
      <c r="L806" s="131" t="str">
        <f>INDEX('Base de données Mono'!N:N,MATCH(B806,'Base de données Mono'!D:D,0))</f>
        <v>-</v>
      </c>
      <c r="M806" s="33" t="s">
        <v>46</v>
      </c>
      <c r="N806" s="33">
        <f>IF(AND(E806="Electricité",M806="Hiver"),INDEX('Base de données Mono'!E:E,MATCH(B806,'Base de données Mono'!D:D,0)),IF(AND(E806="Electricité",M806="Mi-saison"),INDEX('Base de données Mono'!F:F,MATCH(B806,'Base de données Mono'!D:D,0)),IF(AND(E806="Electricité",M806="Eté"),INDEX('Base de données Mono'!G:G,MATCH(B806,'Base de données Mono'!D:D,0)),IF(AND(E806="Gaz",M806="Hiver"),INDEX('Base de données Mono'!J:J,MATCH(B806,'Base de données Mono'!D:D,0)),IF(AND(E806="Gaz",M806="Mi-saison"),INDEX('Base de données Mono'!#REF!,MATCH(B806,'Base de données Mono'!D:D,0)),IF(AND(E806="Gaz",M806="Eté"),INDEX('Base de données Mono'!#REF!,MATCH(B806,'Base de données Mono'!D:D,0)),"-"))))))</f>
        <v>45</v>
      </c>
      <c r="O806" s="123">
        <v>45383</v>
      </c>
      <c r="P806" s="123">
        <v>45384</v>
      </c>
      <c r="Q806" s="34">
        <v>50</v>
      </c>
      <c r="R806" s="33">
        <f t="shared" si="87"/>
        <v>5</v>
      </c>
      <c r="S806" s="34">
        <v>1</v>
      </c>
      <c r="T806" s="34">
        <f t="shared" si="88"/>
        <v>1</v>
      </c>
      <c r="U806" s="33">
        <f t="shared" si="89"/>
        <v>5</v>
      </c>
      <c r="V806" s="38" t="s">
        <v>827</v>
      </c>
      <c r="W806" s="39">
        <f t="shared" si="90"/>
        <v>0.1111111111111111</v>
      </c>
      <c r="X806" s="40" t="s">
        <v>304</v>
      </c>
      <c r="Y806" s="40" t="s">
        <v>283</v>
      </c>
      <c r="Z806" s="40" t="s">
        <v>749</v>
      </c>
      <c r="AA806" s="33" t="s">
        <v>749</v>
      </c>
      <c r="AB806" s="95"/>
      <c r="AC806" s="95"/>
    </row>
    <row r="807" spans="1:29" ht="14.45" hidden="1" customHeight="1" x14ac:dyDescent="0.25">
      <c r="A807" s="36" t="str">
        <f>INDEX('Base de données Mono'!C:C,MATCH(B807,'Base de données Mono'!D:D,0))</f>
        <v>ANNECY MG</v>
      </c>
      <c r="B807" t="s">
        <v>61</v>
      </c>
      <c r="C807" s="36" t="str">
        <f>INDEX('Base de données Mono'!B:B,MATCH(B807,'Base de données Mono'!D:D,0))</f>
        <v>Monoprix</v>
      </c>
      <c r="D807" s="36" t="str">
        <f>INDEX('Base de données Mono'!A:A,MATCH(B807,'Base de données Mono'!D:D,0))</f>
        <v>JG</v>
      </c>
      <c r="E807" s="37" t="s">
        <v>303</v>
      </c>
      <c r="F807" s="41">
        <f t="shared" si="85"/>
        <v>14</v>
      </c>
      <c r="G807" s="41">
        <f t="shared" si="86"/>
        <v>4</v>
      </c>
      <c r="H807">
        <v>9</v>
      </c>
      <c r="I807" s="131">
        <f>INDEX('Base de données Mono'!K:K,MATCH(B807,'Base de données Mono'!D:D,0))</f>
        <v>0.20833333333333334</v>
      </c>
      <c r="J807" s="131">
        <f>INDEX('Base de données Mono'!L:L,MATCH(B807,'Base de données Mono'!D:D,0))</f>
        <v>0.83333333333333304</v>
      </c>
      <c r="K807" s="131" t="str">
        <f>INDEX('Base de données Mono'!M:M,MATCH(B807,'Base de données Mono'!D:D,0))</f>
        <v>-</v>
      </c>
      <c r="L807" s="131" t="str">
        <f>INDEX('Base de données Mono'!N:N,MATCH(B807,'Base de données Mono'!D:D,0))</f>
        <v>-</v>
      </c>
      <c r="M807" s="33" t="s">
        <v>46</v>
      </c>
      <c r="N807" s="33">
        <f>IF(AND(E807="Electricité",M807="Hiver"),INDEX('Base de données Mono'!E:E,MATCH(B807,'Base de données Mono'!D:D,0)),IF(AND(E807="Electricité",M807="Mi-saison"),INDEX('Base de données Mono'!F:F,MATCH(B807,'Base de données Mono'!D:D,0)),IF(AND(E807="Electricité",M807="Eté"),INDEX('Base de données Mono'!G:G,MATCH(B807,'Base de données Mono'!D:D,0)),IF(AND(E807="Gaz",M807="Hiver"),INDEX('Base de données Mono'!J:J,MATCH(B807,'Base de données Mono'!D:D,0)),IF(AND(E807="Gaz",M807="Mi-saison"),INDEX('Base de données Mono'!#REF!,MATCH(B807,'Base de données Mono'!D:D,0)),IF(AND(E807="Gaz",M807="Eté"),INDEX('Base de données Mono'!#REF!,MATCH(B807,'Base de données Mono'!D:D,0)),"-"))))))</f>
        <v>45</v>
      </c>
      <c r="O807" s="123">
        <v>45383</v>
      </c>
      <c r="P807" s="123">
        <v>45385</v>
      </c>
      <c r="Q807" s="34">
        <v>65</v>
      </c>
      <c r="R807" s="33">
        <f t="shared" si="87"/>
        <v>20</v>
      </c>
      <c r="S807" s="34">
        <v>1</v>
      </c>
      <c r="T807" s="34">
        <f t="shared" si="88"/>
        <v>2</v>
      </c>
      <c r="U807" s="33">
        <f t="shared" si="89"/>
        <v>40</v>
      </c>
      <c r="V807" s="38" t="s">
        <v>827</v>
      </c>
      <c r="W807" s="39">
        <f t="shared" si="90"/>
        <v>0.44444444444444442</v>
      </c>
      <c r="X807" s="40" t="s">
        <v>304</v>
      </c>
      <c r="Y807" s="40" t="s">
        <v>283</v>
      </c>
      <c r="Z807" s="40" t="s">
        <v>749</v>
      </c>
      <c r="AA807" s="33" t="s">
        <v>749</v>
      </c>
      <c r="AB807" s="95"/>
      <c r="AC807" s="95"/>
    </row>
    <row r="808" spans="1:29" ht="14.45" hidden="1" customHeight="1" x14ac:dyDescent="0.25">
      <c r="A808" s="36" t="str">
        <f>INDEX('Base de données Mono'!C:C,MATCH(B808,'Base de données Mono'!D:D,0))</f>
        <v>ANNECY MG</v>
      </c>
      <c r="B808" t="s">
        <v>61</v>
      </c>
      <c r="C808" s="36" t="str">
        <f>INDEX('Base de données Mono'!B:B,MATCH(B808,'Base de données Mono'!D:D,0))</f>
        <v>Monoprix</v>
      </c>
      <c r="D808" s="36" t="str">
        <f>INDEX('Base de données Mono'!A:A,MATCH(B808,'Base de données Mono'!D:D,0))</f>
        <v>JG</v>
      </c>
      <c r="E808" s="37" t="s">
        <v>303</v>
      </c>
      <c r="F808" s="41">
        <f t="shared" si="85"/>
        <v>14</v>
      </c>
      <c r="G808" s="41">
        <f t="shared" si="86"/>
        <v>4</v>
      </c>
      <c r="H808">
        <v>9</v>
      </c>
      <c r="I808" s="131">
        <f>INDEX('Base de données Mono'!K:K,MATCH(B808,'Base de données Mono'!D:D,0))</f>
        <v>0.20833333333333334</v>
      </c>
      <c r="J808" s="131">
        <f>INDEX('Base de données Mono'!L:L,MATCH(B808,'Base de données Mono'!D:D,0))</f>
        <v>0.83333333333333304</v>
      </c>
      <c r="K808" s="131" t="str">
        <f>INDEX('Base de données Mono'!M:M,MATCH(B808,'Base de données Mono'!D:D,0))</f>
        <v>-</v>
      </c>
      <c r="L808" s="131" t="str">
        <f>INDEX('Base de données Mono'!N:N,MATCH(B808,'Base de données Mono'!D:D,0))</f>
        <v>-</v>
      </c>
      <c r="M808" s="33" t="s">
        <v>46</v>
      </c>
      <c r="N808" s="33">
        <f>IF(AND(E808="Electricité",M808="Hiver"),INDEX('Base de données Mono'!E:E,MATCH(B808,'Base de données Mono'!D:D,0)),IF(AND(E808="Electricité",M808="Mi-saison"),INDEX('Base de données Mono'!F:F,MATCH(B808,'Base de données Mono'!D:D,0)),IF(AND(E808="Electricité",M808="Eté"),INDEX('Base de données Mono'!G:G,MATCH(B808,'Base de données Mono'!D:D,0)),IF(AND(E808="Gaz",M808="Hiver"),INDEX('Base de données Mono'!J:J,MATCH(B808,'Base de données Mono'!D:D,0)),IF(AND(E808="Gaz",M808="Mi-saison"),INDEX('Base de données Mono'!#REF!,MATCH(B808,'Base de données Mono'!D:D,0)),IF(AND(E808="Gaz",M808="Eté"),INDEX('Base de données Mono'!#REF!,MATCH(B808,'Base de données Mono'!D:D,0)),"-"))))))</f>
        <v>45</v>
      </c>
      <c r="O808" s="123">
        <v>45385</v>
      </c>
      <c r="P808" s="123">
        <v>45386</v>
      </c>
      <c r="Q808" s="34">
        <v>55</v>
      </c>
      <c r="R808" s="33">
        <f t="shared" si="87"/>
        <v>10</v>
      </c>
      <c r="S808" s="34">
        <v>1</v>
      </c>
      <c r="T808" s="34">
        <f t="shared" si="88"/>
        <v>1</v>
      </c>
      <c r="U808" s="33">
        <f t="shared" si="89"/>
        <v>10</v>
      </c>
      <c r="V808" s="38" t="s">
        <v>827</v>
      </c>
      <c r="W808" s="39">
        <f t="shared" si="90"/>
        <v>0.22222222222222221</v>
      </c>
      <c r="X808" s="40" t="s">
        <v>304</v>
      </c>
      <c r="Y808" s="40" t="s">
        <v>283</v>
      </c>
      <c r="Z808" s="40" t="s">
        <v>749</v>
      </c>
      <c r="AA808" s="33" t="s">
        <v>749</v>
      </c>
      <c r="AB808" s="95"/>
      <c r="AC808" s="95"/>
    </row>
    <row r="809" spans="1:29" ht="14.45" hidden="1" customHeight="1" x14ac:dyDescent="0.25">
      <c r="A809" s="36" t="str">
        <f>INDEX('Base de données Mono'!C:C,MATCH(B809,'Base de données Mono'!D:D,0))</f>
        <v>ANNECY MG</v>
      </c>
      <c r="B809" t="s">
        <v>61</v>
      </c>
      <c r="C809" s="36" t="str">
        <f>INDEX('Base de données Mono'!B:B,MATCH(B809,'Base de données Mono'!D:D,0))</f>
        <v>Monoprix</v>
      </c>
      <c r="D809" s="36" t="str">
        <f>INDEX('Base de données Mono'!A:A,MATCH(B809,'Base de données Mono'!D:D,0))</f>
        <v>JG</v>
      </c>
      <c r="E809" s="37" t="s">
        <v>303</v>
      </c>
      <c r="F809" s="41">
        <f t="shared" si="85"/>
        <v>14</v>
      </c>
      <c r="G809" s="41">
        <f t="shared" si="86"/>
        <v>4</v>
      </c>
      <c r="H809">
        <v>9</v>
      </c>
      <c r="I809" s="131">
        <f>INDEX('Base de données Mono'!K:K,MATCH(B809,'Base de données Mono'!D:D,0))</f>
        <v>0.20833333333333334</v>
      </c>
      <c r="J809" s="131">
        <f>INDEX('Base de données Mono'!L:L,MATCH(B809,'Base de données Mono'!D:D,0))</f>
        <v>0.83333333333333304</v>
      </c>
      <c r="K809" s="131" t="str">
        <f>INDEX('Base de données Mono'!M:M,MATCH(B809,'Base de données Mono'!D:D,0))</f>
        <v>-</v>
      </c>
      <c r="L809" s="131" t="str">
        <f>INDEX('Base de données Mono'!N:N,MATCH(B809,'Base de données Mono'!D:D,0))</f>
        <v>-</v>
      </c>
      <c r="M809" s="33" t="s">
        <v>46</v>
      </c>
      <c r="N809" s="33">
        <f>IF(AND(E809="Electricité",M809="Hiver"),INDEX('Base de données Mono'!E:E,MATCH(B809,'Base de données Mono'!D:D,0)),IF(AND(E809="Electricité",M809="Mi-saison"),INDEX('Base de données Mono'!F:F,MATCH(B809,'Base de données Mono'!D:D,0)),IF(AND(E809="Electricité",M809="Eté"),INDEX('Base de données Mono'!G:G,MATCH(B809,'Base de données Mono'!D:D,0)),IF(AND(E809="Gaz",M809="Hiver"),INDEX('Base de données Mono'!J:J,MATCH(B809,'Base de données Mono'!D:D,0)),IF(AND(E809="Gaz",M809="Mi-saison"),INDEX('Base de données Mono'!#REF!,MATCH(B809,'Base de données Mono'!D:D,0)),IF(AND(E809="Gaz",M809="Eté"),INDEX('Base de données Mono'!#REF!,MATCH(B809,'Base de données Mono'!D:D,0)),"-"))))))</f>
        <v>45</v>
      </c>
      <c r="O809" s="123">
        <v>45385</v>
      </c>
      <c r="P809" s="123">
        <v>45387</v>
      </c>
      <c r="Q809" s="34">
        <v>75</v>
      </c>
      <c r="R809" s="33">
        <f t="shared" si="87"/>
        <v>30</v>
      </c>
      <c r="S809" s="34">
        <v>1</v>
      </c>
      <c r="T809" s="34">
        <f t="shared" si="88"/>
        <v>2</v>
      </c>
      <c r="U809" s="33">
        <f t="shared" si="89"/>
        <v>60</v>
      </c>
      <c r="V809" s="38" t="s">
        <v>827</v>
      </c>
      <c r="W809" s="39">
        <f t="shared" si="90"/>
        <v>0.66666666666666663</v>
      </c>
      <c r="X809" s="40" t="s">
        <v>304</v>
      </c>
      <c r="Y809" s="40" t="s">
        <v>283</v>
      </c>
      <c r="Z809" s="40" t="s">
        <v>749</v>
      </c>
      <c r="AA809" s="33" t="s">
        <v>749</v>
      </c>
      <c r="AB809" s="95"/>
      <c r="AC809" s="95"/>
    </row>
    <row r="810" spans="1:29" ht="14.45" hidden="1" customHeight="1" x14ac:dyDescent="0.25">
      <c r="A810" s="36" t="str">
        <f>INDEX('Base de données Mono'!C:C,MATCH(B810,'Base de données Mono'!D:D,0))</f>
        <v>ANNECY MG</v>
      </c>
      <c r="B810" t="s">
        <v>61</v>
      </c>
      <c r="C810" s="36" t="str">
        <f>INDEX('Base de données Mono'!B:B,MATCH(B810,'Base de données Mono'!D:D,0))</f>
        <v>Monoprix</v>
      </c>
      <c r="D810" s="36" t="str">
        <f>INDEX('Base de données Mono'!A:A,MATCH(B810,'Base de données Mono'!D:D,0))</f>
        <v>JG</v>
      </c>
      <c r="E810" s="37" t="s">
        <v>303</v>
      </c>
      <c r="F810" s="41">
        <f t="shared" si="85"/>
        <v>14</v>
      </c>
      <c r="G810" s="41">
        <f t="shared" si="86"/>
        <v>4</v>
      </c>
      <c r="H810">
        <v>9</v>
      </c>
      <c r="I810" s="131">
        <f>INDEX('Base de données Mono'!K:K,MATCH(B810,'Base de données Mono'!D:D,0))</f>
        <v>0.20833333333333334</v>
      </c>
      <c r="J810" s="131">
        <f>INDEX('Base de données Mono'!L:L,MATCH(B810,'Base de données Mono'!D:D,0))</f>
        <v>0.83333333333333304</v>
      </c>
      <c r="K810" s="131" t="str">
        <f>INDEX('Base de données Mono'!M:M,MATCH(B810,'Base de données Mono'!D:D,0))</f>
        <v>-</v>
      </c>
      <c r="L810" s="131" t="str">
        <f>INDEX('Base de données Mono'!N:N,MATCH(B810,'Base de données Mono'!D:D,0))</f>
        <v>-</v>
      </c>
      <c r="M810" s="33" t="s">
        <v>46</v>
      </c>
      <c r="N810" s="33">
        <f>IF(AND(E810="Electricité",M810="Hiver"),INDEX('Base de données Mono'!E:E,MATCH(B810,'Base de données Mono'!D:D,0)),IF(AND(E810="Electricité",M810="Mi-saison"),INDEX('Base de données Mono'!F:F,MATCH(B810,'Base de données Mono'!D:D,0)),IF(AND(E810="Electricité",M810="Eté"),INDEX('Base de données Mono'!G:G,MATCH(B810,'Base de données Mono'!D:D,0)),IF(AND(E810="Gaz",M810="Hiver"),INDEX('Base de données Mono'!J:J,MATCH(B810,'Base de données Mono'!D:D,0)),IF(AND(E810="Gaz",M810="Mi-saison"),INDEX('Base de données Mono'!#REF!,MATCH(B810,'Base de données Mono'!D:D,0)),IF(AND(E810="Gaz",M810="Eté"),INDEX('Base de données Mono'!#REF!,MATCH(B810,'Base de données Mono'!D:D,0)),"-"))))))</f>
        <v>45</v>
      </c>
      <c r="O810" s="123">
        <v>45386</v>
      </c>
      <c r="P810" s="123">
        <v>45387</v>
      </c>
      <c r="Q810" s="34">
        <v>50</v>
      </c>
      <c r="R810" s="33">
        <f t="shared" si="87"/>
        <v>5</v>
      </c>
      <c r="S810" s="34">
        <v>5</v>
      </c>
      <c r="T810" s="34">
        <f t="shared" si="88"/>
        <v>1</v>
      </c>
      <c r="U810" s="33">
        <f t="shared" si="89"/>
        <v>25</v>
      </c>
      <c r="V810" s="38" t="s">
        <v>827</v>
      </c>
      <c r="W810" s="39">
        <f t="shared" si="90"/>
        <v>0.1111111111111111</v>
      </c>
      <c r="X810" s="40" t="s">
        <v>304</v>
      </c>
      <c r="Y810" s="40" t="s">
        <v>283</v>
      </c>
      <c r="Z810" s="40" t="s">
        <v>749</v>
      </c>
      <c r="AA810" s="33" t="s">
        <v>749</v>
      </c>
      <c r="AB810" s="95"/>
      <c r="AC810" s="95"/>
    </row>
    <row r="811" spans="1:29" ht="14.45" hidden="1" customHeight="1" x14ac:dyDescent="0.25">
      <c r="A811" s="36" t="str">
        <f>INDEX('Base de données Mono'!C:C,MATCH(B811,'Base de données Mono'!D:D,0))</f>
        <v>ANNECY MG</v>
      </c>
      <c r="B811" t="s">
        <v>61</v>
      </c>
      <c r="C811" s="36" t="str">
        <f>INDEX('Base de données Mono'!B:B,MATCH(B811,'Base de données Mono'!D:D,0))</f>
        <v>Monoprix</v>
      </c>
      <c r="D811" s="36" t="str">
        <f>INDEX('Base de données Mono'!A:A,MATCH(B811,'Base de données Mono'!D:D,0))</f>
        <v>JG</v>
      </c>
      <c r="E811" s="37" t="s">
        <v>303</v>
      </c>
      <c r="F811" s="41">
        <f t="shared" si="85"/>
        <v>14</v>
      </c>
      <c r="G811" s="41">
        <f t="shared" si="86"/>
        <v>4</v>
      </c>
      <c r="H811">
        <v>9</v>
      </c>
      <c r="I811" s="131">
        <f>INDEX('Base de données Mono'!K:K,MATCH(B811,'Base de données Mono'!D:D,0))</f>
        <v>0.20833333333333334</v>
      </c>
      <c r="J811" s="131">
        <f>INDEX('Base de données Mono'!L:L,MATCH(B811,'Base de données Mono'!D:D,0))</f>
        <v>0.83333333333333304</v>
      </c>
      <c r="K811" s="131" t="str">
        <f>INDEX('Base de données Mono'!M:M,MATCH(B811,'Base de données Mono'!D:D,0))</f>
        <v>-</v>
      </c>
      <c r="L811" s="131" t="str">
        <f>INDEX('Base de données Mono'!N:N,MATCH(B811,'Base de données Mono'!D:D,0))</f>
        <v>-</v>
      </c>
      <c r="M811" s="33" t="s">
        <v>46</v>
      </c>
      <c r="N811" s="33">
        <f>IF(AND(E811="Electricité",M811="Hiver"),INDEX('Base de données Mono'!E:E,MATCH(B811,'Base de données Mono'!D:D,0)),IF(AND(E811="Electricité",M811="Mi-saison"),INDEX('Base de données Mono'!F:F,MATCH(B811,'Base de données Mono'!D:D,0)),IF(AND(E811="Electricité",M811="Eté"),INDEX('Base de données Mono'!G:G,MATCH(B811,'Base de données Mono'!D:D,0)),IF(AND(E811="Gaz",M811="Hiver"),INDEX('Base de données Mono'!J:J,MATCH(B811,'Base de données Mono'!D:D,0)),IF(AND(E811="Gaz",M811="Mi-saison"),INDEX('Base de données Mono'!#REF!,MATCH(B811,'Base de données Mono'!D:D,0)),IF(AND(E811="Gaz",M811="Eté"),INDEX('Base de données Mono'!#REF!,MATCH(B811,'Base de données Mono'!D:D,0)),"-"))))))</f>
        <v>45</v>
      </c>
      <c r="O811" s="123">
        <v>45386</v>
      </c>
      <c r="P811" s="123">
        <v>45387</v>
      </c>
      <c r="Q811" s="34">
        <v>85</v>
      </c>
      <c r="R811" s="33">
        <f t="shared" si="87"/>
        <v>40</v>
      </c>
      <c r="S811" s="34">
        <v>1</v>
      </c>
      <c r="T811" s="34">
        <f t="shared" si="88"/>
        <v>1</v>
      </c>
      <c r="U811" s="33">
        <f t="shared" si="89"/>
        <v>40</v>
      </c>
      <c r="V811" s="38" t="s">
        <v>827</v>
      </c>
      <c r="W811" s="39">
        <f t="shared" si="90"/>
        <v>0.88888888888888884</v>
      </c>
      <c r="X811" s="40" t="s">
        <v>304</v>
      </c>
      <c r="Y811" s="40" t="s">
        <v>283</v>
      </c>
      <c r="Z811" s="40" t="s">
        <v>749</v>
      </c>
      <c r="AA811" s="33" t="s">
        <v>749</v>
      </c>
      <c r="AB811" s="95"/>
      <c r="AC811" s="95"/>
    </row>
    <row r="812" spans="1:29" ht="14.45" hidden="1" customHeight="1" x14ac:dyDescent="0.25">
      <c r="A812" s="36" t="str">
        <f>INDEX('Base de données Mono'!C:C,MATCH(B812,'Base de données Mono'!D:D,0))</f>
        <v>ANNECY MG</v>
      </c>
      <c r="B812" t="s">
        <v>61</v>
      </c>
      <c r="C812" s="36" t="str">
        <f>INDEX('Base de données Mono'!B:B,MATCH(B812,'Base de données Mono'!D:D,0))</f>
        <v>Monoprix</v>
      </c>
      <c r="D812" s="36" t="str">
        <f>INDEX('Base de données Mono'!A:A,MATCH(B812,'Base de données Mono'!D:D,0))</f>
        <v>JG</v>
      </c>
      <c r="E812" s="37" t="s">
        <v>303</v>
      </c>
      <c r="F812" s="41">
        <f t="shared" si="85"/>
        <v>14</v>
      </c>
      <c r="G812" s="41">
        <f t="shared" si="86"/>
        <v>4</v>
      </c>
      <c r="H812">
        <v>9</v>
      </c>
      <c r="I812" s="131">
        <f>INDEX('Base de données Mono'!K:K,MATCH(B812,'Base de données Mono'!D:D,0))</f>
        <v>0.20833333333333334</v>
      </c>
      <c r="J812" s="131">
        <f>INDEX('Base de données Mono'!L:L,MATCH(B812,'Base de données Mono'!D:D,0))</f>
        <v>0.83333333333333304</v>
      </c>
      <c r="K812" s="131" t="str">
        <f>INDEX('Base de données Mono'!M:M,MATCH(B812,'Base de données Mono'!D:D,0))</f>
        <v>-</v>
      </c>
      <c r="L812" s="131" t="str">
        <f>INDEX('Base de données Mono'!N:N,MATCH(B812,'Base de données Mono'!D:D,0))</f>
        <v>-</v>
      </c>
      <c r="M812" s="33" t="s">
        <v>46</v>
      </c>
      <c r="N812" s="33">
        <f>IF(AND(E812="Electricité",M812="Hiver"),INDEX('Base de données Mono'!E:E,MATCH(B812,'Base de données Mono'!D:D,0)),IF(AND(E812="Electricité",M812="Mi-saison"),INDEX('Base de données Mono'!F:F,MATCH(B812,'Base de données Mono'!D:D,0)),IF(AND(E812="Electricité",M812="Eté"),INDEX('Base de données Mono'!G:G,MATCH(B812,'Base de données Mono'!D:D,0)),IF(AND(E812="Gaz",M812="Hiver"),INDEX('Base de données Mono'!J:J,MATCH(B812,'Base de données Mono'!D:D,0)),IF(AND(E812="Gaz",M812="Mi-saison"),INDEX('Base de données Mono'!#REF!,MATCH(B812,'Base de données Mono'!D:D,0)),IF(AND(E812="Gaz",M812="Eté"),INDEX('Base de données Mono'!#REF!,MATCH(B812,'Base de données Mono'!D:D,0)),"-"))))))</f>
        <v>45</v>
      </c>
      <c r="O812" s="123">
        <v>45387</v>
      </c>
      <c r="P812" s="123">
        <v>45388</v>
      </c>
      <c r="Q812" s="34">
        <v>52.5</v>
      </c>
      <c r="R812" s="33">
        <f t="shared" si="87"/>
        <v>7.5</v>
      </c>
      <c r="S812" s="34">
        <v>7</v>
      </c>
      <c r="T812" s="34">
        <f t="shared" si="88"/>
        <v>1</v>
      </c>
      <c r="U812" s="33">
        <f t="shared" si="89"/>
        <v>52.5</v>
      </c>
      <c r="V812" s="38" t="s">
        <v>827</v>
      </c>
      <c r="W812" s="39">
        <f t="shared" si="90"/>
        <v>0.16666666666666666</v>
      </c>
      <c r="X812" s="40" t="s">
        <v>304</v>
      </c>
      <c r="Y812" s="40" t="s">
        <v>283</v>
      </c>
      <c r="Z812" s="40" t="s">
        <v>749</v>
      </c>
      <c r="AA812" s="33" t="s">
        <v>749</v>
      </c>
      <c r="AB812" s="95"/>
      <c r="AC812" s="95"/>
    </row>
    <row r="813" spans="1:29" ht="14.45" hidden="1" customHeight="1" x14ac:dyDescent="0.25">
      <c r="A813" s="36" t="str">
        <f>INDEX('Base de données Mono'!C:C,MATCH(B813,'Base de données Mono'!D:D,0))</f>
        <v>ANNECY MG</v>
      </c>
      <c r="B813" t="s">
        <v>61</v>
      </c>
      <c r="C813" s="36" t="str">
        <f>INDEX('Base de données Mono'!B:B,MATCH(B813,'Base de données Mono'!D:D,0))</f>
        <v>Monoprix</v>
      </c>
      <c r="D813" s="36" t="str">
        <f>INDEX('Base de données Mono'!A:A,MATCH(B813,'Base de données Mono'!D:D,0))</f>
        <v>JG</v>
      </c>
      <c r="E813" s="37" t="s">
        <v>303</v>
      </c>
      <c r="F813" s="41">
        <f t="shared" si="85"/>
        <v>14</v>
      </c>
      <c r="G813" s="41">
        <f t="shared" si="86"/>
        <v>4</v>
      </c>
      <c r="H813">
        <v>9</v>
      </c>
      <c r="I813" s="131">
        <f>INDEX('Base de données Mono'!K:K,MATCH(B813,'Base de données Mono'!D:D,0))</f>
        <v>0.20833333333333334</v>
      </c>
      <c r="J813" s="131">
        <f>INDEX('Base de données Mono'!L:L,MATCH(B813,'Base de données Mono'!D:D,0))</f>
        <v>0.83333333333333304</v>
      </c>
      <c r="K813" s="131" t="str">
        <f>INDEX('Base de données Mono'!M:M,MATCH(B813,'Base de données Mono'!D:D,0))</f>
        <v>-</v>
      </c>
      <c r="L813" s="131" t="str">
        <f>INDEX('Base de données Mono'!N:N,MATCH(B813,'Base de données Mono'!D:D,0))</f>
        <v>-</v>
      </c>
      <c r="M813" s="33" t="s">
        <v>46</v>
      </c>
      <c r="N813" s="33">
        <f>IF(AND(E813="Electricité",M813="Hiver"),INDEX('Base de données Mono'!E:E,MATCH(B813,'Base de données Mono'!D:D,0)),IF(AND(E813="Electricité",M813="Mi-saison"),INDEX('Base de données Mono'!F:F,MATCH(B813,'Base de données Mono'!D:D,0)),IF(AND(E813="Electricité",M813="Eté"),INDEX('Base de données Mono'!G:G,MATCH(B813,'Base de données Mono'!D:D,0)),IF(AND(E813="Gaz",M813="Hiver"),INDEX('Base de données Mono'!J:J,MATCH(B813,'Base de données Mono'!D:D,0)),IF(AND(E813="Gaz",M813="Mi-saison"),INDEX('Base de données Mono'!#REF!,MATCH(B813,'Base de données Mono'!D:D,0)),IF(AND(E813="Gaz",M813="Eté"),INDEX('Base de données Mono'!#REF!,MATCH(B813,'Base de données Mono'!D:D,0)),"-"))))))</f>
        <v>45</v>
      </c>
      <c r="O813" s="123">
        <v>45387</v>
      </c>
      <c r="P813" s="123">
        <v>45389</v>
      </c>
      <c r="Q813" s="34">
        <v>70</v>
      </c>
      <c r="R813" s="33">
        <f t="shared" si="87"/>
        <v>25</v>
      </c>
      <c r="S813" s="34">
        <v>2</v>
      </c>
      <c r="T813" s="34">
        <f t="shared" si="88"/>
        <v>2</v>
      </c>
      <c r="U813" s="33">
        <f t="shared" si="89"/>
        <v>100</v>
      </c>
      <c r="V813" s="38" t="s">
        <v>827</v>
      </c>
      <c r="W813" s="39">
        <f t="shared" si="90"/>
        <v>0.55555555555555558</v>
      </c>
      <c r="X813" s="40" t="s">
        <v>304</v>
      </c>
      <c r="Y813" s="40" t="s">
        <v>283</v>
      </c>
      <c r="Z813" s="40" t="s">
        <v>749</v>
      </c>
      <c r="AA813" s="33" t="s">
        <v>749</v>
      </c>
      <c r="AB813" s="95"/>
      <c r="AC813" s="95"/>
    </row>
    <row r="814" spans="1:29" ht="14.45" hidden="1" customHeight="1" x14ac:dyDescent="0.25">
      <c r="A814" s="36" t="str">
        <f>INDEX('Base de données Mono'!C:C,MATCH(B814,'Base de données Mono'!D:D,0))</f>
        <v>ANNECY MG</v>
      </c>
      <c r="B814" t="s">
        <v>61</v>
      </c>
      <c r="C814" s="36" t="str">
        <f>INDEX('Base de données Mono'!B:B,MATCH(B814,'Base de données Mono'!D:D,0))</f>
        <v>Monoprix</v>
      </c>
      <c r="D814" s="36" t="str">
        <f>INDEX('Base de données Mono'!A:A,MATCH(B814,'Base de données Mono'!D:D,0))</f>
        <v>JG</v>
      </c>
      <c r="E814" s="37" t="s">
        <v>303</v>
      </c>
      <c r="F814" s="41">
        <f t="shared" si="85"/>
        <v>14</v>
      </c>
      <c r="G814" s="41">
        <f t="shared" si="86"/>
        <v>4</v>
      </c>
      <c r="H814">
        <v>9</v>
      </c>
      <c r="I814" s="131">
        <f>INDEX('Base de données Mono'!K:K,MATCH(B814,'Base de données Mono'!D:D,0))</f>
        <v>0.20833333333333334</v>
      </c>
      <c r="J814" s="131">
        <f>INDEX('Base de données Mono'!L:L,MATCH(B814,'Base de données Mono'!D:D,0))</f>
        <v>0.83333333333333304</v>
      </c>
      <c r="K814" s="131" t="str">
        <f>INDEX('Base de données Mono'!M:M,MATCH(B814,'Base de données Mono'!D:D,0))</f>
        <v>-</v>
      </c>
      <c r="L814" s="131" t="str">
        <f>INDEX('Base de données Mono'!N:N,MATCH(B814,'Base de données Mono'!D:D,0))</f>
        <v>-</v>
      </c>
      <c r="M814" s="33" t="s">
        <v>46</v>
      </c>
      <c r="N814" s="33">
        <f>IF(AND(E814="Electricité",M814="Hiver"),INDEX('Base de données Mono'!E:E,MATCH(B814,'Base de données Mono'!D:D,0)),IF(AND(E814="Electricité",M814="Mi-saison"),INDEX('Base de données Mono'!F:F,MATCH(B814,'Base de données Mono'!D:D,0)),IF(AND(E814="Electricité",M814="Eté"),INDEX('Base de données Mono'!G:G,MATCH(B814,'Base de données Mono'!D:D,0)),IF(AND(E814="Gaz",M814="Hiver"),INDEX('Base de données Mono'!J:J,MATCH(B814,'Base de données Mono'!D:D,0)),IF(AND(E814="Gaz",M814="Mi-saison"),INDEX('Base de données Mono'!#REF!,MATCH(B814,'Base de données Mono'!D:D,0)),IF(AND(E814="Gaz",M814="Eté"),INDEX('Base de données Mono'!#REF!,MATCH(B814,'Base de données Mono'!D:D,0)),"-"))))))</f>
        <v>45</v>
      </c>
      <c r="O814" s="123">
        <v>45388</v>
      </c>
      <c r="P814" s="123">
        <v>45389</v>
      </c>
      <c r="Q814" s="34">
        <v>75</v>
      </c>
      <c r="R814" s="33">
        <f t="shared" si="87"/>
        <v>30</v>
      </c>
      <c r="S814" s="34">
        <v>5</v>
      </c>
      <c r="T814" s="34">
        <f t="shared" si="88"/>
        <v>1</v>
      </c>
      <c r="U814" s="33">
        <f t="shared" si="89"/>
        <v>150</v>
      </c>
      <c r="V814" s="38" t="s">
        <v>827</v>
      </c>
      <c r="W814" s="39">
        <f t="shared" si="90"/>
        <v>0.66666666666666663</v>
      </c>
      <c r="X814" s="40" t="s">
        <v>304</v>
      </c>
      <c r="Y814" s="40" t="s">
        <v>283</v>
      </c>
      <c r="Z814" s="40" t="s">
        <v>749</v>
      </c>
      <c r="AA814" s="33" t="s">
        <v>749</v>
      </c>
      <c r="AB814" s="95"/>
      <c r="AC814" s="95"/>
    </row>
    <row r="815" spans="1:29" ht="14.45" hidden="1" customHeight="1" x14ac:dyDescent="0.25">
      <c r="A815" s="36" t="str">
        <f>INDEX('Base de données Mono'!C:C,MATCH(B815,'Base de données Mono'!D:D,0))</f>
        <v>ANNECY MG</v>
      </c>
      <c r="B815" t="s">
        <v>61</v>
      </c>
      <c r="C815" s="36" t="str">
        <f>INDEX('Base de données Mono'!B:B,MATCH(B815,'Base de données Mono'!D:D,0))</f>
        <v>Monoprix</v>
      </c>
      <c r="D815" s="36" t="str">
        <f>INDEX('Base de données Mono'!A:A,MATCH(B815,'Base de données Mono'!D:D,0))</f>
        <v>JG</v>
      </c>
      <c r="E815" s="37" t="s">
        <v>303</v>
      </c>
      <c r="F815" s="41">
        <f t="shared" si="85"/>
        <v>14</v>
      </c>
      <c r="G815" s="41">
        <f t="shared" si="86"/>
        <v>4</v>
      </c>
      <c r="H815">
        <v>9</v>
      </c>
      <c r="I815" s="131">
        <f>INDEX('Base de données Mono'!K:K,MATCH(B815,'Base de données Mono'!D:D,0))</f>
        <v>0.20833333333333334</v>
      </c>
      <c r="J815" s="131">
        <f>INDEX('Base de données Mono'!L:L,MATCH(B815,'Base de données Mono'!D:D,0))</f>
        <v>0.83333333333333304</v>
      </c>
      <c r="K815" s="131" t="str">
        <f>INDEX('Base de données Mono'!M:M,MATCH(B815,'Base de données Mono'!D:D,0))</f>
        <v>-</v>
      </c>
      <c r="L815" s="131" t="str">
        <f>INDEX('Base de données Mono'!N:N,MATCH(B815,'Base de données Mono'!D:D,0))</f>
        <v>-</v>
      </c>
      <c r="M815" s="33" t="s">
        <v>46</v>
      </c>
      <c r="N815" s="33">
        <f>IF(AND(E815="Electricité",M815="Hiver"),INDEX('Base de données Mono'!E:E,MATCH(B815,'Base de données Mono'!D:D,0)),IF(AND(E815="Electricité",M815="Mi-saison"),INDEX('Base de données Mono'!F:F,MATCH(B815,'Base de données Mono'!D:D,0)),IF(AND(E815="Electricité",M815="Eté"),INDEX('Base de données Mono'!G:G,MATCH(B815,'Base de données Mono'!D:D,0)),IF(AND(E815="Gaz",M815="Hiver"),INDEX('Base de données Mono'!J:J,MATCH(B815,'Base de données Mono'!D:D,0)),IF(AND(E815="Gaz",M815="Mi-saison"),INDEX('Base de données Mono'!#REF!,MATCH(B815,'Base de données Mono'!D:D,0)),IF(AND(E815="Gaz",M815="Eté"),INDEX('Base de données Mono'!#REF!,MATCH(B815,'Base de données Mono'!D:D,0)),"-"))))))</f>
        <v>45</v>
      </c>
      <c r="O815" s="123">
        <v>45388</v>
      </c>
      <c r="P815" s="123">
        <v>45389</v>
      </c>
      <c r="Q815" s="34">
        <v>50</v>
      </c>
      <c r="R815" s="33">
        <f t="shared" si="87"/>
        <v>5</v>
      </c>
      <c r="S815" s="34">
        <v>2</v>
      </c>
      <c r="T815" s="34">
        <f t="shared" si="88"/>
        <v>1</v>
      </c>
      <c r="U815" s="33">
        <f t="shared" si="89"/>
        <v>10</v>
      </c>
      <c r="V815" s="38" t="s">
        <v>827</v>
      </c>
      <c r="W815" s="39">
        <f t="shared" si="90"/>
        <v>0.1111111111111111</v>
      </c>
      <c r="X815" s="40" t="s">
        <v>304</v>
      </c>
      <c r="Y815" s="40" t="s">
        <v>283</v>
      </c>
      <c r="Z815" s="40" t="s">
        <v>749</v>
      </c>
      <c r="AA815" s="33" t="s">
        <v>749</v>
      </c>
      <c r="AB815" s="95"/>
      <c r="AC815" s="95"/>
    </row>
    <row r="816" spans="1:29" ht="14.45" hidden="1" customHeight="1" x14ac:dyDescent="0.25">
      <c r="A816" s="36" t="str">
        <f>INDEX('Base de données Mono'!C:C,MATCH(B816,'Base de données Mono'!D:D,0))</f>
        <v>ANNECY MG</v>
      </c>
      <c r="B816" t="s">
        <v>61</v>
      </c>
      <c r="C816" s="36" t="str">
        <f>INDEX('Base de données Mono'!B:B,MATCH(B816,'Base de données Mono'!D:D,0))</f>
        <v>Monoprix</v>
      </c>
      <c r="D816" s="36" t="str">
        <f>INDEX('Base de données Mono'!A:A,MATCH(B816,'Base de données Mono'!D:D,0))</f>
        <v>JG</v>
      </c>
      <c r="E816" s="37" t="s">
        <v>303</v>
      </c>
      <c r="F816" s="41">
        <f t="shared" ref="F816:F868" si="91">IF(O816="","-",IF(AND(X816="Nuit",WEEKDAY(O816,2)=7,O816&lt;&gt;P816),WEEKNUM(O816,2),WEEKNUM(O816,2)-1))+1</f>
        <v>14</v>
      </c>
      <c r="G816" s="41">
        <f t="shared" ref="G816:G868" si="92">IF(O816="","-",MONTH(O816))</f>
        <v>4</v>
      </c>
      <c r="H816">
        <v>9</v>
      </c>
      <c r="I816" s="131">
        <f>INDEX('Base de données Mono'!K:K,MATCH(B816,'Base de données Mono'!D:D,0))</f>
        <v>0.20833333333333334</v>
      </c>
      <c r="J816" s="131">
        <f>INDEX('Base de données Mono'!L:L,MATCH(B816,'Base de données Mono'!D:D,0))</f>
        <v>0.83333333333333304</v>
      </c>
      <c r="K816" s="131" t="str">
        <f>INDEX('Base de données Mono'!M:M,MATCH(B816,'Base de données Mono'!D:D,0))</f>
        <v>-</v>
      </c>
      <c r="L816" s="131" t="str">
        <f>INDEX('Base de données Mono'!N:N,MATCH(B816,'Base de données Mono'!D:D,0))</f>
        <v>-</v>
      </c>
      <c r="M816" s="33" t="s">
        <v>46</v>
      </c>
      <c r="N816" s="33">
        <f>IF(AND(E816="Electricité",M816="Hiver"),INDEX('Base de données Mono'!E:E,MATCH(B816,'Base de données Mono'!D:D,0)),IF(AND(E816="Electricité",M816="Mi-saison"),INDEX('Base de données Mono'!F:F,MATCH(B816,'Base de données Mono'!D:D,0)),IF(AND(E816="Electricité",M816="Eté"),INDEX('Base de données Mono'!G:G,MATCH(B816,'Base de données Mono'!D:D,0)),IF(AND(E816="Gaz",M816="Hiver"),INDEX('Base de données Mono'!J:J,MATCH(B816,'Base de données Mono'!D:D,0)),IF(AND(E816="Gaz",M816="Mi-saison"),INDEX('Base de données Mono'!#REF!,MATCH(B816,'Base de données Mono'!D:D,0)),IF(AND(E816="Gaz",M816="Eté"),INDEX('Base de données Mono'!#REF!,MATCH(B816,'Base de données Mono'!D:D,0)),"-"))))))</f>
        <v>45</v>
      </c>
      <c r="O816" s="123">
        <v>45388</v>
      </c>
      <c r="P816" s="123">
        <v>45389</v>
      </c>
      <c r="Q816" s="34">
        <v>60</v>
      </c>
      <c r="R816" s="33">
        <f t="shared" ref="R816:R868" si="93">IF(Q816="","",Q816-N816)</f>
        <v>15</v>
      </c>
      <c r="S816" s="34">
        <v>1</v>
      </c>
      <c r="T816" s="34">
        <f t="shared" ref="T816:T868" si="94">P816-O816</f>
        <v>1</v>
      </c>
      <c r="U816" s="33">
        <f t="shared" ref="U816:U868" si="95">R816*S816*T816</f>
        <v>15</v>
      </c>
      <c r="V816" s="38" t="s">
        <v>827</v>
      </c>
      <c r="W816" s="39">
        <f t="shared" ref="W816:W868" si="96">IFERROR(IF(E816="Gaz","-",R816/N816),"-")</f>
        <v>0.33333333333333331</v>
      </c>
      <c r="X816" s="40" t="s">
        <v>304</v>
      </c>
      <c r="Y816" s="40" t="s">
        <v>283</v>
      </c>
      <c r="Z816" s="40" t="s">
        <v>749</v>
      </c>
      <c r="AA816" s="33" t="s">
        <v>749</v>
      </c>
      <c r="AB816" s="95"/>
      <c r="AC816" s="95"/>
    </row>
    <row r="817" spans="1:29" ht="14.45" hidden="1" customHeight="1" x14ac:dyDescent="0.25">
      <c r="A817" s="36" t="str">
        <f>INDEX('Base de données Mono'!C:C,MATCH(B817,'Base de données Mono'!D:D,0))</f>
        <v>Nice Garibaldi</v>
      </c>
      <c r="B817" t="s">
        <v>485</v>
      </c>
      <c r="C817" s="36" t="str">
        <f>INDEX('Base de données Mono'!B:B,MATCH(B817,'Base de données Mono'!D:D,0))</f>
        <v>Monoprix</v>
      </c>
      <c r="D817" s="36" t="str">
        <f>INDEX('Base de données Mono'!A:A,MATCH(B817,'Base de données Mono'!D:D,0))</f>
        <v>AD</v>
      </c>
      <c r="E817" s="37" t="s">
        <v>303</v>
      </c>
      <c r="F817" s="41">
        <f t="shared" si="91"/>
        <v>14</v>
      </c>
      <c r="G817" s="41">
        <f t="shared" si="92"/>
        <v>4</v>
      </c>
      <c r="H817">
        <v>7.67</v>
      </c>
      <c r="I817" s="131">
        <f>INDEX('Base de données Mono'!K:K,MATCH(B817,'Base de données Mono'!D:D,0))</f>
        <v>0.22916666666666666</v>
      </c>
      <c r="J817" s="131">
        <f>INDEX('Base de données Mono'!L:L,MATCH(B817,'Base de données Mono'!D:D,0))</f>
        <v>0.90972222222222221</v>
      </c>
      <c r="K817" s="131">
        <f>INDEX('Base de données Mono'!M:M,MATCH(B817,'Base de données Mono'!D:D,0))</f>
        <v>0.24305555555555555</v>
      </c>
      <c r="L817" s="131">
        <f>INDEX('Base de données Mono'!N:N,MATCH(B817,'Base de données Mono'!D:D,0))</f>
        <v>0.88888888888888884</v>
      </c>
      <c r="M817" s="33" t="s">
        <v>46</v>
      </c>
      <c r="N817" s="33">
        <f>IF(AND(E817="Electricité",M817="Hiver"),INDEX('Base de données Mono'!E:E,MATCH(B817,'Base de données Mono'!D:D,0)),IF(AND(E817="Electricité",M817="Mi-saison"),INDEX('Base de données Mono'!F:F,MATCH(B817,'Base de données Mono'!D:D,0)),IF(AND(E817="Electricité",M817="Eté"),INDEX('Base de données Mono'!G:G,MATCH(B817,'Base de données Mono'!D:D,0)),IF(AND(E817="Gaz",M817="Hiver"),INDEX('Base de données Mono'!J:J,MATCH(B817,'Base de données Mono'!D:D,0)),IF(AND(E817="Gaz",M817="Mi-saison"),INDEX('Base de données Mono'!#REF!,MATCH(B817,'Base de données Mono'!D:D,0)),IF(AND(E817="Gaz",M817="Eté"),INDEX('Base de données Mono'!#REF!,MATCH(B817,'Base de données Mono'!D:D,0)),"-"))))))</f>
        <v>55</v>
      </c>
      <c r="O817" s="123">
        <v>45383</v>
      </c>
      <c r="P817" s="123">
        <v>45384</v>
      </c>
      <c r="Q817" s="34">
        <v>62.5</v>
      </c>
      <c r="R817" s="33">
        <f t="shared" si="93"/>
        <v>7.5</v>
      </c>
      <c r="S817" s="34">
        <v>5</v>
      </c>
      <c r="T817" s="34">
        <f t="shared" si="94"/>
        <v>1</v>
      </c>
      <c r="U817" s="33">
        <f t="shared" si="95"/>
        <v>37.5</v>
      </c>
      <c r="V817" s="38" t="s">
        <v>827</v>
      </c>
      <c r="W817" s="39">
        <f t="shared" si="96"/>
        <v>0.13636363636363635</v>
      </c>
      <c r="X817" s="40" t="s">
        <v>304</v>
      </c>
      <c r="Y817" s="40" t="s">
        <v>283</v>
      </c>
      <c r="Z817" s="40" t="s">
        <v>749</v>
      </c>
      <c r="AA817" s="33" t="s">
        <v>749</v>
      </c>
      <c r="AB817" s="95"/>
      <c r="AC817" s="95"/>
    </row>
    <row r="818" spans="1:29" ht="14.45" hidden="1" customHeight="1" x14ac:dyDescent="0.25">
      <c r="A818" s="36" t="str">
        <f>INDEX('Base de données Mono'!C:C,MATCH(B818,'Base de données Mono'!D:D,0))</f>
        <v>Nice Garibaldi</v>
      </c>
      <c r="B818" t="s">
        <v>485</v>
      </c>
      <c r="C818" s="36" t="str">
        <f>INDEX('Base de données Mono'!B:B,MATCH(B818,'Base de données Mono'!D:D,0))</f>
        <v>Monoprix</v>
      </c>
      <c r="D818" s="36" t="str">
        <f>INDEX('Base de données Mono'!A:A,MATCH(B818,'Base de données Mono'!D:D,0))</f>
        <v>AD</v>
      </c>
      <c r="E818" s="37" t="s">
        <v>303</v>
      </c>
      <c r="F818" s="41">
        <f t="shared" si="91"/>
        <v>14</v>
      </c>
      <c r="G818" s="41">
        <f t="shared" si="92"/>
        <v>4</v>
      </c>
      <c r="H818">
        <v>7.67</v>
      </c>
      <c r="I818" s="131">
        <f>INDEX('Base de données Mono'!K:K,MATCH(B818,'Base de données Mono'!D:D,0))</f>
        <v>0.22916666666666666</v>
      </c>
      <c r="J818" s="131">
        <f>INDEX('Base de données Mono'!L:L,MATCH(B818,'Base de données Mono'!D:D,0))</f>
        <v>0.90972222222222221</v>
      </c>
      <c r="K818" s="131">
        <f>INDEX('Base de données Mono'!M:M,MATCH(B818,'Base de données Mono'!D:D,0))</f>
        <v>0.24305555555555555</v>
      </c>
      <c r="L818" s="131">
        <f>INDEX('Base de données Mono'!N:N,MATCH(B818,'Base de données Mono'!D:D,0))</f>
        <v>0.88888888888888884</v>
      </c>
      <c r="M818" s="33" t="s">
        <v>46</v>
      </c>
      <c r="N818" s="33">
        <f>IF(AND(E818="Electricité",M818="Hiver"),INDEX('Base de données Mono'!E:E,MATCH(B818,'Base de données Mono'!D:D,0)),IF(AND(E818="Electricité",M818="Mi-saison"),INDEX('Base de données Mono'!F:F,MATCH(B818,'Base de données Mono'!D:D,0)),IF(AND(E818="Electricité",M818="Eté"),INDEX('Base de données Mono'!G:G,MATCH(B818,'Base de données Mono'!D:D,0)),IF(AND(E818="Gaz",M818="Hiver"),INDEX('Base de données Mono'!J:J,MATCH(B818,'Base de données Mono'!D:D,0)),IF(AND(E818="Gaz",M818="Mi-saison"),INDEX('Base de données Mono'!#REF!,MATCH(B818,'Base de données Mono'!D:D,0)),IF(AND(E818="Gaz",M818="Eté"),INDEX('Base de données Mono'!#REF!,MATCH(B818,'Base de données Mono'!D:D,0)),"-"))))))</f>
        <v>55</v>
      </c>
      <c r="O818" s="123">
        <v>45384</v>
      </c>
      <c r="P818" s="123">
        <v>45385</v>
      </c>
      <c r="Q818" s="34">
        <v>60</v>
      </c>
      <c r="R818" s="33">
        <f t="shared" si="93"/>
        <v>5</v>
      </c>
      <c r="S818" s="34">
        <v>7</v>
      </c>
      <c r="T818" s="34">
        <f t="shared" si="94"/>
        <v>1</v>
      </c>
      <c r="U818" s="33">
        <f t="shared" si="95"/>
        <v>35</v>
      </c>
      <c r="V818" s="38" t="s">
        <v>827</v>
      </c>
      <c r="W818" s="39">
        <f t="shared" si="96"/>
        <v>9.0909090909090912E-2</v>
      </c>
      <c r="X818" s="40" t="s">
        <v>304</v>
      </c>
      <c r="Y818" s="40" t="s">
        <v>283</v>
      </c>
      <c r="Z818" s="40" t="s">
        <v>749</v>
      </c>
      <c r="AA818" s="33" t="s">
        <v>749</v>
      </c>
      <c r="AB818" s="95"/>
      <c r="AC818" s="95"/>
    </row>
    <row r="819" spans="1:29" ht="14.45" hidden="1" customHeight="1" x14ac:dyDescent="0.25">
      <c r="A819" s="36" t="str">
        <f>INDEX('Base de données Mono'!C:C,MATCH(B819,'Base de données Mono'!D:D,0))</f>
        <v>Nice Garibaldi</v>
      </c>
      <c r="B819" t="s">
        <v>485</v>
      </c>
      <c r="C819" s="36" t="str">
        <f>INDEX('Base de données Mono'!B:B,MATCH(B819,'Base de données Mono'!D:D,0))</f>
        <v>Monoprix</v>
      </c>
      <c r="D819" s="36" t="str">
        <f>INDEX('Base de données Mono'!A:A,MATCH(B819,'Base de données Mono'!D:D,0))</f>
        <v>AD</v>
      </c>
      <c r="E819" s="37" t="s">
        <v>303</v>
      </c>
      <c r="F819" s="41">
        <f t="shared" si="91"/>
        <v>14</v>
      </c>
      <c r="G819" s="41">
        <f t="shared" si="92"/>
        <v>4</v>
      </c>
      <c r="H819">
        <v>7.67</v>
      </c>
      <c r="I819" s="131">
        <f>INDEX('Base de données Mono'!K:K,MATCH(B819,'Base de données Mono'!D:D,0))</f>
        <v>0.22916666666666666</v>
      </c>
      <c r="J819" s="131">
        <f>INDEX('Base de données Mono'!L:L,MATCH(B819,'Base de données Mono'!D:D,0))</f>
        <v>0.90972222222222221</v>
      </c>
      <c r="K819" s="131">
        <f>INDEX('Base de données Mono'!M:M,MATCH(B819,'Base de données Mono'!D:D,0))</f>
        <v>0.24305555555555555</v>
      </c>
      <c r="L819" s="131">
        <f>INDEX('Base de données Mono'!N:N,MATCH(B819,'Base de données Mono'!D:D,0))</f>
        <v>0.88888888888888884</v>
      </c>
      <c r="M819" s="33" t="s">
        <v>46</v>
      </c>
      <c r="N819" s="33">
        <f>IF(AND(E819="Electricité",M819="Hiver"),INDEX('Base de données Mono'!E:E,MATCH(B819,'Base de données Mono'!D:D,0)),IF(AND(E819="Electricité",M819="Mi-saison"),INDEX('Base de données Mono'!F:F,MATCH(B819,'Base de données Mono'!D:D,0)),IF(AND(E819="Electricité",M819="Eté"),INDEX('Base de données Mono'!G:G,MATCH(B819,'Base de données Mono'!D:D,0)),IF(AND(E819="Gaz",M819="Hiver"),INDEX('Base de données Mono'!J:J,MATCH(B819,'Base de données Mono'!D:D,0)),IF(AND(E819="Gaz",M819="Mi-saison"),INDEX('Base de données Mono'!#REF!,MATCH(B819,'Base de données Mono'!D:D,0)),IF(AND(E819="Gaz",M819="Eté"),INDEX('Base de données Mono'!#REF!,MATCH(B819,'Base de données Mono'!D:D,0)),"-"))))))</f>
        <v>55</v>
      </c>
      <c r="O819" s="123">
        <v>45384</v>
      </c>
      <c r="P819" s="123">
        <v>45385</v>
      </c>
      <c r="Q819" s="34">
        <v>70</v>
      </c>
      <c r="R819" s="33">
        <f t="shared" si="93"/>
        <v>15</v>
      </c>
      <c r="S819" s="34">
        <v>1</v>
      </c>
      <c r="T819" s="34">
        <f t="shared" si="94"/>
        <v>1</v>
      </c>
      <c r="U819" s="33">
        <f t="shared" si="95"/>
        <v>15</v>
      </c>
      <c r="V819" s="38" t="s">
        <v>827</v>
      </c>
      <c r="W819" s="39">
        <f t="shared" si="96"/>
        <v>0.27272727272727271</v>
      </c>
      <c r="X819" s="40" t="s">
        <v>304</v>
      </c>
      <c r="Y819" s="40" t="s">
        <v>283</v>
      </c>
      <c r="Z819" s="40" t="s">
        <v>749</v>
      </c>
      <c r="AA819" s="33" t="s">
        <v>749</v>
      </c>
      <c r="AB819" s="95"/>
      <c r="AC819" s="95"/>
    </row>
    <row r="820" spans="1:29" ht="14.45" hidden="1" customHeight="1" x14ac:dyDescent="0.25">
      <c r="A820" s="36" t="str">
        <f>INDEX('Base de données Mono'!C:C,MATCH(B820,'Base de données Mono'!D:D,0))</f>
        <v>Nice Garibaldi</v>
      </c>
      <c r="B820" t="s">
        <v>485</v>
      </c>
      <c r="C820" s="36" t="str">
        <f>INDEX('Base de données Mono'!B:B,MATCH(B820,'Base de données Mono'!D:D,0))</f>
        <v>Monoprix</v>
      </c>
      <c r="D820" s="36" t="str">
        <f>INDEX('Base de données Mono'!A:A,MATCH(B820,'Base de données Mono'!D:D,0))</f>
        <v>AD</v>
      </c>
      <c r="E820" s="37" t="s">
        <v>303</v>
      </c>
      <c r="F820" s="41">
        <f t="shared" si="91"/>
        <v>14</v>
      </c>
      <c r="G820" s="41">
        <f t="shared" si="92"/>
        <v>4</v>
      </c>
      <c r="H820">
        <v>7.67</v>
      </c>
      <c r="I820" s="131">
        <f>INDEX('Base de données Mono'!K:K,MATCH(B820,'Base de données Mono'!D:D,0))</f>
        <v>0.22916666666666666</v>
      </c>
      <c r="J820" s="131">
        <f>INDEX('Base de données Mono'!L:L,MATCH(B820,'Base de données Mono'!D:D,0))</f>
        <v>0.90972222222222221</v>
      </c>
      <c r="K820" s="131">
        <f>INDEX('Base de données Mono'!M:M,MATCH(B820,'Base de données Mono'!D:D,0))</f>
        <v>0.24305555555555555</v>
      </c>
      <c r="L820" s="131">
        <f>INDEX('Base de données Mono'!N:N,MATCH(B820,'Base de données Mono'!D:D,0))</f>
        <v>0.88888888888888884</v>
      </c>
      <c r="M820" s="33" t="s">
        <v>46</v>
      </c>
      <c r="N820" s="33">
        <f>IF(AND(E820="Electricité",M820="Hiver"),INDEX('Base de données Mono'!E:E,MATCH(B820,'Base de données Mono'!D:D,0)),IF(AND(E820="Electricité",M820="Mi-saison"),INDEX('Base de données Mono'!F:F,MATCH(B820,'Base de données Mono'!D:D,0)),IF(AND(E820="Electricité",M820="Eté"),INDEX('Base de données Mono'!G:G,MATCH(B820,'Base de données Mono'!D:D,0)),IF(AND(E820="Gaz",M820="Hiver"),INDEX('Base de données Mono'!J:J,MATCH(B820,'Base de données Mono'!D:D,0)),IF(AND(E820="Gaz",M820="Mi-saison"),INDEX('Base de données Mono'!#REF!,MATCH(B820,'Base de données Mono'!D:D,0)),IF(AND(E820="Gaz",M820="Eté"),INDEX('Base de données Mono'!#REF!,MATCH(B820,'Base de données Mono'!D:D,0)),"-"))))))</f>
        <v>55</v>
      </c>
      <c r="O820" s="123">
        <v>45385</v>
      </c>
      <c r="P820" s="123">
        <v>45386</v>
      </c>
      <c r="Q820" s="34">
        <v>60</v>
      </c>
      <c r="R820" s="33">
        <f t="shared" si="93"/>
        <v>5</v>
      </c>
      <c r="S820" s="34">
        <v>4</v>
      </c>
      <c r="T820" s="34">
        <f t="shared" si="94"/>
        <v>1</v>
      </c>
      <c r="U820" s="33">
        <f t="shared" si="95"/>
        <v>20</v>
      </c>
      <c r="V820" s="38" t="s">
        <v>827</v>
      </c>
      <c r="W820" s="39">
        <f t="shared" si="96"/>
        <v>9.0909090909090912E-2</v>
      </c>
      <c r="X820" s="40" t="s">
        <v>304</v>
      </c>
      <c r="Y820" s="40" t="s">
        <v>283</v>
      </c>
      <c r="Z820" s="40" t="s">
        <v>749</v>
      </c>
      <c r="AA820" s="33" t="s">
        <v>749</v>
      </c>
      <c r="AB820" s="95"/>
      <c r="AC820" s="95"/>
    </row>
    <row r="821" spans="1:29" ht="14.45" hidden="1" customHeight="1" x14ac:dyDescent="0.25">
      <c r="A821" s="36" t="str">
        <f>INDEX('Base de données Mono'!C:C,MATCH(B821,'Base de données Mono'!D:D,0))</f>
        <v>Nice Garibaldi</v>
      </c>
      <c r="B821" t="s">
        <v>485</v>
      </c>
      <c r="C821" s="36" t="str">
        <f>INDEX('Base de données Mono'!B:B,MATCH(B821,'Base de données Mono'!D:D,0))</f>
        <v>Monoprix</v>
      </c>
      <c r="D821" s="36" t="str">
        <f>INDEX('Base de données Mono'!A:A,MATCH(B821,'Base de données Mono'!D:D,0))</f>
        <v>AD</v>
      </c>
      <c r="E821" s="37" t="s">
        <v>303</v>
      </c>
      <c r="F821" s="41">
        <f t="shared" si="91"/>
        <v>14</v>
      </c>
      <c r="G821" s="41">
        <f t="shared" si="92"/>
        <v>4</v>
      </c>
      <c r="H821">
        <v>7.67</v>
      </c>
      <c r="I821" s="131">
        <f>INDEX('Base de données Mono'!K:K,MATCH(B821,'Base de données Mono'!D:D,0))</f>
        <v>0.22916666666666666</v>
      </c>
      <c r="J821" s="131">
        <f>INDEX('Base de données Mono'!L:L,MATCH(B821,'Base de données Mono'!D:D,0))</f>
        <v>0.90972222222222221</v>
      </c>
      <c r="K821" s="131">
        <f>INDEX('Base de données Mono'!M:M,MATCH(B821,'Base de données Mono'!D:D,0))</f>
        <v>0.24305555555555555</v>
      </c>
      <c r="L821" s="131">
        <f>INDEX('Base de données Mono'!N:N,MATCH(B821,'Base de données Mono'!D:D,0))</f>
        <v>0.88888888888888884</v>
      </c>
      <c r="M821" s="33" t="s">
        <v>46</v>
      </c>
      <c r="N821" s="33">
        <f>IF(AND(E821="Electricité",M821="Hiver"),INDEX('Base de données Mono'!E:E,MATCH(B821,'Base de données Mono'!D:D,0)),IF(AND(E821="Electricité",M821="Mi-saison"),INDEX('Base de données Mono'!F:F,MATCH(B821,'Base de données Mono'!D:D,0)),IF(AND(E821="Electricité",M821="Eté"),INDEX('Base de données Mono'!G:G,MATCH(B821,'Base de données Mono'!D:D,0)),IF(AND(E821="Gaz",M821="Hiver"),INDEX('Base de données Mono'!J:J,MATCH(B821,'Base de données Mono'!D:D,0)),IF(AND(E821="Gaz",M821="Mi-saison"),INDEX('Base de données Mono'!#REF!,MATCH(B821,'Base de données Mono'!D:D,0)),IF(AND(E821="Gaz",M821="Eté"),INDEX('Base de données Mono'!#REF!,MATCH(B821,'Base de données Mono'!D:D,0)),"-"))))))</f>
        <v>55</v>
      </c>
      <c r="O821" s="123">
        <v>45386</v>
      </c>
      <c r="P821" s="123">
        <v>45388</v>
      </c>
      <c r="Q821" s="34">
        <v>60</v>
      </c>
      <c r="R821" s="33">
        <f t="shared" si="93"/>
        <v>5</v>
      </c>
      <c r="S821" s="34">
        <v>7</v>
      </c>
      <c r="T821" s="34">
        <f t="shared" si="94"/>
        <v>2</v>
      </c>
      <c r="U821" s="33">
        <f t="shared" si="95"/>
        <v>70</v>
      </c>
      <c r="V821" s="38" t="s">
        <v>827</v>
      </c>
      <c r="W821" s="39">
        <f t="shared" si="96"/>
        <v>9.0909090909090912E-2</v>
      </c>
      <c r="X821" s="40" t="s">
        <v>304</v>
      </c>
      <c r="Y821" s="40" t="s">
        <v>283</v>
      </c>
      <c r="Z821" s="40" t="s">
        <v>749</v>
      </c>
      <c r="AA821" s="33" t="s">
        <v>749</v>
      </c>
      <c r="AB821" s="95"/>
      <c r="AC821" s="95"/>
    </row>
    <row r="822" spans="1:29" ht="14.45" hidden="1" customHeight="1" x14ac:dyDescent="0.25">
      <c r="A822" s="36" t="str">
        <f>INDEX('Base de données Mono'!C:C,MATCH(B822,'Base de données Mono'!D:D,0))</f>
        <v>Nice Garibaldi</v>
      </c>
      <c r="B822" t="s">
        <v>485</v>
      </c>
      <c r="C822" s="36" t="str">
        <f>INDEX('Base de données Mono'!B:B,MATCH(B822,'Base de données Mono'!D:D,0))</f>
        <v>Monoprix</v>
      </c>
      <c r="D822" s="36" t="str">
        <f>INDEX('Base de données Mono'!A:A,MATCH(B822,'Base de données Mono'!D:D,0))</f>
        <v>AD</v>
      </c>
      <c r="E822" s="37" t="s">
        <v>303</v>
      </c>
      <c r="F822" s="41">
        <f t="shared" si="91"/>
        <v>14</v>
      </c>
      <c r="G822" s="41">
        <f t="shared" si="92"/>
        <v>4</v>
      </c>
      <c r="H822">
        <v>7.67</v>
      </c>
      <c r="I822" s="131">
        <f>INDEX('Base de données Mono'!K:K,MATCH(B822,'Base de données Mono'!D:D,0))</f>
        <v>0.22916666666666666</v>
      </c>
      <c r="J822" s="131">
        <f>INDEX('Base de données Mono'!L:L,MATCH(B822,'Base de données Mono'!D:D,0))</f>
        <v>0.90972222222222221</v>
      </c>
      <c r="K822" s="131">
        <f>INDEX('Base de données Mono'!M:M,MATCH(B822,'Base de données Mono'!D:D,0))</f>
        <v>0.24305555555555555</v>
      </c>
      <c r="L822" s="131">
        <f>INDEX('Base de données Mono'!N:N,MATCH(B822,'Base de données Mono'!D:D,0))</f>
        <v>0.88888888888888884</v>
      </c>
      <c r="M822" s="33" t="s">
        <v>46</v>
      </c>
      <c r="N822" s="33">
        <f>IF(AND(E822="Electricité",M822="Hiver"),INDEX('Base de données Mono'!E:E,MATCH(B822,'Base de données Mono'!D:D,0)),IF(AND(E822="Electricité",M822="Mi-saison"),INDEX('Base de données Mono'!F:F,MATCH(B822,'Base de données Mono'!D:D,0)),IF(AND(E822="Electricité",M822="Eté"),INDEX('Base de données Mono'!G:G,MATCH(B822,'Base de données Mono'!D:D,0)),IF(AND(E822="Gaz",M822="Hiver"),INDEX('Base de données Mono'!J:J,MATCH(B822,'Base de données Mono'!D:D,0)),IF(AND(E822="Gaz",M822="Mi-saison"),INDEX('Base de données Mono'!#REF!,MATCH(B822,'Base de données Mono'!D:D,0)),IF(AND(E822="Gaz",M822="Eté"),INDEX('Base de données Mono'!#REF!,MATCH(B822,'Base de données Mono'!D:D,0)),"-"))))))</f>
        <v>55</v>
      </c>
      <c r="O822" s="123">
        <v>45387</v>
      </c>
      <c r="P822" s="123">
        <v>45388</v>
      </c>
      <c r="Q822" s="34">
        <v>65</v>
      </c>
      <c r="R822" s="33">
        <f t="shared" si="93"/>
        <v>10</v>
      </c>
      <c r="S822" s="34">
        <v>1</v>
      </c>
      <c r="T822" s="34">
        <f t="shared" si="94"/>
        <v>1</v>
      </c>
      <c r="U822" s="33">
        <f t="shared" si="95"/>
        <v>10</v>
      </c>
      <c r="V822" s="38" t="s">
        <v>827</v>
      </c>
      <c r="W822" s="39">
        <f t="shared" si="96"/>
        <v>0.18181818181818182</v>
      </c>
      <c r="X822" s="40" t="s">
        <v>304</v>
      </c>
      <c r="Y822" s="40" t="s">
        <v>283</v>
      </c>
      <c r="Z822" s="40" t="s">
        <v>749</v>
      </c>
      <c r="AA822" s="33" t="s">
        <v>749</v>
      </c>
      <c r="AB822" s="95"/>
      <c r="AC822" s="95"/>
    </row>
    <row r="823" spans="1:29" ht="14.45" hidden="1" customHeight="1" x14ac:dyDescent="0.25">
      <c r="A823" s="36" t="str">
        <f>INDEX('Base de données Mono'!C:C,MATCH(B823,'Base de données Mono'!D:D,0))</f>
        <v>Nice Garibaldi</v>
      </c>
      <c r="B823" t="s">
        <v>485</v>
      </c>
      <c r="C823" s="36" t="str">
        <f>INDEX('Base de données Mono'!B:B,MATCH(B823,'Base de données Mono'!D:D,0))</f>
        <v>Monoprix</v>
      </c>
      <c r="D823" s="36" t="str">
        <f>INDEX('Base de données Mono'!A:A,MATCH(B823,'Base de données Mono'!D:D,0))</f>
        <v>AD</v>
      </c>
      <c r="E823" s="37" t="s">
        <v>303</v>
      </c>
      <c r="F823" s="41">
        <f t="shared" si="91"/>
        <v>14</v>
      </c>
      <c r="G823" s="41">
        <f t="shared" si="92"/>
        <v>4</v>
      </c>
      <c r="H823">
        <v>7.67</v>
      </c>
      <c r="I823" s="131">
        <f>INDEX('Base de données Mono'!K:K,MATCH(B823,'Base de données Mono'!D:D,0))</f>
        <v>0.22916666666666666</v>
      </c>
      <c r="J823" s="131">
        <f>INDEX('Base de données Mono'!L:L,MATCH(B823,'Base de données Mono'!D:D,0))</f>
        <v>0.90972222222222221</v>
      </c>
      <c r="K823" s="131">
        <f>INDEX('Base de données Mono'!M:M,MATCH(B823,'Base de données Mono'!D:D,0))</f>
        <v>0.24305555555555555</v>
      </c>
      <c r="L823" s="131">
        <f>INDEX('Base de données Mono'!N:N,MATCH(B823,'Base de données Mono'!D:D,0))</f>
        <v>0.88888888888888884</v>
      </c>
      <c r="M823" s="33" t="s">
        <v>46</v>
      </c>
      <c r="N823" s="33">
        <f>IF(AND(E823="Electricité",M823="Hiver"),INDEX('Base de données Mono'!E:E,MATCH(B823,'Base de données Mono'!D:D,0)),IF(AND(E823="Electricité",M823="Mi-saison"),INDEX('Base de données Mono'!F:F,MATCH(B823,'Base de données Mono'!D:D,0)),IF(AND(E823="Electricité",M823="Eté"),INDEX('Base de données Mono'!G:G,MATCH(B823,'Base de données Mono'!D:D,0)),IF(AND(E823="Gaz",M823="Hiver"),INDEX('Base de données Mono'!J:J,MATCH(B823,'Base de données Mono'!D:D,0)),IF(AND(E823="Gaz",M823="Mi-saison"),INDEX('Base de données Mono'!#REF!,MATCH(B823,'Base de données Mono'!D:D,0)),IF(AND(E823="Gaz",M823="Eté"),INDEX('Base de données Mono'!#REF!,MATCH(B823,'Base de données Mono'!D:D,0)),"-"))))))</f>
        <v>55</v>
      </c>
      <c r="O823" s="123">
        <v>45388</v>
      </c>
      <c r="P823" s="123">
        <v>45389</v>
      </c>
      <c r="Q823" s="34">
        <v>62.5</v>
      </c>
      <c r="R823" s="33">
        <f t="shared" si="93"/>
        <v>7.5</v>
      </c>
      <c r="S823" s="34">
        <v>8</v>
      </c>
      <c r="T823" s="34">
        <f t="shared" si="94"/>
        <v>1</v>
      </c>
      <c r="U823" s="33">
        <f t="shared" si="95"/>
        <v>60</v>
      </c>
      <c r="V823" s="38" t="s">
        <v>827</v>
      </c>
      <c r="W823" s="39">
        <f t="shared" si="96"/>
        <v>0.13636363636363635</v>
      </c>
      <c r="X823" s="40" t="s">
        <v>304</v>
      </c>
      <c r="Y823" s="40" t="s">
        <v>283</v>
      </c>
      <c r="Z823" s="40" t="s">
        <v>749</v>
      </c>
      <c r="AA823" s="33" t="s">
        <v>749</v>
      </c>
      <c r="AB823" s="95"/>
      <c r="AC823" s="95"/>
    </row>
    <row r="824" spans="1:29" ht="14.45" hidden="1" customHeight="1" x14ac:dyDescent="0.25">
      <c r="A824" s="36" t="str">
        <f>INDEX('Base de données Mono'!C:C,MATCH(B824,'Base de données Mono'!D:D,0))</f>
        <v>Poissy 2</v>
      </c>
      <c r="B824" t="s">
        <v>526</v>
      </c>
      <c r="C824" s="36" t="str">
        <f>INDEX('Base de données Mono'!B:B,MATCH(B824,'Base de données Mono'!D:D,0))</f>
        <v>Monoprix</v>
      </c>
      <c r="D824" s="36" t="str">
        <f>INDEX('Base de données Mono'!A:A,MATCH(B824,'Base de données Mono'!D:D,0))</f>
        <v>-</v>
      </c>
      <c r="E824" s="37" t="s">
        <v>303</v>
      </c>
      <c r="F824" s="41">
        <f t="shared" si="91"/>
        <v>14</v>
      </c>
      <c r="G824" s="41">
        <f t="shared" si="92"/>
        <v>4</v>
      </c>
      <c r="H824">
        <v>7.17</v>
      </c>
      <c r="I824" s="131">
        <f>INDEX('Base de données Mono'!K:K,MATCH(B824,'Base de données Mono'!D:D,0))</f>
        <v>0.25</v>
      </c>
      <c r="J824" s="131">
        <f>INDEX('Base de données Mono'!L:L,MATCH(B824,'Base de données Mono'!D:D,0))</f>
        <v>0.95138888888888884</v>
      </c>
      <c r="K824" s="131">
        <f>INDEX('Base de données Mono'!M:M,MATCH(B824,'Base de données Mono'!D:D,0))</f>
        <v>0.28472222222222221</v>
      </c>
      <c r="L824" s="131">
        <f>INDEX('Base de données Mono'!N:N,MATCH(B824,'Base de données Mono'!D:D,0))</f>
        <v>0.875</v>
      </c>
      <c r="M824" s="33" t="s">
        <v>46</v>
      </c>
      <c r="N824" s="33">
        <f>IF(AND(E824="Electricité",M824="Hiver"),INDEX('Base de données Mono'!E:E,MATCH(B824,'Base de données Mono'!D:D,0)),IF(AND(E824="Electricité",M824="Mi-saison"),INDEX('Base de données Mono'!F:F,MATCH(B824,'Base de données Mono'!D:D,0)),IF(AND(E824="Electricité",M824="Eté"),INDEX('Base de données Mono'!G:G,MATCH(B824,'Base de données Mono'!D:D,0)),IF(AND(E824="Gaz",M824="Hiver"),INDEX('Base de données Mono'!J:J,MATCH(B824,'Base de données Mono'!D:D,0)),IF(AND(E824="Gaz",M824="Mi-saison"),INDEX('Base de données Mono'!#REF!,MATCH(B824,'Base de données Mono'!D:D,0)),IF(AND(E824="Gaz",M824="Eté"),INDEX('Base de données Mono'!#REF!,MATCH(B824,'Base de données Mono'!D:D,0)),"-"))))))</f>
        <v>55</v>
      </c>
      <c r="O824" s="123">
        <v>45383</v>
      </c>
      <c r="P824" s="123">
        <v>45388</v>
      </c>
      <c r="Q824" s="34">
        <v>85</v>
      </c>
      <c r="R824" s="33">
        <f t="shared" si="93"/>
        <v>30</v>
      </c>
      <c r="S824" s="34">
        <v>1</v>
      </c>
      <c r="T824" s="34">
        <f t="shared" si="94"/>
        <v>5</v>
      </c>
      <c r="U824" s="33">
        <f t="shared" si="95"/>
        <v>150</v>
      </c>
      <c r="V824" s="38" t="s">
        <v>827</v>
      </c>
      <c r="W824" s="39">
        <f t="shared" si="96"/>
        <v>0.54545454545454541</v>
      </c>
      <c r="X824" s="40" t="s">
        <v>304</v>
      </c>
      <c r="Y824" s="40" t="s">
        <v>283</v>
      </c>
      <c r="Z824" s="40" t="s">
        <v>749</v>
      </c>
      <c r="AA824" s="33" t="s">
        <v>749</v>
      </c>
      <c r="AB824" s="95"/>
      <c r="AC824" s="95"/>
    </row>
    <row r="825" spans="1:29" ht="14.45" hidden="1" customHeight="1" x14ac:dyDescent="0.25">
      <c r="A825" s="36" t="str">
        <f>INDEX('Base de données Mono'!C:C,MATCH(B825,'Base de données Mono'!D:D,0))</f>
        <v>Poissy 2</v>
      </c>
      <c r="B825" t="s">
        <v>526</v>
      </c>
      <c r="C825" s="36" t="str">
        <f>INDEX('Base de données Mono'!B:B,MATCH(B825,'Base de données Mono'!D:D,0))</f>
        <v>Monoprix</v>
      </c>
      <c r="D825" s="36" t="str">
        <f>INDEX('Base de données Mono'!A:A,MATCH(B825,'Base de données Mono'!D:D,0))</f>
        <v>-</v>
      </c>
      <c r="E825" s="37" t="s">
        <v>303</v>
      </c>
      <c r="F825" s="41">
        <f t="shared" si="91"/>
        <v>14</v>
      </c>
      <c r="G825" s="41">
        <f t="shared" si="92"/>
        <v>4</v>
      </c>
      <c r="H825">
        <v>7.17</v>
      </c>
      <c r="I825" s="131">
        <f>INDEX('Base de données Mono'!K:K,MATCH(B825,'Base de données Mono'!D:D,0))</f>
        <v>0.25</v>
      </c>
      <c r="J825" s="131">
        <f>INDEX('Base de données Mono'!L:L,MATCH(B825,'Base de données Mono'!D:D,0))</f>
        <v>0.95138888888888884</v>
      </c>
      <c r="K825" s="131">
        <f>INDEX('Base de données Mono'!M:M,MATCH(B825,'Base de données Mono'!D:D,0))</f>
        <v>0.28472222222222221</v>
      </c>
      <c r="L825" s="131">
        <f>INDEX('Base de données Mono'!N:N,MATCH(B825,'Base de données Mono'!D:D,0))</f>
        <v>0.875</v>
      </c>
      <c r="M825" s="33" t="s">
        <v>46</v>
      </c>
      <c r="N825" s="33">
        <f>IF(AND(E825="Electricité",M825="Hiver"),INDEX('Base de données Mono'!E:E,MATCH(B825,'Base de données Mono'!D:D,0)),IF(AND(E825="Electricité",M825="Mi-saison"),INDEX('Base de données Mono'!F:F,MATCH(B825,'Base de données Mono'!D:D,0)),IF(AND(E825="Electricité",M825="Eté"),INDEX('Base de données Mono'!G:G,MATCH(B825,'Base de données Mono'!D:D,0)),IF(AND(E825="Gaz",M825="Hiver"),INDEX('Base de données Mono'!J:J,MATCH(B825,'Base de données Mono'!D:D,0)),IF(AND(E825="Gaz",M825="Mi-saison"),INDEX('Base de données Mono'!#REF!,MATCH(B825,'Base de données Mono'!D:D,0)),IF(AND(E825="Gaz",M825="Eté"),INDEX('Base de données Mono'!#REF!,MATCH(B825,'Base de données Mono'!D:D,0)),"-"))))))</f>
        <v>55</v>
      </c>
      <c r="O825" s="123">
        <v>45384</v>
      </c>
      <c r="P825" s="123">
        <v>45386</v>
      </c>
      <c r="Q825" s="34">
        <v>60</v>
      </c>
      <c r="R825" s="33">
        <f t="shared" si="93"/>
        <v>5</v>
      </c>
      <c r="S825" s="34">
        <v>2</v>
      </c>
      <c r="T825" s="34">
        <f t="shared" si="94"/>
        <v>2</v>
      </c>
      <c r="U825" s="33">
        <f t="shared" si="95"/>
        <v>20</v>
      </c>
      <c r="V825" s="38" t="s">
        <v>827</v>
      </c>
      <c r="W825" s="39">
        <f t="shared" si="96"/>
        <v>9.0909090909090912E-2</v>
      </c>
      <c r="X825" s="40" t="s">
        <v>304</v>
      </c>
      <c r="Y825" s="40" t="s">
        <v>283</v>
      </c>
      <c r="Z825" s="40" t="s">
        <v>749</v>
      </c>
      <c r="AA825" s="33" t="s">
        <v>749</v>
      </c>
      <c r="AB825" s="95"/>
      <c r="AC825" s="95"/>
    </row>
    <row r="826" spans="1:29" ht="14.45" hidden="1" customHeight="1" x14ac:dyDescent="0.25">
      <c r="A826" s="36" t="str">
        <f>INDEX('Base de données Mono'!C:C,MATCH(B826,'Base de données Mono'!D:D,0))</f>
        <v>Poissy 2</v>
      </c>
      <c r="B826" t="s">
        <v>526</v>
      </c>
      <c r="C826" s="36" t="str">
        <f>INDEX('Base de données Mono'!B:B,MATCH(B826,'Base de données Mono'!D:D,0))</f>
        <v>Monoprix</v>
      </c>
      <c r="D826" s="36" t="str">
        <f>INDEX('Base de données Mono'!A:A,MATCH(B826,'Base de données Mono'!D:D,0))</f>
        <v>-</v>
      </c>
      <c r="E826" s="37" t="s">
        <v>303</v>
      </c>
      <c r="F826" s="41">
        <f t="shared" si="91"/>
        <v>14</v>
      </c>
      <c r="G826" s="41">
        <f t="shared" si="92"/>
        <v>4</v>
      </c>
      <c r="H826">
        <v>7.17</v>
      </c>
      <c r="I826" s="131">
        <f>INDEX('Base de données Mono'!K:K,MATCH(B826,'Base de données Mono'!D:D,0))</f>
        <v>0.25</v>
      </c>
      <c r="J826" s="131">
        <f>INDEX('Base de données Mono'!L:L,MATCH(B826,'Base de données Mono'!D:D,0))</f>
        <v>0.95138888888888884</v>
      </c>
      <c r="K826" s="131">
        <f>INDEX('Base de données Mono'!M:M,MATCH(B826,'Base de données Mono'!D:D,0))</f>
        <v>0.28472222222222221</v>
      </c>
      <c r="L826" s="131">
        <f>INDEX('Base de données Mono'!N:N,MATCH(B826,'Base de données Mono'!D:D,0))</f>
        <v>0.875</v>
      </c>
      <c r="M826" s="33" t="s">
        <v>46</v>
      </c>
      <c r="N826" s="33">
        <f>IF(AND(E826="Electricité",M826="Hiver"),INDEX('Base de données Mono'!E:E,MATCH(B826,'Base de données Mono'!D:D,0)),IF(AND(E826="Electricité",M826="Mi-saison"),INDEX('Base de données Mono'!F:F,MATCH(B826,'Base de données Mono'!D:D,0)),IF(AND(E826="Electricité",M826="Eté"),INDEX('Base de données Mono'!G:G,MATCH(B826,'Base de données Mono'!D:D,0)),IF(AND(E826="Gaz",M826="Hiver"),INDEX('Base de données Mono'!J:J,MATCH(B826,'Base de données Mono'!D:D,0)),IF(AND(E826="Gaz",M826="Mi-saison"),INDEX('Base de données Mono'!#REF!,MATCH(B826,'Base de données Mono'!D:D,0)),IF(AND(E826="Gaz",M826="Eté"),INDEX('Base de données Mono'!#REF!,MATCH(B826,'Base de données Mono'!D:D,0)),"-"))))))</f>
        <v>55</v>
      </c>
      <c r="O826" s="123">
        <v>45386</v>
      </c>
      <c r="P826" s="123">
        <v>45387</v>
      </c>
      <c r="Q826" s="34">
        <v>60</v>
      </c>
      <c r="R826" s="33">
        <f t="shared" si="93"/>
        <v>5</v>
      </c>
      <c r="S826" s="34">
        <v>5</v>
      </c>
      <c r="T826" s="34">
        <f t="shared" si="94"/>
        <v>1</v>
      </c>
      <c r="U826" s="33">
        <f t="shared" si="95"/>
        <v>25</v>
      </c>
      <c r="V826" s="38" t="s">
        <v>827</v>
      </c>
      <c r="W826" s="39">
        <f t="shared" si="96"/>
        <v>9.0909090909090912E-2</v>
      </c>
      <c r="X826" s="40" t="s">
        <v>304</v>
      </c>
      <c r="Y826" s="40" t="s">
        <v>283</v>
      </c>
      <c r="Z826" s="40" t="s">
        <v>749</v>
      </c>
      <c r="AA826" s="33" t="s">
        <v>749</v>
      </c>
      <c r="AB826" s="95"/>
      <c r="AC826" s="95"/>
    </row>
    <row r="827" spans="1:29" ht="14.45" hidden="1" customHeight="1" x14ac:dyDescent="0.25">
      <c r="A827" s="36" t="str">
        <f>INDEX('Base de données Mono'!C:C,MATCH(B827,'Base de données Mono'!D:D,0))</f>
        <v>Poissy 2</v>
      </c>
      <c r="B827" t="s">
        <v>526</v>
      </c>
      <c r="C827" s="36" t="str">
        <f>INDEX('Base de données Mono'!B:B,MATCH(B827,'Base de données Mono'!D:D,0))</f>
        <v>Monoprix</v>
      </c>
      <c r="D827" s="36" t="str">
        <f>INDEX('Base de données Mono'!A:A,MATCH(B827,'Base de données Mono'!D:D,0))</f>
        <v>-</v>
      </c>
      <c r="E827" s="37" t="s">
        <v>303</v>
      </c>
      <c r="F827" s="41">
        <f t="shared" si="91"/>
        <v>14</v>
      </c>
      <c r="G827" s="41">
        <f t="shared" si="92"/>
        <v>4</v>
      </c>
      <c r="H827">
        <v>7.17</v>
      </c>
      <c r="I827" s="131">
        <f>INDEX('Base de données Mono'!K:K,MATCH(B827,'Base de données Mono'!D:D,0))</f>
        <v>0.25</v>
      </c>
      <c r="J827" s="131">
        <f>INDEX('Base de données Mono'!L:L,MATCH(B827,'Base de données Mono'!D:D,0))</f>
        <v>0.95138888888888884</v>
      </c>
      <c r="K827" s="131">
        <f>INDEX('Base de données Mono'!M:M,MATCH(B827,'Base de données Mono'!D:D,0))</f>
        <v>0.28472222222222221</v>
      </c>
      <c r="L827" s="131">
        <f>INDEX('Base de données Mono'!N:N,MATCH(B827,'Base de données Mono'!D:D,0))</f>
        <v>0.875</v>
      </c>
      <c r="M827" s="33" t="s">
        <v>46</v>
      </c>
      <c r="N827" s="33">
        <f>IF(AND(E827="Electricité",M827="Hiver"),INDEX('Base de données Mono'!E:E,MATCH(B827,'Base de données Mono'!D:D,0)),IF(AND(E827="Electricité",M827="Mi-saison"),INDEX('Base de données Mono'!F:F,MATCH(B827,'Base de données Mono'!D:D,0)),IF(AND(E827="Electricité",M827="Eté"),INDEX('Base de données Mono'!G:G,MATCH(B827,'Base de données Mono'!D:D,0)),IF(AND(E827="Gaz",M827="Hiver"),INDEX('Base de données Mono'!J:J,MATCH(B827,'Base de données Mono'!D:D,0)),IF(AND(E827="Gaz",M827="Mi-saison"),INDEX('Base de données Mono'!#REF!,MATCH(B827,'Base de données Mono'!D:D,0)),IF(AND(E827="Gaz",M827="Eté"),INDEX('Base de données Mono'!#REF!,MATCH(B827,'Base de données Mono'!D:D,0)),"-"))))))</f>
        <v>55</v>
      </c>
      <c r="O827" s="123">
        <v>45387</v>
      </c>
      <c r="P827" s="123">
        <v>45388</v>
      </c>
      <c r="Q827" s="34">
        <v>65</v>
      </c>
      <c r="R827" s="33">
        <f t="shared" si="93"/>
        <v>10</v>
      </c>
      <c r="S827" s="34">
        <v>2</v>
      </c>
      <c r="T827" s="34">
        <f t="shared" si="94"/>
        <v>1</v>
      </c>
      <c r="U827" s="33">
        <f t="shared" si="95"/>
        <v>20</v>
      </c>
      <c r="V827" s="38" t="s">
        <v>827</v>
      </c>
      <c r="W827" s="39">
        <f t="shared" si="96"/>
        <v>0.18181818181818182</v>
      </c>
      <c r="X827" s="40" t="s">
        <v>304</v>
      </c>
      <c r="Y827" s="40" t="s">
        <v>283</v>
      </c>
      <c r="Z827" s="40" t="s">
        <v>749</v>
      </c>
      <c r="AA827" s="33" t="s">
        <v>749</v>
      </c>
      <c r="AB827" s="95"/>
      <c r="AC827" s="95"/>
    </row>
    <row r="828" spans="1:29" ht="14.45" hidden="1" customHeight="1" x14ac:dyDescent="0.25">
      <c r="A828" s="36" t="str">
        <f>INDEX('Base de données Mono'!C:C,MATCH(B828,'Base de données Mono'!D:D,0))</f>
        <v>Poissy 2</v>
      </c>
      <c r="B828" t="s">
        <v>526</v>
      </c>
      <c r="C828" s="36" t="str">
        <f>INDEX('Base de données Mono'!B:B,MATCH(B828,'Base de données Mono'!D:D,0))</f>
        <v>Monoprix</v>
      </c>
      <c r="D828" s="36" t="str">
        <f>INDEX('Base de données Mono'!A:A,MATCH(B828,'Base de données Mono'!D:D,0))</f>
        <v>-</v>
      </c>
      <c r="E828" s="37" t="s">
        <v>303</v>
      </c>
      <c r="F828" s="41">
        <f t="shared" si="91"/>
        <v>14</v>
      </c>
      <c r="G828" s="41">
        <f t="shared" si="92"/>
        <v>4</v>
      </c>
      <c r="H828">
        <v>7.17</v>
      </c>
      <c r="I828" s="131">
        <f>INDEX('Base de données Mono'!K:K,MATCH(B828,'Base de données Mono'!D:D,0))</f>
        <v>0.25</v>
      </c>
      <c r="J828" s="131">
        <f>INDEX('Base de données Mono'!L:L,MATCH(B828,'Base de données Mono'!D:D,0))</f>
        <v>0.95138888888888884</v>
      </c>
      <c r="K828" s="131">
        <f>INDEX('Base de données Mono'!M:M,MATCH(B828,'Base de données Mono'!D:D,0))</f>
        <v>0.28472222222222221</v>
      </c>
      <c r="L828" s="131">
        <f>INDEX('Base de données Mono'!N:N,MATCH(B828,'Base de données Mono'!D:D,0))</f>
        <v>0.875</v>
      </c>
      <c r="M828" s="33" t="s">
        <v>46</v>
      </c>
      <c r="N828" s="33">
        <f>IF(AND(E828="Electricité",M828="Hiver"),INDEX('Base de données Mono'!E:E,MATCH(B828,'Base de données Mono'!D:D,0)),IF(AND(E828="Electricité",M828="Mi-saison"),INDEX('Base de données Mono'!F:F,MATCH(B828,'Base de données Mono'!D:D,0)),IF(AND(E828="Electricité",M828="Eté"),INDEX('Base de données Mono'!G:G,MATCH(B828,'Base de données Mono'!D:D,0)),IF(AND(E828="Gaz",M828="Hiver"),INDEX('Base de données Mono'!J:J,MATCH(B828,'Base de données Mono'!D:D,0)),IF(AND(E828="Gaz",M828="Mi-saison"),INDEX('Base de données Mono'!#REF!,MATCH(B828,'Base de données Mono'!D:D,0)),IF(AND(E828="Gaz",M828="Eté"),INDEX('Base de données Mono'!#REF!,MATCH(B828,'Base de données Mono'!D:D,0)),"-"))))))</f>
        <v>55</v>
      </c>
      <c r="O828" s="123">
        <v>45388</v>
      </c>
      <c r="P828" s="123">
        <v>45389</v>
      </c>
      <c r="Q828" s="34">
        <v>60</v>
      </c>
      <c r="R828" s="33">
        <f t="shared" si="93"/>
        <v>5</v>
      </c>
      <c r="S828" s="34">
        <v>8</v>
      </c>
      <c r="T828" s="34">
        <f t="shared" si="94"/>
        <v>1</v>
      </c>
      <c r="U828" s="33">
        <f t="shared" si="95"/>
        <v>40</v>
      </c>
      <c r="V828" s="38" t="s">
        <v>827</v>
      </c>
      <c r="W828" s="39">
        <f t="shared" si="96"/>
        <v>9.0909090909090912E-2</v>
      </c>
      <c r="X828" s="40" t="s">
        <v>304</v>
      </c>
      <c r="Y828" s="40" t="s">
        <v>283</v>
      </c>
      <c r="Z828" s="40" t="s">
        <v>749</v>
      </c>
      <c r="AA828" s="33" t="s">
        <v>749</v>
      </c>
      <c r="AB828" s="95"/>
      <c r="AC828" s="95"/>
    </row>
    <row r="829" spans="1:29" ht="14.45" hidden="1" customHeight="1" x14ac:dyDescent="0.25">
      <c r="A829" s="36" t="str">
        <f>INDEX('Base de données Mono'!C:C,MATCH(B829,'Base de données Mono'!D:D,0))</f>
        <v>NANTERRE</v>
      </c>
      <c r="B829" t="s">
        <v>362</v>
      </c>
      <c r="C829" s="36" t="str">
        <f>INDEX('Base de données Mono'!B:B,MATCH(B829,'Base de données Mono'!D:D,0))</f>
        <v>Monoprix</v>
      </c>
      <c r="D829" s="36" t="str">
        <f>INDEX('Base de données Mono'!A:A,MATCH(B829,'Base de données Mono'!D:D,0))</f>
        <v>AD</v>
      </c>
      <c r="E829" s="37" t="s">
        <v>303</v>
      </c>
      <c r="F829" s="41">
        <f t="shared" si="91"/>
        <v>14</v>
      </c>
      <c r="G829" s="41">
        <f t="shared" si="92"/>
        <v>4</v>
      </c>
      <c r="H829">
        <v>8.5</v>
      </c>
      <c r="I829" s="131">
        <f>INDEX('Base de données Mono'!K:K,MATCH(B829,'Base de données Mono'!D:D,0))</f>
        <v>0.25</v>
      </c>
      <c r="J829" s="131">
        <f>INDEX('Base de données Mono'!L:L,MATCH(B829,'Base de données Mono'!D:D,0))</f>
        <v>0.89583333333333337</v>
      </c>
      <c r="K829" s="131">
        <f>INDEX('Base de données Mono'!M:M,MATCH(B829,'Base de données Mono'!D:D,0))</f>
        <v>0.28472222222222221</v>
      </c>
      <c r="L829" s="131">
        <f>INDEX('Base de données Mono'!N:N,MATCH(B829,'Base de données Mono'!D:D,0))</f>
        <v>0.81944444444444453</v>
      </c>
      <c r="M829" s="33" t="s">
        <v>46</v>
      </c>
      <c r="N829" s="33">
        <f>IF(AND(E829="Electricité",M829="Hiver"),INDEX('Base de données Mono'!E:E,MATCH(B829,'Base de données Mono'!D:D,0)),IF(AND(E829="Electricité",M829="Mi-saison"),INDEX('Base de données Mono'!F:F,MATCH(B829,'Base de données Mono'!D:D,0)),IF(AND(E829="Electricité",M829="Eté"),INDEX('Base de données Mono'!G:G,MATCH(B829,'Base de données Mono'!D:D,0)),IF(AND(E829="Gaz",M829="Hiver"),INDEX('Base de données Mono'!J:J,MATCH(B829,'Base de données Mono'!D:D,0)),IF(AND(E829="Gaz",M829="Mi-saison"),INDEX('Base de données Mono'!#REF!,MATCH(B829,'Base de données Mono'!D:D,0)),IF(AND(E829="Gaz",M829="Eté"),INDEX('Base de données Mono'!#REF!,MATCH(B829,'Base de données Mono'!D:D,0)),"-"))))))</f>
        <v>30</v>
      </c>
      <c r="O829" s="123">
        <v>45383</v>
      </c>
      <c r="P829" s="123">
        <v>45385</v>
      </c>
      <c r="Q829" s="34">
        <v>40</v>
      </c>
      <c r="R829" s="33">
        <f t="shared" si="93"/>
        <v>10</v>
      </c>
      <c r="S829" s="34">
        <v>1</v>
      </c>
      <c r="T829" s="34">
        <f t="shared" si="94"/>
        <v>2</v>
      </c>
      <c r="U829" s="33">
        <f t="shared" si="95"/>
        <v>20</v>
      </c>
      <c r="V829" s="38" t="s">
        <v>827</v>
      </c>
      <c r="W829" s="39">
        <f t="shared" si="96"/>
        <v>0.33333333333333331</v>
      </c>
      <c r="X829" s="40" t="s">
        <v>304</v>
      </c>
      <c r="Y829" s="40" t="s">
        <v>283</v>
      </c>
      <c r="Z829" s="40" t="s">
        <v>749</v>
      </c>
      <c r="AA829" s="33" t="s">
        <v>749</v>
      </c>
      <c r="AB829" s="95"/>
      <c r="AC829" s="95"/>
    </row>
    <row r="830" spans="1:29" ht="14.45" hidden="1" customHeight="1" x14ac:dyDescent="0.25">
      <c r="A830" s="36" t="str">
        <f>INDEX('Base de données Mono'!C:C,MATCH(B830,'Base de données Mono'!D:D,0))</f>
        <v>NANTERRE</v>
      </c>
      <c r="B830" t="s">
        <v>362</v>
      </c>
      <c r="C830" s="36" t="str">
        <f>INDEX('Base de données Mono'!B:B,MATCH(B830,'Base de données Mono'!D:D,0))</f>
        <v>Monoprix</v>
      </c>
      <c r="D830" s="36" t="str">
        <f>INDEX('Base de données Mono'!A:A,MATCH(B830,'Base de données Mono'!D:D,0))</f>
        <v>AD</v>
      </c>
      <c r="E830" s="37" t="s">
        <v>303</v>
      </c>
      <c r="F830" s="41">
        <f t="shared" si="91"/>
        <v>14</v>
      </c>
      <c r="G830" s="41">
        <f t="shared" si="92"/>
        <v>4</v>
      </c>
      <c r="H830">
        <v>8.5</v>
      </c>
      <c r="I830" s="131">
        <f>INDEX('Base de données Mono'!K:K,MATCH(B830,'Base de données Mono'!D:D,0))</f>
        <v>0.25</v>
      </c>
      <c r="J830" s="131">
        <f>INDEX('Base de données Mono'!L:L,MATCH(B830,'Base de données Mono'!D:D,0))</f>
        <v>0.89583333333333337</v>
      </c>
      <c r="K830" s="131">
        <f>INDEX('Base de données Mono'!M:M,MATCH(B830,'Base de données Mono'!D:D,0))</f>
        <v>0.28472222222222221</v>
      </c>
      <c r="L830" s="131">
        <f>INDEX('Base de données Mono'!N:N,MATCH(B830,'Base de données Mono'!D:D,0))</f>
        <v>0.81944444444444453</v>
      </c>
      <c r="M830" s="33" t="s">
        <v>46</v>
      </c>
      <c r="N830" s="33">
        <f>IF(AND(E830="Electricité",M830="Hiver"),INDEX('Base de données Mono'!E:E,MATCH(B830,'Base de données Mono'!D:D,0)),IF(AND(E830="Electricité",M830="Mi-saison"),INDEX('Base de données Mono'!F:F,MATCH(B830,'Base de données Mono'!D:D,0)),IF(AND(E830="Electricité",M830="Eté"),INDEX('Base de données Mono'!G:G,MATCH(B830,'Base de données Mono'!D:D,0)),IF(AND(E830="Gaz",M830="Hiver"),INDEX('Base de données Mono'!J:J,MATCH(B830,'Base de données Mono'!D:D,0)),IF(AND(E830="Gaz",M830="Mi-saison"),INDEX('Base de données Mono'!#REF!,MATCH(B830,'Base de données Mono'!D:D,0)),IF(AND(E830="Gaz",M830="Eté"),INDEX('Base de données Mono'!#REF!,MATCH(B830,'Base de données Mono'!D:D,0)),"-"))))))</f>
        <v>30</v>
      </c>
      <c r="O830" s="123">
        <v>45385</v>
      </c>
      <c r="P830" s="123">
        <v>45388</v>
      </c>
      <c r="Q830" s="34">
        <v>50</v>
      </c>
      <c r="R830" s="33">
        <f t="shared" si="93"/>
        <v>20</v>
      </c>
      <c r="S830" s="34">
        <v>1</v>
      </c>
      <c r="T830" s="34">
        <f t="shared" si="94"/>
        <v>3</v>
      </c>
      <c r="U830" s="33">
        <f t="shared" si="95"/>
        <v>60</v>
      </c>
      <c r="V830" s="38" t="s">
        <v>827</v>
      </c>
      <c r="W830" s="39">
        <f t="shared" si="96"/>
        <v>0.66666666666666663</v>
      </c>
      <c r="X830" s="40" t="s">
        <v>304</v>
      </c>
      <c r="Y830" s="40" t="s">
        <v>283</v>
      </c>
      <c r="Z830" s="40" t="s">
        <v>749</v>
      </c>
      <c r="AA830" s="33" t="s">
        <v>749</v>
      </c>
      <c r="AB830" s="95"/>
      <c r="AC830" s="95"/>
    </row>
    <row r="831" spans="1:29" ht="14.45" hidden="1" customHeight="1" x14ac:dyDescent="0.25">
      <c r="A831" s="36" t="str">
        <f>INDEX('Base de données Mono'!C:C,MATCH(B831,'Base de données Mono'!D:D,0))</f>
        <v>VERSAILLES</v>
      </c>
      <c r="B831" t="s">
        <v>38</v>
      </c>
      <c r="C831" s="36" t="str">
        <f>INDEX('Base de données Mono'!B:B,MATCH(B831,'Base de données Mono'!D:D,0))</f>
        <v>SES8</v>
      </c>
      <c r="D831" s="36" t="str">
        <f>INDEX('Base de données Mono'!A:A,MATCH(B831,'Base de données Mono'!D:D,0))</f>
        <v>AD</v>
      </c>
      <c r="E831" s="37" t="s">
        <v>303</v>
      </c>
      <c r="F831" s="41">
        <f t="shared" si="91"/>
        <v>14</v>
      </c>
      <c r="G831" s="41">
        <f t="shared" si="92"/>
        <v>4</v>
      </c>
      <c r="H831">
        <v>8</v>
      </c>
      <c r="I831" s="131">
        <f>INDEX('Base de données Mono'!K:K,MATCH(B831,'Base de données Mono'!D:D,0))</f>
        <v>0.1875</v>
      </c>
      <c r="J831" s="131">
        <f>INDEX('Base de données Mono'!L:L,MATCH(B831,'Base de données Mono'!D:D,0))</f>
        <v>0.85416666666666663</v>
      </c>
      <c r="K831" s="131" t="str">
        <f>INDEX('Base de données Mono'!M:M,MATCH(B831,'Base de données Mono'!D:D,0))</f>
        <v>-</v>
      </c>
      <c r="L831" s="131" t="str">
        <f>INDEX('Base de données Mono'!N:N,MATCH(B831,'Base de données Mono'!D:D,0))</f>
        <v>-</v>
      </c>
      <c r="M831" s="33" t="s">
        <v>46</v>
      </c>
      <c r="N831" s="33">
        <f>IF(AND(E831="Electricité",M831="Hiver"),INDEX('Base de données Mono'!E:E,MATCH(B831,'Base de données Mono'!D:D,0)),IF(AND(E831="Electricité",M831="Mi-saison"),INDEX('Base de données Mono'!F:F,MATCH(B831,'Base de données Mono'!D:D,0)),IF(AND(E831="Electricité",M831="Eté"),INDEX('Base de données Mono'!G:G,MATCH(B831,'Base de données Mono'!D:D,0)),IF(AND(E831="Gaz",M831="Hiver"),INDEX('Base de données Mono'!J:J,MATCH(B831,'Base de données Mono'!D:D,0)),IF(AND(E831="Gaz",M831="Mi-saison"),INDEX('Base de données Mono'!#REF!,MATCH(B831,'Base de données Mono'!D:D,0)),IF(AND(E831="Gaz",M831="Eté"),INDEX('Base de données Mono'!#REF!,MATCH(B831,'Base de données Mono'!D:D,0)),"-"))))))</f>
        <v>75</v>
      </c>
      <c r="O831" s="123">
        <v>45384</v>
      </c>
      <c r="P831" s="123">
        <v>45389</v>
      </c>
      <c r="Q831" s="34">
        <v>140</v>
      </c>
      <c r="R831" s="33">
        <f t="shared" si="93"/>
        <v>65</v>
      </c>
      <c r="S831" s="34">
        <v>0.5</v>
      </c>
      <c r="T831" s="34">
        <f t="shared" si="94"/>
        <v>5</v>
      </c>
      <c r="U831" s="33">
        <f t="shared" si="95"/>
        <v>162.5</v>
      </c>
      <c r="V831" s="38" t="s">
        <v>827</v>
      </c>
      <c r="W831" s="39">
        <f t="shared" si="96"/>
        <v>0.8666666666666667</v>
      </c>
      <c r="X831" s="40" t="s">
        <v>304</v>
      </c>
      <c r="Y831" s="40" t="s">
        <v>284</v>
      </c>
      <c r="Z831" s="40" t="s">
        <v>307</v>
      </c>
      <c r="AA831" s="33" t="s">
        <v>313</v>
      </c>
      <c r="AB831" s="95"/>
      <c r="AC831" s="95"/>
    </row>
    <row r="832" spans="1:29" ht="14.45" hidden="1" customHeight="1" x14ac:dyDescent="0.25">
      <c r="A832" s="36" t="str">
        <f>INDEX('Base de données Mono'!C:C,MATCH(B832,'Base de données Mono'!D:D,0))</f>
        <v>VERSAILLES</v>
      </c>
      <c r="B832" t="s">
        <v>38</v>
      </c>
      <c r="C832" s="36" t="str">
        <f>INDEX('Base de données Mono'!B:B,MATCH(B832,'Base de données Mono'!D:D,0))</f>
        <v>SES8</v>
      </c>
      <c r="D832" s="36" t="str">
        <f>INDEX('Base de données Mono'!A:A,MATCH(B832,'Base de données Mono'!D:D,0))</f>
        <v>AD</v>
      </c>
      <c r="E832" s="37" t="s">
        <v>303</v>
      </c>
      <c r="F832" s="41">
        <f t="shared" si="91"/>
        <v>14</v>
      </c>
      <c r="G832" s="41">
        <f t="shared" si="92"/>
        <v>4</v>
      </c>
      <c r="H832">
        <v>8</v>
      </c>
      <c r="I832" s="131">
        <f>INDEX('Base de données Mono'!K:K,MATCH(B832,'Base de données Mono'!D:D,0))</f>
        <v>0.1875</v>
      </c>
      <c r="J832" s="131">
        <f>INDEX('Base de données Mono'!L:L,MATCH(B832,'Base de données Mono'!D:D,0))</f>
        <v>0.85416666666666663</v>
      </c>
      <c r="K832" s="131" t="str">
        <f>INDEX('Base de données Mono'!M:M,MATCH(B832,'Base de données Mono'!D:D,0))</f>
        <v>-</v>
      </c>
      <c r="L832" s="131" t="str">
        <f>INDEX('Base de données Mono'!N:N,MATCH(B832,'Base de données Mono'!D:D,0))</f>
        <v>-</v>
      </c>
      <c r="M832" s="33" t="s">
        <v>46</v>
      </c>
      <c r="N832" s="33">
        <f>IF(AND(E832="Electricité",M832="Hiver"),INDEX('Base de données Mono'!E:E,MATCH(B832,'Base de données Mono'!D:D,0)),IF(AND(E832="Electricité",M832="Mi-saison"),INDEX('Base de données Mono'!F:F,MATCH(B832,'Base de données Mono'!D:D,0)),IF(AND(E832="Electricité",M832="Eté"),INDEX('Base de données Mono'!G:G,MATCH(B832,'Base de données Mono'!D:D,0)),IF(AND(E832="Gaz",M832="Hiver"),INDEX('Base de données Mono'!J:J,MATCH(B832,'Base de données Mono'!D:D,0)),IF(AND(E832="Gaz",M832="Mi-saison"),INDEX('Base de données Mono'!#REF!,MATCH(B832,'Base de données Mono'!D:D,0)),IF(AND(E832="Gaz",M832="Eté"),INDEX('Base de données Mono'!#REF!,MATCH(B832,'Base de données Mono'!D:D,0)),"-"))))))</f>
        <v>75</v>
      </c>
      <c r="O832" s="123">
        <v>45384</v>
      </c>
      <c r="P832" s="123">
        <v>45389</v>
      </c>
      <c r="Q832" s="34">
        <v>85</v>
      </c>
      <c r="R832" s="33">
        <f t="shared" si="93"/>
        <v>10</v>
      </c>
      <c r="S832" s="34">
        <v>7.5</v>
      </c>
      <c r="T832" s="34">
        <f t="shared" si="94"/>
        <v>5</v>
      </c>
      <c r="U832" s="33">
        <f t="shared" si="95"/>
        <v>375</v>
      </c>
      <c r="V832" s="38" t="s">
        <v>827</v>
      </c>
      <c r="W832" s="39">
        <f t="shared" si="96"/>
        <v>0.13333333333333333</v>
      </c>
      <c r="X832" s="40" t="s">
        <v>304</v>
      </c>
      <c r="Y832" s="40" t="s">
        <v>284</v>
      </c>
      <c r="Z832" s="40" t="s">
        <v>305</v>
      </c>
      <c r="AA832" s="33" t="s">
        <v>771</v>
      </c>
      <c r="AB832" s="95"/>
      <c r="AC832" s="95"/>
    </row>
    <row r="833" spans="1:29" ht="14.45" hidden="1" customHeight="1" x14ac:dyDescent="0.25">
      <c r="A833" s="36" t="str">
        <f>INDEX('Base de données Mono'!C:C,MATCH(B833,'Base de données Mono'!D:D,0))</f>
        <v>VERSAILLES</v>
      </c>
      <c r="B833" t="s">
        <v>38</v>
      </c>
      <c r="C833" s="36" t="str">
        <f>INDEX('Base de données Mono'!B:B,MATCH(B833,'Base de données Mono'!D:D,0))</f>
        <v>SES8</v>
      </c>
      <c r="D833" s="36" t="str">
        <f>INDEX('Base de données Mono'!A:A,MATCH(B833,'Base de données Mono'!D:D,0))</f>
        <v>AD</v>
      </c>
      <c r="E833" s="37" t="s">
        <v>303</v>
      </c>
      <c r="F833" s="41">
        <f t="shared" si="91"/>
        <v>14</v>
      </c>
      <c r="G833" s="41">
        <f t="shared" si="92"/>
        <v>4</v>
      </c>
      <c r="H833">
        <v>8</v>
      </c>
      <c r="I833" s="131">
        <f>INDEX('Base de données Mono'!K:K,MATCH(B833,'Base de données Mono'!D:D,0))</f>
        <v>0.1875</v>
      </c>
      <c r="J833" s="131">
        <f>INDEX('Base de données Mono'!L:L,MATCH(B833,'Base de données Mono'!D:D,0))</f>
        <v>0.85416666666666663</v>
      </c>
      <c r="K833" s="131" t="str">
        <f>INDEX('Base de données Mono'!M:M,MATCH(B833,'Base de données Mono'!D:D,0))</f>
        <v>-</v>
      </c>
      <c r="L833" s="131" t="str">
        <f>INDEX('Base de données Mono'!N:N,MATCH(B833,'Base de données Mono'!D:D,0))</f>
        <v>-</v>
      </c>
      <c r="M833" s="33" t="s">
        <v>46</v>
      </c>
      <c r="N833" s="33">
        <f>IF(AND(E833="Electricité",M833="Hiver"),INDEX('Base de données Mono'!E:E,MATCH(B833,'Base de données Mono'!D:D,0)),IF(AND(E833="Electricité",M833="Mi-saison"),INDEX('Base de données Mono'!F:F,MATCH(B833,'Base de données Mono'!D:D,0)),IF(AND(E833="Electricité",M833="Eté"),INDEX('Base de données Mono'!G:G,MATCH(B833,'Base de données Mono'!D:D,0)),IF(AND(E833="Gaz",M833="Hiver"),INDEX('Base de données Mono'!J:J,MATCH(B833,'Base de données Mono'!D:D,0)),IF(AND(E833="Gaz",M833="Mi-saison"),INDEX('Base de données Mono'!#REF!,MATCH(B833,'Base de données Mono'!D:D,0)),IF(AND(E833="Gaz",M833="Eté"),INDEX('Base de données Mono'!#REF!,MATCH(B833,'Base de données Mono'!D:D,0)),"-"))))))</f>
        <v>75</v>
      </c>
      <c r="O833" s="123">
        <v>45389</v>
      </c>
      <c r="P833" s="123">
        <v>45389</v>
      </c>
      <c r="Q833" s="34">
        <v>135</v>
      </c>
      <c r="R833" s="33">
        <f t="shared" si="93"/>
        <v>60</v>
      </c>
      <c r="S833" s="34">
        <v>14</v>
      </c>
      <c r="T833" s="34">
        <v>1</v>
      </c>
      <c r="U833" s="33">
        <f t="shared" si="95"/>
        <v>840</v>
      </c>
      <c r="V833" s="38" t="s">
        <v>148</v>
      </c>
      <c r="W833" s="39">
        <f t="shared" si="96"/>
        <v>0.8</v>
      </c>
      <c r="X833" s="40" t="s">
        <v>730</v>
      </c>
      <c r="Y833" s="40" t="s">
        <v>284</v>
      </c>
      <c r="Z833" s="40" t="s">
        <v>307</v>
      </c>
      <c r="AA833" s="33" t="s">
        <v>308</v>
      </c>
      <c r="AB833" s="95"/>
      <c r="AC833" s="95"/>
    </row>
    <row r="834" spans="1:29" ht="14.45" hidden="1" customHeight="1" x14ac:dyDescent="0.25">
      <c r="A834" s="36" t="str">
        <f>INDEX('Base de données Mono'!C:C,MATCH(B834,'Base de données Mono'!D:D,0))</f>
        <v>Toulouse Victor Hugo</v>
      </c>
      <c r="B834" t="s">
        <v>520</v>
      </c>
      <c r="C834" s="36" t="str">
        <f>INDEX('Base de données Mono'!B:B,MATCH(B834,'Base de données Mono'!D:D,0))</f>
        <v>Monop</v>
      </c>
      <c r="D834" s="36" t="str">
        <f>INDEX('Base de données Mono'!A:A,MATCH(B834,'Base de données Mono'!D:D,0))</f>
        <v>-</v>
      </c>
      <c r="E834" s="37" t="s">
        <v>303</v>
      </c>
      <c r="F834" s="41">
        <f t="shared" si="91"/>
        <v>14</v>
      </c>
      <c r="G834" s="41">
        <f t="shared" si="92"/>
        <v>4</v>
      </c>
      <c r="H834">
        <v>7</v>
      </c>
      <c r="I834" s="131">
        <f>INDEX('Base de données Mono'!K:K,MATCH(B834,'Base de données Mono'!D:D,0))</f>
        <v>0.1875</v>
      </c>
      <c r="J834" s="131">
        <f>INDEX('Base de données Mono'!L:L,MATCH(B834,'Base de données Mono'!D:D,0))</f>
        <v>0.89583333333333337</v>
      </c>
      <c r="K834" s="131">
        <f>INDEX('Base de données Mono'!M:M,MATCH(B834,'Base de données Mono'!D:D,0))</f>
        <v>0.3125</v>
      </c>
      <c r="L834" s="131">
        <f>INDEX('Base de données Mono'!N:N,MATCH(B834,'Base de données Mono'!D:D,0))</f>
        <v>0.875</v>
      </c>
      <c r="M834" s="33" t="s">
        <v>46</v>
      </c>
      <c r="N834" s="33">
        <f>IF(AND(E834="Electricité",M834="Hiver"),INDEX('Base de données Mono'!E:E,MATCH(B834,'Base de données Mono'!D:D,0)),IF(AND(E834="Electricité",M834="Mi-saison"),INDEX('Base de données Mono'!F:F,MATCH(B834,'Base de données Mono'!D:D,0)),IF(AND(E834="Electricité",M834="Eté"),INDEX('Base de données Mono'!G:G,MATCH(B834,'Base de données Mono'!D:D,0)),IF(AND(E834="Gaz",M834="Hiver"),INDEX('Base de données Mono'!J:J,MATCH(B834,'Base de données Mono'!D:D,0)),IF(AND(E834="Gaz",M834="Mi-saison"),INDEX('Base de données Mono'!#REF!,MATCH(B834,'Base de données Mono'!D:D,0)),IF(AND(E834="Gaz",M834="Eté"),INDEX('Base de données Mono'!#REF!,MATCH(B834,'Base de données Mono'!D:D,0)),"-"))))))</f>
        <v>15</v>
      </c>
      <c r="O834" s="123">
        <v>45383</v>
      </c>
      <c r="P834" s="123">
        <v>45384</v>
      </c>
      <c r="Q834" s="34">
        <v>20</v>
      </c>
      <c r="R834" s="33">
        <f t="shared" si="93"/>
        <v>5</v>
      </c>
      <c r="S834" s="34">
        <v>2</v>
      </c>
      <c r="T834" s="34">
        <f t="shared" si="94"/>
        <v>1</v>
      </c>
      <c r="U834" s="33">
        <f t="shared" si="95"/>
        <v>10</v>
      </c>
      <c r="V834" s="38" t="s">
        <v>827</v>
      </c>
      <c r="W834" s="39">
        <f t="shared" si="96"/>
        <v>0.33333333333333331</v>
      </c>
      <c r="X834" s="40" t="s">
        <v>304</v>
      </c>
      <c r="Y834" s="40" t="s">
        <v>283</v>
      </c>
      <c r="Z834" s="40" t="s">
        <v>749</v>
      </c>
      <c r="AA834" s="33" t="s">
        <v>749</v>
      </c>
      <c r="AB834" s="95"/>
      <c r="AC834" s="95"/>
    </row>
    <row r="835" spans="1:29" ht="14.45" hidden="1" customHeight="1" x14ac:dyDescent="0.25">
      <c r="A835" s="36" t="str">
        <f>INDEX('Base de données Mono'!C:C,MATCH(B835,'Base de données Mono'!D:D,0))</f>
        <v>Toulouse Victor Hugo</v>
      </c>
      <c r="B835" t="s">
        <v>520</v>
      </c>
      <c r="C835" s="36" t="str">
        <f>INDEX('Base de données Mono'!B:B,MATCH(B835,'Base de données Mono'!D:D,0))</f>
        <v>Monop</v>
      </c>
      <c r="D835" s="36" t="str">
        <f>INDEX('Base de données Mono'!A:A,MATCH(B835,'Base de données Mono'!D:D,0))</f>
        <v>-</v>
      </c>
      <c r="E835" s="37" t="s">
        <v>303</v>
      </c>
      <c r="F835" s="41">
        <f t="shared" si="91"/>
        <v>14</v>
      </c>
      <c r="G835" s="41">
        <f t="shared" si="92"/>
        <v>4</v>
      </c>
      <c r="H835">
        <v>7</v>
      </c>
      <c r="I835" s="131">
        <f>INDEX('Base de données Mono'!K:K,MATCH(B835,'Base de données Mono'!D:D,0))</f>
        <v>0.1875</v>
      </c>
      <c r="J835" s="131">
        <f>INDEX('Base de données Mono'!L:L,MATCH(B835,'Base de données Mono'!D:D,0))</f>
        <v>0.89583333333333337</v>
      </c>
      <c r="K835" s="131">
        <f>INDEX('Base de données Mono'!M:M,MATCH(B835,'Base de données Mono'!D:D,0))</f>
        <v>0.3125</v>
      </c>
      <c r="L835" s="131">
        <f>INDEX('Base de données Mono'!N:N,MATCH(B835,'Base de données Mono'!D:D,0))</f>
        <v>0.875</v>
      </c>
      <c r="M835" s="33" t="s">
        <v>46</v>
      </c>
      <c r="N835" s="33">
        <f>IF(AND(E835="Electricité",M835="Hiver"),INDEX('Base de données Mono'!E:E,MATCH(B835,'Base de données Mono'!D:D,0)),IF(AND(E835="Electricité",M835="Mi-saison"),INDEX('Base de données Mono'!F:F,MATCH(B835,'Base de données Mono'!D:D,0)),IF(AND(E835="Electricité",M835="Eté"),INDEX('Base de données Mono'!G:G,MATCH(B835,'Base de données Mono'!D:D,0)),IF(AND(E835="Gaz",M835="Hiver"),INDEX('Base de données Mono'!J:J,MATCH(B835,'Base de données Mono'!D:D,0)),IF(AND(E835="Gaz",M835="Mi-saison"),INDEX('Base de données Mono'!#REF!,MATCH(B835,'Base de données Mono'!D:D,0)),IF(AND(E835="Gaz",M835="Eté"),INDEX('Base de données Mono'!#REF!,MATCH(B835,'Base de données Mono'!D:D,0)),"-"))))))</f>
        <v>15</v>
      </c>
      <c r="O835" s="123">
        <v>45384</v>
      </c>
      <c r="P835" s="123">
        <v>45388</v>
      </c>
      <c r="Q835" s="34">
        <v>30</v>
      </c>
      <c r="R835" s="33">
        <f t="shared" si="93"/>
        <v>15</v>
      </c>
      <c r="S835" s="34">
        <v>1</v>
      </c>
      <c r="T835" s="34">
        <f t="shared" si="94"/>
        <v>4</v>
      </c>
      <c r="U835" s="33">
        <f t="shared" si="95"/>
        <v>60</v>
      </c>
      <c r="V835" s="38" t="s">
        <v>827</v>
      </c>
      <c r="W835" s="39">
        <f t="shared" si="96"/>
        <v>1</v>
      </c>
      <c r="X835" s="40" t="s">
        <v>304</v>
      </c>
      <c r="Y835" s="40" t="s">
        <v>283</v>
      </c>
      <c r="Z835" s="40" t="s">
        <v>749</v>
      </c>
      <c r="AA835" s="33" t="s">
        <v>749</v>
      </c>
      <c r="AB835" s="95"/>
      <c r="AC835" s="95"/>
    </row>
    <row r="836" spans="1:29" ht="14.45" hidden="1" customHeight="1" x14ac:dyDescent="0.25">
      <c r="A836" s="36" t="str">
        <f>INDEX('Base de données Mono'!C:C,MATCH(B836,'Base de données Mono'!D:D,0))</f>
        <v>Toulouse Victor Hugo</v>
      </c>
      <c r="B836" t="s">
        <v>520</v>
      </c>
      <c r="C836" s="36" t="str">
        <f>INDEX('Base de données Mono'!B:B,MATCH(B836,'Base de données Mono'!D:D,0))</f>
        <v>Monop</v>
      </c>
      <c r="D836" s="36" t="str">
        <f>INDEX('Base de données Mono'!A:A,MATCH(B836,'Base de données Mono'!D:D,0))</f>
        <v>-</v>
      </c>
      <c r="E836" s="37" t="s">
        <v>303</v>
      </c>
      <c r="F836" s="41">
        <f t="shared" si="91"/>
        <v>14</v>
      </c>
      <c r="G836" s="41">
        <f t="shared" si="92"/>
        <v>4</v>
      </c>
      <c r="H836">
        <v>7</v>
      </c>
      <c r="I836" s="131">
        <f>INDEX('Base de données Mono'!K:K,MATCH(B836,'Base de données Mono'!D:D,0))</f>
        <v>0.1875</v>
      </c>
      <c r="J836" s="131">
        <f>INDEX('Base de données Mono'!L:L,MATCH(B836,'Base de données Mono'!D:D,0))</f>
        <v>0.89583333333333337</v>
      </c>
      <c r="K836" s="131">
        <f>INDEX('Base de données Mono'!M:M,MATCH(B836,'Base de données Mono'!D:D,0))</f>
        <v>0.3125</v>
      </c>
      <c r="L836" s="131">
        <f>INDEX('Base de données Mono'!N:N,MATCH(B836,'Base de données Mono'!D:D,0))</f>
        <v>0.875</v>
      </c>
      <c r="M836" s="33" t="s">
        <v>46</v>
      </c>
      <c r="N836" s="33">
        <f>IF(AND(E836="Electricité",M836="Hiver"),INDEX('Base de données Mono'!E:E,MATCH(B836,'Base de données Mono'!D:D,0)),IF(AND(E836="Electricité",M836="Mi-saison"),INDEX('Base de données Mono'!F:F,MATCH(B836,'Base de données Mono'!D:D,0)),IF(AND(E836="Electricité",M836="Eté"),INDEX('Base de données Mono'!G:G,MATCH(B836,'Base de données Mono'!D:D,0)),IF(AND(E836="Gaz",M836="Hiver"),INDEX('Base de données Mono'!J:J,MATCH(B836,'Base de données Mono'!D:D,0)),IF(AND(E836="Gaz",M836="Mi-saison"),INDEX('Base de données Mono'!#REF!,MATCH(B836,'Base de données Mono'!D:D,0)),IF(AND(E836="Gaz",M836="Eté"),INDEX('Base de données Mono'!#REF!,MATCH(B836,'Base de données Mono'!D:D,0)),"-"))))))</f>
        <v>15</v>
      </c>
      <c r="O836" s="123">
        <v>45387</v>
      </c>
      <c r="P836" s="123">
        <v>45389</v>
      </c>
      <c r="Q836" s="34">
        <v>20</v>
      </c>
      <c r="R836" s="33">
        <f t="shared" si="93"/>
        <v>5</v>
      </c>
      <c r="S836" s="34">
        <v>2</v>
      </c>
      <c r="T836" s="34">
        <f t="shared" si="94"/>
        <v>2</v>
      </c>
      <c r="U836" s="33">
        <f t="shared" si="95"/>
        <v>20</v>
      </c>
      <c r="V836" s="38" t="s">
        <v>827</v>
      </c>
      <c r="W836" s="39">
        <f t="shared" si="96"/>
        <v>0.33333333333333331</v>
      </c>
      <c r="X836" s="40" t="s">
        <v>304</v>
      </c>
      <c r="Y836" s="40" t="s">
        <v>283</v>
      </c>
      <c r="Z836" s="40" t="s">
        <v>749</v>
      </c>
      <c r="AA836" s="33" t="s">
        <v>749</v>
      </c>
      <c r="AB836" s="95"/>
      <c r="AC836" s="95"/>
    </row>
    <row r="837" spans="1:29" ht="14.45" hidden="1" customHeight="1" x14ac:dyDescent="0.25">
      <c r="A837" s="36" t="str">
        <f>INDEX('Base de données Mono'!C:C,MATCH(B837,'Base de données Mono'!D:D,0))</f>
        <v>Toulouse Victor Hugo</v>
      </c>
      <c r="B837" t="s">
        <v>520</v>
      </c>
      <c r="C837" s="36" t="str">
        <f>INDEX('Base de données Mono'!B:B,MATCH(B837,'Base de données Mono'!D:D,0))</f>
        <v>Monop</v>
      </c>
      <c r="D837" s="36" t="str">
        <f>INDEX('Base de données Mono'!A:A,MATCH(B837,'Base de données Mono'!D:D,0))</f>
        <v>-</v>
      </c>
      <c r="E837" s="37" t="s">
        <v>303</v>
      </c>
      <c r="F837" s="41">
        <f t="shared" si="91"/>
        <v>14</v>
      </c>
      <c r="G837" s="41">
        <f t="shared" si="92"/>
        <v>4</v>
      </c>
      <c r="H837">
        <v>7</v>
      </c>
      <c r="I837" s="131">
        <f>INDEX('Base de données Mono'!K:K,MATCH(B837,'Base de données Mono'!D:D,0))</f>
        <v>0.1875</v>
      </c>
      <c r="J837" s="131">
        <f>INDEX('Base de données Mono'!L:L,MATCH(B837,'Base de données Mono'!D:D,0))</f>
        <v>0.89583333333333337</v>
      </c>
      <c r="K837" s="131">
        <f>INDEX('Base de données Mono'!M:M,MATCH(B837,'Base de données Mono'!D:D,0))</f>
        <v>0.3125</v>
      </c>
      <c r="L837" s="131">
        <f>INDEX('Base de données Mono'!N:N,MATCH(B837,'Base de données Mono'!D:D,0))</f>
        <v>0.875</v>
      </c>
      <c r="M837" s="33" t="s">
        <v>46</v>
      </c>
      <c r="N837" s="33">
        <f>IF(AND(E837="Electricité",M837="Hiver"),INDEX('Base de données Mono'!E:E,MATCH(B837,'Base de données Mono'!D:D,0)),IF(AND(E837="Electricité",M837="Mi-saison"),INDEX('Base de données Mono'!F:F,MATCH(B837,'Base de données Mono'!D:D,0)),IF(AND(E837="Electricité",M837="Eté"),INDEX('Base de données Mono'!G:G,MATCH(B837,'Base de données Mono'!D:D,0)),IF(AND(E837="Gaz",M837="Hiver"),INDEX('Base de données Mono'!J:J,MATCH(B837,'Base de données Mono'!D:D,0)),IF(AND(E837="Gaz",M837="Mi-saison"),INDEX('Base de données Mono'!#REF!,MATCH(B837,'Base de données Mono'!D:D,0)),IF(AND(E837="Gaz",M837="Eté"),INDEX('Base de données Mono'!#REF!,MATCH(B837,'Base de données Mono'!D:D,0)),"-"))))))</f>
        <v>15</v>
      </c>
      <c r="O837" s="123">
        <v>45388</v>
      </c>
      <c r="P837" s="123">
        <v>45389</v>
      </c>
      <c r="Q837" s="34">
        <v>30</v>
      </c>
      <c r="R837" s="33">
        <f t="shared" si="93"/>
        <v>15</v>
      </c>
      <c r="S837" s="34">
        <v>1</v>
      </c>
      <c r="T837" s="34">
        <f t="shared" si="94"/>
        <v>1</v>
      </c>
      <c r="U837" s="33">
        <f t="shared" si="95"/>
        <v>15</v>
      </c>
      <c r="V837" s="38" t="s">
        <v>827</v>
      </c>
      <c r="W837" s="39">
        <f t="shared" si="96"/>
        <v>1</v>
      </c>
      <c r="X837" s="40" t="s">
        <v>304</v>
      </c>
      <c r="Y837" s="40" t="s">
        <v>283</v>
      </c>
      <c r="Z837" s="40" t="s">
        <v>749</v>
      </c>
      <c r="AA837" s="33" t="s">
        <v>749</v>
      </c>
      <c r="AB837" s="95"/>
      <c r="AC837" s="95"/>
    </row>
    <row r="838" spans="1:29" ht="14.45" hidden="1" customHeight="1" x14ac:dyDescent="0.25">
      <c r="A838" s="36" t="str">
        <f>INDEX('Base de données Mono'!C:C,MATCH(B838,'Base de données Mono'!D:D,0))</f>
        <v>Suffren</v>
      </c>
      <c r="B838" t="s">
        <v>731</v>
      </c>
      <c r="C838" s="36" t="str">
        <f>INDEX('Base de données Mono'!B:B,MATCH(B838,'Base de données Mono'!D:D,0))</f>
        <v>Monop</v>
      </c>
      <c r="D838" s="36" t="str">
        <f>INDEX('Base de données Mono'!A:A,MATCH(B838,'Base de données Mono'!D:D,0))</f>
        <v>-</v>
      </c>
      <c r="E838" s="37" t="s">
        <v>303</v>
      </c>
      <c r="F838" s="41">
        <f t="shared" si="91"/>
        <v>14</v>
      </c>
      <c r="G838" s="41">
        <f t="shared" si="92"/>
        <v>4</v>
      </c>
      <c r="H838">
        <v>8.67</v>
      </c>
      <c r="I838" s="131">
        <f>INDEX('Base de données Mono'!K:K,MATCH(B838,'Base de données Mono'!D:D,0))</f>
        <v>0.23611111111111113</v>
      </c>
      <c r="J838" s="131">
        <f>INDEX('Base de données Mono'!L:L,MATCH(B838,'Base de données Mono'!D:D,0))</f>
        <v>0.875</v>
      </c>
      <c r="K838" s="131" t="str">
        <f>INDEX('Base de données Mono'!M:M,MATCH(B838,'Base de données Mono'!D:D,0))</f>
        <v>-</v>
      </c>
      <c r="L838" s="131" t="str">
        <f>INDEX('Base de données Mono'!N:N,MATCH(B838,'Base de données Mono'!D:D,0))</f>
        <v>-</v>
      </c>
      <c r="M838" s="33" t="s">
        <v>46</v>
      </c>
      <c r="N838" s="33">
        <f>IF(AND(E838="Electricité",M838="Hiver"),INDEX('Base de données Mono'!E:E,MATCH(B838,'Base de données Mono'!D:D,0)),IF(AND(E838="Electricité",M838="Mi-saison"),INDEX('Base de données Mono'!F:F,MATCH(B838,'Base de données Mono'!D:D,0)),IF(AND(E838="Electricité",M838="Eté"),INDEX('Base de données Mono'!G:G,MATCH(B838,'Base de données Mono'!D:D,0)),IF(AND(E838="Gaz",M838="Hiver"),INDEX('Base de données Mono'!J:J,MATCH(B838,'Base de données Mono'!D:D,0)),IF(AND(E838="Gaz",M838="Mi-saison"),INDEX('Base de données Mono'!#REF!,MATCH(B838,'Base de données Mono'!D:D,0)),IF(AND(E838="Gaz",M838="Eté"),INDEX('Base de données Mono'!#REF!,MATCH(B838,'Base de données Mono'!D:D,0)),"-"))))))</f>
        <v>10</v>
      </c>
      <c r="O838" s="123">
        <v>45384</v>
      </c>
      <c r="P838" s="123">
        <v>45387</v>
      </c>
      <c r="Q838" s="34">
        <v>15</v>
      </c>
      <c r="R838" s="33">
        <f t="shared" si="93"/>
        <v>5</v>
      </c>
      <c r="S838" s="34">
        <v>2</v>
      </c>
      <c r="T838" s="34">
        <f t="shared" si="94"/>
        <v>3</v>
      </c>
      <c r="U838" s="33">
        <f t="shared" si="95"/>
        <v>30</v>
      </c>
      <c r="V838" s="38" t="s">
        <v>827</v>
      </c>
      <c r="W838" s="39">
        <f t="shared" si="96"/>
        <v>0.5</v>
      </c>
      <c r="X838" s="40" t="s">
        <v>304</v>
      </c>
      <c r="Y838" s="40" t="s">
        <v>283</v>
      </c>
      <c r="Z838" s="40" t="s">
        <v>749</v>
      </c>
      <c r="AA838" s="33" t="s">
        <v>749</v>
      </c>
      <c r="AB838" s="95"/>
      <c r="AC838" s="95"/>
    </row>
    <row r="839" spans="1:29" ht="14.45" hidden="1" customHeight="1" x14ac:dyDescent="0.25">
      <c r="A839" s="36" t="str">
        <f>INDEX('Base de données Mono'!C:C,MATCH(B839,'Base de données Mono'!D:D,0))</f>
        <v>Nice Saint Roch</v>
      </c>
      <c r="B839" t="s">
        <v>741</v>
      </c>
      <c r="C839" s="36" t="str">
        <f>INDEX('Base de données Mono'!B:B,MATCH(B839,'Base de données Mono'!D:D,0))</f>
        <v>Monop</v>
      </c>
      <c r="D839" s="36" t="str">
        <f>INDEX('Base de données Mono'!A:A,MATCH(B839,'Base de données Mono'!D:D,0))</f>
        <v>-</v>
      </c>
      <c r="E839" s="37" t="s">
        <v>303</v>
      </c>
      <c r="F839" s="41">
        <f t="shared" si="91"/>
        <v>14</v>
      </c>
      <c r="G839" s="41">
        <f t="shared" si="92"/>
        <v>4</v>
      </c>
      <c r="H839">
        <v>8.33</v>
      </c>
      <c r="I839" s="131">
        <f>INDEX('Base de données Mono'!K:K,MATCH(B839,'Base de données Mono'!D:D,0))</f>
        <v>0.19444444444444445</v>
      </c>
      <c r="J839" s="131">
        <f>INDEX('Base de données Mono'!L:L,MATCH(B839,'Base de données Mono'!D:D,0))</f>
        <v>0.84722222222222221</v>
      </c>
      <c r="K839" s="131">
        <f>INDEX('Base de données Mono'!M:M,MATCH(B839,'Base de données Mono'!D:D,0))</f>
        <v>0.29166666666666669</v>
      </c>
      <c r="L839" s="131">
        <f>INDEX('Base de données Mono'!N:N,MATCH(B839,'Base de données Mono'!D:D,0))</f>
        <v>0.79861111111111116</v>
      </c>
      <c r="M839" s="33" t="s">
        <v>46</v>
      </c>
      <c r="N839" s="33">
        <f>IF(AND(E839="Electricité",M839="Hiver"),INDEX('Base de données Mono'!E:E,MATCH(B839,'Base de données Mono'!D:D,0)),IF(AND(E839="Electricité",M839="Mi-saison"),INDEX('Base de données Mono'!F:F,MATCH(B839,'Base de données Mono'!D:D,0)),IF(AND(E839="Electricité",M839="Eté"),INDEX('Base de données Mono'!G:G,MATCH(B839,'Base de données Mono'!D:D,0)),IF(AND(E839="Gaz",M839="Hiver"),INDEX('Base de données Mono'!J:J,MATCH(B839,'Base de données Mono'!D:D,0)),IF(AND(E839="Gaz",M839="Mi-saison"),INDEX('Base de données Mono'!#REF!,MATCH(B839,'Base de données Mono'!D:D,0)),IF(AND(E839="Gaz",M839="Eté"),INDEX('Base de données Mono'!#REF!,MATCH(B839,'Base de données Mono'!D:D,0)),"-"))))))</f>
        <v>15</v>
      </c>
      <c r="O839" s="123">
        <v>45384</v>
      </c>
      <c r="P839" s="123">
        <v>45389</v>
      </c>
      <c r="Q839" s="34">
        <v>25</v>
      </c>
      <c r="R839" s="33">
        <f t="shared" si="93"/>
        <v>10</v>
      </c>
      <c r="S839" s="34">
        <v>2</v>
      </c>
      <c r="T839" s="34">
        <f t="shared" si="94"/>
        <v>5</v>
      </c>
      <c r="U839" s="33">
        <f t="shared" si="95"/>
        <v>100</v>
      </c>
      <c r="V839" s="38" t="s">
        <v>827</v>
      </c>
      <c r="W839" s="39">
        <f t="shared" si="96"/>
        <v>0.66666666666666663</v>
      </c>
      <c r="X839" s="40" t="s">
        <v>304</v>
      </c>
      <c r="Y839" s="40" t="s">
        <v>283</v>
      </c>
      <c r="Z839" s="40" t="s">
        <v>749</v>
      </c>
      <c r="AA839" s="33" t="s">
        <v>749</v>
      </c>
      <c r="AB839" s="95"/>
      <c r="AC839" s="95"/>
    </row>
    <row r="840" spans="1:29" ht="14.45" hidden="1" customHeight="1" x14ac:dyDescent="0.25">
      <c r="A840" s="36" t="str">
        <f>INDEX('Base de données Mono'!C:C,MATCH(B840,'Base de données Mono'!D:D,0))</f>
        <v>Les champs</v>
      </c>
      <c r="B840" t="s">
        <v>796</v>
      </c>
      <c r="C840" s="36" t="str">
        <f>INDEX('Base de données Mono'!B:B,MATCH(B840,'Base de données Mono'!D:D,0))</f>
        <v>Monoprix</v>
      </c>
      <c r="D840" s="36" t="str">
        <f>INDEX('Base de données Mono'!A:A,MATCH(B840,'Base de données Mono'!D:D,0))</f>
        <v>RL</v>
      </c>
      <c r="E840" s="37" t="s">
        <v>303</v>
      </c>
      <c r="F840" s="41">
        <f t="shared" si="91"/>
        <v>14</v>
      </c>
      <c r="G840" s="41">
        <f t="shared" si="92"/>
        <v>4</v>
      </c>
      <c r="H840">
        <v>6</v>
      </c>
      <c r="I840" s="131">
        <f>INDEX('Base de données Mono'!K:K,MATCH(B840,'Base de données Mono'!D:D,0))</f>
        <v>0.20833333333333334</v>
      </c>
      <c r="J840" s="131">
        <f>INDEX('Base de données Mono'!L:L,MATCH(B840,'Base de données Mono'!D:D,0))</f>
        <v>0.95833333333333337</v>
      </c>
      <c r="K840" s="131">
        <f>INDEX('Base de données Mono'!M:M,MATCH(B840,'Base de données Mono'!D:D,0))</f>
        <v>0.20833333333333334</v>
      </c>
      <c r="L840" s="131">
        <f>INDEX('Base de données Mono'!N:N,MATCH(B840,'Base de données Mono'!D:D,0))</f>
        <v>0.95833333333333337</v>
      </c>
      <c r="M840" s="33" t="s">
        <v>46</v>
      </c>
      <c r="N840" s="33">
        <f>IF(AND(E840="Electricité",M840="Hiver"),INDEX('Base de données Mono'!E:E,MATCH(B840,'Base de données Mono'!D:D,0)),IF(AND(E840="Electricité",M840="Mi-saison"),INDEX('Base de données Mono'!F:F,MATCH(B840,'Base de données Mono'!D:D,0)),IF(AND(E840="Electricité",M840="Eté"),INDEX('Base de données Mono'!G:G,MATCH(B840,'Base de données Mono'!D:D,0)),IF(AND(E840="Gaz",M840="Hiver"),INDEX('Base de données Mono'!J:J,MATCH(B840,'Base de données Mono'!D:D,0)),IF(AND(E840="Gaz",M840="Mi-saison"),INDEX('Base de données Mono'!#REF!,MATCH(B840,'Base de données Mono'!D:D,0)),IF(AND(E840="Gaz",M840="Eté"),INDEX('Base de données Mono'!#REF!,MATCH(B840,'Base de données Mono'!D:D,0)),"-"))))))</f>
        <v>35</v>
      </c>
      <c r="O840" s="123">
        <v>45385</v>
      </c>
      <c r="P840" s="123">
        <v>45386</v>
      </c>
      <c r="Q840" s="34">
        <v>40</v>
      </c>
      <c r="R840" s="33">
        <f t="shared" si="93"/>
        <v>5</v>
      </c>
      <c r="S840" s="34">
        <v>6</v>
      </c>
      <c r="T840" s="34">
        <f t="shared" si="94"/>
        <v>1</v>
      </c>
      <c r="U840" s="33">
        <f t="shared" si="95"/>
        <v>30</v>
      </c>
      <c r="V840" s="38" t="s">
        <v>827</v>
      </c>
      <c r="W840" s="39">
        <f t="shared" si="96"/>
        <v>0.14285714285714285</v>
      </c>
      <c r="X840" s="40" t="s">
        <v>304</v>
      </c>
      <c r="Y840" s="40" t="s">
        <v>283</v>
      </c>
      <c r="Z840" s="40" t="s">
        <v>749</v>
      </c>
      <c r="AA840" s="33" t="s">
        <v>749</v>
      </c>
      <c r="AB840" s="95"/>
      <c r="AC840" s="95"/>
    </row>
    <row r="841" spans="1:29" ht="14.45" hidden="1" customHeight="1" x14ac:dyDescent="0.25">
      <c r="A841" s="36" t="str">
        <f>INDEX('Base de données Mono'!C:C,MATCH(B841,'Base de données Mono'!D:D,0))</f>
        <v>Strasbourg Kleber</v>
      </c>
      <c r="B841" t="s">
        <v>814</v>
      </c>
      <c r="C841" s="36" t="str">
        <f>INDEX('Base de données Mono'!B:B,MATCH(B841,'Base de données Mono'!D:D,0))</f>
        <v>Monoprix</v>
      </c>
      <c r="D841" s="36">
        <f>INDEX('Base de données Mono'!A:A,MATCH(B841,'Base de données Mono'!D:D,0))</f>
        <v>0</v>
      </c>
      <c r="E841" s="37" t="s">
        <v>303</v>
      </c>
      <c r="F841" s="41">
        <f t="shared" si="91"/>
        <v>14</v>
      </c>
      <c r="G841" s="41">
        <f t="shared" si="92"/>
        <v>4</v>
      </c>
      <c r="H841">
        <v>9</v>
      </c>
      <c r="I841" s="131">
        <f>INDEX('Base de données Mono'!K:K,MATCH(B841,'Base de données Mono'!D:D,0))</f>
        <v>0.20833333333333334</v>
      </c>
      <c r="J841" s="131">
        <f>INDEX('Base de données Mono'!L:L,MATCH(B841,'Base de données Mono'!D:D,0))</f>
        <v>0.83333333333333337</v>
      </c>
      <c r="K841" s="131" t="str">
        <f>INDEX('Base de données Mono'!M:M,MATCH(B841,'Base de données Mono'!D:D,0))</f>
        <v>-</v>
      </c>
      <c r="L841" s="131" t="str">
        <f>INDEX('Base de données Mono'!N:N,MATCH(B841,'Base de données Mono'!D:D,0))</f>
        <v>-</v>
      </c>
      <c r="M841" s="33" t="s">
        <v>46</v>
      </c>
      <c r="N841" s="33">
        <f>IF(AND(E841="Electricité",M841="Hiver"),INDEX('Base de données Mono'!E:E,MATCH(B841,'Base de données Mono'!D:D,0)),IF(AND(E841="Electricité",M841="Mi-saison"),INDEX('Base de données Mono'!F:F,MATCH(B841,'Base de données Mono'!D:D,0)),IF(AND(E841="Electricité",M841="Eté"),INDEX('Base de données Mono'!G:G,MATCH(B841,'Base de données Mono'!D:D,0)),IF(AND(E841="Gaz",M841="Hiver"),INDEX('Base de données Mono'!J:J,MATCH(B841,'Base de données Mono'!D:D,0)),IF(AND(E841="Gaz",M841="Mi-saison"),INDEX('Base de données Mono'!#REF!,MATCH(B841,'Base de données Mono'!D:D,0)),IF(AND(E841="Gaz",M841="Eté"),INDEX('Base de données Mono'!#REF!,MATCH(B841,'Base de données Mono'!D:D,0)),"-"))))))</f>
        <v>65</v>
      </c>
      <c r="O841" s="123">
        <v>45383</v>
      </c>
      <c r="P841" s="123">
        <v>45388</v>
      </c>
      <c r="Q841" s="34">
        <v>70</v>
      </c>
      <c r="R841" s="33">
        <f t="shared" si="93"/>
        <v>5</v>
      </c>
      <c r="S841" s="34">
        <v>1</v>
      </c>
      <c r="T841" s="34">
        <f t="shared" si="94"/>
        <v>5</v>
      </c>
      <c r="U841" s="33">
        <f t="shared" si="95"/>
        <v>25</v>
      </c>
      <c r="V841" s="38" t="s">
        <v>827</v>
      </c>
      <c r="W841" s="39">
        <f t="shared" si="96"/>
        <v>7.6923076923076927E-2</v>
      </c>
      <c r="X841" s="40" t="s">
        <v>304</v>
      </c>
      <c r="Y841" s="40" t="s">
        <v>283</v>
      </c>
      <c r="Z841" s="40" t="s">
        <v>749</v>
      </c>
      <c r="AA841" s="33" t="s">
        <v>749</v>
      </c>
      <c r="AB841" s="95"/>
      <c r="AC841" s="95"/>
    </row>
    <row r="842" spans="1:29" ht="14.45" hidden="1" customHeight="1" x14ac:dyDescent="0.25">
      <c r="A842" s="36" t="str">
        <f>INDEX('Base de données Mono'!C:C,MATCH(B842,'Base de données Mono'!D:D,0))</f>
        <v>Beaugrenelle</v>
      </c>
      <c r="B842" t="s">
        <v>790</v>
      </c>
      <c r="C842" s="36" t="str">
        <f>INDEX('Base de données Mono'!B:B,MATCH(B842,'Base de données Mono'!D:D,0))</f>
        <v>Monoprix</v>
      </c>
      <c r="D842" s="36" t="str">
        <f>INDEX('Base de données Mono'!A:A,MATCH(B842,'Base de données Mono'!D:D,0))</f>
        <v>-</v>
      </c>
      <c r="E842" s="37" t="s">
        <v>303</v>
      </c>
      <c r="F842" s="41">
        <f t="shared" si="91"/>
        <v>14</v>
      </c>
      <c r="G842" s="41">
        <f t="shared" si="92"/>
        <v>4</v>
      </c>
      <c r="H842">
        <v>5.67</v>
      </c>
      <c r="I842" s="131">
        <f>INDEX('Base de données Mono'!K:K,MATCH(B842,'Base de données Mono'!D:D,0))</f>
        <v>0.21527777777777779</v>
      </c>
      <c r="J842" s="131">
        <f>INDEX('Base de données Mono'!L:L,MATCH(B842,'Base de données Mono'!D:D,0))</f>
        <v>0.97916666666666663</v>
      </c>
      <c r="K842" s="131">
        <f>INDEX('Base de données Mono'!M:M,MATCH(B842,'Base de données Mono'!D:D,0))</f>
        <v>0.24305555555555555</v>
      </c>
      <c r="L842" s="131">
        <f>INDEX('Base de données Mono'!N:N,MATCH(B842,'Base de données Mono'!D:D,0))</f>
        <v>0.95833333333333337</v>
      </c>
      <c r="M842" s="33" t="s">
        <v>46</v>
      </c>
      <c r="N842" s="33">
        <f>IF(AND(E842="Electricité",M842="Hiver"),INDEX('Base de données Mono'!E:E,MATCH(B842,'Base de données Mono'!D:D,0)),IF(AND(E842="Electricité",M842="Mi-saison"),INDEX('Base de données Mono'!F:F,MATCH(B842,'Base de données Mono'!D:D,0)),IF(AND(E842="Electricité",M842="Eté"),INDEX('Base de données Mono'!G:G,MATCH(B842,'Base de données Mono'!D:D,0)),IF(AND(E842="Gaz",M842="Hiver"),INDEX('Base de données Mono'!J:J,MATCH(B842,'Base de données Mono'!D:D,0)),IF(AND(E842="Gaz",M842="Mi-saison"),INDEX('Base de données Mono'!#REF!,MATCH(B842,'Base de données Mono'!D:D,0)),IF(AND(E842="Gaz",M842="Eté"),INDEX('Base de données Mono'!#REF!,MATCH(B842,'Base de données Mono'!D:D,0)),"-"))))))</f>
        <v>165</v>
      </c>
      <c r="O842" s="123">
        <v>45383</v>
      </c>
      <c r="P842" s="123">
        <v>45386</v>
      </c>
      <c r="Q842" s="34">
        <v>210</v>
      </c>
      <c r="R842" s="33">
        <f t="shared" si="93"/>
        <v>45</v>
      </c>
      <c r="S842" s="34">
        <v>1</v>
      </c>
      <c r="T842" s="34">
        <f t="shared" si="94"/>
        <v>3</v>
      </c>
      <c r="U842" s="33">
        <f t="shared" si="95"/>
        <v>135</v>
      </c>
      <c r="V842" s="38" t="s">
        <v>827</v>
      </c>
      <c r="W842" s="39">
        <f t="shared" si="96"/>
        <v>0.27272727272727271</v>
      </c>
      <c r="X842" s="40" t="s">
        <v>304</v>
      </c>
      <c r="Y842" s="40" t="s">
        <v>283</v>
      </c>
      <c r="Z842" s="40" t="s">
        <v>749</v>
      </c>
      <c r="AA842" s="33" t="s">
        <v>749</v>
      </c>
      <c r="AB842" s="95"/>
      <c r="AC842" s="95"/>
    </row>
    <row r="843" spans="1:29" ht="14.45" hidden="1" customHeight="1" x14ac:dyDescent="0.25">
      <c r="A843" s="36" t="str">
        <f>INDEX('Base de données Mono'!C:C,MATCH(B843,'Base de données Mono'!D:D,0))</f>
        <v>Beaugrenelle</v>
      </c>
      <c r="B843" t="s">
        <v>790</v>
      </c>
      <c r="C843" s="36" t="str">
        <f>INDEX('Base de données Mono'!B:B,MATCH(B843,'Base de données Mono'!D:D,0))</f>
        <v>Monoprix</v>
      </c>
      <c r="D843" s="36" t="str">
        <f>INDEX('Base de données Mono'!A:A,MATCH(B843,'Base de données Mono'!D:D,0))</f>
        <v>-</v>
      </c>
      <c r="E843" s="37" t="s">
        <v>303</v>
      </c>
      <c r="F843" s="41">
        <f t="shared" si="91"/>
        <v>14</v>
      </c>
      <c r="G843" s="41">
        <f t="shared" si="92"/>
        <v>4</v>
      </c>
      <c r="H843">
        <v>5.67</v>
      </c>
      <c r="I843" s="131">
        <f>INDEX('Base de données Mono'!K:K,MATCH(B843,'Base de données Mono'!D:D,0))</f>
        <v>0.21527777777777779</v>
      </c>
      <c r="J843" s="131">
        <f>INDEX('Base de données Mono'!L:L,MATCH(B843,'Base de données Mono'!D:D,0))</f>
        <v>0.97916666666666663</v>
      </c>
      <c r="K843" s="131">
        <f>INDEX('Base de données Mono'!M:M,MATCH(B843,'Base de données Mono'!D:D,0))</f>
        <v>0.24305555555555555</v>
      </c>
      <c r="L843" s="131">
        <f>INDEX('Base de données Mono'!N:N,MATCH(B843,'Base de données Mono'!D:D,0))</f>
        <v>0.95833333333333337</v>
      </c>
      <c r="M843" s="33" t="s">
        <v>46</v>
      </c>
      <c r="N843" s="33">
        <f>IF(AND(E843="Electricité",M843="Hiver"),INDEX('Base de données Mono'!E:E,MATCH(B843,'Base de données Mono'!D:D,0)),IF(AND(E843="Electricité",M843="Mi-saison"),INDEX('Base de données Mono'!F:F,MATCH(B843,'Base de données Mono'!D:D,0)),IF(AND(E843="Electricité",M843="Eté"),INDEX('Base de données Mono'!G:G,MATCH(B843,'Base de données Mono'!D:D,0)),IF(AND(E843="Gaz",M843="Hiver"),INDEX('Base de données Mono'!J:J,MATCH(B843,'Base de données Mono'!D:D,0)),IF(AND(E843="Gaz",M843="Mi-saison"),INDEX('Base de données Mono'!#REF!,MATCH(B843,'Base de données Mono'!D:D,0)),IF(AND(E843="Gaz",M843="Eté"),INDEX('Base de données Mono'!#REF!,MATCH(B843,'Base de données Mono'!D:D,0)),"-"))))))</f>
        <v>165</v>
      </c>
      <c r="O843" s="123">
        <v>45386</v>
      </c>
      <c r="P843" s="123">
        <v>45387</v>
      </c>
      <c r="Q843" s="34">
        <v>230</v>
      </c>
      <c r="R843" s="33">
        <f t="shared" si="93"/>
        <v>65</v>
      </c>
      <c r="S843" s="34">
        <v>1</v>
      </c>
      <c r="T843" s="34">
        <f t="shared" si="94"/>
        <v>1</v>
      </c>
      <c r="U843" s="33">
        <f t="shared" si="95"/>
        <v>65</v>
      </c>
      <c r="V843" s="38" t="s">
        <v>827</v>
      </c>
      <c r="W843" s="39">
        <f t="shared" si="96"/>
        <v>0.39393939393939392</v>
      </c>
      <c r="X843" s="40" t="s">
        <v>304</v>
      </c>
      <c r="Y843" s="40" t="s">
        <v>283</v>
      </c>
      <c r="Z843" s="40" t="s">
        <v>749</v>
      </c>
      <c r="AA843" s="33" t="s">
        <v>749</v>
      </c>
      <c r="AB843" s="95"/>
      <c r="AC843" s="95"/>
    </row>
    <row r="844" spans="1:29" ht="14.45" hidden="1" customHeight="1" x14ac:dyDescent="0.25">
      <c r="A844" s="36" t="str">
        <f>INDEX('Base de données Mono'!C:C,MATCH(B844,'Base de données Mono'!D:D,0))</f>
        <v>Beaugrenelle</v>
      </c>
      <c r="B844" t="s">
        <v>790</v>
      </c>
      <c r="C844" s="36" t="str">
        <f>INDEX('Base de données Mono'!B:B,MATCH(B844,'Base de données Mono'!D:D,0))</f>
        <v>Monoprix</v>
      </c>
      <c r="D844" s="36" t="str">
        <f>INDEX('Base de données Mono'!A:A,MATCH(B844,'Base de données Mono'!D:D,0))</f>
        <v>-</v>
      </c>
      <c r="E844" s="37" t="s">
        <v>303</v>
      </c>
      <c r="F844" s="41">
        <f t="shared" si="91"/>
        <v>14</v>
      </c>
      <c r="G844" s="41">
        <f t="shared" si="92"/>
        <v>4</v>
      </c>
      <c r="H844">
        <v>5.67</v>
      </c>
      <c r="I844" s="131">
        <f>INDEX('Base de données Mono'!K:K,MATCH(B844,'Base de données Mono'!D:D,0))</f>
        <v>0.21527777777777779</v>
      </c>
      <c r="J844" s="131">
        <f>INDEX('Base de données Mono'!L:L,MATCH(B844,'Base de données Mono'!D:D,0))</f>
        <v>0.97916666666666663</v>
      </c>
      <c r="K844" s="131">
        <f>INDEX('Base de données Mono'!M:M,MATCH(B844,'Base de données Mono'!D:D,0))</f>
        <v>0.24305555555555555</v>
      </c>
      <c r="L844" s="131">
        <f>INDEX('Base de données Mono'!N:N,MATCH(B844,'Base de données Mono'!D:D,0))</f>
        <v>0.95833333333333337</v>
      </c>
      <c r="M844" s="33" t="s">
        <v>46</v>
      </c>
      <c r="N844" s="33">
        <f>IF(AND(E844="Electricité",M844="Hiver"),INDEX('Base de données Mono'!E:E,MATCH(B844,'Base de données Mono'!D:D,0)),IF(AND(E844="Electricité",M844="Mi-saison"),INDEX('Base de données Mono'!F:F,MATCH(B844,'Base de données Mono'!D:D,0)),IF(AND(E844="Electricité",M844="Eté"),INDEX('Base de données Mono'!G:G,MATCH(B844,'Base de données Mono'!D:D,0)),IF(AND(E844="Gaz",M844="Hiver"),INDEX('Base de données Mono'!J:J,MATCH(B844,'Base de données Mono'!D:D,0)),IF(AND(E844="Gaz",M844="Mi-saison"),INDEX('Base de données Mono'!#REF!,MATCH(B844,'Base de données Mono'!D:D,0)),IF(AND(E844="Gaz",M844="Eté"),INDEX('Base de données Mono'!#REF!,MATCH(B844,'Base de données Mono'!D:D,0)),"-"))))))</f>
        <v>165</v>
      </c>
      <c r="O844" s="123">
        <v>45387</v>
      </c>
      <c r="P844" s="123">
        <v>45388</v>
      </c>
      <c r="Q844" s="34">
        <v>195</v>
      </c>
      <c r="R844" s="33">
        <f t="shared" si="93"/>
        <v>30</v>
      </c>
      <c r="S844" s="34">
        <v>1</v>
      </c>
      <c r="T844" s="34">
        <f t="shared" si="94"/>
        <v>1</v>
      </c>
      <c r="U844" s="33">
        <f t="shared" si="95"/>
        <v>30</v>
      </c>
      <c r="V844" s="38" t="s">
        <v>827</v>
      </c>
      <c r="W844" s="39">
        <f t="shared" si="96"/>
        <v>0.18181818181818182</v>
      </c>
      <c r="X844" s="40" t="s">
        <v>304</v>
      </c>
      <c r="Y844" s="40" t="s">
        <v>283</v>
      </c>
      <c r="Z844" s="40" t="s">
        <v>749</v>
      </c>
      <c r="AA844" s="33" t="s">
        <v>749</v>
      </c>
      <c r="AB844" s="95"/>
      <c r="AC844" s="95"/>
    </row>
    <row r="845" spans="1:29" ht="14.45" hidden="1" customHeight="1" x14ac:dyDescent="0.25">
      <c r="A845" s="36" t="str">
        <f>INDEX('Base de données Mono'!C:C,MATCH(B845,'Base de données Mono'!D:D,0))</f>
        <v>Monop Nantes Tour de Bretagne</v>
      </c>
      <c r="B845" t="s">
        <v>516</v>
      </c>
      <c r="C845" s="36" t="str">
        <f>INDEX('Base de données Mono'!B:B,MATCH(B845,'Base de données Mono'!D:D,0))</f>
        <v>Monop</v>
      </c>
      <c r="D845" s="36" t="str">
        <f>INDEX('Base de données Mono'!A:A,MATCH(B845,'Base de données Mono'!D:D,0))</f>
        <v>-</v>
      </c>
      <c r="E845" s="37" t="s">
        <v>303</v>
      </c>
      <c r="F845" s="41">
        <f t="shared" si="91"/>
        <v>14</v>
      </c>
      <c r="G845" s="41">
        <f t="shared" si="92"/>
        <v>4</v>
      </c>
      <c r="H845">
        <v>8.83</v>
      </c>
      <c r="I845" s="131">
        <f>INDEX('Base de données Mono'!K:K,MATCH(B845,'Base de données Mono'!D:D,0))</f>
        <v>0.30555555555555552</v>
      </c>
      <c r="J845" s="131">
        <f>INDEX('Base de données Mono'!L:L,MATCH(B845,'Base de données Mono'!D:D,0))</f>
        <v>0.9375</v>
      </c>
      <c r="K845" s="131">
        <f>INDEX('Base de données Mono'!M:M,MATCH(B845,'Base de données Mono'!D:D,0))</f>
        <v>0.33333333333333331</v>
      </c>
      <c r="L845" s="131">
        <f>INDEX('Base de données Mono'!N:N,MATCH(B845,'Base de données Mono'!D:D,0))</f>
        <v>0.875</v>
      </c>
      <c r="M845" s="33" t="s">
        <v>46</v>
      </c>
      <c r="N845" s="33">
        <f>IF(AND(E845="Electricité",M845="Hiver"),INDEX('Base de données Mono'!E:E,MATCH(B845,'Base de données Mono'!D:D,0)),IF(AND(E845="Electricité",M845="Mi-saison"),INDEX('Base de données Mono'!F:F,MATCH(B845,'Base de données Mono'!D:D,0)),IF(AND(E845="Electricité",M845="Eté"),INDEX('Base de données Mono'!G:G,MATCH(B845,'Base de données Mono'!D:D,0)),IF(AND(E845="Gaz",M845="Hiver"),INDEX('Base de données Mono'!J:J,MATCH(B845,'Base de données Mono'!D:D,0)),IF(AND(E845="Gaz",M845="Mi-saison"),INDEX('Base de données Mono'!#REF!,MATCH(B845,'Base de données Mono'!D:D,0)),IF(AND(E845="Gaz",M845="Eté"),INDEX('Base de données Mono'!#REF!,MATCH(B845,'Base de données Mono'!D:D,0)),"-"))))))</f>
        <v>15</v>
      </c>
      <c r="O845" s="123">
        <v>45383</v>
      </c>
      <c r="P845" s="123">
        <v>45389</v>
      </c>
      <c r="Q845" s="34">
        <v>20</v>
      </c>
      <c r="R845" s="33">
        <f t="shared" si="93"/>
        <v>5</v>
      </c>
      <c r="S845" s="34">
        <v>9</v>
      </c>
      <c r="T845" s="34">
        <f t="shared" si="94"/>
        <v>6</v>
      </c>
      <c r="U845" s="33">
        <f t="shared" si="95"/>
        <v>270</v>
      </c>
      <c r="V845" s="38" t="s">
        <v>827</v>
      </c>
      <c r="W845" s="39">
        <f t="shared" si="96"/>
        <v>0.33333333333333331</v>
      </c>
      <c r="X845" s="40" t="s">
        <v>304</v>
      </c>
      <c r="Y845" s="40" t="s">
        <v>283</v>
      </c>
      <c r="Z845" s="40" t="s">
        <v>749</v>
      </c>
      <c r="AA845" s="33" t="s">
        <v>749</v>
      </c>
      <c r="AB845" s="95"/>
      <c r="AC845" s="95"/>
    </row>
    <row r="846" spans="1:29" ht="14.45" hidden="1" customHeight="1" x14ac:dyDescent="0.25">
      <c r="A846" s="36" t="str">
        <f>INDEX('Base de données Mono'!C:C,MATCH(B846,'Base de données Mono'!D:D,0))</f>
        <v>Asnières Station</v>
      </c>
      <c r="B846" t="s">
        <v>798</v>
      </c>
      <c r="C846" s="36" t="str">
        <f>INDEX('Base de données Mono'!B:B,MATCH(B846,'Base de données Mono'!D:D,0))</f>
        <v>Monoprix</v>
      </c>
      <c r="D846" s="36" t="str">
        <f>INDEX('Base de données Mono'!A:A,MATCH(B846,'Base de données Mono'!D:D,0))</f>
        <v>RL</v>
      </c>
      <c r="E846" s="37" t="s">
        <v>303</v>
      </c>
      <c r="F846" s="41">
        <f t="shared" si="91"/>
        <v>14</v>
      </c>
      <c r="G846" s="41">
        <f t="shared" si="92"/>
        <v>4</v>
      </c>
      <c r="H846">
        <v>6</v>
      </c>
      <c r="I846" s="131">
        <f>INDEX('Base de données Mono'!K:K,MATCH(B846,'Base de données Mono'!D:D,0))</f>
        <v>0.20833333333333334</v>
      </c>
      <c r="J846" s="131">
        <f>INDEX('Base de données Mono'!L:L,MATCH(B846,'Base de données Mono'!D:D,0))</f>
        <v>0.95833333333333337</v>
      </c>
      <c r="K846" s="131">
        <f>INDEX('Base de données Mono'!M:M,MATCH(B846,'Base de données Mono'!D:D,0))</f>
        <v>0.20833333333333334</v>
      </c>
      <c r="L846" s="131">
        <f>INDEX('Base de données Mono'!N:N,MATCH(B846,'Base de données Mono'!D:D,0))</f>
        <v>0.95833333333333337</v>
      </c>
      <c r="M846" s="33" t="s">
        <v>46</v>
      </c>
      <c r="N846" s="33">
        <f>IF(AND(E846="Electricité",M846="Hiver"),INDEX('Base de données Mono'!E:E,MATCH(B846,'Base de données Mono'!D:D,0)),IF(AND(E846="Electricité",M846="Mi-saison"),INDEX('Base de données Mono'!F:F,MATCH(B846,'Base de données Mono'!D:D,0)),IF(AND(E846="Electricité",M846="Eté"),INDEX('Base de données Mono'!G:G,MATCH(B846,'Base de données Mono'!D:D,0)),IF(AND(E846="Gaz",M846="Hiver"),INDEX('Base de données Mono'!J:J,MATCH(B846,'Base de données Mono'!D:D,0)),IF(AND(E846="Gaz",M846="Mi-saison"),INDEX('Base de données Mono'!#REF!,MATCH(B846,'Base de données Mono'!D:D,0)),IF(AND(E846="Gaz",M846="Eté"),INDEX('Base de données Mono'!#REF!,MATCH(B846,'Base de données Mono'!D:D,0)),"-"))))))</f>
        <v>68</v>
      </c>
      <c r="O846" s="123">
        <v>45384</v>
      </c>
      <c r="P846" s="123">
        <v>45385</v>
      </c>
      <c r="Q846" s="34">
        <v>100</v>
      </c>
      <c r="R846" s="33">
        <f t="shared" si="93"/>
        <v>32</v>
      </c>
      <c r="S846" s="34">
        <v>1</v>
      </c>
      <c r="T846" s="34">
        <f t="shared" si="94"/>
        <v>1</v>
      </c>
      <c r="U846" s="33">
        <f t="shared" si="95"/>
        <v>32</v>
      </c>
      <c r="V846" s="38" t="s">
        <v>827</v>
      </c>
      <c r="W846" s="39">
        <f t="shared" si="96"/>
        <v>0.47058823529411764</v>
      </c>
      <c r="X846" s="40" t="s">
        <v>304</v>
      </c>
      <c r="Y846" s="40" t="s">
        <v>283</v>
      </c>
      <c r="Z846" s="40" t="s">
        <v>749</v>
      </c>
      <c r="AA846" s="33" t="s">
        <v>749</v>
      </c>
      <c r="AB846" s="95"/>
      <c r="AC846" s="95"/>
    </row>
    <row r="847" spans="1:29" ht="14.45" hidden="1" customHeight="1" x14ac:dyDescent="0.25">
      <c r="A847" s="36" t="str">
        <f>INDEX('Base de données Mono'!C:C,MATCH(B847,'Base de données Mono'!D:D,0))</f>
        <v>Asnières Station</v>
      </c>
      <c r="B847" t="s">
        <v>798</v>
      </c>
      <c r="C847" s="36" t="str">
        <f>INDEX('Base de données Mono'!B:B,MATCH(B847,'Base de données Mono'!D:D,0))</f>
        <v>Monoprix</v>
      </c>
      <c r="D847" s="36" t="str">
        <f>INDEX('Base de données Mono'!A:A,MATCH(B847,'Base de données Mono'!D:D,0))</f>
        <v>RL</v>
      </c>
      <c r="E847" s="37" t="s">
        <v>303</v>
      </c>
      <c r="F847" s="41">
        <f t="shared" si="91"/>
        <v>14</v>
      </c>
      <c r="G847" s="41">
        <f t="shared" si="92"/>
        <v>4</v>
      </c>
      <c r="H847">
        <v>6</v>
      </c>
      <c r="I847" s="131">
        <f>INDEX('Base de données Mono'!K:K,MATCH(B847,'Base de données Mono'!D:D,0))</f>
        <v>0.20833333333333334</v>
      </c>
      <c r="J847" s="131">
        <f>INDEX('Base de données Mono'!L:L,MATCH(B847,'Base de données Mono'!D:D,0))</f>
        <v>0.95833333333333337</v>
      </c>
      <c r="K847" s="131">
        <f>INDEX('Base de données Mono'!M:M,MATCH(B847,'Base de données Mono'!D:D,0))</f>
        <v>0.20833333333333334</v>
      </c>
      <c r="L847" s="131">
        <f>INDEX('Base de données Mono'!N:N,MATCH(B847,'Base de données Mono'!D:D,0))</f>
        <v>0.95833333333333337</v>
      </c>
      <c r="M847" s="33" t="s">
        <v>46</v>
      </c>
      <c r="N847" s="33">
        <f>IF(AND(E847="Electricité",M847="Hiver"),INDEX('Base de données Mono'!E:E,MATCH(B847,'Base de données Mono'!D:D,0)),IF(AND(E847="Electricité",M847="Mi-saison"),INDEX('Base de données Mono'!F:F,MATCH(B847,'Base de données Mono'!D:D,0)),IF(AND(E847="Electricité",M847="Eté"),INDEX('Base de données Mono'!G:G,MATCH(B847,'Base de données Mono'!D:D,0)),IF(AND(E847="Gaz",M847="Hiver"),INDEX('Base de données Mono'!J:J,MATCH(B847,'Base de données Mono'!D:D,0)),IF(AND(E847="Gaz",M847="Mi-saison"),INDEX('Base de données Mono'!#REF!,MATCH(B847,'Base de données Mono'!D:D,0)),IF(AND(E847="Gaz",M847="Eté"),INDEX('Base de données Mono'!#REF!,MATCH(B847,'Base de données Mono'!D:D,0)),"-"))))))</f>
        <v>68</v>
      </c>
      <c r="O847" s="123">
        <v>45387</v>
      </c>
      <c r="P847" s="123">
        <v>45388</v>
      </c>
      <c r="Q847" s="34">
        <v>95</v>
      </c>
      <c r="R847" s="33">
        <f t="shared" si="93"/>
        <v>27</v>
      </c>
      <c r="S847" s="34">
        <v>6</v>
      </c>
      <c r="T847" s="34">
        <f t="shared" si="94"/>
        <v>1</v>
      </c>
      <c r="U847" s="33">
        <f t="shared" si="95"/>
        <v>162</v>
      </c>
      <c r="V847" s="38" t="s">
        <v>827</v>
      </c>
      <c r="W847" s="39">
        <f t="shared" si="96"/>
        <v>0.39705882352941174</v>
      </c>
      <c r="X847" s="40" t="s">
        <v>304</v>
      </c>
      <c r="Y847" s="40" t="s">
        <v>283</v>
      </c>
      <c r="Z847" s="40" t="s">
        <v>749</v>
      </c>
      <c r="AA847" s="33" t="s">
        <v>749</v>
      </c>
      <c r="AB847" s="95"/>
      <c r="AC847" s="95"/>
    </row>
    <row r="848" spans="1:29" ht="14.45" hidden="1" customHeight="1" x14ac:dyDescent="0.25">
      <c r="A848" s="36" t="str">
        <f>INDEX('Base de données Mono'!C:C,MATCH(B848,'Base de données Mono'!D:D,0))</f>
        <v>LISIEUX ALI</v>
      </c>
      <c r="B848" t="s">
        <v>793</v>
      </c>
      <c r="C848" s="36" t="str">
        <f>INDEX('Base de données Mono'!B:B,MATCH(B848,'Base de données Mono'!D:D,0))</f>
        <v>Monoprix</v>
      </c>
      <c r="D848" s="36" t="str">
        <f>INDEX('Base de données Mono'!A:A,MATCH(B848,'Base de données Mono'!D:D,0))</f>
        <v>AD</v>
      </c>
      <c r="E848" s="37" t="s">
        <v>303</v>
      </c>
      <c r="F848" s="41">
        <f t="shared" si="91"/>
        <v>14</v>
      </c>
      <c r="G848" s="41">
        <f t="shared" si="92"/>
        <v>4</v>
      </c>
      <c r="H848">
        <v>18</v>
      </c>
      <c r="I848" s="131">
        <f>INDEX('Base de données Mono'!K:K,MATCH(B848,'Base de données Mono'!D:D,0))</f>
        <v>0.20833333333333334</v>
      </c>
      <c r="J848" s="131">
        <f>INDEX('Base de données Mono'!L:L,MATCH(B848,'Base de données Mono'!D:D,0))</f>
        <v>0.83333333333333337</v>
      </c>
      <c r="K848" s="131">
        <f>INDEX('Base de données Mono'!M:M,MATCH(B848,'Base de données Mono'!D:D,0))</f>
        <v>0.20833333333333334</v>
      </c>
      <c r="L848" s="131">
        <f>INDEX('Base de données Mono'!N:N,MATCH(B848,'Base de données Mono'!D:D,0))</f>
        <v>0.58333333333333337</v>
      </c>
      <c r="M848" s="33" t="s">
        <v>46</v>
      </c>
      <c r="N848" s="33">
        <f>IF(AND(E848="Electricité",M848="Hiver"),INDEX('Base de données Mono'!E:E,MATCH(B848,'Base de données Mono'!D:D,0)),IF(AND(E848="Electricité",M848="Mi-saison"),INDEX('Base de données Mono'!F:F,MATCH(B848,'Base de données Mono'!D:D,0)),IF(AND(E848="Electricité",M848="Eté"),INDEX('Base de données Mono'!G:G,MATCH(B848,'Base de données Mono'!D:D,0)),IF(AND(E848="Gaz",M848="Hiver"),INDEX('Base de données Mono'!J:J,MATCH(B848,'Base de données Mono'!D:D,0)),IF(AND(E848="Gaz",M848="Mi-saison"),INDEX('Base de données Mono'!#REF!,MATCH(B848,'Base de données Mono'!D:D,0)),IF(AND(E848="Gaz",M848="Eté"),INDEX('Base de données Mono'!#REF!,MATCH(B848,'Base de données Mono'!D:D,0)),"-"))))))</f>
        <v>35</v>
      </c>
      <c r="O848" s="123">
        <v>45383</v>
      </c>
      <c r="P848" s="123">
        <v>45388</v>
      </c>
      <c r="Q848" s="34">
        <v>55</v>
      </c>
      <c r="R848" s="33">
        <f t="shared" si="93"/>
        <v>20</v>
      </c>
      <c r="S848" s="34">
        <v>1</v>
      </c>
      <c r="T848" s="34">
        <f t="shared" si="94"/>
        <v>5</v>
      </c>
      <c r="U848" s="33">
        <f t="shared" si="95"/>
        <v>100</v>
      </c>
      <c r="V848" s="38" t="s">
        <v>827</v>
      </c>
      <c r="W848" s="39">
        <f t="shared" si="96"/>
        <v>0.5714285714285714</v>
      </c>
      <c r="X848" s="40" t="s">
        <v>304</v>
      </c>
      <c r="Y848" s="40" t="s">
        <v>283</v>
      </c>
      <c r="Z848" s="40" t="s">
        <v>749</v>
      </c>
      <c r="AA848" s="33" t="s">
        <v>749</v>
      </c>
      <c r="AB848" s="95"/>
      <c r="AC848" s="95"/>
    </row>
    <row r="849" spans="1:29" ht="14.45" hidden="1" customHeight="1" x14ac:dyDescent="0.25">
      <c r="A849" s="36" t="str">
        <f>INDEX('Base de données Mono'!C:C,MATCH(B849,'Base de données Mono'!D:D,0))</f>
        <v>LISIEUX ALI</v>
      </c>
      <c r="B849" t="s">
        <v>793</v>
      </c>
      <c r="C849" s="36" t="str">
        <f>INDEX('Base de données Mono'!B:B,MATCH(B849,'Base de données Mono'!D:D,0))</f>
        <v>Monoprix</v>
      </c>
      <c r="D849" s="36" t="str">
        <f>INDEX('Base de données Mono'!A:A,MATCH(B849,'Base de données Mono'!D:D,0))</f>
        <v>AD</v>
      </c>
      <c r="E849" s="37" t="s">
        <v>303</v>
      </c>
      <c r="F849" s="41">
        <f t="shared" si="91"/>
        <v>14</v>
      </c>
      <c r="G849" s="41">
        <f t="shared" si="92"/>
        <v>4</v>
      </c>
      <c r="H849">
        <v>18</v>
      </c>
      <c r="I849" s="131">
        <f>INDEX('Base de données Mono'!K:K,MATCH(B849,'Base de données Mono'!D:D,0))</f>
        <v>0.20833333333333334</v>
      </c>
      <c r="J849" s="131">
        <f>INDEX('Base de données Mono'!L:L,MATCH(B849,'Base de données Mono'!D:D,0))</f>
        <v>0.83333333333333337</v>
      </c>
      <c r="K849" s="131">
        <f>INDEX('Base de données Mono'!M:M,MATCH(B849,'Base de données Mono'!D:D,0))</f>
        <v>0.20833333333333334</v>
      </c>
      <c r="L849" s="131">
        <f>INDEX('Base de données Mono'!N:N,MATCH(B849,'Base de données Mono'!D:D,0))</f>
        <v>0.58333333333333337</v>
      </c>
      <c r="M849" s="33" t="s">
        <v>46</v>
      </c>
      <c r="N849" s="33">
        <f>IF(AND(E849="Electricité",M849="Hiver"),INDEX('Base de données Mono'!E:E,MATCH(B849,'Base de données Mono'!D:D,0)),IF(AND(E849="Electricité",M849="Mi-saison"),INDEX('Base de données Mono'!F:F,MATCH(B849,'Base de données Mono'!D:D,0)),IF(AND(E849="Electricité",M849="Eté"),INDEX('Base de données Mono'!G:G,MATCH(B849,'Base de données Mono'!D:D,0)),IF(AND(E849="Gaz",M849="Hiver"),INDEX('Base de données Mono'!J:J,MATCH(B849,'Base de données Mono'!D:D,0)),IF(AND(E849="Gaz",M849="Mi-saison"),INDEX('Base de données Mono'!#REF!,MATCH(B849,'Base de données Mono'!D:D,0)),IF(AND(E849="Gaz",M849="Eté"),INDEX('Base de données Mono'!#REF!,MATCH(B849,'Base de données Mono'!D:D,0)),"-"))))))</f>
        <v>35</v>
      </c>
      <c r="O849" s="123">
        <v>45384</v>
      </c>
      <c r="P849" s="123">
        <v>45388</v>
      </c>
      <c r="Q849" s="34">
        <v>60</v>
      </c>
      <c r="R849" s="33">
        <f t="shared" si="93"/>
        <v>25</v>
      </c>
      <c r="S849" s="34">
        <v>1</v>
      </c>
      <c r="T849" s="34">
        <f t="shared" si="94"/>
        <v>4</v>
      </c>
      <c r="U849" s="33">
        <f t="shared" si="95"/>
        <v>100</v>
      </c>
      <c r="V849" s="38" t="s">
        <v>827</v>
      </c>
      <c r="W849" s="39">
        <f t="shared" si="96"/>
        <v>0.7142857142857143</v>
      </c>
      <c r="X849" s="40" t="s">
        <v>304</v>
      </c>
      <c r="Y849" s="40" t="s">
        <v>283</v>
      </c>
      <c r="Z849" s="40" t="s">
        <v>749</v>
      </c>
      <c r="AA849" s="33" t="s">
        <v>749</v>
      </c>
      <c r="AB849" s="95"/>
      <c r="AC849" s="95"/>
    </row>
    <row r="850" spans="1:29" ht="14.45" hidden="1" customHeight="1" x14ac:dyDescent="0.25">
      <c r="A850" s="36" t="str">
        <f>INDEX('Base de données Mono'!C:C,MATCH(B850,'Base de données Mono'!D:D,0))</f>
        <v>LISIEUX ALI</v>
      </c>
      <c r="B850" t="s">
        <v>793</v>
      </c>
      <c r="C850" s="36" t="str">
        <f>INDEX('Base de données Mono'!B:B,MATCH(B850,'Base de données Mono'!D:D,0))</f>
        <v>Monoprix</v>
      </c>
      <c r="D850" s="36" t="str">
        <f>INDEX('Base de données Mono'!A:A,MATCH(B850,'Base de données Mono'!D:D,0))</f>
        <v>AD</v>
      </c>
      <c r="E850" s="37" t="s">
        <v>303</v>
      </c>
      <c r="F850" s="41">
        <f t="shared" si="91"/>
        <v>14</v>
      </c>
      <c r="G850" s="41">
        <f t="shared" si="92"/>
        <v>4</v>
      </c>
      <c r="H850">
        <v>18</v>
      </c>
      <c r="I850" s="131">
        <f>INDEX('Base de données Mono'!K:K,MATCH(B850,'Base de données Mono'!D:D,0))</f>
        <v>0.20833333333333334</v>
      </c>
      <c r="J850" s="131">
        <f>INDEX('Base de données Mono'!L:L,MATCH(B850,'Base de données Mono'!D:D,0))</f>
        <v>0.83333333333333337</v>
      </c>
      <c r="K850" s="131">
        <f>INDEX('Base de données Mono'!M:M,MATCH(B850,'Base de données Mono'!D:D,0))</f>
        <v>0.20833333333333334</v>
      </c>
      <c r="L850" s="131">
        <f>INDEX('Base de données Mono'!N:N,MATCH(B850,'Base de données Mono'!D:D,0))</f>
        <v>0.58333333333333337</v>
      </c>
      <c r="M850" s="33" t="s">
        <v>46</v>
      </c>
      <c r="N850" s="33">
        <f>IF(AND(E850="Electricité",M850="Hiver"),INDEX('Base de données Mono'!E:E,MATCH(B850,'Base de données Mono'!D:D,0)),IF(AND(E850="Electricité",M850="Mi-saison"),INDEX('Base de données Mono'!F:F,MATCH(B850,'Base de données Mono'!D:D,0)),IF(AND(E850="Electricité",M850="Eté"),INDEX('Base de données Mono'!G:G,MATCH(B850,'Base de données Mono'!D:D,0)),IF(AND(E850="Gaz",M850="Hiver"),INDEX('Base de données Mono'!J:J,MATCH(B850,'Base de données Mono'!D:D,0)),IF(AND(E850="Gaz",M850="Mi-saison"),INDEX('Base de données Mono'!#REF!,MATCH(B850,'Base de données Mono'!D:D,0)),IF(AND(E850="Gaz",M850="Eté"),INDEX('Base de données Mono'!#REF!,MATCH(B850,'Base de données Mono'!D:D,0)),"-"))))))</f>
        <v>35</v>
      </c>
      <c r="O850" s="123">
        <v>45388</v>
      </c>
      <c r="P850" s="123">
        <v>45389</v>
      </c>
      <c r="Q850" s="34">
        <v>45</v>
      </c>
      <c r="R850" s="33">
        <f t="shared" si="93"/>
        <v>10</v>
      </c>
      <c r="S850" s="34">
        <v>2</v>
      </c>
      <c r="T850" s="34">
        <f t="shared" si="94"/>
        <v>1</v>
      </c>
      <c r="U850" s="33">
        <f t="shared" si="95"/>
        <v>20</v>
      </c>
      <c r="V850" s="38" t="s">
        <v>827</v>
      </c>
      <c r="W850" s="39">
        <f t="shared" si="96"/>
        <v>0.2857142857142857</v>
      </c>
      <c r="X850" s="40" t="s">
        <v>304</v>
      </c>
      <c r="Y850" s="40" t="s">
        <v>283</v>
      </c>
      <c r="Z850" s="40" t="s">
        <v>749</v>
      </c>
      <c r="AA850" s="33" t="s">
        <v>749</v>
      </c>
      <c r="AB850" s="95"/>
      <c r="AC850" s="95"/>
    </row>
    <row r="851" spans="1:29" ht="14.45" hidden="1" customHeight="1" x14ac:dyDescent="0.25">
      <c r="A851" s="36" t="str">
        <f>INDEX('Base de données Mono'!C:C,MATCH(B851,'Base de données Mono'!D:D,0))</f>
        <v>Avignon</v>
      </c>
      <c r="B851" t="s">
        <v>502</v>
      </c>
      <c r="C851" s="36" t="str">
        <f>INDEX('Base de données Mono'!B:B,MATCH(B851,'Base de données Mono'!D:D,0))</f>
        <v>Monoprix</v>
      </c>
      <c r="D851" s="36" t="str">
        <f>INDEX('Base de données Mono'!A:A,MATCH(B851,'Base de données Mono'!D:D,0))</f>
        <v>-</v>
      </c>
      <c r="E851" s="37" t="s">
        <v>303</v>
      </c>
      <c r="F851" s="41">
        <f t="shared" si="91"/>
        <v>14</v>
      </c>
      <c r="G851" s="41">
        <f t="shared" si="92"/>
        <v>4</v>
      </c>
      <c r="H851">
        <v>10.5</v>
      </c>
      <c r="I851" s="131">
        <f>INDEX('Base de données Mono'!K:K,MATCH(B851,'Base de données Mono'!D:D,0))</f>
        <v>0.25694444444444448</v>
      </c>
      <c r="J851" s="131">
        <f>INDEX('Base de données Mono'!L:L,MATCH(B851,'Base de données Mono'!D:D,0))</f>
        <v>0.81944444444444453</v>
      </c>
      <c r="K851" s="131" t="str">
        <f>INDEX('Base de données Mono'!M:M,MATCH(B851,'Base de données Mono'!D:D,0))</f>
        <v>-</v>
      </c>
      <c r="L851" s="131" t="str">
        <f>INDEX('Base de données Mono'!N:N,MATCH(B851,'Base de données Mono'!D:D,0))</f>
        <v>-</v>
      </c>
      <c r="M851" s="33" t="s">
        <v>46</v>
      </c>
      <c r="N851" s="33">
        <f>IF(AND(E851="Electricité",M851="Hiver"),INDEX('Base de données Mono'!E:E,MATCH(B851,'Base de données Mono'!D:D,0)),IF(AND(E851="Electricité",M851="Mi-saison"),INDEX('Base de données Mono'!F:F,MATCH(B851,'Base de données Mono'!D:D,0)),IF(AND(E851="Electricité",M851="Eté"),INDEX('Base de données Mono'!G:G,MATCH(B851,'Base de données Mono'!D:D,0)),IF(AND(E851="Gaz",M851="Hiver"),INDEX('Base de données Mono'!J:J,MATCH(B851,'Base de données Mono'!D:D,0)),IF(AND(E851="Gaz",M851="Mi-saison"),INDEX('Base de données Mono'!#REF!,MATCH(B851,'Base de données Mono'!D:D,0)),IF(AND(E851="Gaz",M851="Eté"),INDEX('Base de données Mono'!#REF!,MATCH(B851,'Base de données Mono'!D:D,0)),"-"))))))</f>
        <v>10</v>
      </c>
      <c r="O851" s="123">
        <v>45383</v>
      </c>
      <c r="P851" s="123">
        <v>45384</v>
      </c>
      <c r="Q851" s="34">
        <v>25</v>
      </c>
      <c r="R851" s="33">
        <f t="shared" si="93"/>
        <v>15</v>
      </c>
      <c r="S851" s="34">
        <v>1</v>
      </c>
      <c r="T851" s="34">
        <f t="shared" si="94"/>
        <v>1</v>
      </c>
      <c r="U851" s="33">
        <f t="shared" si="95"/>
        <v>15</v>
      </c>
      <c r="V851" s="38" t="s">
        <v>827</v>
      </c>
      <c r="W851" s="39">
        <f t="shared" si="96"/>
        <v>1.5</v>
      </c>
      <c r="X851" s="40" t="s">
        <v>304</v>
      </c>
      <c r="Y851" s="40" t="s">
        <v>283</v>
      </c>
      <c r="Z851" s="40" t="s">
        <v>749</v>
      </c>
      <c r="AA851" s="33" t="s">
        <v>749</v>
      </c>
      <c r="AB851" s="95"/>
      <c r="AC851" s="95"/>
    </row>
    <row r="852" spans="1:29" ht="14.45" hidden="1" customHeight="1" x14ac:dyDescent="0.25">
      <c r="A852" s="36" t="str">
        <f>INDEX('Base de données Mono'!C:C,MATCH(B852,'Base de données Mono'!D:D,0))</f>
        <v>Quimper</v>
      </c>
      <c r="B852" t="s">
        <v>733</v>
      </c>
      <c r="C852" s="36" t="str">
        <f>INDEX('Base de données Mono'!B:B,MATCH(B852,'Base de données Mono'!D:D,0))</f>
        <v>Monoprix</v>
      </c>
      <c r="D852" s="36" t="str">
        <f>INDEX('Base de données Mono'!A:A,MATCH(B852,'Base de données Mono'!D:D,0))</f>
        <v>-</v>
      </c>
      <c r="E852" s="37" t="s">
        <v>303</v>
      </c>
      <c r="F852" s="41">
        <f t="shared" si="91"/>
        <v>14</v>
      </c>
      <c r="G852" s="41">
        <f t="shared" si="92"/>
        <v>4</v>
      </c>
      <c r="H852">
        <v>11</v>
      </c>
      <c r="I852" s="131">
        <f>INDEX('Base de données Mono'!K:K,MATCH(B852,'Base de données Mono'!D:D,0))</f>
        <v>0.27777777777777779</v>
      </c>
      <c r="J852" s="131">
        <f>INDEX('Base de données Mono'!L:L,MATCH(B852,'Base de données Mono'!D:D,0))</f>
        <v>0.81944444444444453</v>
      </c>
      <c r="K852" s="131" t="str">
        <f>INDEX('Base de données Mono'!M:M,MATCH(B852,'Base de données Mono'!D:D,0))</f>
        <v>-</v>
      </c>
      <c r="L852" s="131" t="str">
        <f>INDEX('Base de données Mono'!N:N,MATCH(B852,'Base de données Mono'!D:D,0))</f>
        <v>-</v>
      </c>
      <c r="M852" s="33" t="s">
        <v>46</v>
      </c>
      <c r="N852" s="33">
        <f>IF(AND(E852="Electricité",M852="Hiver"),INDEX('Base de données Mono'!E:E,MATCH(B852,'Base de données Mono'!D:D,0)),IF(AND(E852="Electricité",M852="Mi-saison"),INDEX('Base de données Mono'!F:F,MATCH(B852,'Base de données Mono'!D:D,0)),IF(AND(E852="Electricité",M852="Eté"),INDEX('Base de données Mono'!G:G,MATCH(B852,'Base de données Mono'!D:D,0)),IF(AND(E852="Gaz",M852="Hiver"),INDEX('Base de données Mono'!J:J,MATCH(B852,'Base de données Mono'!D:D,0)),IF(AND(E852="Gaz",M852="Mi-saison"),INDEX('Base de données Mono'!#REF!,MATCH(B852,'Base de données Mono'!D:D,0)),IF(AND(E852="Gaz",M852="Eté"),INDEX('Base de données Mono'!#REF!,MATCH(B852,'Base de données Mono'!D:D,0)),"-"))))))</f>
        <v>10</v>
      </c>
      <c r="O852" s="123">
        <v>45383</v>
      </c>
      <c r="P852" s="123">
        <v>45389</v>
      </c>
      <c r="Q852" s="34">
        <v>15</v>
      </c>
      <c r="R852" s="33">
        <f t="shared" si="93"/>
        <v>5</v>
      </c>
      <c r="S852" s="34">
        <v>1</v>
      </c>
      <c r="T852" s="34">
        <f t="shared" si="94"/>
        <v>6</v>
      </c>
      <c r="U852" s="33">
        <f t="shared" si="95"/>
        <v>30</v>
      </c>
      <c r="V852" s="38" t="s">
        <v>827</v>
      </c>
      <c r="W852" s="39">
        <f t="shared" si="96"/>
        <v>0.5</v>
      </c>
      <c r="X852" s="40" t="s">
        <v>304</v>
      </c>
      <c r="Y852" s="40" t="s">
        <v>283</v>
      </c>
      <c r="Z852" s="40" t="s">
        <v>749</v>
      </c>
      <c r="AA852" s="33" t="s">
        <v>749</v>
      </c>
      <c r="AB852" s="95"/>
      <c r="AC852" s="95"/>
    </row>
    <row r="853" spans="1:29" ht="14.45" hidden="1" customHeight="1" x14ac:dyDescent="0.25">
      <c r="A853" s="36" t="str">
        <f>INDEX('Base de données Mono'!C:C,MATCH(B853,'Base de données Mono'!D:D,0))</f>
        <v>Quimper</v>
      </c>
      <c r="B853" t="s">
        <v>733</v>
      </c>
      <c r="C853" s="36" t="str">
        <f>INDEX('Base de données Mono'!B:B,MATCH(B853,'Base de données Mono'!D:D,0))</f>
        <v>Monoprix</v>
      </c>
      <c r="D853" s="36" t="str">
        <f>INDEX('Base de données Mono'!A:A,MATCH(B853,'Base de données Mono'!D:D,0))</f>
        <v>-</v>
      </c>
      <c r="E853" s="37" t="s">
        <v>303</v>
      </c>
      <c r="F853" s="41">
        <f t="shared" si="91"/>
        <v>14</v>
      </c>
      <c r="G853" s="41">
        <f t="shared" si="92"/>
        <v>4</v>
      </c>
      <c r="H853">
        <v>11</v>
      </c>
      <c r="I853" s="131">
        <f>INDEX('Base de données Mono'!K:K,MATCH(B853,'Base de données Mono'!D:D,0))</f>
        <v>0.27777777777777779</v>
      </c>
      <c r="J853" s="131">
        <f>INDEX('Base de données Mono'!L:L,MATCH(B853,'Base de données Mono'!D:D,0))</f>
        <v>0.81944444444444453</v>
      </c>
      <c r="K853" s="131" t="str">
        <f>INDEX('Base de données Mono'!M:M,MATCH(B853,'Base de données Mono'!D:D,0))</f>
        <v>-</v>
      </c>
      <c r="L853" s="131" t="str">
        <f>INDEX('Base de données Mono'!N:N,MATCH(B853,'Base de données Mono'!D:D,0))</f>
        <v>-</v>
      </c>
      <c r="M853" s="33" t="s">
        <v>46</v>
      </c>
      <c r="N853" s="33">
        <f>IF(AND(E853="Electricité",M853="Hiver"),INDEX('Base de données Mono'!E:E,MATCH(B853,'Base de données Mono'!D:D,0)),IF(AND(E853="Electricité",M853="Mi-saison"),INDEX('Base de données Mono'!F:F,MATCH(B853,'Base de données Mono'!D:D,0)),IF(AND(E853="Electricité",M853="Eté"),INDEX('Base de données Mono'!G:G,MATCH(B853,'Base de données Mono'!D:D,0)),IF(AND(E853="Gaz",M853="Hiver"),INDEX('Base de données Mono'!J:J,MATCH(B853,'Base de données Mono'!D:D,0)),IF(AND(E853="Gaz",M853="Mi-saison"),INDEX('Base de données Mono'!#REF!,MATCH(B853,'Base de données Mono'!D:D,0)),IF(AND(E853="Gaz",M853="Eté"),INDEX('Base de données Mono'!#REF!,MATCH(B853,'Base de données Mono'!D:D,0)),"-"))))))</f>
        <v>10</v>
      </c>
      <c r="O853" s="123">
        <v>45386</v>
      </c>
      <c r="P853" s="123">
        <v>45388</v>
      </c>
      <c r="Q853" s="34">
        <v>20</v>
      </c>
      <c r="R853" s="33">
        <f t="shared" si="93"/>
        <v>10</v>
      </c>
      <c r="S853" s="34">
        <v>4</v>
      </c>
      <c r="T853" s="34">
        <f t="shared" si="94"/>
        <v>2</v>
      </c>
      <c r="U853" s="33">
        <f t="shared" si="95"/>
        <v>80</v>
      </c>
      <c r="V853" s="38" t="s">
        <v>827</v>
      </c>
      <c r="W853" s="39">
        <f t="shared" si="96"/>
        <v>1</v>
      </c>
      <c r="X853" s="40" t="s">
        <v>304</v>
      </c>
      <c r="Y853" s="40" t="s">
        <v>283</v>
      </c>
      <c r="Z853" s="40" t="s">
        <v>749</v>
      </c>
      <c r="AA853" s="33" t="s">
        <v>749</v>
      </c>
      <c r="AB853" s="95"/>
      <c r="AC853" s="95"/>
    </row>
    <row r="854" spans="1:29" ht="14.45" hidden="1" customHeight="1" x14ac:dyDescent="0.25">
      <c r="A854" s="36" t="str">
        <f>INDEX('Base de données Mono'!C:C,MATCH(B854,'Base de données Mono'!D:D,0))</f>
        <v>Avignon</v>
      </c>
      <c r="B854" t="s">
        <v>502</v>
      </c>
      <c r="C854" s="36" t="str">
        <f>INDEX('Base de données Mono'!B:B,MATCH(B854,'Base de données Mono'!D:D,0))</f>
        <v>Monoprix</v>
      </c>
      <c r="D854" s="36" t="str">
        <f>INDEX('Base de données Mono'!A:A,MATCH(B854,'Base de données Mono'!D:D,0))</f>
        <v>-</v>
      </c>
      <c r="E854" s="37" t="s">
        <v>303</v>
      </c>
      <c r="F854" s="41">
        <f t="shared" si="91"/>
        <v>14</v>
      </c>
      <c r="G854" s="41">
        <f t="shared" si="92"/>
        <v>4</v>
      </c>
      <c r="H854">
        <v>10.5</v>
      </c>
      <c r="I854" s="131">
        <f>INDEX('Base de données Mono'!K:K,MATCH(B854,'Base de données Mono'!D:D,0))</f>
        <v>0.25694444444444448</v>
      </c>
      <c r="J854" s="131">
        <f>INDEX('Base de données Mono'!L:L,MATCH(B854,'Base de données Mono'!D:D,0))</f>
        <v>0.81944444444444453</v>
      </c>
      <c r="K854" s="131" t="str">
        <f>INDEX('Base de données Mono'!M:M,MATCH(B854,'Base de données Mono'!D:D,0))</f>
        <v>-</v>
      </c>
      <c r="L854" s="131" t="str">
        <f>INDEX('Base de données Mono'!N:N,MATCH(B854,'Base de données Mono'!D:D,0))</f>
        <v>-</v>
      </c>
      <c r="M854" s="33" t="s">
        <v>46</v>
      </c>
      <c r="N854" s="33">
        <f>IF(AND(E854="Electricité",M854="Hiver"),INDEX('Base de données Mono'!E:E,MATCH(B854,'Base de données Mono'!D:D,0)),IF(AND(E854="Electricité",M854="Mi-saison"),INDEX('Base de données Mono'!F:F,MATCH(B854,'Base de données Mono'!D:D,0)),IF(AND(E854="Electricité",M854="Eté"),INDEX('Base de données Mono'!G:G,MATCH(B854,'Base de données Mono'!D:D,0)),IF(AND(E854="Gaz",M854="Hiver"),INDEX('Base de données Mono'!J:J,MATCH(B854,'Base de données Mono'!D:D,0)),IF(AND(E854="Gaz",M854="Mi-saison"),INDEX('Base de données Mono'!#REF!,MATCH(B854,'Base de données Mono'!D:D,0)),IF(AND(E854="Gaz",M854="Eté"),INDEX('Base de données Mono'!#REF!,MATCH(B854,'Base de données Mono'!D:D,0)),"-"))))))</f>
        <v>10</v>
      </c>
      <c r="O854" s="123">
        <v>45383</v>
      </c>
      <c r="P854" s="123">
        <v>45384</v>
      </c>
      <c r="Q854" s="34">
        <v>35</v>
      </c>
      <c r="R854" s="33">
        <f t="shared" si="93"/>
        <v>25</v>
      </c>
      <c r="S854" s="34">
        <v>1</v>
      </c>
      <c r="T854" s="34">
        <f t="shared" si="94"/>
        <v>1</v>
      </c>
      <c r="U854" s="33">
        <f t="shared" si="95"/>
        <v>25</v>
      </c>
      <c r="V854" s="38" t="s">
        <v>827</v>
      </c>
      <c r="W854" s="39">
        <f t="shared" si="96"/>
        <v>2.5</v>
      </c>
      <c r="X854" s="40" t="s">
        <v>304</v>
      </c>
      <c r="Y854" s="40" t="s">
        <v>283</v>
      </c>
      <c r="Z854" s="40" t="s">
        <v>749</v>
      </c>
      <c r="AA854" s="33" t="s">
        <v>749</v>
      </c>
      <c r="AB854" s="95"/>
      <c r="AC854" s="95"/>
    </row>
    <row r="855" spans="1:29" ht="14.45" hidden="1" customHeight="1" x14ac:dyDescent="0.25">
      <c r="A855" s="36" t="str">
        <f>INDEX('Base de données Mono'!C:C,MATCH(B855,'Base de données Mono'!D:D,0))</f>
        <v>Avignon</v>
      </c>
      <c r="B855" t="s">
        <v>502</v>
      </c>
      <c r="C855" s="36" t="str">
        <f>INDEX('Base de données Mono'!B:B,MATCH(B855,'Base de données Mono'!D:D,0))</f>
        <v>Monoprix</v>
      </c>
      <c r="D855" s="36" t="str">
        <f>INDEX('Base de données Mono'!A:A,MATCH(B855,'Base de données Mono'!D:D,0))</f>
        <v>-</v>
      </c>
      <c r="E855" s="37" t="s">
        <v>303</v>
      </c>
      <c r="F855" s="41">
        <f t="shared" si="91"/>
        <v>14</v>
      </c>
      <c r="G855" s="41">
        <f t="shared" si="92"/>
        <v>4</v>
      </c>
      <c r="H855">
        <v>10.5</v>
      </c>
      <c r="I855" s="131">
        <f>INDEX('Base de données Mono'!K:K,MATCH(B855,'Base de données Mono'!D:D,0))</f>
        <v>0.25694444444444448</v>
      </c>
      <c r="J855" s="131">
        <f>INDEX('Base de données Mono'!L:L,MATCH(B855,'Base de données Mono'!D:D,0))</f>
        <v>0.81944444444444453</v>
      </c>
      <c r="K855" s="131" t="str">
        <f>INDEX('Base de données Mono'!M:M,MATCH(B855,'Base de données Mono'!D:D,0))</f>
        <v>-</v>
      </c>
      <c r="L855" s="131" t="str">
        <f>INDEX('Base de données Mono'!N:N,MATCH(B855,'Base de données Mono'!D:D,0))</f>
        <v>-</v>
      </c>
      <c r="M855" s="33" t="s">
        <v>46</v>
      </c>
      <c r="N855" s="33">
        <f>IF(AND(E855="Electricité",M855="Hiver"),INDEX('Base de données Mono'!E:E,MATCH(B855,'Base de données Mono'!D:D,0)),IF(AND(E855="Electricité",M855="Mi-saison"),INDEX('Base de données Mono'!F:F,MATCH(B855,'Base de données Mono'!D:D,0)),IF(AND(E855="Electricité",M855="Eté"),INDEX('Base de données Mono'!G:G,MATCH(B855,'Base de données Mono'!D:D,0)),IF(AND(E855="Gaz",M855="Hiver"),INDEX('Base de données Mono'!J:J,MATCH(B855,'Base de données Mono'!D:D,0)),IF(AND(E855="Gaz",M855="Mi-saison"),INDEX('Base de données Mono'!#REF!,MATCH(B855,'Base de données Mono'!D:D,0)),IF(AND(E855="Gaz",M855="Eté"),INDEX('Base de données Mono'!#REF!,MATCH(B855,'Base de données Mono'!D:D,0)),"-"))))))</f>
        <v>10</v>
      </c>
      <c r="O855" s="123">
        <v>45384</v>
      </c>
      <c r="P855" s="123">
        <v>45388</v>
      </c>
      <c r="Q855" s="34">
        <v>20</v>
      </c>
      <c r="R855" s="33">
        <f t="shared" si="93"/>
        <v>10</v>
      </c>
      <c r="S855" s="34">
        <v>1</v>
      </c>
      <c r="T855" s="34">
        <f t="shared" si="94"/>
        <v>4</v>
      </c>
      <c r="U855" s="33">
        <f t="shared" si="95"/>
        <v>40</v>
      </c>
      <c r="V855" s="38" t="s">
        <v>827</v>
      </c>
      <c r="W855" s="39">
        <f t="shared" si="96"/>
        <v>1</v>
      </c>
      <c r="X855" s="40" t="s">
        <v>304</v>
      </c>
      <c r="Y855" s="40" t="s">
        <v>283</v>
      </c>
      <c r="Z855" s="40" t="s">
        <v>749</v>
      </c>
      <c r="AA855" s="33" t="s">
        <v>749</v>
      </c>
      <c r="AB855" s="95"/>
      <c r="AC855" s="95"/>
    </row>
    <row r="856" spans="1:29" ht="14.45" hidden="1" customHeight="1" x14ac:dyDescent="0.25">
      <c r="A856" s="36" t="str">
        <f>INDEX('Base de données Mono'!C:C,MATCH(B856,'Base de données Mono'!D:D,0))</f>
        <v>Monop Marseille Mazagran</v>
      </c>
      <c r="B856" t="s">
        <v>518</v>
      </c>
      <c r="C856" s="36" t="str">
        <f>INDEX('Base de données Mono'!B:B,MATCH(B856,'Base de données Mono'!D:D,0))</f>
        <v>Monop</v>
      </c>
      <c r="D856" s="36" t="str">
        <f>INDEX('Base de données Mono'!A:A,MATCH(B856,'Base de données Mono'!D:D,0))</f>
        <v>-</v>
      </c>
      <c r="E856" s="37" t="s">
        <v>303</v>
      </c>
      <c r="F856" s="41">
        <f t="shared" si="91"/>
        <v>14</v>
      </c>
      <c r="G856" s="41">
        <f t="shared" si="92"/>
        <v>4</v>
      </c>
      <c r="H856">
        <v>9.5</v>
      </c>
      <c r="I856" s="131">
        <f>INDEX('Base de données Mono'!K:K,MATCH(B856,'Base de données Mono'!D:D,0))</f>
        <v>0.22222222222222221</v>
      </c>
      <c r="J856" s="131">
        <f>INDEX('Base de données Mono'!L:L,MATCH(B856,'Base de données Mono'!D:D,0))</f>
        <v>0.82638888888888884</v>
      </c>
      <c r="K856" s="131">
        <f>INDEX('Base de données Mono'!M:M,MATCH(B856,'Base de données Mono'!D:D,0))</f>
        <v>0.3263888888888889</v>
      </c>
      <c r="L856" s="131">
        <f>INDEX('Base de données Mono'!N:N,MATCH(B856,'Base de données Mono'!D:D,0))</f>
        <v>0.77777777777777779</v>
      </c>
      <c r="M856" s="33" t="s">
        <v>46</v>
      </c>
      <c r="N856" s="33">
        <f>IF(AND(E856="Electricité",M856="Hiver"),INDEX('Base de données Mono'!E:E,MATCH(B856,'Base de données Mono'!D:D,0)),IF(AND(E856="Electricité",M856="Mi-saison"),INDEX('Base de données Mono'!F:F,MATCH(B856,'Base de données Mono'!D:D,0)),IF(AND(E856="Electricité",M856="Eté"),INDEX('Base de données Mono'!G:G,MATCH(B856,'Base de données Mono'!D:D,0)),IF(AND(E856="Gaz",M856="Hiver"),INDEX('Base de données Mono'!J:J,MATCH(B856,'Base de données Mono'!D:D,0)),IF(AND(E856="Gaz",M856="Mi-saison"),INDEX('Base de données Mono'!#REF!,MATCH(B856,'Base de données Mono'!D:D,0)),IF(AND(E856="Gaz",M856="Eté"),INDEX('Base de données Mono'!#REF!,MATCH(B856,'Base de données Mono'!D:D,0)),"-"))))))</f>
        <v>20</v>
      </c>
      <c r="O856" s="123">
        <v>45383</v>
      </c>
      <c r="P856" s="123">
        <v>45389</v>
      </c>
      <c r="Q856" s="34">
        <v>40</v>
      </c>
      <c r="R856" s="33">
        <f t="shared" si="93"/>
        <v>20</v>
      </c>
      <c r="S856" s="34">
        <v>10</v>
      </c>
      <c r="T856" s="34">
        <f t="shared" si="94"/>
        <v>6</v>
      </c>
      <c r="U856" s="33">
        <f t="shared" si="95"/>
        <v>1200</v>
      </c>
      <c r="V856" s="38" t="s">
        <v>827</v>
      </c>
      <c r="W856" s="39">
        <f t="shared" si="96"/>
        <v>1</v>
      </c>
      <c r="X856" s="40" t="s">
        <v>304</v>
      </c>
      <c r="Y856" s="40" t="s">
        <v>283</v>
      </c>
      <c r="Z856" s="40" t="s">
        <v>749</v>
      </c>
      <c r="AA856" s="33" t="s">
        <v>749</v>
      </c>
      <c r="AB856" s="95"/>
      <c r="AC856" s="95"/>
    </row>
    <row r="857" spans="1:29" ht="14.45" hidden="1" customHeight="1" x14ac:dyDescent="0.25">
      <c r="A857" s="36" t="str">
        <f>INDEX('Base de données Mono'!C:C,MATCH(B857,'Base de données Mono'!D:D,0))</f>
        <v>LA CHAPELLE</v>
      </c>
      <c r="B857" t="s">
        <v>739</v>
      </c>
      <c r="C857" s="36" t="str">
        <f>INDEX('Base de données Mono'!B:B,MATCH(B857,'Base de données Mono'!D:D,0))</f>
        <v>Monoprix</v>
      </c>
      <c r="D857" s="36" t="str">
        <f>INDEX('Base de données Mono'!A:A,MATCH(B857,'Base de données Mono'!D:D,0))</f>
        <v>-</v>
      </c>
      <c r="E857" s="37" t="s">
        <v>303</v>
      </c>
      <c r="F857" s="41">
        <f t="shared" si="91"/>
        <v>14</v>
      </c>
      <c r="G857" s="41">
        <f t="shared" si="92"/>
        <v>4</v>
      </c>
      <c r="H857">
        <v>10.5</v>
      </c>
      <c r="I857" s="131">
        <f>INDEX('Base de données Mono'!K:K,MATCH(B857,'Base de données Mono'!D:D,0))</f>
        <v>0.23611111111111113</v>
      </c>
      <c r="J857" s="131">
        <f>INDEX('Base de données Mono'!L:L,MATCH(B857,'Base de données Mono'!D:D,0))</f>
        <v>0.79861111111111116</v>
      </c>
      <c r="K857" s="131">
        <f>INDEX('Base de données Mono'!M:M,MATCH(B857,'Base de données Mono'!D:D,0))</f>
        <v>0.28472222222222221</v>
      </c>
      <c r="L857" s="131">
        <f>INDEX('Base de données Mono'!N:N,MATCH(B857,'Base de données Mono'!D:D,0))</f>
        <v>0.78472222222222221</v>
      </c>
      <c r="M857" s="33" t="s">
        <v>46</v>
      </c>
      <c r="N857" s="33">
        <f>IF(AND(E857="Electricité",M857="Hiver"),INDEX('Base de données Mono'!E:E,MATCH(B857,'Base de données Mono'!D:D,0)),IF(AND(E857="Electricité",M857="Mi-saison"),INDEX('Base de données Mono'!F:F,MATCH(B857,'Base de données Mono'!D:D,0)),IF(AND(E857="Electricité",M857="Eté"),INDEX('Base de données Mono'!G:G,MATCH(B857,'Base de données Mono'!D:D,0)),IF(AND(E857="Gaz",M857="Hiver"),INDEX('Base de données Mono'!J:J,MATCH(B857,'Base de données Mono'!D:D,0)),IF(AND(E857="Gaz",M857="Mi-saison"),INDEX('Base de données Mono'!#REF!,MATCH(B857,'Base de données Mono'!D:D,0)),IF(AND(E857="Gaz",M857="Eté"),INDEX('Base de données Mono'!#REF!,MATCH(B857,'Base de données Mono'!D:D,0)),"-"))))))</f>
        <v>40</v>
      </c>
      <c r="O857" s="123">
        <v>45383</v>
      </c>
      <c r="P857" s="123">
        <v>45384</v>
      </c>
      <c r="Q857" s="34">
        <v>55</v>
      </c>
      <c r="R857" s="33">
        <f t="shared" si="93"/>
        <v>15</v>
      </c>
      <c r="S857" s="34">
        <v>1</v>
      </c>
      <c r="T857" s="34">
        <f t="shared" si="94"/>
        <v>1</v>
      </c>
      <c r="U857" s="33">
        <f t="shared" si="95"/>
        <v>15</v>
      </c>
      <c r="V857" s="38" t="s">
        <v>827</v>
      </c>
      <c r="W857" s="39">
        <f t="shared" si="96"/>
        <v>0.375</v>
      </c>
      <c r="X857" s="40" t="s">
        <v>304</v>
      </c>
      <c r="Y857" s="40" t="s">
        <v>283</v>
      </c>
      <c r="Z857" s="40" t="s">
        <v>749</v>
      </c>
      <c r="AA857" s="33" t="s">
        <v>749</v>
      </c>
      <c r="AB857" s="95"/>
      <c r="AC857" s="95"/>
    </row>
    <row r="858" spans="1:29" ht="14.45" hidden="1" customHeight="1" x14ac:dyDescent="0.25">
      <c r="A858" s="36" t="str">
        <f>INDEX('Base de données Mono'!C:C,MATCH(B858,'Base de données Mono'!D:D,0))</f>
        <v>LA CHAPELLE</v>
      </c>
      <c r="B858" t="s">
        <v>739</v>
      </c>
      <c r="C858" s="36" t="str">
        <f>INDEX('Base de données Mono'!B:B,MATCH(B858,'Base de données Mono'!D:D,0))</f>
        <v>Monoprix</v>
      </c>
      <c r="D858" s="36" t="str">
        <f>INDEX('Base de données Mono'!A:A,MATCH(B858,'Base de données Mono'!D:D,0))</f>
        <v>-</v>
      </c>
      <c r="E858" s="37" t="s">
        <v>303</v>
      </c>
      <c r="F858" s="41">
        <f t="shared" si="91"/>
        <v>14</v>
      </c>
      <c r="G858" s="41">
        <f t="shared" si="92"/>
        <v>4</v>
      </c>
      <c r="H858">
        <v>10.5</v>
      </c>
      <c r="I858" s="131">
        <f>INDEX('Base de données Mono'!K:K,MATCH(B858,'Base de données Mono'!D:D,0))</f>
        <v>0.23611111111111113</v>
      </c>
      <c r="J858" s="131">
        <f>INDEX('Base de données Mono'!L:L,MATCH(B858,'Base de données Mono'!D:D,0))</f>
        <v>0.79861111111111116</v>
      </c>
      <c r="K858" s="131">
        <f>INDEX('Base de données Mono'!M:M,MATCH(B858,'Base de données Mono'!D:D,0))</f>
        <v>0.28472222222222221</v>
      </c>
      <c r="L858" s="131">
        <f>INDEX('Base de données Mono'!N:N,MATCH(B858,'Base de données Mono'!D:D,0))</f>
        <v>0.78472222222222221</v>
      </c>
      <c r="M858" s="33" t="s">
        <v>46</v>
      </c>
      <c r="N858" s="33">
        <f>IF(AND(E858="Electricité",M858="Hiver"),INDEX('Base de données Mono'!E:E,MATCH(B858,'Base de données Mono'!D:D,0)),IF(AND(E858="Electricité",M858="Mi-saison"),INDEX('Base de données Mono'!F:F,MATCH(B858,'Base de données Mono'!D:D,0)),IF(AND(E858="Electricité",M858="Eté"),INDEX('Base de données Mono'!G:G,MATCH(B858,'Base de données Mono'!D:D,0)),IF(AND(E858="Gaz",M858="Hiver"),INDEX('Base de données Mono'!J:J,MATCH(B858,'Base de données Mono'!D:D,0)),IF(AND(E858="Gaz",M858="Mi-saison"),INDEX('Base de données Mono'!#REF!,MATCH(B858,'Base de données Mono'!D:D,0)),IF(AND(E858="Gaz",M858="Eté"),INDEX('Base de données Mono'!#REF!,MATCH(B858,'Base de données Mono'!D:D,0)),"-"))))))</f>
        <v>40</v>
      </c>
      <c r="O858" s="123">
        <v>45383</v>
      </c>
      <c r="P858" s="123">
        <v>45389</v>
      </c>
      <c r="Q858" s="34">
        <v>45</v>
      </c>
      <c r="R858" s="33">
        <f t="shared" si="93"/>
        <v>5</v>
      </c>
      <c r="S858" s="34">
        <v>1</v>
      </c>
      <c r="T858" s="34">
        <f t="shared" si="94"/>
        <v>6</v>
      </c>
      <c r="U858" s="33">
        <f t="shared" si="95"/>
        <v>30</v>
      </c>
      <c r="V858" s="38" t="s">
        <v>827</v>
      </c>
      <c r="W858" s="39">
        <f t="shared" si="96"/>
        <v>0.125</v>
      </c>
      <c r="X858" s="40" t="s">
        <v>304</v>
      </c>
      <c r="Y858" s="40" t="s">
        <v>283</v>
      </c>
      <c r="Z858" s="40" t="s">
        <v>749</v>
      </c>
      <c r="AA858" s="33" t="s">
        <v>749</v>
      </c>
      <c r="AB858" s="95"/>
      <c r="AC858" s="95"/>
    </row>
    <row r="859" spans="1:29" ht="14.45" hidden="1" customHeight="1" x14ac:dyDescent="0.25">
      <c r="A859" s="36" t="str">
        <f>INDEX('Base de données Mono'!C:C,MATCH(B859,'Base de données Mono'!D:D,0))</f>
        <v>LA CHAPELLE</v>
      </c>
      <c r="B859" t="s">
        <v>739</v>
      </c>
      <c r="C859" s="36" t="str">
        <f>INDEX('Base de données Mono'!B:B,MATCH(B859,'Base de données Mono'!D:D,0))</f>
        <v>Monoprix</v>
      </c>
      <c r="D859" s="36" t="str">
        <f>INDEX('Base de données Mono'!A:A,MATCH(B859,'Base de données Mono'!D:D,0))</f>
        <v>-</v>
      </c>
      <c r="E859" s="37" t="s">
        <v>303</v>
      </c>
      <c r="F859" s="41">
        <f t="shared" si="91"/>
        <v>14</v>
      </c>
      <c r="G859" s="41">
        <f t="shared" si="92"/>
        <v>4</v>
      </c>
      <c r="H859">
        <v>10.5</v>
      </c>
      <c r="I859" s="131">
        <f>INDEX('Base de données Mono'!K:K,MATCH(B859,'Base de données Mono'!D:D,0))</f>
        <v>0.23611111111111113</v>
      </c>
      <c r="J859" s="131">
        <f>INDEX('Base de données Mono'!L:L,MATCH(B859,'Base de données Mono'!D:D,0))</f>
        <v>0.79861111111111116</v>
      </c>
      <c r="K859" s="131">
        <f>INDEX('Base de données Mono'!M:M,MATCH(B859,'Base de données Mono'!D:D,0))</f>
        <v>0.28472222222222221</v>
      </c>
      <c r="L859" s="131">
        <f>INDEX('Base de données Mono'!N:N,MATCH(B859,'Base de données Mono'!D:D,0))</f>
        <v>0.78472222222222221</v>
      </c>
      <c r="M859" s="33" t="s">
        <v>46</v>
      </c>
      <c r="N859" s="33">
        <f>IF(AND(E859="Electricité",M859="Hiver"),INDEX('Base de données Mono'!E:E,MATCH(B859,'Base de données Mono'!D:D,0)),IF(AND(E859="Electricité",M859="Mi-saison"),INDEX('Base de données Mono'!F:F,MATCH(B859,'Base de données Mono'!D:D,0)),IF(AND(E859="Electricité",M859="Eté"),INDEX('Base de données Mono'!G:G,MATCH(B859,'Base de données Mono'!D:D,0)),IF(AND(E859="Gaz",M859="Hiver"),INDEX('Base de données Mono'!J:J,MATCH(B859,'Base de données Mono'!D:D,0)),IF(AND(E859="Gaz",M859="Mi-saison"),INDEX('Base de données Mono'!#REF!,MATCH(B859,'Base de données Mono'!D:D,0)),IF(AND(E859="Gaz",M859="Eté"),INDEX('Base de données Mono'!#REF!,MATCH(B859,'Base de données Mono'!D:D,0)),"-"))))))</f>
        <v>40</v>
      </c>
      <c r="O859" s="123">
        <v>45384</v>
      </c>
      <c r="P859" s="123">
        <v>45385</v>
      </c>
      <c r="Q859" s="34">
        <v>75</v>
      </c>
      <c r="R859" s="33">
        <f t="shared" si="93"/>
        <v>35</v>
      </c>
      <c r="S859" s="34">
        <v>1</v>
      </c>
      <c r="T859" s="34">
        <f t="shared" si="94"/>
        <v>1</v>
      </c>
      <c r="U859" s="33">
        <f t="shared" si="95"/>
        <v>35</v>
      </c>
      <c r="V859" s="38" t="s">
        <v>827</v>
      </c>
      <c r="W859" s="39">
        <f t="shared" si="96"/>
        <v>0.875</v>
      </c>
      <c r="X859" s="40" t="s">
        <v>304</v>
      </c>
      <c r="Y859" s="40" t="s">
        <v>283</v>
      </c>
      <c r="Z859" s="40" t="s">
        <v>749</v>
      </c>
      <c r="AA859" s="33" t="s">
        <v>749</v>
      </c>
      <c r="AB859" s="95"/>
      <c r="AC859" s="95"/>
    </row>
    <row r="860" spans="1:29" ht="14.45" hidden="1" customHeight="1" x14ac:dyDescent="0.25">
      <c r="A860" s="36" t="str">
        <f>INDEX('Base de données Mono'!C:C,MATCH(B860,'Base de données Mono'!D:D,0))</f>
        <v>LA CHAPELLE</v>
      </c>
      <c r="B860" t="s">
        <v>739</v>
      </c>
      <c r="C860" s="36" t="str">
        <f>INDEX('Base de données Mono'!B:B,MATCH(B860,'Base de données Mono'!D:D,0))</f>
        <v>Monoprix</v>
      </c>
      <c r="D860" s="36" t="str">
        <f>INDEX('Base de données Mono'!A:A,MATCH(B860,'Base de données Mono'!D:D,0))</f>
        <v>-</v>
      </c>
      <c r="E860" s="37" t="s">
        <v>303</v>
      </c>
      <c r="F860" s="41">
        <f t="shared" si="91"/>
        <v>14</v>
      </c>
      <c r="G860" s="41">
        <f t="shared" si="92"/>
        <v>4</v>
      </c>
      <c r="H860">
        <v>10.5</v>
      </c>
      <c r="I860" s="131">
        <f>INDEX('Base de données Mono'!K:K,MATCH(B860,'Base de données Mono'!D:D,0))</f>
        <v>0.23611111111111113</v>
      </c>
      <c r="J860" s="131">
        <f>INDEX('Base de données Mono'!L:L,MATCH(B860,'Base de données Mono'!D:D,0))</f>
        <v>0.79861111111111116</v>
      </c>
      <c r="K860" s="131">
        <f>INDEX('Base de données Mono'!M:M,MATCH(B860,'Base de données Mono'!D:D,0))</f>
        <v>0.28472222222222221</v>
      </c>
      <c r="L860" s="131">
        <f>INDEX('Base de données Mono'!N:N,MATCH(B860,'Base de données Mono'!D:D,0))</f>
        <v>0.78472222222222221</v>
      </c>
      <c r="M860" s="33" t="s">
        <v>46</v>
      </c>
      <c r="N860" s="33">
        <f>IF(AND(E860="Electricité",M860="Hiver"),INDEX('Base de données Mono'!E:E,MATCH(B860,'Base de données Mono'!D:D,0)),IF(AND(E860="Electricité",M860="Mi-saison"),INDEX('Base de données Mono'!F:F,MATCH(B860,'Base de données Mono'!D:D,0)),IF(AND(E860="Electricité",M860="Eté"),INDEX('Base de données Mono'!G:G,MATCH(B860,'Base de données Mono'!D:D,0)),IF(AND(E860="Gaz",M860="Hiver"),INDEX('Base de données Mono'!J:J,MATCH(B860,'Base de données Mono'!D:D,0)),IF(AND(E860="Gaz",M860="Mi-saison"),INDEX('Base de données Mono'!#REF!,MATCH(B860,'Base de données Mono'!D:D,0)),IF(AND(E860="Gaz",M860="Eté"),INDEX('Base de données Mono'!#REF!,MATCH(B860,'Base de données Mono'!D:D,0)),"-"))))))</f>
        <v>40</v>
      </c>
      <c r="O860" s="123">
        <v>45385</v>
      </c>
      <c r="P860" s="123">
        <v>45386</v>
      </c>
      <c r="Q860" s="34">
        <v>75</v>
      </c>
      <c r="R860" s="33">
        <f t="shared" si="93"/>
        <v>35</v>
      </c>
      <c r="S860" s="34">
        <v>1</v>
      </c>
      <c r="T860" s="34">
        <f t="shared" si="94"/>
        <v>1</v>
      </c>
      <c r="U860" s="33">
        <f t="shared" si="95"/>
        <v>35</v>
      </c>
      <c r="V860" s="38" t="s">
        <v>827</v>
      </c>
      <c r="W860" s="39">
        <f t="shared" si="96"/>
        <v>0.875</v>
      </c>
      <c r="X860" s="40" t="s">
        <v>304</v>
      </c>
      <c r="Y860" s="40" t="s">
        <v>283</v>
      </c>
      <c r="Z860" s="40" t="s">
        <v>749</v>
      </c>
      <c r="AA860" s="33" t="s">
        <v>749</v>
      </c>
      <c r="AB860" s="95"/>
      <c r="AC860" s="95"/>
    </row>
    <row r="861" spans="1:29" ht="14.45" hidden="1" customHeight="1" x14ac:dyDescent="0.25">
      <c r="A861" s="36" t="str">
        <f>INDEX('Base de données Mono'!C:C,MATCH(B861,'Base de données Mono'!D:D,0))</f>
        <v>LA CHAPELLE</v>
      </c>
      <c r="B861" t="s">
        <v>739</v>
      </c>
      <c r="C861" s="36" t="str">
        <f>INDEX('Base de données Mono'!B:B,MATCH(B861,'Base de données Mono'!D:D,0))</f>
        <v>Monoprix</v>
      </c>
      <c r="D861" s="36" t="str">
        <f>INDEX('Base de données Mono'!A:A,MATCH(B861,'Base de données Mono'!D:D,0))</f>
        <v>-</v>
      </c>
      <c r="E861" s="37" t="s">
        <v>303</v>
      </c>
      <c r="F861" s="41">
        <f t="shared" si="91"/>
        <v>14</v>
      </c>
      <c r="G861" s="41">
        <f t="shared" si="92"/>
        <v>4</v>
      </c>
      <c r="H861">
        <v>10.5</v>
      </c>
      <c r="I861" s="131">
        <f>INDEX('Base de données Mono'!K:K,MATCH(B861,'Base de données Mono'!D:D,0))</f>
        <v>0.23611111111111113</v>
      </c>
      <c r="J861" s="131">
        <f>INDEX('Base de données Mono'!L:L,MATCH(B861,'Base de données Mono'!D:D,0))</f>
        <v>0.79861111111111116</v>
      </c>
      <c r="K861" s="131">
        <f>INDEX('Base de données Mono'!M:M,MATCH(B861,'Base de données Mono'!D:D,0))</f>
        <v>0.28472222222222221</v>
      </c>
      <c r="L861" s="131">
        <f>INDEX('Base de données Mono'!N:N,MATCH(B861,'Base de données Mono'!D:D,0))</f>
        <v>0.78472222222222221</v>
      </c>
      <c r="M861" s="33" t="s">
        <v>46</v>
      </c>
      <c r="N861" s="33">
        <f>IF(AND(E861="Electricité",M861="Hiver"),INDEX('Base de données Mono'!E:E,MATCH(B861,'Base de données Mono'!D:D,0)),IF(AND(E861="Electricité",M861="Mi-saison"),INDEX('Base de données Mono'!F:F,MATCH(B861,'Base de données Mono'!D:D,0)),IF(AND(E861="Electricité",M861="Eté"),INDEX('Base de données Mono'!G:G,MATCH(B861,'Base de données Mono'!D:D,0)),IF(AND(E861="Gaz",M861="Hiver"),INDEX('Base de données Mono'!J:J,MATCH(B861,'Base de données Mono'!D:D,0)),IF(AND(E861="Gaz",M861="Mi-saison"),INDEX('Base de données Mono'!#REF!,MATCH(B861,'Base de données Mono'!D:D,0)),IF(AND(E861="Gaz",M861="Eté"),INDEX('Base de données Mono'!#REF!,MATCH(B861,'Base de données Mono'!D:D,0)),"-"))))))</f>
        <v>40</v>
      </c>
      <c r="O861" s="123">
        <v>45386</v>
      </c>
      <c r="P861" s="123">
        <v>45389</v>
      </c>
      <c r="Q861" s="34">
        <v>70</v>
      </c>
      <c r="R861" s="33">
        <f t="shared" si="93"/>
        <v>30</v>
      </c>
      <c r="S861" s="34">
        <v>1</v>
      </c>
      <c r="T861" s="34">
        <f t="shared" si="94"/>
        <v>3</v>
      </c>
      <c r="U861" s="33">
        <f t="shared" si="95"/>
        <v>90</v>
      </c>
      <c r="V861" s="38" t="s">
        <v>827</v>
      </c>
      <c r="W861" s="39">
        <f t="shared" si="96"/>
        <v>0.75</v>
      </c>
      <c r="X861" s="40" t="s">
        <v>304</v>
      </c>
      <c r="Y861" s="40" t="s">
        <v>283</v>
      </c>
      <c r="Z861" s="40" t="s">
        <v>749</v>
      </c>
      <c r="AA861" s="33" t="s">
        <v>749</v>
      </c>
      <c r="AB861" s="95"/>
      <c r="AC861" s="95"/>
    </row>
    <row r="862" spans="1:29" ht="14.45" hidden="1" customHeight="1" x14ac:dyDescent="0.25">
      <c r="A862" s="36" t="str">
        <f>INDEX('Base de données Mono'!C:C,MATCH(B862,'Base de données Mono'!D:D,0))</f>
        <v>Monop Nice Borriglione</v>
      </c>
      <c r="B862" t="s">
        <v>514</v>
      </c>
      <c r="C862" s="36" t="str">
        <f>INDEX('Base de données Mono'!B:B,MATCH(B862,'Base de données Mono'!D:D,0))</f>
        <v>Monop</v>
      </c>
      <c r="D862" s="36" t="str">
        <f>INDEX('Base de données Mono'!A:A,MATCH(B862,'Base de données Mono'!D:D,0))</f>
        <v>-</v>
      </c>
      <c r="E862" s="37" t="s">
        <v>303</v>
      </c>
      <c r="F862" s="41">
        <f t="shared" si="91"/>
        <v>14</v>
      </c>
      <c r="G862" s="41">
        <f t="shared" si="92"/>
        <v>4</v>
      </c>
      <c r="H862">
        <v>9.33</v>
      </c>
      <c r="I862" s="131">
        <f>INDEX('Base de données Mono'!K:K,MATCH(B862,'Base de données Mono'!D:D,0))</f>
        <v>0.2638888888888889</v>
      </c>
      <c r="J862" s="131">
        <f>INDEX('Base de données Mono'!L:L,MATCH(B862,'Base de données Mono'!D:D,0))</f>
        <v>0.875</v>
      </c>
      <c r="K862" s="131">
        <f>INDEX('Base de données Mono'!M:M,MATCH(B862,'Base de données Mono'!D:D,0))</f>
        <v>0.3125</v>
      </c>
      <c r="L862" s="131">
        <f>INDEX('Base de données Mono'!N:N,MATCH(B862,'Base de données Mono'!D:D,0))</f>
        <v>0.79166666666666663</v>
      </c>
      <c r="M862" s="33" t="s">
        <v>46</v>
      </c>
      <c r="N862" s="33">
        <f>IF(AND(E862="Electricité",M862="Hiver"),INDEX('Base de données Mono'!E:E,MATCH(B862,'Base de données Mono'!D:D,0)),IF(AND(E862="Electricité",M862="Mi-saison"),INDEX('Base de données Mono'!F:F,MATCH(B862,'Base de données Mono'!D:D,0)),IF(AND(E862="Electricité",M862="Eté"),INDEX('Base de données Mono'!G:G,MATCH(B862,'Base de données Mono'!D:D,0)),IF(AND(E862="Gaz",M862="Hiver"),INDEX('Base de données Mono'!J:J,MATCH(B862,'Base de données Mono'!D:D,0)),IF(AND(E862="Gaz",M862="Mi-saison"),INDEX('Base de données Mono'!#REF!,MATCH(B862,'Base de données Mono'!D:D,0)),IF(AND(E862="Gaz",M862="Eté"),INDEX('Base de données Mono'!#REF!,MATCH(B862,'Base de données Mono'!D:D,0)),"-"))))))</f>
        <v>10</v>
      </c>
      <c r="O862" s="123">
        <v>45383</v>
      </c>
      <c r="P862" s="123">
        <v>45385</v>
      </c>
      <c r="Q862" s="34">
        <v>15</v>
      </c>
      <c r="R862" s="33">
        <f t="shared" si="93"/>
        <v>5</v>
      </c>
      <c r="S862" s="34">
        <v>8</v>
      </c>
      <c r="T862" s="34">
        <f t="shared" si="94"/>
        <v>2</v>
      </c>
      <c r="U862" s="33">
        <f t="shared" si="95"/>
        <v>80</v>
      </c>
      <c r="V862" s="38" t="s">
        <v>827</v>
      </c>
      <c r="W862" s="39">
        <f t="shared" si="96"/>
        <v>0.5</v>
      </c>
      <c r="X862" s="40" t="s">
        <v>304</v>
      </c>
      <c r="Y862" s="40" t="s">
        <v>283</v>
      </c>
      <c r="Z862" s="40" t="s">
        <v>749</v>
      </c>
      <c r="AA862" s="33" t="s">
        <v>749</v>
      </c>
      <c r="AB862" s="95"/>
      <c r="AC862" s="95"/>
    </row>
    <row r="863" spans="1:29" ht="14.45" hidden="1" customHeight="1" x14ac:dyDescent="0.25">
      <c r="A863" s="36" t="str">
        <f>INDEX('Base de données Mono'!C:C,MATCH(B863,'Base de données Mono'!D:D,0))</f>
        <v>Monop Nice Borriglione</v>
      </c>
      <c r="B863" t="s">
        <v>514</v>
      </c>
      <c r="C863" s="36" t="str">
        <f>INDEX('Base de données Mono'!B:B,MATCH(B863,'Base de données Mono'!D:D,0))</f>
        <v>Monop</v>
      </c>
      <c r="D863" s="36" t="str">
        <f>INDEX('Base de données Mono'!A:A,MATCH(B863,'Base de données Mono'!D:D,0))</f>
        <v>-</v>
      </c>
      <c r="E863" s="37" t="s">
        <v>303</v>
      </c>
      <c r="F863" s="41">
        <f t="shared" si="91"/>
        <v>14</v>
      </c>
      <c r="G863" s="41">
        <f t="shared" si="92"/>
        <v>4</v>
      </c>
      <c r="H863">
        <v>9.33</v>
      </c>
      <c r="I863" s="131">
        <f>INDEX('Base de données Mono'!K:K,MATCH(B863,'Base de données Mono'!D:D,0))</f>
        <v>0.2638888888888889</v>
      </c>
      <c r="J863" s="131">
        <f>INDEX('Base de données Mono'!L:L,MATCH(B863,'Base de données Mono'!D:D,0))</f>
        <v>0.875</v>
      </c>
      <c r="K863" s="131">
        <f>INDEX('Base de données Mono'!M:M,MATCH(B863,'Base de données Mono'!D:D,0))</f>
        <v>0.3125</v>
      </c>
      <c r="L863" s="131">
        <f>INDEX('Base de données Mono'!N:N,MATCH(B863,'Base de données Mono'!D:D,0))</f>
        <v>0.79166666666666663</v>
      </c>
      <c r="M863" s="33" t="s">
        <v>46</v>
      </c>
      <c r="N863" s="33">
        <f>IF(AND(E863="Electricité",M863="Hiver"),INDEX('Base de données Mono'!E:E,MATCH(B863,'Base de données Mono'!D:D,0)),IF(AND(E863="Electricité",M863="Mi-saison"),INDEX('Base de données Mono'!F:F,MATCH(B863,'Base de données Mono'!D:D,0)),IF(AND(E863="Electricité",M863="Eté"),INDEX('Base de données Mono'!G:G,MATCH(B863,'Base de données Mono'!D:D,0)),IF(AND(E863="Gaz",M863="Hiver"),INDEX('Base de données Mono'!J:J,MATCH(B863,'Base de données Mono'!D:D,0)),IF(AND(E863="Gaz",M863="Mi-saison"),INDEX('Base de données Mono'!#REF!,MATCH(B863,'Base de données Mono'!D:D,0)),IF(AND(E863="Gaz",M863="Eté"),INDEX('Base de données Mono'!#REF!,MATCH(B863,'Base de données Mono'!D:D,0)),"-"))))))</f>
        <v>10</v>
      </c>
      <c r="O863" s="123">
        <v>45383</v>
      </c>
      <c r="P863" s="123">
        <v>45386</v>
      </c>
      <c r="Q863" s="34">
        <v>20</v>
      </c>
      <c r="R863" s="33">
        <f t="shared" si="93"/>
        <v>10</v>
      </c>
      <c r="S863" s="34">
        <v>2</v>
      </c>
      <c r="T863" s="34">
        <f t="shared" si="94"/>
        <v>3</v>
      </c>
      <c r="U863" s="33">
        <f t="shared" si="95"/>
        <v>60</v>
      </c>
      <c r="V863" s="38" t="s">
        <v>827</v>
      </c>
      <c r="W863" s="39">
        <f t="shared" si="96"/>
        <v>1</v>
      </c>
      <c r="X863" s="40" t="s">
        <v>304</v>
      </c>
      <c r="Y863" s="40" t="s">
        <v>283</v>
      </c>
      <c r="Z863" s="40" t="s">
        <v>749</v>
      </c>
      <c r="AA863" s="33" t="s">
        <v>749</v>
      </c>
      <c r="AB863" s="95"/>
      <c r="AC863" s="95"/>
    </row>
    <row r="864" spans="1:29" ht="14.45" hidden="1" customHeight="1" x14ac:dyDescent="0.25">
      <c r="A864" s="36" t="str">
        <f>INDEX('Base de données Mono'!C:C,MATCH(B864,'Base de données Mono'!D:D,0))</f>
        <v>Monop Nice Borriglione</v>
      </c>
      <c r="B864" t="s">
        <v>514</v>
      </c>
      <c r="C864" s="36" t="str">
        <f>INDEX('Base de données Mono'!B:B,MATCH(B864,'Base de données Mono'!D:D,0))</f>
        <v>Monop</v>
      </c>
      <c r="D864" s="36" t="str">
        <f>INDEX('Base de données Mono'!A:A,MATCH(B864,'Base de données Mono'!D:D,0))</f>
        <v>-</v>
      </c>
      <c r="E864" s="37" t="s">
        <v>303</v>
      </c>
      <c r="F864" s="41">
        <f t="shared" si="91"/>
        <v>14</v>
      </c>
      <c r="G864" s="41">
        <f t="shared" si="92"/>
        <v>4</v>
      </c>
      <c r="H864">
        <v>9.33</v>
      </c>
      <c r="I864" s="131">
        <f>INDEX('Base de données Mono'!K:K,MATCH(B864,'Base de données Mono'!D:D,0))</f>
        <v>0.2638888888888889</v>
      </c>
      <c r="J864" s="131">
        <f>INDEX('Base de données Mono'!L:L,MATCH(B864,'Base de données Mono'!D:D,0))</f>
        <v>0.875</v>
      </c>
      <c r="K864" s="131">
        <f>INDEX('Base de données Mono'!M:M,MATCH(B864,'Base de données Mono'!D:D,0))</f>
        <v>0.3125</v>
      </c>
      <c r="L864" s="131">
        <f>INDEX('Base de données Mono'!N:N,MATCH(B864,'Base de données Mono'!D:D,0))</f>
        <v>0.79166666666666663</v>
      </c>
      <c r="M864" s="33" t="s">
        <v>46</v>
      </c>
      <c r="N864" s="33">
        <f>IF(AND(E864="Electricité",M864="Hiver"),INDEX('Base de données Mono'!E:E,MATCH(B864,'Base de données Mono'!D:D,0)),IF(AND(E864="Electricité",M864="Mi-saison"),INDEX('Base de données Mono'!F:F,MATCH(B864,'Base de données Mono'!D:D,0)),IF(AND(E864="Electricité",M864="Eté"),INDEX('Base de données Mono'!G:G,MATCH(B864,'Base de données Mono'!D:D,0)),IF(AND(E864="Gaz",M864="Hiver"),INDEX('Base de données Mono'!J:J,MATCH(B864,'Base de données Mono'!D:D,0)),IF(AND(E864="Gaz",M864="Mi-saison"),INDEX('Base de données Mono'!#REF!,MATCH(B864,'Base de données Mono'!D:D,0)),IF(AND(E864="Gaz",M864="Eté"),INDEX('Base de données Mono'!#REF!,MATCH(B864,'Base de données Mono'!D:D,0)),"-"))))))</f>
        <v>10</v>
      </c>
      <c r="O864" s="123">
        <v>45385</v>
      </c>
      <c r="P864" s="123">
        <v>45387</v>
      </c>
      <c r="Q864" s="34">
        <v>15</v>
      </c>
      <c r="R864" s="33">
        <f t="shared" si="93"/>
        <v>5</v>
      </c>
      <c r="S864" s="34">
        <v>8</v>
      </c>
      <c r="T864" s="34">
        <f t="shared" si="94"/>
        <v>2</v>
      </c>
      <c r="U864" s="33">
        <f t="shared" si="95"/>
        <v>80</v>
      </c>
      <c r="V864" s="38" t="s">
        <v>827</v>
      </c>
      <c r="W864" s="39">
        <f t="shared" si="96"/>
        <v>0.5</v>
      </c>
      <c r="X864" s="40" t="s">
        <v>304</v>
      </c>
      <c r="Y864" s="40" t="s">
        <v>283</v>
      </c>
      <c r="Z864" s="40" t="s">
        <v>749</v>
      </c>
      <c r="AA864" s="33" t="s">
        <v>749</v>
      </c>
      <c r="AB864" s="95"/>
      <c r="AC864" s="95"/>
    </row>
    <row r="865" spans="1:29" ht="14.45" hidden="1" customHeight="1" x14ac:dyDescent="0.25">
      <c r="A865" s="36" t="str">
        <f>INDEX('Base de données Mono'!C:C,MATCH(B865,'Base de données Mono'!D:D,0))</f>
        <v>Monop Nice Borriglione</v>
      </c>
      <c r="B865" t="s">
        <v>514</v>
      </c>
      <c r="C865" s="36" t="str">
        <f>INDEX('Base de données Mono'!B:B,MATCH(B865,'Base de données Mono'!D:D,0))</f>
        <v>Monop</v>
      </c>
      <c r="D865" s="36" t="str">
        <f>INDEX('Base de données Mono'!A:A,MATCH(B865,'Base de données Mono'!D:D,0))</f>
        <v>-</v>
      </c>
      <c r="E865" s="37" t="s">
        <v>303</v>
      </c>
      <c r="F865" s="41">
        <f t="shared" si="91"/>
        <v>14</v>
      </c>
      <c r="G865" s="41">
        <f t="shared" si="92"/>
        <v>4</v>
      </c>
      <c r="H865">
        <v>9.33</v>
      </c>
      <c r="I865" s="131">
        <f>INDEX('Base de données Mono'!K:K,MATCH(B865,'Base de données Mono'!D:D,0))</f>
        <v>0.2638888888888889</v>
      </c>
      <c r="J865" s="131">
        <f>INDEX('Base de données Mono'!L:L,MATCH(B865,'Base de données Mono'!D:D,0))</f>
        <v>0.875</v>
      </c>
      <c r="K865" s="131">
        <f>INDEX('Base de données Mono'!M:M,MATCH(B865,'Base de données Mono'!D:D,0))</f>
        <v>0.3125</v>
      </c>
      <c r="L865" s="131">
        <f>INDEX('Base de données Mono'!N:N,MATCH(B865,'Base de données Mono'!D:D,0))</f>
        <v>0.79166666666666663</v>
      </c>
      <c r="M865" s="33" t="s">
        <v>46</v>
      </c>
      <c r="N865" s="33">
        <f>IF(AND(E865="Electricité",M865="Hiver"),INDEX('Base de données Mono'!E:E,MATCH(B865,'Base de données Mono'!D:D,0)),IF(AND(E865="Electricité",M865="Mi-saison"),INDEX('Base de données Mono'!F:F,MATCH(B865,'Base de données Mono'!D:D,0)),IF(AND(E865="Electricité",M865="Eté"),INDEX('Base de données Mono'!G:G,MATCH(B865,'Base de données Mono'!D:D,0)),IF(AND(E865="Gaz",M865="Hiver"),INDEX('Base de données Mono'!J:J,MATCH(B865,'Base de données Mono'!D:D,0)),IF(AND(E865="Gaz",M865="Mi-saison"),INDEX('Base de données Mono'!#REF!,MATCH(B865,'Base de données Mono'!D:D,0)),IF(AND(E865="Gaz",M865="Eté"),INDEX('Base de données Mono'!#REF!,MATCH(B865,'Base de données Mono'!D:D,0)),"-"))))))</f>
        <v>10</v>
      </c>
      <c r="O865" s="123">
        <v>45386</v>
      </c>
      <c r="P865" s="123">
        <v>45388</v>
      </c>
      <c r="Q865" s="34">
        <v>20</v>
      </c>
      <c r="R865" s="33">
        <f t="shared" si="93"/>
        <v>10</v>
      </c>
      <c r="S865" s="34">
        <v>1</v>
      </c>
      <c r="T865" s="34">
        <f t="shared" si="94"/>
        <v>2</v>
      </c>
      <c r="U865" s="33">
        <f t="shared" si="95"/>
        <v>20</v>
      </c>
      <c r="V865" s="38" t="s">
        <v>827</v>
      </c>
      <c r="W865" s="39">
        <f t="shared" si="96"/>
        <v>1</v>
      </c>
      <c r="X865" s="40" t="s">
        <v>304</v>
      </c>
      <c r="Y865" s="40" t="s">
        <v>283</v>
      </c>
      <c r="Z865" s="40" t="s">
        <v>749</v>
      </c>
      <c r="AA865" s="33" t="s">
        <v>749</v>
      </c>
      <c r="AB865" s="95"/>
      <c r="AC865" s="95"/>
    </row>
    <row r="866" spans="1:29" ht="14.45" hidden="1" customHeight="1" x14ac:dyDescent="0.25">
      <c r="A866" s="36" t="str">
        <f>INDEX('Base de données Mono'!C:C,MATCH(B866,'Base de données Mono'!D:D,0))</f>
        <v>Monop Nice Borriglione</v>
      </c>
      <c r="B866" t="s">
        <v>514</v>
      </c>
      <c r="C866" s="36" t="str">
        <f>INDEX('Base de données Mono'!B:B,MATCH(B866,'Base de données Mono'!D:D,0))</f>
        <v>Monop</v>
      </c>
      <c r="D866" s="36" t="str">
        <f>INDEX('Base de données Mono'!A:A,MATCH(B866,'Base de données Mono'!D:D,0))</f>
        <v>-</v>
      </c>
      <c r="E866" s="37" t="s">
        <v>303</v>
      </c>
      <c r="F866" s="41">
        <f t="shared" si="91"/>
        <v>14</v>
      </c>
      <c r="G866" s="41">
        <f t="shared" si="92"/>
        <v>4</v>
      </c>
      <c r="H866">
        <v>9.33</v>
      </c>
      <c r="I866" s="131">
        <f>INDEX('Base de données Mono'!K:K,MATCH(B866,'Base de données Mono'!D:D,0))</f>
        <v>0.2638888888888889</v>
      </c>
      <c r="J866" s="131">
        <f>INDEX('Base de données Mono'!L:L,MATCH(B866,'Base de données Mono'!D:D,0))</f>
        <v>0.875</v>
      </c>
      <c r="K866" s="131">
        <f>INDEX('Base de données Mono'!M:M,MATCH(B866,'Base de données Mono'!D:D,0))</f>
        <v>0.3125</v>
      </c>
      <c r="L866" s="131">
        <f>INDEX('Base de données Mono'!N:N,MATCH(B866,'Base de données Mono'!D:D,0))</f>
        <v>0.79166666666666663</v>
      </c>
      <c r="M866" s="33" t="s">
        <v>46</v>
      </c>
      <c r="N866" s="33">
        <f>IF(AND(E866="Electricité",M866="Hiver"),INDEX('Base de données Mono'!E:E,MATCH(B866,'Base de données Mono'!D:D,0)),IF(AND(E866="Electricité",M866="Mi-saison"),INDEX('Base de données Mono'!F:F,MATCH(B866,'Base de données Mono'!D:D,0)),IF(AND(E866="Electricité",M866="Eté"),INDEX('Base de données Mono'!G:G,MATCH(B866,'Base de données Mono'!D:D,0)),IF(AND(E866="Gaz",M866="Hiver"),INDEX('Base de données Mono'!J:J,MATCH(B866,'Base de données Mono'!D:D,0)),IF(AND(E866="Gaz",M866="Mi-saison"),INDEX('Base de données Mono'!#REF!,MATCH(B866,'Base de données Mono'!D:D,0)),IF(AND(E866="Gaz",M866="Eté"),INDEX('Base de données Mono'!#REF!,MATCH(B866,'Base de données Mono'!D:D,0)),"-"))))))</f>
        <v>10</v>
      </c>
      <c r="O866" s="123">
        <v>45387</v>
      </c>
      <c r="P866" s="123">
        <v>45388</v>
      </c>
      <c r="Q866" s="34">
        <v>15</v>
      </c>
      <c r="R866" s="33">
        <f t="shared" si="93"/>
        <v>5</v>
      </c>
      <c r="S866" s="34">
        <v>8</v>
      </c>
      <c r="T866" s="34">
        <f t="shared" si="94"/>
        <v>1</v>
      </c>
      <c r="U866" s="33">
        <f t="shared" si="95"/>
        <v>40</v>
      </c>
      <c r="V866" s="38" t="s">
        <v>827</v>
      </c>
      <c r="W866" s="39">
        <f t="shared" si="96"/>
        <v>0.5</v>
      </c>
      <c r="X866" s="40" t="s">
        <v>304</v>
      </c>
      <c r="Y866" s="40" t="s">
        <v>283</v>
      </c>
      <c r="Z866" s="40" t="s">
        <v>749</v>
      </c>
      <c r="AA866" s="33" t="s">
        <v>749</v>
      </c>
      <c r="AB866" s="95"/>
      <c r="AC866" s="95"/>
    </row>
    <row r="867" spans="1:29" ht="14.45" hidden="1" customHeight="1" x14ac:dyDescent="0.25">
      <c r="A867" s="36" t="str">
        <f>INDEX('Base de données Mono'!C:C,MATCH(B867,'Base de données Mono'!D:D,0))</f>
        <v>Monop Nice Borriglione</v>
      </c>
      <c r="B867" t="s">
        <v>514</v>
      </c>
      <c r="C867" s="36" t="str">
        <f>INDEX('Base de données Mono'!B:B,MATCH(B867,'Base de données Mono'!D:D,0))</f>
        <v>Monop</v>
      </c>
      <c r="D867" s="36" t="str">
        <f>INDEX('Base de données Mono'!A:A,MATCH(B867,'Base de données Mono'!D:D,0))</f>
        <v>-</v>
      </c>
      <c r="E867" s="37" t="s">
        <v>303</v>
      </c>
      <c r="F867" s="41">
        <f t="shared" si="91"/>
        <v>14</v>
      </c>
      <c r="G867" s="41">
        <f t="shared" si="92"/>
        <v>4</v>
      </c>
      <c r="H867">
        <v>9.33</v>
      </c>
      <c r="I867" s="131">
        <f>INDEX('Base de données Mono'!K:K,MATCH(B867,'Base de données Mono'!D:D,0))</f>
        <v>0.2638888888888889</v>
      </c>
      <c r="J867" s="131">
        <f>INDEX('Base de données Mono'!L:L,MATCH(B867,'Base de données Mono'!D:D,0))</f>
        <v>0.875</v>
      </c>
      <c r="K867" s="131">
        <f>INDEX('Base de données Mono'!M:M,MATCH(B867,'Base de données Mono'!D:D,0))</f>
        <v>0.3125</v>
      </c>
      <c r="L867" s="131">
        <f>INDEX('Base de données Mono'!N:N,MATCH(B867,'Base de données Mono'!D:D,0))</f>
        <v>0.79166666666666663</v>
      </c>
      <c r="M867" s="33" t="s">
        <v>46</v>
      </c>
      <c r="N867" s="33">
        <f>IF(AND(E867="Electricité",M867="Hiver"),INDEX('Base de données Mono'!E:E,MATCH(B867,'Base de données Mono'!D:D,0)),IF(AND(E867="Electricité",M867="Mi-saison"),INDEX('Base de données Mono'!F:F,MATCH(B867,'Base de données Mono'!D:D,0)),IF(AND(E867="Electricité",M867="Eté"),INDEX('Base de données Mono'!G:G,MATCH(B867,'Base de données Mono'!D:D,0)),IF(AND(E867="Gaz",M867="Hiver"),INDEX('Base de données Mono'!J:J,MATCH(B867,'Base de données Mono'!D:D,0)),IF(AND(E867="Gaz",M867="Mi-saison"),INDEX('Base de données Mono'!#REF!,MATCH(B867,'Base de données Mono'!D:D,0)),IF(AND(E867="Gaz",M867="Eté"),INDEX('Base de données Mono'!#REF!,MATCH(B867,'Base de données Mono'!D:D,0)),"-"))))))</f>
        <v>10</v>
      </c>
      <c r="O867" s="123">
        <v>45388</v>
      </c>
      <c r="P867" s="123">
        <v>45389</v>
      </c>
      <c r="Q867" s="34">
        <v>20</v>
      </c>
      <c r="R867" s="33">
        <f t="shared" si="93"/>
        <v>10</v>
      </c>
      <c r="S867" s="34">
        <v>1</v>
      </c>
      <c r="T867" s="34">
        <f t="shared" si="94"/>
        <v>1</v>
      </c>
      <c r="U867" s="33">
        <f t="shared" si="95"/>
        <v>10</v>
      </c>
      <c r="V867" s="38" t="s">
        <v>827</v>
      </c>
      <c r="W867" s="39">
        <f t="shared" si="96"/>
        <v>1</v>
      </c>
      <c r="X867" s="40" t="s">
        <v>304</v>
      </c>
      <c r="Y867" s="40" t="s">
        <v>283</v>
      </c>
      <c r="Z867" s="40" t="s">
        <v>749</v>
      </c>
      <c r="AA867" s="33" t="s">
        <v>749</v>
      </c>
      <c r="AB867" s="95"/>
      <c r="AC867" s="95"/>
    </row>
    <row r="868" spans="1:29" ht="14.45" hidden="1" customHeight="1" x14ac:dyDescent="0.25">
      <c r="A868" s="36" t="str">
        <f>INDEX('Base de données Mono'!C:C,MATCH(B868,'Base de données Mono'!D:D,0))</f>
        <v>Nice Thiers</v>
      </c>
      <c r="B868" t="s">
        <v>510</v>
      </c>
      <c r="C868" s="36" t="str">
        <f>INDEX('Base de données Mono'!B:B,MATCH(B868,'Base de données Mono'!D:D,0))</f>
        <v>Monop</v>
      </c>
      <c r="D868" s="36" t="str">
        <f>INDEX('Base de données Mono'!A:A,MATCH(B868,'Base de données Mono'!D:D,0))</f>
        <v>-</v>
      </c>
      <c r="E868" s="37" t="s">
        <v>303</v>
      </c>
      <c r="F868" s="41">
        <f t="shared" si="91"/>
        <v>14</v>
      </c>
      <c r="G868" s="41">
        <f t="shared" si="92"/>
        <v>4</v>
      </c>
      <c r="H868">
        <v>5.83</v>
      </c>
      <c r="I868" s="131">
        <f>INDEX('Base de données Mono'!K:K,MATCH(B868,'Base de données Mono'!D:D,0))</f>
        <v>0.25694444444444448</v>
      </c>
      <c r="J868" s="131">
        <f>INDEX('Base de données Mono'!L:L,MATCH(B868,'Base de données Mono'!D:D,0))</f>
        <v>1.3888888888888888E-2</v>
      </c>
      <c r="K868" s="131">
        <f>INDEX('Base de données Mono'!M:M,MATCH(B868,'Base de données Mono'!D:D,0))</f>
        <v>0.29166666666666669</v>
      </c>
      <c r="L868" s="131">
        <f>INDEX('Base de données Mono'!N:N,MATCH(B868,'Base de données Mono'!D:D,0))</f>
        <v>0.93055555555555547</v>
      </c>
      <c r="M868" s="33" t="s">
        <v>46</v>
      </c>
      <c r="N868" s="33">
        <f>IF(AND(E868="Electricité",M868="Hiver"),INDEX('Base de données Mono'!E:E,MATCH(B868,'Base de données Mono'!D:D,0)),IF(AND(E868="Electricité",M868="Mi-saison"),INDEX('Base de données Mono'!F:F,MATCH(B868,'Base de données Mono'!D:D,0)),IF(AND(E868="Electricité",M868="Eté"),INDEX('Base de données Mono'!G:G,MATCH(B868,'Base de données Mono'!D:D,0)),IF(AND(E868="Gaz",M868="Hiver"),INDEX('Base de données Mono'!J:J,MATCH(B868,'Base de données Mono'!D:D,0)),IF(AND(E868="Gaz",M868="Mi-saison"),INDEX('Base de données Mono'!#REF!,MATCH(B868,'Base de données Mono'!D:D,0)),IF(AND(E868="Gaz",M868="Eté"),INDEX('Base de données Mono'!#REF!,MATCH(B868,'Base de données Mono'!D:D,0)),"-"))))))</f>
        <v>20</v>
      </c>
      <c r="O868" s="123">
        <v>45383</v>
      </c>
      <c r="P868" s="123">
        <v>45385</v>
      </c>
      <c r="Q868" s="34">
        <v>25</v>
      </c>
      <c r="R868" s="33">
        <f t="shared" si="93"/>
        <v>5</v>
      </c>
      <c r="S868" s="34">
        <v>2</v>
      </c>
      <c r="T868" s="34">
        <f t="shared" si="94"/>
        <v>2</v>
      </c>
      <c r="U868" s="33">
        <f t="shared" si="95"/>
        <v>20</v>
      </c>
      <c r="V868" s="38" t="s">
        <v>827</v>
      </c>
      <c r="W868" s="39">
        <f t="shared" si="96"/>
        <v>0.25</v>
      </c>
      <c r="X868" s="40" t="s">
        <v>304</v>
      </c>
      <c r="Y868" s="40" t="s">
        <v>283</v>
      </c>
      <c r="Z868" s="40" t="s">
        <v>749</v>
      </c>
      <c r="AA868" s="33" t="s">
        <v>749</v>
      </c>
      <c r="AB868" s="95"/>
      <c r="AC868" s="95"/>
    </row>
    <row r="869" spans="1:29" ht="14.45" hidden="1" customHeight="1" x14ac:dyDescent="0.25">
      <c r="A869" s="36" t="str">
        <f>INDEX('Base de données Mono'!C:C,MATCH(B869,'Base de données Mono'!D:D,0))</f>
        <v>Nice Thiers</v>
      </c>
      <c r="B869" t="s">
        <v>510</v>
      </c>
      <c r="C869" s="36" t="str">
        <f>INDEX('Base de données Mono'!B:B,MATCH(B869,'Base de données Mono'!D:D,0))</f>
        <v>Monop</v>
      </c>
      <c r="D869" s="36" t="str">
        <f>INDEX('Base de données Mono'!A:A,MATCH(B869,'Base de données Mono'!D:D,0))</f>
        <v>-</v>
      </c>
      <c r="E869" s="37" t="s">
        <v>303</v>
      </c>
      <c r="F869" s="41">
        <f t="shared" ref="F869:F882" si="97">IF(O869="","-",IF(AND(X869="Nuit",WEEKDAY(O869,2)=7,O869&lt;&gt;P869),WEEKNUM(O869,2),WEEKNUM(O869,2)-1))+1</f>
        <v>14</v>
      </c>
      <c r="G869" s="41">
        <f t="shared" ref="G869:G882" si="98">IF(O869="","-",MONTH(O869))</f>
        <v>4</v>
      </c>
      <c r="H869">
        <v>5.83</v>
      </c>
      <c r="I869" s="131">
        <f>INDEX('Base de données Mono'!K:K,MATCH(B869,'Base de données Mono'!D:D,0))</f>
        <v>0.25694444444444448</v>
      </c>
      <c r="J869" s="131">
        <f>INDEX('Base de données Mono'!L:L,MATCH(B869,'Base de données Mono'!D:D,0))</f>
        <v>1.3888888888888888E-2</v>
      </c>
      <c r="K869" s="131">
        <f>INDEX('Base de données Mono'!M:M,MATCH(B869,'Base de données Mono'!D:D,0))</f>
        <v>0.29166666666666669</v>
      </c>
      <c r="L869" s="131">
        <f>INDEX('Base de données Mono'!N:N,MATCH(B869,'Base de données Mono'!D:D,0))</f>
        <v>0.93055555555555547</v>
      </c>
      <c r="M869" s="33" t="s">
        <v>46</v>
      </c>
      <c r="N869" s="33">
        <f>IF(AND(E869="Electricité",M869="Hiver"),INDEX('Base de données Mono'!E:E,MATCH(B869,'Base de données Mono'!D:D,0)),IF(AND(E869="Electricité",M869="Mi-saison"),INDEX('Base de données Mono'!F:F,MATCH(B869,'Base de données Mono'!D:D,0)),IF(AND(E869="Electricité",M869="Eté"),INDEX('Base de données Mono'!G:G,MATCH(B869,'Base de données Mono'!D:D,0)),IF(AND(E869="Gaz",M869="Hiver"),INDEX('Base de données Mono'!J:J,MATCH(B869,'Base de données Mono'!D:D,0)),IF(AND(E869="Gaz",M869="Mi-saison"),INDEX('Base de données Mono'!#REF!,MATCH(B869,'Base de données Mono'!D:D,0)),IF(AND(E869="Gaz",M869="Eté"),INDEX('Base de données Mono'!#REF!,MATCH(B869,'Base de données Mono'!D:D,0)),"-"))))))</f>
        <v>20</v>
      </c>
      <c r="O869" s="123">
        <v>45383</v>
      </c>
      <c r="P869" s="123">
        <v>45384</v>
      </c>
      <c r="Q869" s="34">
        <v>35</v>
      </c>
      <c r="R869" s="33">
        <f t="shared" ref="R869:R882" si="99">IF(Q869="","",Q869-N869)</f>
        <v>15</v>
      </c>
      <c r="S869" s="34">
        <v>2</v>
      </c>
      <c r="T869" s="34">
        <f t="shared" ref="T869:T920" si="100">P869-O869</f>
        <v>1</v>
      </c>
      <c r="U869" s="33">
        <f t="shared" ref="U869:U882" si="101">R869*S869*T869</f>
        <v>30</v>
      </c>
      <c r="V869" s="38" t="s">
        <v>827</v>
      </c>
      <c r="W869" s="39">
        <f t="shared" ref="W869:W882" si="102">IFERROR(IF(E869="Gaz","-",R869/N869),"-")</f>
        <v>0.75</v>
      </c>
      <c r="X869" s="40" t="s">
        <v>304</v>
      </c>
      <c r="Y869" s="40" t="s">
        <v>283</v>
      </c>
      <c r="Z869" s="40" t="s">
        <v>749</v>
      </c>
      <c r="AA869" s="33" t="s">
        <v>749</v>
      </c>
      <c r="AB869" s="95"/>
      <c r="AC869" s="95"/>
    </row>
    <row r="870" spans="1:29" ht="14.45" hidden="1" customHeight="1" x14ac:dyDescent="0.25">
      <c r="A870" s="36" t="str">
        <f>INDEX('Base de données Mono'!C:C,MATCH(B870,'Base de données Mono'!D:D,0))</f>
        <v>Monop Saint Etienne</v>
      </c>
      <c r="B870" t="s">
        <v>808</v>
      </c>
      <c r="C870" s="36" t="str">
        <f>INDEX('Base de données Mono'!B:B,MATCH(B870,'Base de données Mono'!D:D,0))</f>
        <v>Monop</v>
      </c>
      <c r="D870" s="36" t="str">
        <f>INDEX('Base de données Mono'!A:A,MATCH(B870,'Base de données Mono'!D:D,0))</f>
        <v>RL</v>
      </c>
      <c r="E870" s="37" t="s">
        <v>303</v>
      </c>
      <c r="F870" s="41">
        <f t="shared" si="97"/>
        <v>14</v>
      </c>
      <c r="G870" s="41">
        <f t="shared" si="98"/>
        <v>4</v>
      </c>
      <c r="H870">
        <v>8</v>
      </c>
      <c r="I870" s="131">
        <f>INDEX('Base de données Mono'!K:K,MATCH(B870,'Base de données Mono'!D:D,0))</f>
        <v>0.20833333333333334</v>
      </c>
      <c r="J870" s="131">
        <f>INDEX('Base de données Mono'!L:L,MATCH(B870,'Base de données Mono'!D:D,0))</f>
        <v>0.875</v>
      </c>
      <c r="K870" s="131">
        <f>INDEX('Base de données Mono'!M:M,MATCH(B870,'Base de données Mono'!D:D,0))</f>
        <v>0.20833333333333334</v>
      </c>
      <c r="L870" s="131">
        <f>INDEX('Base de données Mono'!N:N,MATCH(B870,'Base de données Mono'!D:D,0))</f>
        <v>0.58333333333333337</v>
      </c>
      <c r="M870" s="33" t="s">
        <v>46</v>
      </c>
      <c r="N870" s="33">
        <f>IF(AND(E870="Electricité",M870="Hiver"),INDEX('Base de données Mono'!E:E,MATCH(B870,'Base de données Mono'!D:D,0)),IF(AND(E870="Electricité",M870="Mi-saison"),INDEX('Base de données Mono'!F:F,MATCH(B870,'Base de données Mono'!D:D,0)),IF(AND(E870="Electricité",M870="Eté"),INDEX('Base de données Mono'!G:G,MATCH(B870,'Base de données Mono'!D:D,0)),IF(AND(E870="Gaz",M870="Hiver"),INDEX('Base de données Mono'!J:J,MATCH(B870,'Base de données Mono'!D:D,0)),IF(AND(E870="Gaz",M870="Mi-saison"),INDEX('Base de données Mono'!#REF!,MATCH(B870,'Base de données Mono'!D:D,0)),IF(AND(E870="Gaz",M870="Eté"),INDEX('Base de données Mono'!#REF!,MATCH(B870,'Base de données Mono'!D:D,0)),"-"))))))</f>
        <v>15</v>
      </c>
      <c r="O870" s="123">
        <v>45383</v>
      </c>
      <c r="P870" s="123">
        <v>45385</v>
      </c>
      <c r="Q870" s="34">
        <v>20</v>
      </c>
      <c r="R870" s="33">
        <f t="shared" si="99"/>
        <v>5</v>
      </c>
      <c r="S870" s="34">
        <v>5</v>
      </c>
      <c r="T870" s="34">
        <f t="shared" si="100"/>
        <v>2</v>
      </c>
      <c r="U870" s="33">
        <f t="shared" si="101"/>
        <v>50</v>
      </c>
      <c r="V870" s="38" t="s">
        <v>827</v>
      </c>
      <c r="W870" s="39">
        <f t="shared" si="102"/>
        <v>0.33333333333333331</v>
      </c>
      <c r="X870" s="40" t="s">
        <v>304</v>
      </c>
      <c r="Y870" s="40" t="s">
        <v>283</v>
      </c>
      <c r="Z870" s="40" t="s">
        <v>749</v>
      </c>
      <c r="AA870" s="33" t="s">
        <v>749</v>
      </c>
      <c r="AB870" s="95"/>
      <c r="AC870" s="95"/>
    </row>
    <row r="871" spans="1:29" ht="14.45" hidden="1" customHeight="1" x14ac:dyDescent="0.25">
      <c r="A871" s="36" t="str">
        <f>INDEX('Base de données Mono'!C:C,MATCH(B871,'Base de données Mono'!D:D,0))</f>
        <v>Monop Saint Etienne</v>
      </c>
      <c r="B871" t="s">
        <v>808</v>
      </c>
      <c r="C871" s="36" t="str">
        <f>INDEX('Base de données Mono'!B:B,MATCH(B871,'Base de données Mono'!D:D,0))</f>
        <v>Monop</v>
      </c>
      <c r="D871" s="36" t="str">
        <f>INDEX('Base de données Mono'!A:A,MATCH(B871,'Base de données Mono'!D:D,0))</f>
        <v>RL</v>
      </c>
      <c r="E871" s="37" t="s">
        <v>303</v>
      </c>
      <c r="F871" s="41">
        <f t="shared" si="97"/>
        <v>14</v>
      </c>
      <c r="G871" s="41">
        <f t="shared" si="98"/>
        <v>4</v>
      </c>
      <c r="H871">
        <v>8</v>
      </c>
      <c r="I871" s="131">
        <f>INDEX('Base de données Mono'!K:K,MATCH(B871,'Base de données Mono'!D:D,0))</f>
        <v>0.20833333333333334</v>
      </c>
      <c r="J871" s="131">
        <f>INDEX('Base de données Mono'!L:L,MATCH(B871,'Base de données Mono'!D:D,0))</f>
        <v>0.875</v>
      </c>
      <c r="K871" s="131">
        <f>INDEX('Base de données Mono'!M:M,MATCH(B871,'Base de données Mono'!D:D,0))</f>
        <v>0.20833333333333334</v>
      </c>
      <c r="L871" s="131">
        <f>INDEX('Base de données Mono'!N:N,MATCH(B871,'Base de données Mono'!D:D,0))</f>
        <v>0.58333333333333337</v>
      </c>
      <c r="M871" s="33" t="s">
        <v>46</v>
      </c>
      <c r="N871" s="33">
        <f>IF(AND(E871="Electricité",M871="Hiver"),INDEX('Base de données Mono'!E:E,MATCH(B871,'Base de données Mono'!D:D,0)),IF(AND(E871="Electricité",M871="Mi-saison"),INDEX('Base de données Mono'!F:F,MATCH(B871,'Base de données Mono'!D:D,0)),IF(AND(E871="Electricité",M871="Eté"),INDEX('Base de données Mono'!G:G,MATCH(B871,'Base de données Mono'!D:D,0)),IF(AND(E871="Gaz",M871="Hiver"),INDEX('Base de données Mono'!J:J,MATCH(B871,'Base de données Mono'!D:D,0)),IF(AND(E871="Gaz",M871="Mi-saison"),INDEX('Base de données Mono'!#REF!,MATCH(B871,'Base de données Mono'!D:D,0)),IF(AND(E871="Gaz",M871="Eté"),INDEX('Base de données Mono'!#REF!,MATCH(B871,'Base de données Mono'!D:D,0)),"-"))))))</f>
        <v>15</v>
      </c>
      <c r="O871" s="123">
        <v>45383</v>
      </c>
      <c r="P871" s="123">
        <v>45385</v>
      </c>
      <c r="Q871" s="34">
        <v>40</v>
      </c>
      <c r="R871" s="33">
        <f t="shared" si="99"/>
        <v>25</v>
      </c>
      <c r="S871" s="34">
        <v>1</v>
      </c>
      <c r="T871" s="34">
        <f t="shared" si="100"/>
        <v>2</v>
      </c>
      <c r="U871" s="33">
        <f t="shared" si="101"/>
        <v>50</v>
      </c>
      <c r="V871" s="38" t="s">
        <v>827</v>
      </c>
      <c r="W871" s="39">
        <f t="shared" si="102"/>
        <v>1.6666666666666667</v>
      </c>
      <c r="X871" s="40" t="s">
        <v>304</v>
      </c>
      <c r="Y871" s="40" t="s">
        <v>283</v>
      </c>
      <c r="Z871" s="40" t="s">
        <v>749</v>
      </c>
      <c r="AA871" s="33" t="s">
        <v>749</v>
      </c>
      <c r="AB871" s="95"/>
      <c r="AC871" s="95"/>
    </row>
    <row r="872" spans="1:29" ht="14.45" hidden="1" customHeight="1" x14ac:dyDescent="0.25">
      <c r="A872" s="36" t="str">
        <f>INDEX('Base de données Mono'!C:C,MATCH(B872,'Base de données Mono'!D:D,0))</f>
        <v>Monop Saint Etienne</v>
      </c>
      <c r="B872" t="s">
        <v>808</v>
      </c>
      <c r="C872" s="36" t="str">
        <f>INDEX('Base de données Mono'!B:B,MATCH(B872,'Base de données Mono'!D:D,0))</f>
        <v>Monop</v>
      </c>
      <c r="D872" s="36" t="str">
        <f>INDEX('Base de données Mono'!A:A,MATCH(B872,'Base de données Mono'!D:D,0))</f>
        <v>RL</v>
      </c>
      <c r="E872" s="37" t="s">
        <v>303</v>
      </c>
      <c r="F872" s="41">
        <f t="shared" si="97"/>
        <v>14</v>
      </c>
      <c r="G872" s="41">
        <f t="shared" si="98"/>
        <v>4</v>
      </c>
      <c r="H872">
        <v>8</v>
      </c>
      <c r="I872" s="131">
        <f>INDEX('Base de données Mono'!K:K,MATCH(B872,'Base de données Mono'!D:D,0))</f>
        <v>0.20833333333333334</v>
      </c>
      <c r="J872" s="131">
        <f>INDEX('Base de données Mono'!L:L,MATCH(B872,'Base de données Mono'!D:D,0))</f>
        <v>0.875</v>
      </c>
      <c r="K872" s="131">
        <f>INDEX('Base de données Mono'!M:M,MATCH(B872,'Base de données Mono'!D:D,0))</f>
        <v>0.20833333333333334</v>
      </c>
      <c r="L872" s="131">
        <f>INDEX('Base de données Mono'!N:N,MATCH(B872,'Base de données Mono'!D:D,0))</f>
        <v>0.58333333333333337</v>
      </c>
      <c r="M872" s="33" t="s">
        <v>46</v>
      </c>
      <c r="N872" s="33">
        <f>IF(AND(E872="Electricité",M872="Hiver"),INDEX('Base de données Mono'!E:E,MATCH(B872,'Base de données Mono'!D:D,0)),IF(AND(E872="Electricité",M872="Mi-saison"),INDEX('Base de données Mono'!F:F,MATCH(B872,'Base de données Mono'!D:D,0)),IF(AND(E872="Electricité",M872="Eté"),INDEX('Base de données Mono'!G:G,MATCH(B872,'Base de données Mono'!D:D,0)),IF(AND(E872="Gaz",M872="Hiver"),INDEX('Base de données Mono'!J:J,MATCH(B872,'Base de données Mono'!D:D,0)),IF(AND(E872="Gaz",M872="Mi-saison"),INDEX('Base de données Mono'!#REF!,MATCH(B872,'Base de données Mono'!D:D,0)),IF(AND(E872="Gaz",M872="Eté"),INDEX('Base de données Mono'!#REF!,MATCH(B872,'Base de données Mono'!D:D,0)),"-"))))))</f>
        <v>15</v>
      </c>
      <c r="O872" s="123">
        <v>45385</v>
      </c>
      <c r="P872" s="123">
        <v>45387</v>
      </c>
      <c r="Q872" s="34">
        <v>30</v>
      </c>
      <c r="R872" s="33">
        <f t="shared" si="99"/>
        <v>15</v>
      </c>
      <c r="S872" s="34">
        <v>1</v>
      </c>
      <c r="T872" s="34">
        <f t="shared" si="100"/>
        <v>2</v>
      </c>
      <c r="U872" s="33">
        <f t="shared" si="101"/>
        <v>30</v>
      </c>
      <c r="V872" s="38" t="s">
        <v>827</v>
      </c>
      <c r="W872" s="39">
        <f t="shared" si="102"/>
        <v>1</v>
      </c>
      <c r="X872" s="40" t="s">
        <v>304</v>
      </c>
      <c r="Y872" s="40" t="s">
        <v>283</v>
      </c>
      <c r="Z872" s="40" t="s">
        <v>749</v>
      </c>
      <c r="AA872" s="33" t="s">
        <v>749</v>
      </c>
      <c r="AB872" s="95"/>
      <c r="AC872" s="95"/>
    </row>
    <row r="873" spans="1:29" ht="14.45" hidden="1" customHeight="1" x14ac:dyDescent="0.25">
      <c r="A873" s="36" t="str">
        <f>INDEX('Base de données Mono'!C:C,MATCH(B873,'Base de données Mono'!D:D,0))</f>
        <v>Monop Saint Etienne</v>
      </c>
      <c r="B873" t="s">
        <v>808</v>
      </c>
      <c r="C873" s="36" t="str">
        <f>INDEX('Base de données Mono'!B:B,MATCH(B873,'Base de données Mono'!D:D,0))</f>
        <v>Monop</v>
      </c>
      <c r="D873" s="36" t="str">
        <f>INDEX('Base de données Mono'!A:A,MATCH(B873,'Base de données Mono'!D:D,0))</f>
        <v>RL</v>
      </c>
      <c r="E873" s="37" t="s">
        <v>303</v>
      </c>
      <c r="F873" s="41">
        <f t="shared" si="97"/>
        <v>14</v>
      </c>
      <c r="G873" s="41">
        <f t="shared" si="98"/>
        <v>4</v>
      </c>
      <c r="H873">
        <v>8</v>
      </c>
      <c r="I873" s="131">
        <f>INDEX('Base de données Mono'!K:K,MATCH(B873,'Base de données Mono'!D:D,0))</f>
        <v>0.20833333333333334</v>
      </c>
      <c r="J873" s="131">
        <f>INDEX('Base de données Mono'!L:L,MATCH(B873,'Base de données Mono'!D:D,0))</f>
        <v>0.875</v>
      </c>
      <c r="K873" s="131">
        <f>INDEX('Base de données Mono'!M:M,MATCH(B873,'Base de données Mono'!D:D,0))</f>
        <v>0.20833333333333334</v>
      </c>
      <c r="L873" s="131">
        <f>INDEX('Base de données Mono'!N:N,MATCH(B873,'Base de données Mono'!D:D,0))</f>
        <v>0.58333333333333337</v>
      </c>
      <c r="M873" s="33" t="s">
        <v>46</v>
      </c>
      <c r="N873" s="33">
        <f>IF(AND(E873="Electricité",M873="Hiver"),INDEX('Base de données Mono'!E:E,MATCH(B873,'Base de données Mono'!D:D,0)),IF(AND(E873="Electricité",M873="Mi-saison"),INDEX('Base de données Mono'!F:F,MATCH(B873,'Base de données Mono'!D:D,0)),IF(AND(E873="Electricité",M873="Eté"),INDEX('Base de données Mono'!G:G,MATCH(B873,'Base de données Mono'!D:D,0)),IF(AND(E873="Gaz",M873="Hiver"),INDEX('Base de données Mono'!J:J,MATCH(B873,'Base de données Mono'!D:D,0)),IF(AND(E873="Gaz",M873="Mi-saison"),INDEX('Base de données Mono'!#REF!,MATCH(B873,'Base de données Mono'!D:D,0)),IF(AND(E873="Gaz",M873="Eté"),INDEX('Base de données Mono'!#REF!,MATCH(B873,'Base de données Mono'!D:D,0)),"-"))))))</f>
        <v>15</v>
      </c>
      <c r="O873" s="123">
        <v>45385</v>
      </c>
      <c r="P873" s="123">
        <v>45389</v>
      </c>
      <c r="Q873" s="34">
        <v>20</v>
      </c>
      <c r="R873" s="33">
        <f t="shared" si="99"/>
        <v>5</v>
      </c>
      <c r="S873" s="34">
        <v>6</v>
      </c>
      <c r="T873" s="34">
        <f t="shared" si="100"/>
        <v>4</v>
      </c>
      <c r="U873" s="33">
        <f t="shared" si="101"/>
        <v>120</v>
      </c>
      <c r="V873" s="38" t="s">
        <v>827</v>
      </c>
      <c r="W873" s="39">
        <f t="shared" si="102"/>
        <v>0.33333333333333331</v>
      </c>
      <c r="X873" s="40" t="s">
        <v>304</v>
      </c>
      <c r="Y873" s="40" t="s">
        <v>283</v>
      </c>
      <c r="Z873" s="40" t="s">
        <v>749</v>
      </c>
      <c r="AA873" s="33" t="s">
        <v>749</v>
      </c>
      <c r="AB873" s="95"/>
      <c r="AC873" s="95"/>
    </row>
    <row r="874" spans="1:29" ht="14.45" hidden="1" customHeight="1" x14ac:dyDescent="0.25">
      <c r="A874" s="36" t="str">
        <f>INDEX('Base de données Mono'!C:C,MATCH(B874,'Base de données Mono'!D:D,0))</f>
        <v>Monop Toulouse Matabiau</v>
      </c>
      <c r="B874" t="s">
        <v>810</v>
      </c>
      <c r="C874" s="36" t="str">
        <f>INDEX('Base de données Mono'!B:B,MATCH(B874,'Base de données Mono'!D:D,0))</f>
        <v>Monop</v>
      </c>
      <c r="D874" s="36" t="str">
        <f>INDEX('Base de données Mono'!A:A,MATCH(B874,'Base de données Mono'!D:D,0))</f>
        <v>AL</v>
      </c>
      <c r="E874" s="37" t="s">
        <v>303</v>
      </c>
      <c r="F874" s="41">
        <f t="shared" si="97"/>
        <v>14</v>
      </c>
      <c r="G874" s="41">
        <f t="shared" si="98"/>
        <v>4</v>
      </c>
      <c r="H874">
        <v>7</v>
      </c>
      <c r="I874" s="131">
        <f>INDEX('Base de données Mono'!K:K,MATCH(B874,'Base de données Mono'!D:D,0))</f>
        <v>0.20833333333333334</v>
      </c>
      <c r="J874" s="131">
        <f>INDEX('Base de données Mono'!L:L,MATCH(B874,'Base de données Mono'!D:D,0))</f>
        <v>0.91666666666666663</v>
      </c>
      <c r="K874" s="131">
        <f>INDEX('Base de données Mono'!M:M,MATCH(B874,'Base de données Mono'!D:D,0))</f>
        <v>0.20833333333333334</v>
      </c>
      <c r="L874" s="131">
        <f>INDEX('Base de données Mono'!N:N,MATCH(B874,'Base de données Mono'!D:D,0))</f>
        <v>0.58333333333333337</v>
      </c>
      <c r="M874" s="33" t="s">
        <v>46</v>
      </c>
      <c r="N874" s="33">
        <f>IF(AND(E874="Electricité",M874="Hiver"),INDEX('Base de données Mono'!E:E,MATCH(B874,'Base de données Mono'!D:D,0)),IF(AND(E874="Electricité",M874="Mi-saison"),INDEX('Base de données Mono'!F:F,MATCH(B874,'Base de données Mono'!D:D,0)),IF(AND(E874="Electricité",M874="Eté"),INDEX('Base de données Mono'!G:G,MATCH(B874,'Base de données Mono'!D:D,0)),IF(AND(E874="Gaz",M874="Hiver"),INDEX('Base de données Mono'!J:J,MATCH(B874,'Base de données Mono'!D:D,0)),IF(AND(E874="Gaz",M874="Mi-saison"),INDEX('Base de données Mono'!#REF!,MATCH(B874,'Base de données Mono'!D:D,0)),IF(AND(E874="Gaz",M874="Eté"),INDEX('Base de données Mono'!#REF!,MATCH(B874,'Base de données Mono'!D:D,0)),"-"))))))</f>
        <v>15</v>
      </c>
      <c r="O874" s="123">
        <v>45383</v>
      </c>
      <c r="P874" s="123">
        <v>45384</v>
      </c>
      <c r="Q874" s="34">
        <v>25</v>
      </c>
      <c r="R874" s="33">
        <f t="shared" si="99"/>
        <v>10</v>
      </c>
      <c r="S874" s="34">
        <v>7</v>
      </c>
      <c r="T874" s="34">
        <f t="shared" si="100"/>
        <v>1</v>
      </c>
      <c r="U874" s="33">
        <f t="shared" si="101"/>
        <v>70</v>
      </c>
      <c r="V874" s="38" t="s">
        <v>827</v>
      </c>
      <c r="W874" s="39">
        <f t="shared" si="102"/>
        <v>0.66666666666666663</v>
      </c>
      <c r="X874" s="40" t="s">
        <v>304</v>
      </c>
      <c r="Y874" s="40" t="s">
        <v>283</v>
      </c>
      <c r="Z874" s="40" t="s">
        <v>749</v>
      </c>
      <c r="AA874" s="33" t="s">
        <v>749</v>
      </c>
      <c r="AB874" s="95"/>
      <c r="AC874" s="95"/>
    </row>
    <row r="875" spans="1:29" ht="14.45" hidden="1" customHeight="1" x14ac:dyDescent="0.25">
      <c r="A875" s="36" t="str">
        <f>INDEX('Base de données Mono'!C:C,MATCH(B875,'Base de données Mono'!D:D,0))</f>
        <v>Lebouscat Maronniers</v>
      </c>
      <c r="B875" t="s">
        <v>802</v>
      </c>
      <c r="C875" s="36" t="str">
        <f>INDEX('Base de données Mono'!B:B,MATCH(B875,'Base de données Mono'!D:D,0))</f>
        <v>Monoprix</v>
      </c>
      <c r="D875" s="36" t="str">
        <f>INDEX('Base de données Mono'!A:A,MATCH(B875,'Base de données Mono'!D:D,0))</f>
        <v>RL</v>
      </c>
      <c r="E875" s="37" t="s">
        <v>303</v>
      </c>
      <c r="F875" s="41">
        <f t="shared" si="97"/>
        <v>14</v>
      </c>
      <c r="G875" s="41">
        <f t="shared" si="98"/>
        <v>4</v>
      </c>
      <c r="H875">
        <v>8</v>
      </c>
      <c r="I875" s="131">
        <f>INDEX('Base de données Mono'!K:K,MATCH(B875,'Base de données Mono'!D:D,0))</f>
        <v>0.20833333333333334</v>
      </c>
      <c r="J875" s="131">
        <f>INDEX('Base de données Mono'!L:L,MATCH(B875,'Base de données Mono'!D:D,0))</f>
        <v>0.875</v>
      </c>
      <c r="K875" s="131">
        <f>INDEX('Base de données Mono'!M:M,MATCH(B875,'Base de données Mono'!D:D,0))</f>
        <v>0.20833333333333334</v>
      </c>
      <c r="L875" s="131">
        <f>INDEX('Base de données Mono'!N:N,MATCH(B875,'Base de données Mono'!D:D,0))</f>
        <v>0.875</v>
      </c>
      <c r="M875" s="33" t="s">
        <v>46</v>
      </c>
      <c r="N875" s="33">
        <f>IF(AND(E875="Electricité",M875="Hiver"),INDEX('Base de données Mono'!E:E,MATCH(B875,'Base de données Mono'!D:D,0)),IF(AND(E875="Electricité",M875="Mi-saison"),INDEX('Base de données Mono'!F:F,MATCH(B875,'Base de données Mono'!D:D,0)),IF(AND(E875="Electricité",M875="Eté"),INDEX('Base de données Mono'!G:G,MATCH(B875,'Base de données Mono'!D:D,0)),IF(AND(E875="Gaz",M875="Hiver"),INDEX('Base de données Mono'!J:J,MATCH(B875,'Base de données Mono'!D:D,0)),IF(AND(E875="Gaz",M875="Mi-saison"),INDEX('Base de données Mono'!#REF!,MATCH(B875,'Base de données Mono'!D:D,0)),IF(AND(E875="Gaz",M875="Eté"),INDEX('Base de données Mono'!#REF!,MATCH(B875,'Base de données Mono'!D:D,0)),"-"))))))</f>
        <v>68</v>
      </c>
      <c r="O875" s="123">
        <v>45383</v>
      </c>
      <c r="P875" s="123">
        <v>45386</v>
      </c>
      <c r="Q875" s="34">
        <v>75</v>
      </c>
      <c r="R875" s="33">
        <f t="shared" si="99"/>
        <v>7</v>
      </c>
      <c r="S875" s="34">
        <v>3</v>
      </c>
      <c r="T875" s="34">
        <f t="shared" si="100"/>
        <v>3</v>
      </c>
      <c r="U875" s="33">
        <f t="shared" si="101"/>
        <v>63</v>
      </c>
      <c r="V875" s="38" t="s">
        <v>827</v>
      </c>
      <c r="W875" s="39">
        <f t="shared" si="102"/>
        <v>0.10294117647058823</v>
      </c>
      <c r="X875" s="40" t="s">
        <v>304</v>
      </c>
      <c r="Y875" s="40" t="s">
        <v>283</v>
      </c>
      <c r="Z875" s="40" t="s">
        <v>749</v>
      </c>
      <c r="AA875" s="33" t="s">
        <v>749</v>
      </c>
      <c r="AB875" s="95"/>
      <c r="AC875" s="95"/>
    </row>
    <row r="876" spans="1:29" ht="14.45" hidden="1" customHeight="1" x14ac:dyDescent="0.25">
      <c r="A876" s="36" t="str">
        <f>INDEX('Base de données Mono'!C:C,MATCH(B876,'Base de données Mono'!D:D,0))</f>
        <v>Lebouscat Maronniers</v>
      </c>
      <c r="B876" t="s">
        <v>802</v>
      </c>
      <c r="C876" s="36" t="str">
        <f>INDEX('Base de données Mono'!B:B,MATCH(B876,'Base de données Mono'!D:D,0))</f>
        <v>Monoprix</v>
      </c>
      <c r="D876" s="36" t="str">
        <f>INDEX('Base de données Mono'!A:A,MATCH(B876,'Base de données Mono'!D:D,0))</f>
        <v>RL</v>
      </c>
      <c r="E876" s="37" t="s">
        <v>303</v>
      </c>
      <c r="F876" s="41">
        <f t="shared" si="97"/>
        <v>14</v>
      </c>
      <c r="G876" s="41">
        <f t="shared" si="98"/>
        <v>4</v>
      </c>
      <c r="H876">
        <v>8</v>
      </c>
      <c r="I876" s="131">
        <f>INDEX('Base de données Mono'!K:K,MATCH(B876,'Base de données Mono'!D:D,0))</f>
        <v>0.20833333333333334</v>
      </c>
      <c r="J876" s="131">
        <f>INDEX('Base de données Mono'!L:L,MATCH(B876,'Base de données Mono'!D:D,0))</f>
        <v>0.875</v>
      </c>
      <c r="K876" s="131">
        <f>INDEX('Base de données Mono'!M:M,MATCH(B876,'Base de données Mono'!D:D,0))</f>
        <v>0.20833333333333334</v>
      </c>
      <c r="L876" s="131">
        <f>INDEX('Base de données Mono'!N:N,MATCH(B876,'Base de données Mono'!D:D,0))</f>
        <v>0.875</v>
      </c>
      <c r="M876" s="33" t="s">
        <v>46</v>
      </c>
      <c r="N876" s="33">
        <f>IF(AND(E876="Electricité",M876="Hiver"),INDEX('Base de données Mono'!E:E,MATCH(B876,'Base de données Mono'!D:D,0)),IF(AND(E876="Electricité",M876="Mi-saison"),INDEX('Base de données Mono'!F:F,MATCH(B876,'Base de données Mono'!D:D,0)),IF(AND(E876="Electricité",M876="Eté"),INDEX('Base de données Mono'!G:G,MATCH(B876,'Base de données Mono'!D:D,0)),IF(AND(E876="Gaz",M876="Hiver"),INDEX('Base de données Mono'!J:J,MATCH(B876,'Base de données Mono'!D:D,0)),IF(AND(E876="Gaz",M876="Mi-saison"),INDEX('Base de données Mono'!#REF!,MATCH(B876,'Base de données Mono'!D:D,0)),IF(AND(E876="Gaz",M876="Eté"),INDEX('Base de données Mono'!#REF!,MATCH(B876,'Base de données Mono'!D:D,0)),"-"))))))</f>
        <v>68</v>
      </c>
      <c r="O876" s="123">
        <v>45383</v>
      </c>
      <c r="P876" s="123">
        <v>45384</v>
      </c>
      <c r="Q876" s="34">
        <v>95</v>
      </c>
      <c r="R876" s="33">
        <f t="shared" si="99"/>
        <v>27</v>
      </c>
      <c r="S876" s="34">
        <v>1</v>
      </c>
      <c r="T876" s="34">
        <f t="shared" si="100"/>
        <v>1</v>
      </c>
      <c r="U876" s="33">
        <f t="shared" si="101"/>
        <v>27</v>
      </c>
      <c r="V876" s="38" t="s">
        <v>827</v>
      </c>
      <c r="W876" s="39">
        <f t="shared" si="102"/>
        <v>0.39705882352941174</v>
      </c>
      <c r="X876" s="40" t="s">
        <v>304</v>
      </c>
      <c r="Y876" s="40" t="s">
        <v>283</v>
      </c>
      <c r="Z876" s="40" t="s">
        <v>749</v>
      </c>
      <c r="AA876" s="33" t="s">
        <v>749</v>
      </c>
      <c r="AB876" s="95"/>
      <c r="AC876" s="95"/>
    </row>
    <row r="877" spans="1:29" ht="14.45" hidden="1" customHeight="1" x14ac:dyDescent="0.25">
      <c r="A877" s="36" t="str">
        <f>INDEX('Base de données Mono'!C:C,MATCH(B877,'Base de données Mono'!D:D,0))</f>
        <v>Lebouscat Maronniers</v>
      </c>
      <c r="B877" t="s">
        <v>802</v>
      </c>
      <c r="C877" s="36" t="str">
        <f>INDEX('Base de données Mono'!B:B,MATCH(B877,'Base de données Mono'!D:D,0))</f>
        <v>Monoprix</v>
      </c>
      <c r="D877" s="36" t="str">
        <f>INDEX('Base de données Mono'!A:A,MATCH(B877,'Base de données Mono'!D:D,0))</f>
        <v>RL</v>
      </c>
      <c r="E877" s="37" t="s">
        <v>303</v>
      </c>
      <c r="F877" s="41">
        <f t="shared" si="97"/>
        <v>14</v>
      </c>
      <c r="G877" s="41">
        <f t="shared" si="98"/>
        <v>4</v>
      </c>
      <c r="H877">
        <v>8</v>
      </c>
      <c r="I877" s="131">
        <f>INDEX('Base de données Mono'!K:K,MATCH(B877,'Base de données Mono'!D:D,0))</f>
        <v>0.20833333333333334</v>
      </c>
      <c r="J877" s="131">
        <f>INDEX('Base de données Mono'!L:L,MATCH(B877,'Base de données Mono'!D:D,0))</f>
        <v>0.875</v>
      </c>
      <c r="K877" s="131">
        <f>INDEX('Base de données Mono'!M:M,MATCH(B877,'Base de données Mono'!D:D,0))</f>
        <v>0.20833333333333334</v>
      </c>
      <c r="L877" s="131">
        <f>INDEX('Base de données Mono'!N:N,MATCH(B877,'Base de données Mono'!D:D,0))</f>
        <v>0.875</v>
      </c>
      <c r="M877" s="33" t="s">
        <v>46</v>
      </c>
      <c r="N877" s="33">
        <f>IF(AND(E877="Electricité",M877="Hiver"),INDEX('Base de données Mono'!E:E,MATCH(B877,'Base de données Mono'!D:D,0)),IF(AND(E877="Electricité",M877="Mi-saison"),INDEX('Base de données Mono'!F:F,MATCH(B877,'Base de données Mono'!D:D,0)),IF(AND(E877="Electricité",M877="Eté"),INDEX('Base de données Mono'!G:G,MATCH(B877,'Base de données Mono'!D:D,0)),IF(AND(E877="Gaz",M877="Hiver"),INDEX('Base de données Mono'!J:J,MATCH(B877,'Base de données Mono'!D:D,0)),IF(AND(E877="Gaz",M877="Mi-saison"),INDEX('Base de données Mono'!#REF!,MATCH(B877,'Base de données Mono'!D:D,0)),IF(AND(E877="Gaz",M877="Eté"),INDEX('Base de données Mono'!#REF!,MATCH(B877,'Base de données Mono'!D:D,0)),"-"))))))</f>
        <v>68</v>
      </c>
      <c r="O877" s="123">
        <v>45385</v>
      </c>
      <c r="P877" s="123">
        <v>45387</v>
      </c>
      <c r="Q877" s="34">
        <v>95</v>
      </c>
      <c r="R877" s="33">
        <f t="shared" si="99"/>
        <v>27</v>
      </c>
      <c r="S877" s="34">
        <v>1</v>
      </c>
      <c r="T877" s="34">
        <f t="shared" si="100"/>
        <v>2</v>
      </c>
      <c r="U877" s="33">
        <f t="shared" si="101"/>
        <v>54</v>
      </c>
      <c r="V877" s="38" t="s">
        <v>827</v>
      </c>
      <c r="W877" s="39">
        <f t="shared" si="102"/>
        <v>0.39705882352941174</v>
      </c>
      <c r="X877" s="40" t="s">
        <v>304</v>
      </c>
      <c r="Y877" s="40" t="s">
        <v>283</v>
      </c>
      <c r="Z877" s="40" t="s">
        <v>749</v>
      </c>
      <c r="AA877" s="33" t="s">
        <v>749</v>
      </c>
      <c r="AB877" s="95"/>
      <c r="AC877" s="95"/>
    </row>
    <row r="878" spans="1:29" ht="14.45" hidden="1" customHeight="1" x14ac:dyDescent="0.25">
      <c r="A878" s="36" t="str">
        <f>INDEX('Base de données Mono'!C:C,MATCH(B878,'Base de données Mono'!D:D,0))</f>
        <v>Lebouscat Maronniers</v>
      </c>
      <c r="B878" t="s">
        <v>802</v>
      </c>
      <c r="C878" s="36" t="str">
        <f>INDEX('Base de données Mono'!B:B,MATCH(B878,'Base de données Mono'!D:D,0))</f>
        <v>Monoprix</v>
      </c>
      <c r="D878" s="36" t="str">
        <f>INDEX('Base de données Mono'!A:A,MATCH(B878,'Base de données Mono'!D:D,0))</f>
        <v>RL</v>
      </c>
      <c r="E878" s="37" t="s">
        <v>303</v>
      </c>
      <c r="F878" s="41">
        <f t="shared" si="97"/>
        <v>14</v>
      </c>
      <c r="G878" s="41">
        <f t="shared" si="98"/>
        <v>4</v>
      </c>
      <c r="H878">
        <v>8</v>
      </c>
      <c r="I878" s="131">
        <f>INDEX('Base de données Mono'!K:K,MATCH(B878,'Base de données Mono'!D:D,0))</f>
        <v>0.20833333333333334</v>
      </c>
      <c r="J878" s="131">
        <f>INDEX('Base de données Mono'!L:L,MATCH(B878,'Base de données Mono'!D:D,0))</f>
        <v>0.875</v>
      </c>
      <c r="K878" s="131">
        <f>INDEX('Base de données Mono'!M:M,MATCH(B878,'Base de données Mono'!D:D,0))</f>
        <v>0.20833333333333334</v>
      </c>
      <c r="L878" s="131">
        <f>INDEX('Base de données Mono'!N:N,MATCH(B878,'Base de données Mono'!D:D,0))</f>
        <v>0.875</v>
      </c>
      <c r="M878" s="33" t="s">
        <v>46</v>
      </c>
      <c r="N878" s="33">
        <f>IF(AND(E878="Electricité",M878="Hiver"),INDEX('Base de données Mono'!E:E,MATCH(B878,'Base de données Mono'!D:D,0)),IF(AND(E878="Electricité",M878="Mi-saison"),INDEX('Base de données Mono'!F:F,MATCH(B878,'Base de données Mono'!D:D,0)),IF(AND(E878="Electricité",M878="Eté"),INDEX('Base de données Mono'!G:G,MATCH(B878,'Base de données Mono'!D:D,0)),IF(AND(E878="Gaz",M878="Hiver"),INDEX('Base de données Mono'!J:J,MATCH(B878,'Base de données Mono'!D:D,0)),IF(AND(E878="Gaz",M878="Mi-saison"),INDEX('Base de données Mono'!#REF!,MATCH(B878,'Base de données Mono'!D:D,0)),IF(AND(E878="Gaz",M878="Eté"),INDEX('Base de données Mono'!#REF!,MATCH(B878,'Base de données Mono'!D:D,0)),"-"))))))</f>
        <v>68</v>
      </c>
      <c r="O878" s="123">
        <v>45386</v>
      </c>
      <c r="P878" s="123">
        <v>45388</v>
      </c>
      <c r="Q878" s="34">
        <v>75</v>
      </c>
      <c r="R878" s="33">
        <f t="shared" si="99"/>
        <v>7</v>
      </c>
      <c r="S878" s="34">
        <v>6</v>
      </c>
      <c r="T878" s="34">
        <f t="shared" si="100"/>
        <v>2</v>
      </c>
      <c r="U878" s="33">
        <f t="shared" si="101"/>
        <v>84</v>
      </c>
      <c r="V878" s="38" t="s">
        <v>827</v>
      </c>
      <c r="W878" s="39">
        <f t="shared" si="102"/>
        <v>0.10294117647058823</v>
      </c>
      <c r="X878" s="40" t="s">
        <v>304</v>
      </c>
      <c r="Y878" s="40" t="s">
        <v>283</v>
      </c>
      <c r="Z878" s="40" t="s">
        <v>749</v>
      </c>
      <c r="AA878" s="33" t="s">
        <v>749</v>
      </c>
      <c r="AB878" s="95"/>
      <c r="AC878" s="95"/>
    </row>
    <row r="879" spans="1:29" ht="14.45" hidden="1" customHeight="1" x14ac:dyDescent="0.25">
      <c r="A879" s="36" t="str">
        <f>INDEX('Base de données Mono'!C:C,MATCH(B879,'Base de données Mono'!D:D,0))</f>
        <v>Lebouscat Maronniers</v>
      </c>
      <c r="B879" t="s">
        <v>802</v>
      </c>
      <c r="C879" s="36" t="str">
        <f>INDEX('Base de données Mono'!B:B,MATCH(B879,'Base de données Mono'!D:D,0))</f>
        <v>Monoprix</v>
      </c>
      <c r="D879" s="36" t="str">
        <f>INDEX('Base de données Mono'!A:A,MATCH(B879,'Base de données Mono'!D:D,0))</f>
        <v>RL</v>
      </c>
      <c r="E879" s="37" t="s">
        <v>303</v>
      </c>
      <c r="F879" s="41">
        <f t="shared" si="97"/>
        <v>14</v>
      </c>
      <c r="G879" s="41">
        <f t="shared" si="98"/>
        <v>4</v>
      </c>
      <c r="H879">
        <v>8</v>
      </c>
      <c r="I879" s="131">
        <f>INDEX('Base de données Mono'!K:K,MATCH(B879,'Base de données Mono'!D:D,0))</f>
        <v>0.20833333333333334</v>
      </c>
      <c r="J879" s="131">
        <f>INDEX('Base de données Mono'!L:L,MATCH(B879,'Base de données Mono'!D:D,0))</f>
        <v>0.875</v>
      </c>
      <c r="K879" s="131">
        <f>INDEX('Base de données Mono'!M:M,MATCH(B879,'Base de données Mono'!D:D,0))</f>
        <v>0.20833333333333334</v>
      </c>
      <c r="L879" s="131">
        <f>INDEX('Base de données Mono'!N:N,MATCH(B879,'Base de données Mono'!D:D,0))</f>
        <v>0.875</v>
      </c>
      <c r="M879" s="33" t="s">
        <v>46</v>
      </c>
      <c r="N879" s="33">
        <f>IF(AND(E879="Electricité",M879="Hiver"),INDEX('Base de données Mono'!E:E,MATCH(B879,'Base de données Mono'!D:D,0)),IF(AND(E879="Electricité",M879="Mi-saison"),INDEX('Base de données Mono'!F:F,MATCH(B879,'Base de données Mono'!D:D,0)),IF(AND(E879="Electricité",M879="Eté"),INDEX('Base de données Mono'!G:G,MATCH(B879,'Base de données Mono'!D:D,0)),IF(AND(E879="Gaz",M879="Hiver"),INDEX('Base de données Mono'!J:J,MATCH(B879,'Base de données Mono'!D:D,0)),IF(AND(E879="Gaz",M879="Mi-saison"),INDEX('Base de données Mono'!#REF!,MATCH(B879,'Base de données Mono'!D:D,0)),IF(AND(E879="Gaz",M879="Eté"),INDEX('Base de données Mono'!#REF!,MATCH(B879,'Base de données Mono'!D:D,0)),"-"))))))</f>
        <v>68</v>
      </c>
      <c r="O879" s="123">
        <v>45387</v>
      </c>
      <c r="P879" s="123">
        <v>45388</v>
      </c>
      <c r="Q879" s="34">
        <v>100</v>
      </c>
      <c r="R879" s="33">
        <f t="shared" si="99"/>
        <v>32</v>
      </c>
      <c r="S879" s="34">
        <v>1</v>
      </c>
      <c r="T879" s="34">
        <f t="shared" si="100"/>
        <v>1</v>
      </c>
      <c r="U879" s="33">
        <f t="shared" si="101"/>
        <v>32</v>
      </c>
      <c r="V879" s="38" t="s">
        <v>827</v>
      </c>
      <c r="W879" s="39">
        <f t="shared" si="102"/>
        <v>0.47058823529411764</v>
      </c>
      <c r="X879" s="40" t="s">
        <v>304</v>
      </c>
      <c r="Y879" s="40" t="s">
        <v>283</v>
      </c>
      <c r="Z879" s="40" t="s">
        <v>749</v>
      </c>
      <c r="AA879" s="33" t="s">
        <v>749</v>
      </c>
      <c r="AB879" s="95"/>
      <c r="AC879" s="95"/>
    </row>
    <row r="880" spans="1:29" ht="14.45" hidden="1" customHeight="1" x14ac:dyDescent="0.25">
      <c r="A880" s="36" t="str">
        <f>INDEX('Base de données Mono'!C:C,MATCH(B880,'Base de données Mono'!D:D,0))</f>
        <v>Lebouscat Maronniers</v>
      </c>
      <c r="B880" t="s">
        <v>802</v>
      </c>
      <c r="C880" s="36" t="str">
        <f>INDEX('Base de données Mono'!B:B,MATCH(B880,'Base de données Mono'!D:D,0))</f>
        <v>Monoprix</v>
      </c>
      <c r="D880" s="36" t="str">
        <f>INDEX('Base de données Mono'!A:A,MATCH(B880,'Base de données Mono'!D:D,0))</f>
        <v>RL</v>
      </c>
      <c r="E880" s="37" t="s">
        <v>303</v>
      </c>
      <c r="F880" s="41">
        <f t="shared" si="97"/>
        <v>14</v>
      </c>
      <c r="G880" s="41">
        <f t="shared" si="98"/>
        <v>4</v>
      </c>
      <c r="H880">
        <v>8</v>
      </c>
      <c r="I880" s="131">
        <f>INDEX('Base de données Mono'!K:K,MATCH(B880,'Base de données Mono'!D:D,0))</f>
        <v>0.20833333333333334</v>
      </c>
      <c r="J880" s="131">
        <f>INDEX('Base de données Mono'!L:L,MATCH(B880,'Base de données Mono'!D:D,0))</f>
        <v>0.875</v>
      </c>
      <c r="K880" s="131">
        <f>INDEX('Base de données Mono'!M:M,MATCH(B880,'Base de données Mono'!D:D,0))</f>
        <v>0.20833333333333334</v>
      </c>
      <c r="L880" s="131">
        <f>INDEX('Base de données Mono'!N:N,MATCH(B880,'Base de données Mono'!D:D,0))</f>
        <v>0.875</v>
      </c>
      <c r="M880" s="33" t="s">
        <v>46</v>
      </c>
      <c r="N880" s="33">
        <f>IF(AND(E880="Electricité",M880="Hiver"),INDEX('Base de données Mono'!E:E,MATCH(B880,'Base de données Mono'!D:D,0)),IF(AND(E880="Electricité",M880="Mi-saison"),INDEX('Base de données Mono'!F:F,MATCH(B880,'Base de données Mono'!D:D,0)),IF(AND(E880="Electricité",M880="Eté"),INDEX('Base de données Mono'!G:G,MATCH(B880,'Base de données Mono'!D:D,0)),IF(AND(E880="Gaz",M880="Hiver"),INDEX('Base de données Mono'!J:J,MATCH(B880,'Base de données Mono'!D:D,0)),IF(AND(E880="Gaz",M880="Mi-saison"),INDEX('Base de données Mono'!#REF!,MATCH(B880,'Base de données Mono'!D:D,0)),IF(AND(E880="Gaz",M880="Eté"),INDEX('Base de données Mono'!#REF!,MATCH(B880,'Base de données Mono'!D:D,0)),"-"))))))</f>
        <v>68</v>
      </c>
      <c r="O880" s="123">
        <v>45388</v>
      </c>
      <c r="P880" s="123">
        <v>45389</v>
      </c>
      <c r="Q880" s="34">
        <v>75</v>
      </c>
      <c r="R880" s="33">
        <f t="shared" si="99"/>
        <v>7</v>
      </c>
      <c r="S880" s="34">
        <v>7</v>
      </c>
      <c r="T880" s="34">
        <f t="shared" si="100"/>
        <v>1</v>
      </c>
      <c r="U880" s="33">
        <f t="shared" si="101"/>
        <v>49</v>
      </c>
      <c r="V880" s="38" t="s">
        <v>827</v>
      </c>
      <c r="W880" s="39">
        <f t="shared" si="102"/>
        <v>0.10294117647058823</v>
      </c>
      <c r="X880" s="40" t="s">
        <v>304</v>
      </c>
      <c r="Y880" s="40" t="s">
        <v>283</v>
      </c>
      <c r="Z880" s="40" t="s">
        <v>749</v>
      </c>
      <c r="AA880" s="33" t="s">
        <v>749</v>
      </c>
      <c r="AB880" s="95"/>
      <c r="AC880" s="95"/>
    </row>
    <row r="881" spans="1:29" ht="14.45" hidden="1" customHeight="1" x14ac:dyDescent="0.25">
      <c r="A881" s="36" t="str">
        <f>INDEX('Base de données Mono'!C:C,MATCH(B881,'Base de données Mono'!D:D,0))</f>
        <v>Monop Amiens</v>
      </c>
      <c r="B881" t="s">
        <v>804</v>
      </c>
      <c r="C881" s="36" t="str">
        <f>INDEX('Base de données Mono'!B:B,MATCH(B881,'Base de données Mono'!D:D,0))</f>
        <v>Monop</v>
      </c>
      <c r="D881" s="36" t="str">
        <f>INDEX('Base de données Mono'!A:A,MATCH(B881,'Base de données Mono'!D:D,0))</f>
        <v>AL</v>
      </c>
      <c r="E881" s="37" t="s">
        <v>303</v>
      </c>
      <c r="F881" s="41">
        <f t="shared" si="97"/>
        <v>14</v>
      </c>
      <c r="G881" s="41">
        <f t="shared" si="98"/>
        <v>4</v>
      </c>
      <c r="H881">
        <v>8</v>
      </c>
      <c r="I881" s="131">
        <f>INDEX('Base de données Mono'!K:K,MATCH(B881,'Base de données Mono'!D:D,0))</f>
        <v>0.20833333333333334</v>
      </c>
      <c r="J881" s="131">
        <f>INDEX('Base de données Mono'!L:L,MATCH(B881,'Base de données Mono'!D:D,0))</f>
        <v>0.875</v>
      </c>
      <c r="K881" s="131">
        <f>INDEX('Base de données Mono'!M:M,MATCH(B881,'Base de données Mono'!D:D,0))</f>
        <v>0.20833333333333334</v>
      </c>
      <c r="L881" s="131">
        <f>INDEX('Base de données Mono'!N:N,MATCH(B881,'Base de données Mono'!D:D,0))</f>
        <v>0.58333333333333337</v>
      </c>
      <c r="M881" s="33" t="s">
        <v>46</v>
      </c>
      <c r="N881" s="33">
        <f>IF(AND(E881="Electricité",M881="Hiver"),INDEX('Base de données Mono'!E:E,MATCH(B881,'Base de données Mono'!D:D,0)),IF(AND(E881="Electricité",M881="Mi-saison"),INDEX('Base de données Mono'!F:F,MATCH(B881,'Base de données Mono'!D:D,0)),IF(AND(E881="Electricité",M881="Eté"),INDEX('Base de données Mono'!G:G,MATCH(B881,'Base de données Mono'!D:D,0)),IF(AND(E881="Gaz",M881="Hiver"),INDEX('Base de données Mono'!J:J,MATCH(B881,'Base de données Mono'!D:D,0)),IF(AND(E881="Gaz",M881="Mi-saison"),INDEX('Base de données Mono'!#REF!,MATCH(B881,'Base de données Mono'!D:D,0)),IF(AND(E881="Gaz",M881="Eté"),INDEX('Base de données Mono'!#REF!,MATCH(B881,'Base de données Mono'!D:D,0)),"-"))))))</f>
        <v>10</v>
      </c>
      <c r="O881" s="123">
        <v>45383</v>
      </c>
      <c r="P881" s="123">
        <v>45385</v>
      </c>
      <c r="Q881" s="34">
        <v>15</v>
      </c>
      <c r="R881" s="33">
        <f t="shared" si="99"/>
        <v>5</v>
      </c>
      <c r="S881" s="34">
        <v>2</v>
      </c>
      <c r="T881" s="34">
        <f t="shared" si="100"/>
        <v>2</v>
      </c>
      <c r="U881" s="33">
        <f t="shared" si="101"/>
        <v>20</v>
      </c>
      <c r="V881" s="38" t="s">
        <v>827</v>
      </c>
      <c r="W881" s="39">
        <f t="shared" si="102"/>
        <v>0.5</v>
      </c>
      <c r="X881" s="40" t="s">
        <v>304</v>
      </c>
      <c r="Y881" s="40" t="s">
        <v>283</v>
      </c>
      <c r="Z881" s="40" t="s">
        <v>749</v>
      </c>
      <c r="AA881" s="33" t="s">
        <v>749</v>
      </c>
      <c r="AB881" s="95"/>
      <c r="AC881" s="95"/>
    </row>
    <row r="882" spans="1:29" ht="14.45" hidden="1" customHeight="1" x14ac:dyDescent="0.25">
      <c r="A882" s="36" t="str">
        <f>INDEX('Base de données Mono'!C:C,MATCH(B882,'Base de données Mono'!D:D,0))</f>
        <v>Versailles Carnot</v>
      </c>
      <c r="B882" t="s">
        <v>512</v>
      </c>
      <c r="C882" s="36" t="str">
        <f>INDEX('Base de données Mono'!B:B,MATCH(B882,'Base de données Mono'!D:D,0))</f>
        <v>Monop</v>
      </c>
      <c r="D882" s="36" t="str">
        <f>INDEX('Base de données Mono'!A:A,MATCH(B882,'Base de données Mono'!D:D,0))</f>
        <v>-</v>
      </c>
      <c r="E882" s="37" t="s">
        <v>303</v>
      </c>
      <c r="F882" s="41">
        <f t="shared" si="97"/>
        <v>14</v>
      </c>
      <c r="G882" s="41">
        <f t="shared" si="98"/>
        <v>4</v>
      </c>
      <c r="H882">
        <v>9</v>
      </c>
      <c r="I882" s="131">
        <f>INDEX('Base de données Mono'!K:K,MATCH(B882,'Base de données Mono'!D:D,0))</f>
        <v>0.22916666666666666</v>
      </c>
      <c r="J882" s="131">
        <f>INDEX('Base de données Mono'!L:L,MATCH(B882,'Base de données Mono'!D:D,0))</f>
        <v>0.85416666666666663</v>
      </c>
      <c r="K882" s="131">
        <f>INDEX('Base de données Mono'!M:M,MATCH(B882,'Base de données Mono'!D:D,0))</f>
        <v>0.3263888888888889</v>
      </c>
      <c r="L882" s="131">
        <f>INDEX('Base de données Mono'!N:N,MATCH(B882,'Base de données Mono'!D:D,0))</f>
        <v>0.55555555555555558</v>
      </c>
      <c r="M882" s="33" t="s">
        <v>46</v>
      </c>
      <c r="N882" s="33">
        <f>IF(AND(E882="Electricité",M882="Hiver"),INDEX('Base de données Mono'!E:E,MATCH(B882,'Base de données Mono'!D:D,0)),IF(AND(E882="Electricité",M882="Mi-saison"),INDEX('Base de données Mono'!F:F,MATCH(B882,'Base de données Mono'!D:D,0)),IF(AND(E882="Electricité",M882="Eté"),INDEX('Base de données Mono'!G:G,MATCH(B882,'Base de données Mono'!D:D,0)),IF(AND(E882="Gaz",M882="Hiver"),INDEX('Base de données Mono'!J:J,MATCH(B882,'Base de données Mono'!D:D,0)),IF(AND(E882="Gaz",M882="Mi-saison"),INDEX('Base de données Mono'!#REF!,MATCH(B882,'Base de données Mono'!D:D,0)),IF(AND(E882="Gaz",M882="Eté"),INDEX('Base de données Mono'!#REF!,MATCH(B882,'Base de données Mono'!D:D,0)),"-"))))))</f>
        <v>10</v>
      </c>
      <c r="O882" s="123">
        <v>45383</v>
      </c>
      <c r="P882" s="123">
        <v>45389</v>
      </c>
      <c r="Q882" s="34">
        <v>15</v>
      </c>
      <c r="R882" s="33">
        <f t="shared" si="99"/>
        <v>5</v>
      </c>
      <c r="S882" s="34">
        <v>1</v>
      </c>
      <c r="T882" s="34">
        <f t="shared" si="100"/>
        <v>6</v>
      </c>
      <c r="U882" s="33">
        <f t="shared" si="101"/>
        <v>30</v>
      </c>
      <c r="V882" s="38" t="s">
        <v>827</v>
      </c>
      <c r="W882" s="39">
        <f t="shared" si="102"/>
        <v>0.5</v>
      </c>
      <c r="X882" s="40" t="s">
        <v>304</v>
      </c>
      <c r="Y882" s="40" t="s">
        <v>283</v>
      </c>
      <c r="Z882" s="40" t="s">
        <v>749</v>
      </c>
      <c r="AA882" s="33" t="s">
        <v>749</v>
      </c>
      <c r="AB882" s="95"/>
      <c r="AC882" s="95"/>
    </row>
    <row r="883" spans="1:29" ht="14.45" hidden="1" customHeight="1" x14ac:dyDescent="0.25">
      <c r="A883" s="36" t="str">
        <f>INDEX('Base de données Mono'!C:C,MATCH(B883,'Base de données Mono'!D:D,0))</f>
        <v>MOZART</v>
      </c>
      <c r="B883" t="s">
        <v>27</v>
      </c>
      <c r="C883" s="36" t="str">
        <f>INDEX('Base de données Mono'!B:B,MATCH(B883,'Base de données Mono'!D:D,0))</f>
        <v>SES8</v>
      </c>
      <c r="D883" s="36" t="str">
        <f>INDEX('Base de données Mono'!A:A,MATCH(B883,'Base de données Mono'!D:D,0))</f>
        <v>AD</v>
      </c>
      <c r="E883" s="37" t="s">
        <v>303</v>
      </c>
      <c r="F883" s="41">
        <f t="shared" ref="F883:F889" si="103">IF(O883="","-",IF(AND(X883="Nuit",WEEKDAY(O883,2)=7,O883&lt;&gt;P883),WEEKNUM(O883,2),WEEKNUM(O883,2)-1))+1</f>
        <v>15</v>
      </c>
      <c r="G883" s="41">
        <f t="shared" ref="G883:G889" si="104">IF(O883="","-",MONTH(O883))</f>
        <v>4</v>
      </c>
      <c r="H883">
        <v>7.42</v>
      </c>
      <c r="I883" s="131">
        <f>INDEX('Base de données Mono'!K:K,MATCH(B883,'Base de données Mono'!D:D,0))</f>
        <v>0.23611111111111113</v>
      </c>
      <c r="J883" s="131">
        <f>INDEX('Base de données Mono'!L:L,MATCH(B883,'Base de données Mono'!D:D,0))</f>
        <v>0.92708333333333337</v>
      </c>
      <c r="K883" s="131">
        <f>INDEX('Base de données Mono'!M:M,MATCH(B883,'Base de données Mono'!D:D,0))</f>
        <v>0.23611111111111113</v>
      </c>
      <c r="L883" s="131">
        <f>INDEX('Base de données Mono'!N:N,MATCH(B883,'Base de données Mono'!D:D,0))</f>
        <v>0.54166666666666663</v>
      </c>
      <c r="M883" s="33" t="s">
        <v>46</v>
      </c>
      <c r="N883" s="33">
        <f>IF(AND(E883="Electricité",M883="Hiver"),INDEX('Base de données Mono'!E:E,MATCH(B883,'Base de données Mono'!D:D,0)),IF(AND(E883="Electricité",M883="Mi-saison"),INDEX('Base de données Mono'!F:F,MATCH(B883,'Base de données Mono'!D:D,0)),IF(AND(E883="Electricité",M883="Eté"),INDEX('Base de données Mono'!G:G,MATCH(B883,'Base de données Mono'!D:D,0)),IF(AND(E883="Gaz",M883="Hiver"),INDEX('Base de données Mono'!J:J,MATCH(B883,'Base de données Mono'!D:D,0)),IF(AND(E883="Gaz",M883="Mi-saison"),INDEX('Base de données Mono'!#REF!,MATCH(B883,'Base de données Mono'!D:D,0)),IF(AND(E883="Gaz",M883="Eté"),INDEX('Base de données Mono'!#REF!,MATCH(B883,'Base de données Mono'!D:D,0)),"-"))))))</f>
        <v>35</v>
      </c>
      <c r="O883" s="123">
        <v>45389</v>
      </c>
      <c r="P883" s="123">
        <v>45396</v>
      </c>
      <c r="Q883" s="34">
        <v>40</v>
      </c>
      <c r="R883" s="33">
        <f t="shared" ref="R883:R889" si="105">IF(Q883="","",Q883-N883)</f>
        <v>5</v>
      </c>
      <c r="S883" s="34">
        <v>4</v>
      </c>
      <c r="T883" s="34">
        <f t="shared" si="100"/>
        <v>7</v>
      </c>
      <c r="U883" s="33">
        <f t="shared" ref="U883:U889" si="106">R883*S883*T883</f>
        <v>140</v>
      </c>
      <c r="V883" s="38" t="s">
        <v>827</v>
      </c>
      <c r="W883" s="39">
        <f t="shared" ref="W883:W889" si="107">IFERROR(IF(E883="Gaz","-",R883/N883),"-")</f>
        <v>0.14285714285714285</v>
      </c>
      <c r="X883" s="40" t="s">
        <v>304</v>
      </c>
      <c r="Y883" s="40" t="s">
        <v>284</v>
      </c>
      <c r="Z883" s="40" t="s">
        <v>305</v>
      </c>
      <c r="AA883" s="33" t="s">
        <v>771</v>
      </c>
      <c r="AB883" s="95"/>
      <c r="AC883" s="95"/>
    </row>
    <row r="884" spans="1:29" ht="14.45" hidden="1" customHeight="1" x14ac:dyDescent="0.25">
      <c r="A884" s="36" t="str">
        <f>INDEX('Base de données Mono'!C:C,MATCH(B884,'Base de données Mono'!D:D,0))</f>
        <v>VIENNE PYRAMIDE</v>
      </c>
      <c r="B884" t="s">
        <v>271</v>
      </c>
      <c r="C884" s="36" t="str">
        <f>INDEX('Base de données Mono'!B:B,MATCH(B884,'Base de données Mono'!D:D,0))</f>
        <v>Franchisés</v>
      </c>
      <c r="D884" s="36" t="str">
        <f>INDEX('Base de données Mono'!A:A,MATCH(B884,'Base de données Mono'!D:D,0))</f>
        <v>AD</v>
      </c>
      <c r="E884" s="37" t="s">
        <v>303</v>
      </c>
      <c r="F884" s="41">
        <f t="shared" si="103"/>
        <v>15</v>
      </c>
      <c r="G884" s="41">
        <f t="shared" si="104"/>
        <v>4</v>
      </c>
      <c r="H884">
        <v>9.83</v>
      </c>
      <c r="I884" s="131">
        <f>INDEX('Base de données Mono'!K:K,MATCH(B884,'Base de données Mono'!D:D,0))</f>
        <v>0.24305555555555555</v>
      </c>
      <c r="J884" s="131">
        <f>INDEX('Base de données Mono'!L:L,MATCH(B884,'Base de données Mono'!D:D,0))</f>
        <v>0.83333333333333337</v>
      </c>
      <c r="K884" s="131">
        <f>INDEX('Base de données Mono'!M:M,MATCH(B884,'Base de données Mono'!D:D,0))</f>
        <v>0.29166666666666669</v>
      </c>
      <c r="L884" s="131">
        <f>INDEX('Base de données Mono'!N:N,MATCH(B884,'Base de données Mono'!D:D,0))</f>
        <v>0.54166666666666663</v>
      </c>
      <c r="M884" s="33" t="s">
        <v>46</v>
      </c>
      <c r="N884" s="33">
        <f>IF(AND(E884="Electricité",M884="Hiver"),INDEX('Base de données Mono'!E:E,MATCH(B884,'Base de données Mono'!D:D,0)),IF(AND(E884="Electricité",M884="Mi-saison"),INDEX('Base de données Mono'!F:F,MATCH(B884,'Base de données Mono'!D:D,0)),IF(AND(E884="Electricité",M884="Eté"),INDEX('Base de données Mono'!G:G,MATCH(B884,'Base de données Mono'!D:D,0)),IF(AND(E884="Gaz",M884="Hiver"),INDEX('Base de données Mono'!J:J,MATCH(B884,'Base de données Mono'!D:D,0)),IF(AND(E884="Gaz",M884="Mi-saison"),INDEX('Base de données Mono'!#REF!,MATCH(B884,'Base de données Mono'!D:D,0)),IF(AND(E884="Gaz",M884="Eté"),INDEX('Base de données Mono'!#REF!,MATCH(B884,'Base de données Mono'!D:D,0)),"-"))))))</f>
        <v>45</v>
      </c>
      <c r="O884" s="123">
        <v>45389</v>
      </c>
      <c r="P884" s="123">
        <v>45391</v>
      </c>
      <c r="Q884" s="34">
        <v>50</v>
      </c>
      <c r="R884" s="33">
        <f t="shared" si="105"/>
        <v>5</v>
      </c>
      <c r="S884" s="34">
        <v>7.8</v>
      </c>
      <c r="T884" s="34">
        <f t="shared" si="100"/>
        <v>2</v>
      </c>
      <c r="U884" s="33">
        <f t="shared" si="106"/>
        <v>78</v>
      </c>
      <c r="V884" s="38" t="s">
        <v>827</v>
      </c>
      <c r="W884" s="39">
        <f t="shared" si="107"/>
        <v>0.1111111111111111</v>
      </c>
      <c r="X884" s="40" t="s">
        <v>304</v>
      </c>
      <c r="Y884" s="40" t="s">
        <v>284</v>
      </c>
      <c r="Z884" s="40" t="s">
        <v>305</v>
      </c>
      <c r="AA884" s="33" t="s">
        <v>771</v>
      </c>
      <c r="AB884" s="95"/>
      <c r="AC884" s="95"/>
    </row>
    <row r="885" spans="1:29" ht="14.45" hidden="1" customHeight="1" x14ac:dyDescent="0.25">
      <c r="A885" s="36" t="str">
        <f>INDEX('Base de données Mono'!C:C,MATCH(B885,'Base de données Mono'!D:D,0))</f>
        <v>VIENNE PYRAMIDE</v>
      </c>
      <c r="B885" t="s">
        <v>271</v>
      </c>
      <c r="C885" s="36" t="str">
        <f>INDEX('Base de données Mono'!B:B,MATCH(B885,'Base de données Mono'!D:D,0))</f>
        <v>Franchisés</v>
      </c>
      <c r="D885" s="36" t="str">
        <f>INDEX('Base de données Mono'!A:A,MATCH(B885,'Base de données Mono'!D:D,0))</f>
        <v>AD</v>
      </c>
      <c r="E885" s="37" t="s">
        <v>303</v>
      </c>
      <c r="F885" s="41">
        <f t="shared" si="103"/>
        <v>15</v>
      </c>
      <c r="G885" s="41">
        <f t="shared" si="104"/>
        <v>4</v>
      </c>
      <c r="H885">
        <v>9.83</v>
      </c>
      <c r="I885" s="131">
        <f>INDEX('Base de données Mono'!K:K,MATCH(B885,'Base de données Mono'!D:D,0))</f>
        <v>0.24305555555555555</v>
      </c>
      <c r="J885" s="131">
        <f>INDEX('Base de données Mono'!L:L,MATCH(B885,'Base de données Mono'!D:D,0))</f>
        <v>0.83333333333333337</v>
      </c>
      <c r="K885" s="131">
        <f>INDEX('Base de données Mono'!M:M,MATCH(B885,'Base de données Mono'!D:D,0))</f>
        <v>0.29166666666666669</v>
      </c>
      <c r="L885" s="131">
        <f>INDEX('Base de données Mono'!N:N,MATCH(B885,'Base de données Mono'!D:D,0))</f>
        <v>0.54166666666666663</v>
      </c>
      <c r="M885" s="33" t="s">
        <v>46</v>
      </c>
      <c r="N885" s="33">
        <f>IF(AND(E885="Electricité",M885="Hiver"),INDEX('Base de données Mono'!E:E,MATCH(B885,'Base de données Mono'!D:D,0)),IF(AND(E885="Electricité",M885="Mi-saison"),INDEX('Base de données Mono'!F:F,MATCH(B885,'Base de données Mono'!D:D,0)),IF(AND(E885="Electricité",M885="Eté"),INDEX('Base de données Mono'!G:G,MATCH(B885,'Base de données Mono'!D:D,0)),IF(AND(E885="Gaz",M885="Hiver"),INDEX('Base de données Mono'!J:J,MATCH(B885,'Base de données Mono'!D:D,0)),IF(AND(E885="Gaz",M885="Mi-saison"),INDEX('Base de données Mono'!#REF!,MATCH(B885,'Base de données Mono'!D:D,0)),IF(AND(E885="Gaz",M885="Eté"),INDEX('Base de données Mono'!#REF!,MATCH(B885,'Base de données Mono'!D:D,0)),"-"))))))</f>
        <v>45</v>
      </c>
      <c r="O885" s="123">
        <v>45389</v>
      </c>
      <c r="P885" s="123">
        <v>45396</v>
      </c>
      <c r="Q885" s="34">
        <v>55</v>
      </c>
      <c r="R885" s="33">
        <f t="shared" si="105"/>
        <v>10</v>
      </c>
      <c r="S885" s="34">
        <v>2</v>
      </c>
      <c r="T885" s="34">
        <f t="shared" si="100"/>
        <v>7</v>
      </c>
      <c r="U885" s="33">
        <f t="shared" si="106"/>
        <v>140</v>
      </c>
      <c r="V885" s="38" t="s">
        <v>827</v>
      </c>
      <c r="W885" s="39">
        <f t="shared" si="107"/>
        <v>0.22222222222222221</v>
      </c>
      <c r="X885" s="40" t="s">
        <v>304</v>
      </c>
      <c r="Y885" s="40" t="s">
        <v>284</v>
      </c>
      <c r="Z885" s="40" t="s">
        <v>305</v>
      </c>
      <c r="AA885" s="33" t="s">
        <v>771</v>
      </c>
      <c r="AB885" s="95"/>
      <c r="AC885" s="95"/>
    </row>
    <row r="886" spans="1:29" ht="14.45" hidden="1" customHeight="1" x14ac:dyDescent="0.25">
      <c r="A886" s="36" t="str">
        <f>INDEX('Base de données Mono'!C:C,MATCH(B886,'Base de données Mono'!D:D,0))</f>
        <v>VIENNE PYRAMIDE</v>
      </c>
      <c r="B886" t="s">
        <v>271</v>
      </c>
      <c r="C886" s="36" t="str">
        <f>INDEX('Base de données Mono'!B:B,MATCH(B886,'Base de données Mono'!D:D,0))</f>
        <v>Franchisés</v>
      </c>
      <c r="D886" s="36" t="str">
        <f>INDEX('Base de données Mono'!A:A,MATCH(B886,'Base de données Mono'!D:D,0))</f>
        <v>AD</v>
      </c>
      <c r="E886" s="37" t="s">
        <v>303</v>
      </c>
      <c r="F886" s="41">
        <f t="shared" si="103"/>
        <v>15</v>
      </c>
      <c r="G886" s="41">
        <f t="shared" si="104"/>
        <v>4</v>
      </c>
      <c r="H886">
        <v>9.83</v>
      </c>
      <c r="I886" s="131">
        <f>INDEX('Base de données Mono'!K:K,MATCH(B886,'Base de données Mono'!D:D,0))</f>
        <v>0.24305555555555555</v>
      </c>
      <c r="J886" s="131">
        <f>INDEX('Base de données Mono'!L:L,MATCH(B886,'Base de données Mono'!D:D,0))</f>
        <v>0.83333333333333337</v>
      </c>
      <c r="K886" s="131">
        <f>INDEX('Base de données Mono'!M:M,MATCH(B886,'Base de données Mono'!D:D,0))</f>
        <v>0.29166666666666669</v>
      </c>
      <c r="L886" s="131">
        <f>INDEX('Base de données Mono'!N:N,MATCH(B886,'Base de données Mono'!D:D,0))</f>
        <v>0.54166666666666663</v>
      </c>
      <c r="M886" s="33" t="s">
        <v>46</v>
      </c>
      <c r="N886" s="33">
        <f>IF(AND(E886="Electricité",M886="Hiver"),INDEX('Base de données Mono'!E:E,MATCH(B886,'Base de données Mono'!D:D,0)),IF(AND(E886="Electricité",M886="Mi-saison"),INDEX('Base de données Mono'!F:F,MATCH(B886,'Base de données Mono'!D:D,0)),IF(AND(E886="Electricité",M886="Eté"),INDEX('Base de données Mono'!G:G,MATCH(B886,'Base de données Mono'!D:D,0)),IF(AND(E886="Gaz",M886="Hiver"),INDEX('Base de données Mono'!J:J,MATCH(B886,'Base de données Mono'!D:D,0)),IF(AND(E886="Gaz",M886="Mi-saison"),INDEX('Base de données Mono'!#REF!,MATCH(B886,'Base de données Mono'!D:D,0)),IF(AND(E886="Gaz",M886="Eté"),INDEX('Base de données Mono'!#REF!,MATCH(B886,'Base de données Mono'!D:D,0)),"-"))))))</f>
        <v>45</v>
      </c>
      <c r="O886" s="123">
        <v>45394</v>
      </c>
      <c r="P886" s="123">
        <v>45396</v>
      </c>
      <c r="Q886" s="34">
        <v>50</v>
      </c>
      <c r="R886" s="33">
        <f t="shared" si="105"/>
        <v>5</v>
      </c>
      <c r="S886" s="34">
        <v>7.8</v>
      </c>
      <c r="T886" s="34">
        <f t="shared" si="100"/>
        <v>2</v>
      </c>
      <c r="U886" s="33">
        <f t="shared" si="106"/>
        <v>78</v>
      </c>
      <c r="V886" s="38" t="s">
        <v>827</v>
      </c>
      <c r="W886" s="39">
        <f t="shared" si="107"/>
        <v>0.1111111111111111</v>
      </c>
      <c r="X886" s="40" t="s">
        <v>304</v>
      </c>
      <c r="Y886" s="40" t="s">
        <v>284</v>
      </c>
      <c r="Z886" s="40" t="s">
        <v>305</v>
      </c>
      <c r="AA886" s="33" t="s">
        <v>771</v>
      </c>
      <c r="AB886" s="95"/>
      <c r="AC886" s="95"/>
    </row>
    <row r="887" spans="1:29" ht="14.45" hidden="1" customHeight="1" x14ac:dyDescent="0.25">
      <c r="A887" s="36" t="str">
        <f>INDEX('Base de données Mono'!C:C,MATCH(B887,'Base de données Mono'!D:D,0))</f>
        <v>FONTENAY SOUS BOIS</v>
      </c>
      <c r="B887" t="s">
        <v>131</v>
      </c>
      <c r="C887" s="36" t="str">
        <f>INDEX('Base de données Mono'!B:B,MATCH(B887,'Base de données Mono'!D:D,0))</f>
        <v>SES8</v>
      </c>
      <c r="D887" s="36" t="str">
        <f>INDEX('Base de données Mono'!A:A,MATCH(B887,'Base de données Mono'!D:D,0))</f>
        <v>JG</v>
      </c>
      <c r="E887" s="37" t="s">
        <v>303</v>
      </c>
      <c r="F887" s="41">
        <f t="shared" si="103"/>
        <v>15</v>
      </c>
      <c r="G887" s="41">
        <f t="shared" si="104"/>
        <v>4</v>
      </c>
      <c r="H887">
        <v>8.33</v>
      </c>
      <c r="I887" s="131">
        <f>INDEX('Base de données Mono'!K:K,MATCH(B887,'Base de données Mono'!D:D,0))</f>
        <v>0.24305555555555555</v>
      </c>
      <c r="J887" s="131">
        <f>INDEX('Base de données Mono'!L:L,MATCH(B887,'Base de données Mono'!D:D,0))</f>
        <v>0.89583333333333337</v>
      </c>
      <c r="K887" s="131">
        <f>INDEX('Base de données Mono'!M:M,MATCH(B887,'Base de données Mono'!D:D,0))</f>
        <v>0.27083333333333331</v>
      </c>
      <c r="L887" s="131">
        <f>INDEX('Base de données Mono'!N:N,MATCH(B887,'Base de données Mono'!D:D,0))</f>
        <v>0.5625</v>
      </c>
      <c r="M887" s="33" t="s">
        <v>46</v>
      </c>
      <c r="N887" s="33">
        <f>IF(AND(E887="Electricité",M887="Hiver"),INDEX('Base de données Mono'!E:E,MATCH(B887,'Base de données Mono'!D:D,0)),IF(AND(E887="Electricité",M887="Mi-saison"),INDEX('Base de données Mono'!F:F,MATCH(B887,'Base de données Mono'!D:D,0)),IF(AND(E887="Electricité",M887="Eté"),INDEX('Base de données Mono'!G:G,MATCH(B887,'Base de données Mono'!D:D,0)),IF(AND(E887="Gaz",M887="Hiver"),INDEX('Base de données Mono'!J:J,MATCH(B887,'Base de données Mono'!D:D,0)),IF(AND(E887="Gaz",M887="Mi-saison"),INDEX('Base de données Mono'!#REF!,MATCH(B887,'Base de données Mono'!D:D,0)),IF(AND(E887="Gaz",M887="Eté"),INDEX('Base de données Mono'!#REF!,MATCH(B887,'Base de données Mono'!D:D,0)),"-"))))))</f>
        <v>55</v>
      </c>
      <c r="O887" s="123">
        <v>45389</v>
      </c>
      <c r="P887" s="123">
        <v>45390</v>
      </c>
      <c r="Q887" s="34">
        <v>65</v>
      </c>
      <c r="R887" s="33">
        <f t="shared" si="105"/>
        <v>10</v>
      </c>
      <c r="S887" s="34">
        <v>8.3000000000000007</v>
      </c>
      <c r="T887" s="34">
        <f t="shared" si="100"/>
        <v>1</v>
      </c>
      <c r="U887" s="33">
        <f t="shared" si="106"/>
        <v>83</v>
      </c>
      <c r="V887" s="38" t="s">
        <v>827</v>
      </c>
      <c r="W887" s="39">
        <f t="shared" si="107"/>
        <v>0.18181818181818182</v>
      </c>
      <c r="X887" s="40" t="s">
        <v>304</v>
      </c>
      <c r="Y887" s="40" t="s">
        <v>284</v>
      </c>
      <c r="Z887" s="40" t="s">
        <v>305</v>
      </c>
      <c r="AA887" s="33" t="s">
        <v>771</v>
      </c>
      <c r="AB887" s="95"/>
      <c r="AC887" s="95"/>
    </row>
    <row r="888" spans="1:29" ht="14.45" hidden="1" customHeight="1" x14ac:dyDescent="0.25">
      <c r="A888" s="36" t="str">
        <f>INDEX('Base de données Mono'!C:C,MATCH(B888,'Base de données Mono'!D:D,0))</f>
        <v>FONTENAY SOUS BOIS</v>
      </c>
      <c r="B888" t="s">
        <v>131</v>
      </c>
      <c r="C888" s="36" t="str">
        <f>INDEX('Base de données Mono'!B:B,MATCH(B888,'Base de données Mono'!D:D,0))</f>
        <v>SES8</v>
      </c>
      <c r="D888" s="36" t="str">
        <f>INDEX('Base de données Mono'!A:A,MATCH(B888,'Base de données Mono'!D:D,0))</f>
        <v>JG</v>
      </c>
      <c r="E888" s="37" t="s">
        <v>303</v>
      </c>
      <c r="F888" s="41">
        <f t="shared" si="103"/>
        <v>15</v>
      </c>
      <c r="G888" s="41">
        <f t="shared" si="104"/>
        <v>4</v>
      </c>
      <c r="H888">
        <v>8.33</v>
      </c>
      <c r="I888" s="131">
        <f>INDEX('Base de données Mono'!K:K,MATCH(B888,'Base de données Mono'!D:D,0))</f>
        <v>0.24305555555555555</v>
      </c>
      <c r="J888" s="131">
        <f>INDEX('Base de données Mono'!L:L,MATCH(B888,'Base de données Mono'!D:D,0))</f>
        <v>0.89583333333333337</v>
      </c>
      <c r="K888" s="131">
        <f>INDEX('Base de données Mono'!M:M,MATCH(B888,'Base de données Mono'!D:D,0))</f>
        <v>0.27083333333333331</v>
      </c>
      <c r="L888" s="131">
        <f>INDEX('Base de données Mono'!N:N,MATCH(B888,'Base de données Mono'!D:D,0))</f>
        <v>0.5625</v>
      </c>
      <c r="M888" s="33" t="s">
        <v>46</v>
      </c>
      <c r="N888" s="33">
        <f>IF(AND(E888="Electricité",M888="Hiver"),INDEX('Base de données Mono'!E:E,MATCH(B888,'Base de données Mono'!D:D,0)),IF(AND(E888="Electricité",M888="Mi-saison"),INDEX('Base de données Mono'!F:F,MATCH(B888,'Base de données Mono'!D:D,0)),IF(AND(E888="Electricité",M888="Eté"),INDEX('Base de données Mono'!G:G,MATCH(B888,'Base de données Mono'!D:D,0)),IF(AND(E888="Gaz",M888="Hiver"),INDEX('Base de données Mono'!J:J,MATCH(B888,'Base de données Mono'!D:D,0)),IF(AND(E888="Gaz",M888="Mi-saison"),INDEX('Base de données Mono'!#REF!,MATCH(B888,'Base de données Mono'!D:D,0)),IF(AND(E888="Gaz",M888="Eté"),INDEX('Base de données Mono'!#REF!,MATCH(B888,'Base de données Mono'!D:D,0)),"-"))))))</f>
        <v>55</v>
      </c>
      <c r="O888" s="123">
        <v>45390</v>
      </c>
      <c r="P888" s="123">
        <v>45391</v>
      </c>
      <c r="Q888" s="34">
        <v>105</v>
      </c>
      <c r="R888" s="33">
        <f t="shared" si="105"/>
        <v>50</v>
      </c>
      <c r="S888" s="34">
        <v>8.3000000000000007</v>
      </c>
      <c r="T888" s="34">
        <f t="shared" si="100"/>
        <v>1</v>
      </c>
      <c r="U888" s="33">
        <f t="shared" si="106"/>
        <v>415.00000000000006</v>
      </c>
      <c r="V888" s="38" t="s">
        <v>827</v>
      </c>
      <c r="W888" s="39">
        <f t="shared" si="107"/>
        <v>0.90909090909090906</v>
      </c>
      <c r="X888" s="40" t="s">
        <v>304</v>
      </c>
      <c r="Y888" s="40" t="s">
        <v>284</v>
      </c>
      <c r="Z888" s="40" t="s">
        <v>311</v>
      </c>
      <c r="AA888" s="33" t="s">
        <v>775</v>
      </c>
      <c r="AB888" s="95"/>
      <c r="AC888" s="95"/>
    </row>
    <row r="889" spans="1:29" ht="14.45" hidden="1" customHeight="1" x14ac:dyDescent="0.25">
      <c r="A889" s="36" t="str">
        <f>INDEX('Base de données Mono'!C:C,MATCH(B889,'Base de données Mono'!D:D,0))</f>
        <v>FONTENAY SOUS BOIS</v>
      </c>
      <c r="B889" t="s">
        <v>131</v>
      </c>
      <c r="C889" s="36" t="str">
        <f>INDEX('Base de données Mono'!B:B,MATCH(B889,'Base de données Mono'!D:D,0))</f>
        <v>SES8</v>
      </c>
      <c r="D889" s="36" t="str">
        <f>INDEX('Base de données Mono'!A:A,MATCH(B889,'Base de données Mono'!D:D,0))</f>
        <v>JG</v>
      </c>
      <c r="E889" s="37" t="s">
        <v>303</v>
      </c>
      <c r="F889" s="41">
        <f t="shared" si="103"/>
        <v>15</v>
      </c>
      <c r="G889" s="41">
        <f t="shared" si="104"/>
        <v>4</v>
      </c>
      <c r="H889">
        <v>8.33</v>
      </c>
      <c r="I889" s="131">
        <f>INDEX('Base de données Mono'!K:K,MATCH(B889,'Base de données Mono'!D:D,0))</f>
        <v>0.24305555555555555</v>
      </c>
      <c r="J889" s="131">
        <f>INDEX('Base de données Mono'!L:L,MATCH(B889,'Base de données Mono'!D:D,0))</f>
        <v>0.89583333333333337</v>
      </c>
      <c r="K889" s="131">
        <f>INDEX('Base de données Mono'!M:M,MATCH(B889,'Base de données Mono'!D:D,0))</f>
        <v>0.27083333333333331</v>
      </c>
      <c r="L889" s="131">
        <f>INDEX('Base de données Mono'!N:N,MATCH(B889,'Base de données Mono'!D:D,0))</f>
        <v>0.5625</v>
      </c>
      <c r="M889" s="33" t="s">
        <v>46</v>
      </c>
      <c r="N889" s="33">
        <f>IF(AND(E889="Electricité",M889="Hiver"),INDEX('Base de données Mono'!E:E,MATCH(B889,'Base de données Mono'!D:D,0)),IF(AND(E889="Electricité",M889="Mi-saison"),INDEX('Base de données Mono'!F:F,MATCH(B889,'Base de données Mono'!D:D,0)),IF(AND(E889="Electricité",M889="Eté"),INDEX('Base de données Mono'!G:G,MATCH(B889,'Base de données Mono'!D:D,0)),IF(AND(E889="Gaz",M889="Hiver"),INDEX('Base de données Mono'!J:J,MATCH(B889,'Base de données Mono'!D:D,0)),IF(AND(E889="Gaz",M889="Mi-saison"),INDEX('Base de données Mono'!#REF!,MATCH(B889,'Base de données Mono'!D:D,0)),IF(AND(E889="Gaz",M889="Eté"),INDEX('Base de données Mono'!#REF!,MATCH(B889,'Base de données Mono'!D:D,0)),"-"))))))</f>
        <v>55</v>
      </c>
      <c r="O889" s="123">
        <v>45391</v>
      </c>
      <c r="P889" s="123">
        <v>45396</v>
      </c>
      <c r="Q889" s="34">
        <v>65</v>
      </c>
      <c r="R889" s="33">
        <f t="shared" si="105"/>
        <v>10</v>
      </c>
      <c r="S889" s="34">
        <v>8.3000000000000007</v>
      </c>
      <c r="T889" s="34">
        <f t="shared" si="100"/>
        <v>5</v>
      </c>
      <c r="U889" s="33">
        <f t="shared" si="106"/>
        <v>415</v>
      </c>
      <c r="V889" s="38" t="s">
        <v>827</v>
      </c>
      <c r="W889" s="39">
        <f t="shared" si="107"/>
        <v>0.18181818181818182</v>
      </c>
      <c r="X889" s="40" t="s">
        <v>304</v>
      </c>
      <c r="Y889" s="40" t="s">
        <v>284</v>
      </c>
      <c r="Z889" s="40" t="s">
        <v>305</v>
      </c>
      <c r="AA889" s="33" t="s">
        <v>771</v>
      </c>
      <c r="AB889" s="95"/>
      <c r="AC889" s="95"/>
    </row>
    <row r="890" spans="1:29" ht="14.45" hidden="1" customHeight="1" x14ac:dyDescent="0.25">
      <c r="A890" s="36" t="str">
        <f>INDEX('Base de données Mono'!C:C,MATCH(B890,'Base de données Mono'!D:D,0))</f>
        <v>GRASSE</v>
      </c>
      <c r="B890" t="s">
        <v>16</v>
      </c>
      <c r="C890" s="36" t="str">
        <f>INDEX('Base de données Mono'!B:B,MATCH(B890,'Base de données Mono'!D:D,0))</f>
        <v>SES8</v>
      </c>
      <c r="D890" s="36" t="str">
        <f>INDEX('Base de données Mono'!A:A,MATCH(B890,'Base de données Mono'!D:D,0))</f>
        <v>JG</v>
      </c>
      <c r="E890" s="37" t="s">
        <v>303</v>
      </c>
      <c r="F890" s="41">
        <f t="shared" ref="F890:F902" si="108">IF(O890="","-",IF(AND(X890="Nuit",WEEKDAY(O890,2)=7,O890&lt;&gt;P890),WEEKNUM(O890,2),WEEKNUM(O890,2)-1))+1</f>
        <v>15</v>
      </c>
      <c r="G890" s="41">
        <f t="shared" ref="G890:G902" si="109">IF(O890="","-",MONTH(O890))</f>
        <v>4</v>
      </c>
      <c r="H890">
        <v>9</v>
      </c>
      <c r="I890" s="131">
        <f>INDEX('Base de données Mono'!K:K,MATCH(B890,'Base de données Mono'!D:D,0))</f>
        <v>0.20833333333333334</v>
      </c>
      <c r="J890" s="131">
        <f>INDEX('Base de données Mono'!L:L,MATCH(B890,'Base de données Mono'!D:D,0))</f>
        <v>0.83333333333333337</v>
      </c>
      <c r="K890" s="131" t="str">
        <f>INDEX('Base de données Mono'!M:M,MATCH(B890,'Base de données Mono'!D:D,0))</f>
        <v>-</v>
      </c>
      <c r="L890" s="131" t="str">
        <f>INDEX('Base de données Mono'!N:N,MATCH(B890,'Base de données Mono'!D:D,0))</f>
        <v>-</v>
      </c>
      <c r="M890" s="33" t="s">
        <v>46</v>
      </c>
      <c r="N890" s="33">
        <f>IF(AND(E890="Electricité",M890="Hiver"),INDEX('Base de données Mono'!E:E,MATCH(B890,'Base de données Mono'!D:D,0)),IF(AND(E890="Electricité",M890="Mi-saison"),INDEX('Base de données Mono'!F:F,MATCH(B890,'Base de données Mono'!D:D,0)),IF(AND(E890="Electricité",M890="Eté"),INDEX('Base de données Mono'!G:G,MATCH(B890,'Base de données Mono'!D:D,0)),IF(AND(E890="Gaz",M890="Hiver"),INDEX('Base de données Mono'!J:J,MATCH(B890,'Base de données Mono'!D:D,0)),IF(AND(E890="Gaz",M890="Mi-saison"),INDEX('Base de données Mono'!#REF!,MATCH(B890,'Base de données Mono'!D:D,0)),IF(AND(E890="Gaz",M890="Eté"),INDEX('Base de données Mono'!#REF!,MATCH(B890,'Base de données Mono'!D:D,0)),"-"))))))</f>
        <v>55</v>
      </c>
      <c r="O890" s="123">
        <v>45389</v>
      </c>
      <c r="P890" s="123">
        <v>45396</v>
      </c>
      <c r="Q890" s="34">
        <v>60</v>
      </c>
      <c r="R890" s="33">
        <f t="shared" ref="R890:R896" si="110">IF(Q890="","",Q890-N890)</f>
        <v>5</v>
      </c>
      <c r="S890" s="34">
        <v>9</v>
      </c>
      <c r="T890" s="34">
        <f t="shared" si="100"/>
        <v>7</v>
      </c>
      <c r="U890" s="33">
        <f t="shared" ref="U890:U902" si="111">R890*S890*T890</f>
        <v>315</v>
      </c>
      <c r="V890" s="38" t="s">
        <v>827</v>
      </c>
      <c r="W890" s="39">
        <f t="shared" ref="W890:W902" si="112">IFERROR(IF(E890="Gaz","-",R890/N890),"-")</f>
        <v>9.0909090909090912E-2</v>
      </c>
      <c r="X890" s="40" t="s">
        <v>304</v>
      </c>
      <c r="Y890" s="40" t="s">
        <v>284</v>
      </c>
      <c r="Z890" s="40" t="s">
        <v>305</v>
      </c>
      <c r="AA890" s="33" t="s">
        <v>771</v>
      </c>
      <c r="AB890" s="95"/>
      <c r="AC890" s="95"/>
    </row>
    <row r="891" spans="1:29" ht="14.45" hidden="1" customHeight="1" x14ac:dyDescent="0.25">
      <c r="A891" s="36" t="str">
        <f>INDEX('Base de données Mono'!C:C,MATCH(B891,'Base de données Mono'!D:D,0))</f>
        <v>ARCUEIL</v>
      </c>
      <c r="B891" t="s">
        <v>63</v>
      </c>
      <c r="C891" s="36" t="str">
        <f>INDEX('Base de données Mono'!B:B,MATCH(B891,'Base de données Mono'!D:D,0))</f>
        <v>SES8</v>
      </c>
      <c r="D891" s="36" t="str">
        <f>INDEX('Base de données Mono'!A:A,MATCH(B891,'Base de données Mono'!D:D,0))</f>
        <v>JG</v>
      </c>
      <c r="E891" s="37" t="s">
        <v>303</v>
      </c>
      <c r="F891" s="41">
        <f t="shared" si="108"/>
        <v>15</v>
      </c>
      <c r="G891" s="41">
        <f t="shared" si="109"/>
        <v>4</v>
      </c>
      <c r="H891">
        <v>8.5</v>
      </c>
      <c r="I891" s="131">
        <f>INDEX('Base de données Mono'!K:K,MATCH(B891,'Base de données Mono'!D:D,0))</f>
        <v>0.1875</v>
      </c>
      <c r="J891" s="131">
        <f>INDEX('Base de données Mono'!L:L,MATCH(B891,'Base de données Mono'!D:D,0))</f>
        <v>0.83333333333333337</v>
      </c>
      <c r="K891" s="131">
        <f>INDEX('Base de données Mono'!M:M,MATCH(B891,'Base de données Mono'!D:D,0))</f>
        <v>0.24305555555555555</v>
      </c>
      <c r="L891" s="131">
        <f>INDEX('Base de données Mono'!N:N,MATCH(B891,'Base de données Mono'!D:D,0))</f>
        <v>0.54166666666666696</v>
      </c>
      <c r="M891" s="33" t="s">
        <v>46</v>
      </c>
      <c r="N891" s="33">
        <f>IF(AND(E891="Electricité",M891="Hiver"),INDEX('Base de données Mono'!E:E,MATCH(B891,'Base de données Mono'!D:D,0)),IF(AND(E891="Electricité",M891="Mi-saison"),INDEX('Base de données Mono'!F:F,MATCH(B891,'Base de données Mono'!D:D,0)),IF(AND(E891="Electricité",M891="Eté"),INDEX('Base de données Mono'!G:G,MATCH(B891,'Base de données Mono'!D:D,0)),IF(AND(E891="Gaz",M891="Hiver"),INDEX('Base de données Mono'!J:J,MATCH(B891,'Base de données Mono'!D:D,0)),IF(AND(E891="Gaz",M891="Mi-saison"),INDEX('Base de données Mono'!#REF!,MATCH(B891,'Base de données Mono'!D:D,0)),IF(AND(E891="Gaz",M891="Eté"),INDEX('Base de données Mono'!#REF!,MATCH(B891,'Base de données Mono'!D:D,0)),"-"))))))</f>
        <v>80</v>
      </c>
      <c r="O891" s="123">
        <v>45390</v>
      </c>
      <c r="P891" s="123">
        <v>45396</v>
      </c>
      <c r="Q891" s="34">
        <v>125</v>
      </c>
      <c r="R891" s="33">
        <f t="shared" si="110"/>
        <v>45</v>
      </c>
      <c r="S891" s="34">
        <v>0.6</v>
      </c>
      <c r="T891" s="34">
        <f t="shared" si="100"/>
        <v>6</v>
      </c>
      <c r="U891" s="33">
        <f t="shared" si="111"/>
        <v>162</v>
      </c>
      <c r="V891" s="38" t="s">
        <v>827</v>
      </c>
      <c r="W891" s="39">
        <f t="shared" si="112"/>
        <v>0.5625</v>
      </c>
      <c r="X891" s="40" t="s">
        <v>304</v>
      </c>
      <c r="Y891" s="40" t="s">
        <v>284</v>
      </c>
      <c r="Z891" s="40" t="s">
        <v>307</v>
      </c>
      <c r="AA891" s="33" t="s">
        <v>313</v>
      </c>
      <c r="AB891" s="95"/>
      <c r="AC891" s="95"/>
    </row>
    <row r="892" spans="1:29" ht="14.45" hidden="1" customHeight="1" x14ac:dyDescent="0.25">
      <c r="A892" s="36" t="str">
        <f>INDEX('Base de données Mono'!C:C,MATCH(B892,'Base de données Mono'!D:D,0))</f>
        <v>ARCUEIL</v>
      </c>
      <c r="B892" t="s">
        <v>63</v>
      </c>
      <c r="C892" s="36" t="str">
        <f>INDEX('Base de données Mono'!B:B,MATCH(B892,'Base de données Mono'!D:D,0))</f>
        <v>SES8</v>
      </c>
      <c r="D892" s="36" t="str">
        <f>INDEX('Base de données Mono'!A:A,MATCH(B892,'Base de données Mono'!D:D,0))</f>
        <v>JG</v>
      </c>
      <c r="E892" s="37" t="s">
        <v>303</v>
      </c>
      <c r="F892" s="41">
        <f t="shared" si="108"/>
        <v>15</v>
      </c>
      <c r="G892" s="41">
        <f t="shared" si="109"/>
        <v>4</v>
      </c>
      <c r="H892">
        <v>8.5</v>
      </c>
      <c r="I892" s="131">
        <f>INDEX('Base de données Mono'!K:K,MATCH(B892,'Base de données Mono'!D:D,0))</f>
        <v>0.1875</v>
      </c>
      <c r="J892" s="131">
        <f>INDEX('Base de données Mono'!L:L,MATCH(B892,'Base de données Mono'!D:D,0))</f>
        <v>0.83333333333333337</v>
      </c>
      <c r="K892" s="131">
        <f>INDEX('Base de données Mono'!M:M,MATCH(B892,'Base de données Mono'!D:D,0))</f>
        <v>0.24305555555555555</v>
      </c>
      <c r="L892" s="131">
        <f>INDEX('Base de données Mono'!N:N,MATCH(B892,'Base de données Mono'!D:D,0))</f>
        <v>0.54166666666666696</v>
      </c>
      <c r="M892" s="33" t="s">
        <v>46</v>
      </c>
      <c r="N892" s="33">
        <f>IF(AND(E892="Electricité",M892="Hiver"),INDEX('Base de données Mono'!E:E,MATCH(B892,'Base de données Mono'!D:D,0)),IF(AND(E892="Electricité",M892="Mi-saison"),INDEX('Base de données Mono'!F:F,MATCH(B892,'Base de données Mono'!D:D,0)),IF(AND(E892="Electricité",M892="Eté"),INDEX('Base de données Mono'!G:G,MATCH(B892,'Base de données Mono'!D:D,0)),IF(AND(E892="Gaz",M892="Hiver"),INDEX('Base de données Mono'!J:J,MATCH(B892,'Base de données Mono'!D:D,0)),IF(AND(E892="Gaz",M892="Mi-saison"),INDEX('Base de données Mono'!#REF!,MATCH(B892,'Base de données Mono'!D:D,0)),IF(AND(E892="Gaz",M892="Eté"),INDEX('Base de données Mono'!#REF!,MATCH(B892,'Base de données Mono'!D:D,0)),"-"))))))</f>
        <v>80</v>
      </c>
      <c r="O892" s="123">
        <v>45394</v>
      </c>
      <c r="P892" s="123">
        <v>45396</v>
      </c>
      <c r="Q892" s="34">
        <v>90</v>
      </c>
      <c r="R892" s="33">
        <f t="shared" si="110"/>
        <v>10</v>
      </c>
      <c r="S892" s="34">
        <v>8</v>
      </c>
      <c r="T892" s="34">
        <f t="shared" si="100"/>
        <v>2</v>
      </c>
      <c r="U892" s="33">
        <f t="shared" si="111"/>
        <v>160</v>
      </c>
      <c r="V892" s="38" t="s">
        <v>827</v>
      </c>
      <c r="W892" s="39">
        <f t="shared" si="112"/>
        <v>0.125</v>
      </c>
      <c r="X892" s="40" t="s">
        <v>304</v>
      </c>
      <c r="Y892" s="40" t="s">
        <v>284</v>
      </c>
      <c r="Z892" s="40" t="s">
        <v>305</v>
      </c>
      <c r="AA892" s="33" t="s">
        <v>771</v>
      </c>
      <c r="AB892" s="95"/>
      <c r="AC892" s="95"/>
    </row>
    <row r="893" spans="1:29" ht="14.45" hidden="1" customHeight="1" x14ac:dyDescent="0.25">
      <c r="A893" s="36" t="str">
        <f>INDEX('Base de données Mono'!C:C,MATCH(B893,'Base de données Mono'!D:D,0))</f>
        <v>TOURS NATIONALE</v>
      </c>
      <c r="B893" t="s">
        <v>37</v>
      </c>
      <c r="C893" s="36" t="str">
        <f>INDEX('Base de données Mono'!B:B,MATCH(B893,'Base de données Mono'!D:D,0))</f>
        <v>SES8</v>
      </c>
      <c r="D893" s="36" t="str">
        <f>INDEX('Base de données Mono'!A:A,MATCH(B893,'Base de données Mono'!D:D,0))</f>
        <v>AD</v>
      </c>
      <c r="E893" s="37" t="s">
        <v>303</v>
      </c>
      <c r="F893" s="41">
        <f t="shared" si="108"/>
        <v>15</v>
      </c>
      <c r="G893" s="41">
        <f t="shared" si="109"/>
        <v>4</v>
      </c>
      <c r="H893">
        <v>8.25</v>
      </c>
      <c r="I893" s="131">
        <f>INDEX('Base de données Mono'!K:K,MATCH(B893,'Base de données Mono'!D:D,0))</f>
        <v>0.22916666666666666</v>
      </c>
      <c r="J893" s="131">
        <f>INDEX('Base de données Mono'!L:L,MATCH(B893,'Base de données Mono'!D:D,0))</f>
        <v>0.88541666666666663</v>
      </c>
      <c r="K893" s="131">
        <f>INDEX('Base de données Mono'!M:M,MATCH(B893,'Base de données Mono'!D:D,0))</f>
        <v>0.31944444444444448</v>
      </c>
      <c r="L893" s="131">
        <f>INDEX('Base de données Mono'!N:N,MATCH(B893,'Base de données Mono'!D:D,0))</f>
        <v>0.55208333333333337</v>
      </c>
      <c r="M893" s="33" t="s">
        <v>46</v>
      </c>
      <c r="N893" s="33">
        <f>IF(AND(E893="Electricité",M893="Hiver"),INDEX('Base de données Mono'!E:E,MATCH(B893,'Base de données Mono'!D:D,0)),IF(AND(E893="Electricité",M893="Mi-saison"),INDEX('Base de données Mono'!F:F,MATCH(B893,'Base de données Mono'!D:D,0)),IF(AND(E893="Electricité",M893="Eté"),INDEX('Base de données Mono'!G:G,MATCH(B893,'Base de données Mono'!D:D,0)),IF(AND(E893="Gaz",M893="Hiver"),INDEX('Base de données Mono'!J:J,MATCH(B893,'Base de données Mono'!D:D,0)),IF(AND(E893="Gaz",M893="Mi-saison"),INDEX('Base de données Mono'!#REF!,MATCH(B893,'Base de données Mono'!D:D,0)),IF(AND(E893="Gaz",M893="Eté"),INDEX('Base de données Mono'!#REF!,MATCH(B893,'Base de données Mono'!D:D,0)),"-"))))))</f>
        <v>50</v>
      </c>
      <c r="O893" s="123">
        <v>45389</v>
      </c>
      <c r="P893" s="123">
        <v>45396</v>
      </c>
      <c r="Q893" s="34">
        <v>60</v>
      </c>
      <c r="R893" s="33">
        <f t="shared" si="110"/>
        <v>10</v>
      </c>
      <c r="S893" s="34">
        <v>7.2</v>
      </c>
      <c r="T893" s="34">
        <f t="shared" si="100"/>
        <v>7</v>
      </c>
      <c r="U893" s="33">
        <f t="shared" si="111"/>
        <v>504</v>
      </c>
      <c r="V893" s="38" t="s">
        <v>827</v>
      </c>
      <c r="W893" s="39">
        <f t="shared" si="112"/>
        <v>0.2</v>
      </c>
      <c r="X893" s="40" t="s">
        <v>304</v>
      </c>
      <c r="Y893" s="40" t="s">
        <v>284</v>
      </c>
      <c r="Z893" s="40" t="s">
        <v>305</v>
      </c>
      <c r="AA893" s="33" t="s">
        <v>771</v>
      </c>
      <c r="AB893" s="95"/>
      <c r="AC893" s="95"/>
    </row>
    <row r="894" spans="1:29" ht="14.45" hidden="1" customHeight="1" x14ac:dyDescent="0.25">
      <c r="A894" s="36" t="str">
        <f>INDEX('Base de données Mono'!C:C,MATCH(B894,'Base de données Mono'!D:D,0))</f>
        <v>TOURS NATIONALE</v>
      </c>
      <c r="B894" t="s">
        <v>37</v>
      </c>
      <c r="C894" s="36" t="str">
        <f>INDEX('Base de données Mono'!B:B,MATCH(B894,'Base de données Mono'!D:D,0))</f>
        <v>SES8</v>
      </c>
      <c r="D894" s="36" t="str">
        <f>INDEX('Base de données Mono'!A:A,MATCH(B894,'Base de données Mono'!D:D,0))</f>
        <v>AD</v>
      </c>
      <c r="E894" s="37" t="s">
        <v>303</v>
      </c>
      <c r="F894" s="41">
        <f t="shared" si="108"/>
        <v>15</v>
      </c>
      <c r="G894" s="41">
        <f t="shared" si="109"/>
        <v>4</v>
      </c>
      <c r="H894">
        <v>8.25</v>
      </c>
      <c r="I894" s="131">
        <f>INDEX('Base de données Mono'!K:K,MATCH(B894,'Base de données Mono'!D:D,0))</f>
        <v>0.22916666666666666</v>
      </c>
      <c r="J894" s="131">
        <f>INDEX('Base de données Mono'!L:L,MATCH(B894,'Base de données Mono'!D:D,0))</f>
        <v>0.88541666666666663</v>
      </c>
      <c r="K894" s="131">
        <f>INDEX('Base de données Mono'!M:M,MATCH(B894,'Base de données Mono'!D:D,0))</f>
        <v>0.31944444444444448</v>
      </c>
      <c r="L894" s="131">
        <f>INDEX('Base de données Mono'!N:N,MATCH(B894,'Base de données Mono'!D:D,0))</f>
        <v>0.55208333333333337</v>
      </c>
      <c r="M894" s="33" t="s">
        <v>46</v>
      </c>
      <c r="N894" s="33">
        <f>IF(AND(E894="Electricité",M894="Hiver"),INDEX('Base de données Mono'!E:E,MATCH(B894,'Base de données Mono'!D:D,0)),IF(AND(E894="Electricité",M894="Mi-saison"),INDEX('Base de données Mono'!F:F,MATCH(B894,'Base de données Mono'!D:D,0)),IF(AND(E894="Electricité",M894="Eté"),INDEX('Base de données Mono'!G:G,MATCH(B894,'Base de données Mono'!D:D,0)),IF(AND(E894="Gaz",M894="Hiver"),INDEX('Base de données Mono'!J:J,MATCH(B894,'Base de données Mono'!D:D,0)),IF(AND(E894="Gaz",M894="Mi-saison"),INDEX('Base de données Mono'!#REF!,MATCH(B894,'Base de données Mono'!D:D,0)),IF(AND(E894="Gaz",M894="Eté"),INDEX('Base de données Mono'!#REF!,MATCH(B894,'Base de données Mono'!D:D,0)),"-"))))))</f>
        <v>50</v>
      </c>
      <c r="O894" s="123">
        <v>45389</v>
      </c>
      <c r="P894" s="123">
        <v>45395</v>
      </c>
      <c r="Q894" s="34">
        <v>75</v>
      </c>
      <c r="R894" s="33">
        <f t="shared" si="110"/>
        <v>25</v>
      </c>
      <c r="S894" s="34">
        <v>1</v>
      </c>
      <c r="T894" s="34">
        <f t="shared" si="100"/>
        <v>6</v>
      </c>
      <c r="U894" s="33">
        <f t="shared" si="111"/>
        <v>150</v>
      </c>
      <c r="V894" s="38" t="s">
        <v>827</v>
      </c>
      <c r="W894" s="39">
        <f t="shared" si="112"/>
        <v>0.5</v>
      </c>
      <c r="X894" s="40" t="s">
        <v>304</v>
      </c>
      <c r="Y894" s="40" t="s">
        <v>284</v>
      </c>
      <c r="Z894" s="40" t="s">
        <v>305</v>
      </c>
      <c r="AA894" s="33" t="s">
        <v>771</v>
      </c>
      <c r="AB894" s="95"/>
      <c r="AC894" s="95"/>
    </row>
    <row r="895" spans="1:29" ht="14.45" hidden="1" customHeight="1" x14ac:dyDescent="0.25">
      <c r="A895" s="36" t="str">
        <f>INDEX('Base de données Mono'!C:C,MATCH(B895,'Base de données Mono'!D:D,0))</f>
        <v>TOURS NATIONALE</v>
      </c>
      <c r="B895" t="s">
        <v>37</v>
      </c>
      <c r="C895" s="36" t="str">
        <f>INDEX('Base de données Mono'!B:B,MATCH(B895,'Base de données Mono'!D:D,0))</f>
        <v>SES8</v>
      </c>
      <c r="D895" s="36" t="str">
        <f>INDEX('Base de données Mono'!A:A,MATCH(B895,'Base de données Mono'!D:D,0))</f>
        <v>AD</v>
      </c>
      <c r="E895" s="37" t="s">
        <v>303</v>
      </c>
      <c r="F895" s="41">
        <f t="shared" si="108"/>
        <v>15</v>
      </c>
      <c r="G895" s="41">
        <f t="shared" si="109"/>
        <v>4</v>
      </c>
      <c r="H895">
        <v>8.25</v>
      </c>
      <c r="I895" s="131">
        <f>INDEX('Base de données Mono'!K:K,MATCH(B895,'Base de données Mono'!D:D,0))</f>
        <v>0.22916666666666666</v>
      </c>
      <c r="J895" s="131">
        <f>INDEX('Base de données Mono'!L:L,MATCH(B895,'Base de données Mono'!D:D,0))</f>
        <v>0.88541666666666663</v>
      </c>
      <c r="K895" s="131">
        <f>INDEX('Base de données Mono'!M:M,MATCH(B895,'Base de données Mono'!D:D,0))</f>
        <v>0.31944444444444448</v>
      </c>
      <c r="L895" s="131">
        <f>INDEX('Base de données Mono'!N:N,MATCH(B895,'Base de données Mono'!D:D,0))</f>
        <v>0.55208333333333337</v>
      </c>
      <c r="M895" s="33" t="s">
        <v>46</v>
      </c>
      <c r="N895" s="33">
        <f>IF(AND(E895="Electricité",M895="Hiver"),INDEX('Base de données Mono'!E:E,MATCH(B895,'Base de données Mono'!D:D,0)),IF(AND(E895="Electricité",M895="Mi-saison"),INDEX('Base de données Mono'!F:F,MATCH(B895,'Base de données Mono'!D:D,0)),IF(AND(E895="Electricité",M895="Eté"),INDEX('Base de données Mono'!G:G,MATCH(B895,'Base de données Mono'!D:D,0)),IF(AND(E895="Gaz",M895="Hiver"),INDEX('Base de données Mono'!J:J,MATCH(B895,'Base de données Mono'!D:D,0)),IF(AND(E895="Gaz",M895="Mi-saison"),INDEX('Base de données Mono'!#REF!,MATCH(B895,'Base de données Mono'!D:D,0)),IF(AND(E895="Gaz",M895="Eté"),INDEX('Base de données Mono'!#REF!,MATCH(B895,'Base de données Mono'!D:D,0)),"-"))))))</f>
        <v>50</v>
      </c>
      <c r="O895" s="123">
        <v>45395</v>
      </c>
      <c r="P895" s="123">
        <v>45396</v>
      </c>
      <c r="Q895" s="34">
        <v>70</v>
      </c>
      <c r="R895" s="33">
        <f t="shared" si="110"/>
        <v>20</v>
      </c>
      <c r="S895" s="34">
        <v>3</v>
      </c>
      <c r="T895" s="34">
        <f t="shared" si="100"/>
        <v>1</v>
      </c>
      <c r="U895" s="33">
        <f t="shared" si="111"/>
        <v>60</v>
      </c>
      <c r="V895" s="38" t="s">
        <v>827</v>
      </c>
      <c r="W895" s="39">
        <f t="shared" si="112"/>
        <v>0.4</v>
      </c>
      <c r="X895" s="40" t="s">
        <v>304</v>
      </c>
      <c r="Y895" s="40" t="s">
        <v>284</v>
      </c>
      <c r="Z895" s="40" t="s">
        <v>305</v>
      </c>
      <c r="AA895" s="33" t="s">
        <v>771</v>
      </c>
      <c r="AB895" s="95"/>
      <c r="AC895" s="95"/>
    </row>
    <row r="896" spans="1:29" ht="14.45" hidden="1" customHeight="1" x14ac:dyDescent="0.25">
      <c r="A896" s="36" t="str">
        <f>INDEX('Base de données Mono'!C:C,MATCH(B896,'Base de données Mono'!D:D,0))</f>
        <v>ISSY GAMBETTA</v>
      </c>
      <c r="B896" t="s">
        <v>17</v>
      </c>
      <c r="C896" s="36" t="str">
        <f>INDEX('Base de données Mono'!B:B,MATCH(B896,'Base de données Mono'!D:D,0))</f>
        <v>SES8</v>
      </c>
      <c r="D896" s="36" t="str">
        <f>INDEX('Base de données Mono'!A:A,MATCH(B896,'Base de données Mono'!D:D,0))</f>
        <v>AD</v>
      </c>
      <c r="E896" s="37" t="s">
        <v>303</v>
      </c>
      <c r="F896" s="41">
        <f t="shared" si="108"/>
        <v>15</v>
      </c>
      <c r="G896" s="41">
        <f t="shared" si="109"/>
        <v>4</v>
      </c>
      <c r="H896">
        <v>8.25</v>
      </c>
      <c r="I896" s="131">
        <f>INDEX('Base de données Mono'!K:K,MATCH(B896,'Base de données Mono'!D:D,0))</f>
        <v>0.25</v>
      </c>
      <c r="J896" s="131">
        <f>INDEX('Base de données Mono'!L:L,MATCH(B896,'Base de données Mono'!D:D,0))</f>
        <v>0.90625</v>
      </c>
      <c r="K896" s="131">
        <f>INDEX('Base de données Mono'!M:M,MATCH(B896,'Base de données Mono'!D:D,0))</f>
        <v>0.3263888888888889</v>
      </c>
      <c r="L896" s="131">
        <f>INDEX('Base de données Mono'!N:N,MATCH(B896,'Base de données Mono'!D:D,0))</f>
        <v>0.54166666666666663</v>
      </c>
      <c r="M896" s="33" t="s">
        <v>46</v>
      </c>
      <c r="N896" s="33">
        <f>IF(AND(E896="Electricité",M896="Hiver"),INDEX('Base de données Mono'!E:E,MATCH(B896,'Base de données Mono'!D:D,0)),IF(AND(E896="Electricité",M896="Mi-saison"),INDEX('Base de données Mono'!F:F,MATCH(B896,'Base de données Mono'!D:D,0)),IF(AND(E896="Electricité",M896="Eté"),INDEX('Base de données Mono'!G:G,MATCH(B896,'Base de données Mono'!D:D,0)),IF(AND(E896="Gaz",M896="Hiver"),INDEX('Base de données Mono'!J:J,MATCH(B896,'Base de données Mono'!D:D,0)),IF(AND(E896="Gaz",M896="Mi-saison"),INDEX('Base de données Mono'!#REF!,MATCH(B896,'Base de données Mono'!D:D,0)),IF(AND(E896="Gaz",M896="Eté"),INDEX('Base de données Mono'!#REF!,MATCH(B896,'Base de données Mono'!D:D,0)),"-"))))))</f>
        <v>35</v>
      </c>
      <c r="O896" s="123">
        <v>45389</v>
      </c>
      <c r="P896" s="123">
        <v>45392</v>
      </c>
      <c r="Q896" s="34">
        <v>40</v>
      </c>
      <c r="R896" s="33">
        <f t="shared" si="110"/>
        <v>5</v>
      </c>
      <c r="S896" s="34">
        <v>8.1999999999999993</v>
      </c>
      <c r="T896" s="34">
        <f t="shared" si="100"/>
        <v>3</v>
      </c>
      <c r="U896" s="33">
        <f t="shared" si="111"/>
        <v>123</v>
      </c>
      <c r="V896" s="38" t="s">
        <v>827</v>
      </c>
      <c r="W896" s="39">
        <f t="shared" si="112"/>
        <v>0.14285714285714285</v>
      </c>
      <c r="X896" s="40" t="s">
        <v>304</v>
      </c>
      <c r="Y896" s="40" t="s">
        <v>284</v>
      </c>
      <c r="Z896" s="40" t="s">
        <v>305</v>
      </c>
      <c r="AA896" s="33" t="s">
        <v>771</v>
      </c>
      <c r="AB896" s="95"/>
      <c r="AC896" s="95"/>
    </row>
    <row r="897" spans="1:29" ht="14.45" hidden="1" customHeight="1" x14ac:dyDescent="0.25">
      <c r="A897" s="36" t="str">
        <f>INDEX('Base de données Mono'!C:C,MATCH(B897,'Base de données Mono'!D:D,0))</f>
        <v>ISSY GAMBETTA</v>
      </c>
      <c r="B897" t="s">
        <v>17</v>
      </c>
      <c r="C897" s="36" t="str">
        <f>INDEX('Base de données Mono'!B:B,MATCH(B897,'Base de données Mono'!D:D,0))</f>
        <v>SES8</v>
      </c>
      <c r="D897" s="36" t="str">
        <f>INDEX('Base de données Mono'!A:A,MATCH(B897,'Base de données Mono'!D:D,0))</f>
        <v>AD</v>
      </c>
      <c r="E897" s="37" t="s">
        <v>303</v>
      </c>
      <c r="F897" s="41">
        <f t="shared" si="108"/>
        <v>15</v>
      </c>
      <c r="G897" s="41">
        <f t="shared" si="109"/>
        <v>4</v>
      </c>
      <c r="H897">
        <v>8.25</v>
      </c>
      <c r="I897" s="131">
        <f>INDEX('Base de données Mono'!K:K,MATCH(B897,'Base de données Mono'!D:D,0))</f>
        <v>0.25</v>
      </c>
      <c r="J897" s="131">
        <f>INDEX('Base de données Mono'!L:L,MATCH(B897,'Base de données Mono'!D:D,0))</f>
        <v>0.90625</v>
      </c>
      <c r="K897" s="131">
        <f>INDEX('Base de données Mono'!M:M,MATCH(B897,'Base de données Mono'!D:D,0))</f>
        <v>0.3263888888888889</v>
      </c>
      <c r="L897" s="131">
        <f>INDEX('Base de données Mono'!N:N,MATCH(B897,'Base de données Mono'!D:D,0))</f>
        <v>0.54166666666666663</v>
      </c>
      <c r="M897" s="33" t="s">
        <v>46</v>
      </c>
      <c r="N897" s="33">
        <f>IF(AND(E897="Electricité",M897="Hiver"),INDEX('Base de données Mono'!E:E,MATCH(B897,'Base de données Mono'!D:D,0)),IF(AND(E897="Electricité",M897="Mi-saison"),INDEX('Base de données Mono'!F:F,MATCH(B897,'Base de données Mono'!D:D,0)),IF(AND(E897="Electricité",M897="Eté"),INDEX('Base de données Mono'!G:G,MATCH(B897,'Base de données Mono'!D:D,0)),IF(AND(E897="Gaz",M897="Hiver"),INDEX('Base de données Mono'!J:J,MATCH(B897,'Base de données Mono'!D:D,0)),IF(AND(E897="Gaz",M897="Mi-saison"),INDEX('Base de données Mono'!#REF!,MATCH(B897,'Base de données Mono'!D:D,0)),IF(AND(E897="Gaz",M897="Eté"),INDEX('Base de données Mono'!#REF!,MATCH(B897,'Base de données Mono'!D:D,0)),"-"))))))</f>
        <v>35</v>
      </c>
      <c r="O897" s="123">
        <v>45395</v>
      </c>
      <c r="P897" s="123">
        <v>45396</v>
      </c>
      <c r="Q897" s="34">
        <v>45</v>
      </c>
      <c r="R897" s="33">
        <f t="shared" ref="R897:R925" si="113">IF(Q897="","",Q897-N897)</f>
        <v>10</v>
      </c>
      <c r="S897" s="34">
        <v>0.3</v>
      </c>
      <c r="T897" s="34">
        <f t="shared" si="100"/>
        <v>1</v>
      </c>
      <c r="U897" s="33">
        <f t="shared" si="111"/>
        <v>3</v>
      </c>
      <c r="V897" s="38" t="s">
        <v>827</v>
      </c>
      <c r="W897" s="39">
        <f t="shared" si="112"/>
        <v>0.2857142857142857</v>
      </c>
      <c r="X897" s="40" t="s">
        <v>304</v>
      </c>
      <c r="Y897" s="40" t="s">
        <v>284</v>
      </c>
      <c r="Z897" s="40" t="s">
        <v>305</v>
      </c>
      <c r="AA897" s="33" t="s">
        <v>771</v>
      </c>
      <c r="AB897" s="95"/>
      <c r="AC897" s="95"/>
    </row>
    <row r="898" spans="1:29" ht="14.45" hidden="1" customHeight="1" x14ac:dyDescent="0.25">
      <c r="A898" s="36" t="str">
        <f>INDEX('Base de données Mono'!C:C,MATCH(B898,'Base de données Mono'!D:D,0))</f>
        <v>ANGERS LES HALLES</v>
      </c>
      <c r="B898" t="s">
        <v>4</v>
      </c>
      <c r="C898" s="36" t="str">
        <f>INDEX('Base de données Mono'!B:B,MATCH(B898,'Base de données Mono'!D:D,0))</f>
        <v>SES8</v>
      </c>
      <c r="D898" s="36" t="str">
        <f>INDEX('Base de données Mono'!A:A,MATCH(B898,'Base de données Mono'!D:D,0))</f>
        <v>AD</v>
      </c>
      <c r="E898" s="37" t="s">
        <v>303</v>
      </c>
      <c r="F898" s="41">
        <f t="shared" si="108"/>
        <v>15</v>
      </c>
      <c r="G898" s="41">
        <f t="shared" si="109"/>
        <v>4</v>
      </c>
      <c r="H898">
        <v>8</v>
      </c>
      <c r="I898" s="131">
        <f>INDEX('Base de données Mono'!K:K,MATCH(B898,'Base de données Mono'!D:D,0))</f>
        <v>0.20833333333333334</v>
      </c>
      <c r="J898" s="131">
        <f>INDEX('Base de données Mono'!L:L,MATCH(B898,'Base de données Mono'!D:D,0))</f>
        <v>0.875</v>
      </c>
      <c r="K898" s="131" t="str">
        <f>INDEX('Base de données Mono'!M:M,MATCH(B898,'Base de données Mono'!D:D,0))</f>
        <v>-</v>
      </c>
      <c r="L898" s="131" t="str">
        <f>INDEX('Base de données Mono'!N:N,MATCH(B898,'Base de données Mono'!D:D,0))</f>
        <v>-</v>
      </c>
      <c r="M898" s="33" t="s">
        <v>46</v>
      </c>
      <c r="N898" s="33">
        <f>IF(AND(E898="Electricité",M898="Hiver"),INDEX('Base de données Mono'!E:E,MATCH(B898,'Base de données Mono'!D:D,0)),IF(AND(E898="Electricité",M898="Mi-saison"),INDEX('Base de données Mono'!F:F,MATCH(B898,'Base de données Mono'!D:D,0)),IF(AND(E898="Electricité",M898="Eté"),INDEX('Base de données Mono'!G:G,MATCH(B898,'Base de données Mono'!D:D,0)),IF(AND(E898="Gaz",M898="Hiver"),INDEX('Base de données Mono'!J:J,MATCH(B898,'Base de données Mono'!D:D,0)),IF(AND(E898="Gaz",M898="Mi-saison"),INDEX('Base de données Mono'!#REF!,MATCH(B898,'Base de données Mono'!D:D,0)),IF(AND(E898="Gaz",M898="Eté"),INDEX('Base de données Mono'!#REF!,MATCH(B898,'Base de données Mono'!D:D,0)),"-"))))))</f>
        <v>60</v>
      </c>
      <c r="O898" s="123">
        <v>45389</v>
      </c>
      <c r="P898" s="123">
        <v>45396</v>
      </c>
      <c r="Q898" s="34">
        <v>70</v>
      </c>
      <c r="R898" s="33">
        <f t="shared" si="113"/>
        <v>10</v>
      </c>
      <c r="S898" s="34">
        <v>8</v>
      </c>
      <c r="T898" s="34">
        <f t="shared" si="100"/>
        <v>7</v>
      </c>
      <c r="U898" s="33">
        <f t="shared" si="111"/>
        <v>560</v>
      </c>
      <c r="V898" s="38" t="s">
        <v>827</v>
      </c>
      <c r="W898" s="39">
        <f t="shared" si="112"/>
        <v>0.16666666666666666</v>
      </c>
      <c r="X898" s="40" t="s">
        <v>304</v>
      </c>
      <c r="Y898" s="40" t="s">
        <v>284</v>
      </c>
      <c r="Z898" s="40" t="s">
        <v>305</v>
      </c>
      <c r="AA898" s="33" t="s">
        <v>771</v>
      </c>
      <c r="AB898" s="95"/>
      <c r="AC898" s="95"/>
    </row>
    <row r="899" spans="1:29" ht="14.45" hidden="1" customHeight="1" x14ac:dyDescent="0.25">
      <c r="A899" s="36" t="str">
        <f>INDEX('Base de données Mono'!C:C,MATCH(B899,'Base de données Mono'!D:D,0))</f>
        <v>NANCY ST SEBASTIEN</v>
      </c>
      <c r="B899" t="s">
        <v>186</v>
      </c>
      <c r="C899" s="36" t="str">
        <f>INDEX('Base de données Mono'!B:B,MATCH(B899,'Base de données Mono'!D:D,0))</f>
        <v>SES8</v>
      </c>
      <c r="D899" s="36" t="str">
        <f>INDEX('Base de données Mono'!A:A,MATCH(B899,'Base de données Mono'!D:D,0))</f>
        <v>JG</v>
      </c>
      <c r="E899" s="37" t="s">
        <v>303</v>
      </c>
      <c r="F899" s="41">
        <f t="shared" si="108"/>
        <v>15</v>
      </c>
      <c r="G899" s="41">
        <f t="shared" si="109"/>
        <v>4</v>
      </c>
      <c r="H899">
        <v>8.92</v>
      </c>
      <c r="I899" s="131">
        <f>INDEX('Base de données Mono'!K:K,MATCH(B899,'Base de données Mono'!D:D,0))</f>
        <v>0.23611111111111113</v>
      </c>
      <c r="J899" s="131">
        <f>INDEX('Base de données Mono'!L:L,MATCH(B899,'Base de données Mono'!D:D,0))</f>
        <v>0.86458333333333337</v>
      </c>
      <c r="K899" s="131" t="str">
        <f>INDEX('Base de données Mono'!M:M,MATCH(B899,'Base de données Mono'!D:D,0))</f>
        <v>-</v>
      </c>
      <c r="L899" s="131" t="str">
        <f>INDEX('Base de données Mono'!N:N,MATCH(B899,'Base de données Mono'!D:D,0))</f>
        <v>-</v>
      </c>
      <c r="M899" s="33" t="s">
        <v>46</v>
      </c>
      <c r="N899" s="33">
        <f>IF(AND(E899="Electricité",M899="Hiver"),INDEX('Base de données Mono'!E:E,MATCH(B899,'Base de données Mono'!D:D,0)),IF(AND(E899="Electricité",M899="Mi-saison"),INDEX('Base de données Mono'!F:F,MATCH(B899,'Base de données Mono'!D:D,0)),IF(AND(E899="Electricité",M899="Eté"),INDEX('Base de données Mono'!G:G,MATCH(B899,'Base de données Mono'!D:D,0)),IF(AND(E899="Gaz",M899="Hiver"),INDEX('Base de données Mono'!J:J,MATCH(B899,'Base de données Mono'!D:D,0)),IF(AND(E899="Gaz",M899="Mi-saison"),INDEX('Base de données Mono'!#REF!,MATCH(B899,'Base de données Mono'!D:D,0)),IF(AND(E899="Gaz",M899="Eté"),INDEX('Base de données Mono'!#REF!,MATCH(B899,'Base de données Mono'!D:D,0)),"-"))))))</f>
        <v>85</v>
      </c>
      <c r="O899" s="123">
        <v>45389</v>
      </c>
      <c r="P899" s="123">
        <v>45395</v>
      </c>
      <c r="Q899" s="34">
        <v>100</v>
      </c>
      <c r="R899" s="33">
        <f t="shared" si="113"/>
        <v>15</v>
      </c>
      <c r="S899" s="34">
        <v>8.9</v>
      </c>
      <c r="T899" s="34">
        <f t="shared" si="100"/>
        <v>6</v>
      </c>
      <c r="U899" s="33">
        <f t="shared" si="111"/>
        <v>801</v>
      </c>
      <c r="V899" s="38" t="s">
        <v>827</v>
      </c>
      <c r="W899" s="39">
        <f t="shared" si="112"/>
        <v>0.17647058823529413</v>
      </c>
      <c r="X899" s="40" t="s">
        <v>304</v>
      </c>
      <c r="Y899" s="40" t="s">
        <v>284</v>
      </c>
      <c r="Z899" s="40" t="s">
        <v>305</v>
      </c>
      <c r="AA899" s="33" t="s">
        <v>771</v>
      </c>
      <c r="AB899" s="95"/>
      <c r="AC899" s="95"/>
    </row>
    <row r="900" spans="1:29" ht="14.45" hidden="1" customHeight="1" x14ac:dyDescent="0.25">
      <c r="A900" s="36" t="str">
        <f>INDEX('Base de données Mono'!C:C,MATCH(B900,'Base de données Mono'!D:D,0))</f>
        <v>NANCY ST SEBASTIEN</v>
      </c>
      <c r="B900" t="s">
        <v>186</v>
      </c>
      <c r="C900" s="36" t="str">
        <f>INDEX('Base de données Mono'!B:B,MATCH(B900,'Base de données Mono'!D:D,0))</f>
        <v>SES8</v>
      </c>
      <c r="D900" s="36" t="str">
        <f>INDEX('Base de données Mono'!A:A,MATCH(B900,'Base de données Mono'!D:D,0))</f>
        <v>JG</v>
      </c>
      <c r="E900" s="37" t="s">
        <v>303</v>
      </c>
      <c r="F900" s="41">
        <f t="shared" si="108"/>
        <v>15</v>
      </c>
      <c r="G900" s="41">
        <f t="shared" si="109"/>
        <v>4</v>
      </c>
      <c r="H900">
        <v>8.92</v>
      </c>
      <c r="I900" s="131">
        <f>INDEX('Base de données Mono'!K:K,MATCH(B900,'Base de données Mono'!D:D,0))</f>
        <v>0.23611111111111113</v>
      </c>
      <c r="J900" s="131">
        <f>INDEX('Base de données Mono'!L:L,MATCH(B900,'Base de données Mono'!D:D,0))</f>
        <v>0.86458333333333337</v>
      </c>
      <c r="K900" s="131" t="str">
        <f>INDEX('Base de données Mono'!M:M,MATCH(B900,'Base de données Mono'!D:D,0))</f>
        <v>-</v>
      </c>
      <c r="L900" s="131" t="str">
        <f>INDEX('Base de données Mono'!N:N,MATCH(B900,'Base de données Mono'!D:D,0))</f>
        <v>-</v>
      </c>
      <c r="M900" s="33" t="s">
        <v>46</v>
      </c>
      <c r="N900" s="33">
        <f>IF(AND(E900="Electricité",M900="Hiver"),INDEX('Base de données Mono'!E:E,MATCH(B900,'Base de données Mono'!D:D,0)),IF(AND(E900="Electricité",M900="Mi-saison"),INDEX('Base de données Mono'!F:F,MATCH(B900,'Base de données Mono'!D:D,0)),IF(AND(E900="Electricité",M900="Eté"),INDEX('Base de données Mono'!G:G,MATCH(B900,'Base de données Mono'!D:D,0)),IF(AND(E900="Gaz",M900="Hiver"),INDEX('Base de données Mono'!J:J,MATCH(B900,'Base de données Mono'!D:D,0)),IF(AND(E900="Gaz",M900="Mi-saison"),INDEX('Base de données Mono'!#REF!,MATCH(B900,'Base de données Mono'!D:D,0)),IF(AND(E900="Gaz",M900="Eté"),INDEX('Base de données Mono'!#REF!,MATCH(B900,'Base de données Mono'!D:D,0)),"-"))))))</f>
        <v>85</v>
      </c>
      <c r="O900" s="123">
        <v>45395</v>
      </c>
      <c r="P900" s="123">
        <v>45396</v>
      </c>
      <c r="Q900" s="34">
        <v>105</v>
      </c>
      <c r="R900" s="33">
        <f t="shared" si="113"/>
        <v>20</v>
      </c>
      <c r="S900" s="34">
        <v>8.9</v>
      </c>
      <c r="T900" s="34">
        <f t="shared" si="100"/>
        <v>1</v>
      </c>
      <c r="U900" s="33">
        <f t="shared" si="111"/>
        <v>178</v>
      </c>
      <c r="V900" s="38" t="s">
        <v>827</v>
      </c>
      <c r="W900" s="39">
        <f t="shared" si="112"/>
        <v>0.23529411764705882</v>
      </c>
      <c r="X900" s="40" t="s">
        <v>304</v>
      </c>
      <c r="Y900" s="40" t="s">
        <v>284</v>
      </c>
      <c r="Z900" s="40" t="s">
        <v>305</v>
      </c>
      <c r="AA900" s="33" t="s">
        <v>771</v>
      </c>
      <c r="AB900" s="95"/>
      <c r="AC900" s="95"/>
    </row>
    <row r="901" spans="1:29" ht="14.45" hidden="1" customHeight="1" x14ac:dyDescent="0.25">
      <c r="A901" s="36" t="str">
        <f>INDEX('Base de données Mono'!C:C,MATCH(B901,'Base de données Mono'!D:D,0))</f>
        <v>MONTPARNASSE</v>
      </c>
      <c r="B901" t="s">
        <v>177</v>
      </c>
      <c r="C901" s="36" t="str">
        <f>INDEX('Base de données Mono'!B:B,MATCH(B901,'Base de données Mono'!D:D,0))</f>
        <v>SES8</v>
      </c>
      <c r="D901" s="36" t="str">
        <f>INDEX('Base de données Mono'!A:A,MATCH(B901,'Base de données Mono'!D:D,0))</f>
        <v>AD</v>
      </c>
      <c r="E901" s="37" t="s">
        <v>303</v>
      </c>
      <c r="F901" s="41">
        <f t="shared" si="108"/>
        <v>15</v>
      </c>
      <c r="G901" s="41">
        <f t="shared" si="109"/>
        <v>4</v>
      </c>
      <c r="H901">
        <v>8.67</v>
      </c>
      <c r="I901" s="131">
        <f>INDEX('Base de données Mono'!K:K,MATCH(B901,'Base de données Mono'!D:D,0))</f>
        <v>0.23611111111111113</v>
      </c>
      <c r="J901" s="131">
        <f>INDEX('Base de données Mono'!L:L,MATCH(B901,'Base de données Mono'!D:D,0))</f>
        <v>0.875</v>
      </c>
      <c r="K901" s="131">
        <f>INDEX('Base de données Mono'!M:M,MATCH(B901,'Base de données Mono'!D:D,0))</f>
        <v>0.25</v>
      </c>
      <c r="L901" s="131">
        <f>INDEX('Base de données Mono'!N:N,MATCH(B901,'Base de données Mono'!D:D,0))</f>
        <v>0.85416666666666663</v>
      </c>
      <c r="M901" s="33" t="s">
        <v>46</v>
      </c>
      <c r="N901" s="33">
        <f>IF(AND(E901="Electricité",M901="Hiver"),INDEX('Base de données Mono'!E:E,MATCH(B901,'Base de données Mono'!D:D,0)),IF(AND(E901="Electricité",M901="Mi-saison"),INDEX('Base de données Mono'!F:F,MATCH(B901,'Base de données Mono'!D:D,0)),IF(AND(E901="Electricité",M901="Eté"),INDEX('Base de données Mono'!G:G,MATCH(B901,'Base de données Mono'!D:D,0)),IF(AND(E901="Gaz",M901="Hiver"),INDEX('Base de données Mono'!J:J,MATCH(B901,'Base de données Mono'!D:D,0)),IF(AND(E901="Gaz",M901="Mi-saison"),INDEX('Base de données Mono'!#REF!,MATCH(B901,'Base de données Mono'!D:D,0)),IF(AND(E901="Gaz",M901="Eté"),INDEX('Base de données Mono'!#REF!,MATCH(B901,'Base de données Mono'!D:D,0)),"-"))))))</f>
        <v>130</v>
      </c>
      <c r="O901" s="123">
        <v>45389</v>
      </c>
      <c r="P901" s="123">
        <v>45396</v>
      </c>
      <c r="Q901" s="34">
        <v>210</v>
      </c>
      <c r="R901" s="33">
        <f t="shared" si="113"/>
        <v>80</v>
      </c>
      <c r="S901" s="34">
        <v>3</v>
      </c>
      <c r="T901" s="34">
        <f t="shared" si="100"/>
        <v>7</v>
      </c>
      <c r="U901" s="33">
        <f t="shared" si="111"/>
        <v>1680</v>
      </c>
      <c r="V901" s="38" t="s">
        <v>827</v>
      </c>
      <c r="W901" s="39">
        <f t="shared" si="112"/>
        <v>0.61538461538461542</v>
      </c>
      <c r="X901" s="40" t="s">
        <v>304</v>
      </c>
      <c r="Y901" s="40" t="s">
        <v>284</v>
      </c>
      <c r="Z901" s="40" t="s">
        <v>307</v>
      </c>
      <c r="AA901" s="33" t="s">
        <v>313</v>
      </c>
      <c r="AB901" s="95"/>
      <c r="AC901" s="95"/>
    </row>
    <row r="902" spans="1:29" ht="14.45" hidden="1" customHeight="1" x14ac:dyDescent="0.25">
      <c r="A902" s="36" t="str">
        <f>INDEX('Base de données Mono'!C:C,MATCH(B902,'Base de données Mono'!D:D,0))</f>
        <v>MONTPARNASSE</v>
      </c>
      <c r="B902" t="s">
        <v>177</v>
      </c>
      <c r="C902" s="36" t="str">
        <f>INDEX('Base de données Mono'!B:B,MATCH(B902,'Base de données Mono'!D:D,0))</f>
        <v>SES8</v>
      </c>
      <c r="D902" s="36" t="str">
        <f>INDEX('Base de données Mono'!A:A,MATCH(B902,'Base de données Mono'!D:D,0))</f>
        <v>AD</v>
      </c>
      <c r="E902" s="37" t="s">
        <v>303</v>
      </c>
      <c r="F902" s="41">
        <f t="shared" si="108"/>
        <v>15</v>
      </c>
      <c r="G902" s="41">
        <f t="shared" si="109"/>
        <v>4</v>
      </c>
      <c r="H902">
        <v>8.67</v>
      </c>
      <c r="I902" s="131">
        <f>INDEX('Base de données Mono'!K:K,MATCH(B902,'Base de données Mono'!D:D,0))</f>
        <v>0.23611111111111113</v>
      </c>
      <c r="J902" s="131">
        <f>INDEX('Base de données Mono'!L:L,MATCH(B902,'Base de données Mono'!D:D,0))</f>
        <v>0.875</v>
      </c>
      <c r="K902" s="131">
        <f>INDEX('Base de données Mono'!M:M,MATCH(B902,'Base de données Mono'!D:D,0))</f>
        <v>0.25</v>
      </c>
      <c r="L902" s="131">
        <f>INDEX('Base de données Mono'!N:N,MATCH(B902,'Base de données Mono'!D:D,0))</f>
        <v>0.85416666666666663</v>
      </c>
      <c r="M902" s="33" t="s">
        <v>46</v>
      </c>
      <c r="N902" s="33">
        <f>IF(AND(E902="Electricité",M902="Hiver"),INDEX('Base de données Mono'!E:E,MATCH(B902,'Base de données Mono'!D:D,0)),IF(AND(E902="Electricité",M902="Mi-saison"),INDEX('Base de données Mono'!F:F,MATCH(B902,'Base de données Mono'!D:D,0)),IF(AND(E902="Electricité",M902="Eté"),INDEX('Base de données Mono'!G:G,MATCH(B902,'Base de données Mono'!D:D,0)),IF(AND(E902="Gaz",M902="Hiver"),INDEX('Base de données Mono'!J:J,MATCH(B902,'Base de données Mono'!D:D,0)),IF(AND(E902="Gaz",M902="Mi-saison"),INDEX('Base de données Mono'!#REF!,MATCH(B902,'Base de données Mono'!D:D,0)),IF(AND(E902="Gaz",M902="Eté"),INDEX('Base de données Mono'!#REF!,MATCH(B902,'Base de données Mono'!D:D,0)),"-"))))))</f>
        <v>130</v>
      </c>
      <c r="O902" s="123">
        <v>45389</v>
      </c>
      <c r="P902" s="123">
        <v>45395</v>
      </c>
      <c r="Q902" s="34">
        <v>205</v>
      </c>
      <c r="R902" s="33">
        <f t="shared" si="113"/>
        <v>75</v>
      </c>
      <c r="S902" s="34">
        <v>0.6</v>
      </c>
      <c r="T902" s="34">
        <f t="shared" si="100"/>
        <v>6</v>
      </c>
      <c r="U902" s="33">
        <f t="shared" si="111"/>
        <v>270</v>
      </c>
      <c r="V902" s="38" t="s">
        <v>827</v>
      </c>
      <c r="W902" s="39">
        <f t="shared" si="112"/>
        <v>0.57692307692307687</v>
      </c>
      <c r="X902" s="40" t="s">
        <v>304</v>
      </c>
      <c r="Y902" s="40" t="s">
        <v>284</v>
      </c>
      <c r="Z902" s="40" t="s">
        <v>307</v>
      </c>
      <c r="AA902" s="33" t="s">
        <v>414</v>
      </c>
      <c r="AB902" s="95"/>
      <c r="AC902" s="95"/>
    </row>
    <row r="903" spans="1:29" ht="14.45" hidden="1" customHeight="1" x14ac:dyDescent="0.25">
      <c r="A903" s="36" t="str">
        <f>INDEX('Base de données Mono'!C:C,MATCH(B903,'Base de données Mono'!D:D,0))</f>
        <v>TOLBIAC</v>
      </c>
      <c r="B903" t="s">
        <v>253</v>
      </c>
      <c r="C903" s="36" t="str">
        <f>INDEX('Base de données Mono'!B:B,MATCH(B903,'Base de données Mono'!D:D,0))</f>
        <v>SES8</v>
      </c>
      <c r="D903" s="36" t="str">
        <f>INDEX('Base de données Mono'!A:A,MATCH(B903,'Base de données Mono'!D:D,0))</f>
        <v>JG</v>
      </c>
      <c r="E903" s="37" t="s">
        <v>303</v>
      </c>
      <c r="F903" s="41">
        <f t="shared" ref="F903:F932" si="114">IF(O903="","-",IF(AND(X903="Nuit",WEEKDAY(O903,2)=7,O903&lt;&gt;P903),WEEKNUM(O903,2),WEEKNUM(O903,2)-1))+1</f>
        <v>15</v>
      </c>
      <c r="G903" s="41">
        <f t="shared" ref="G903:G932" si="115">IF(O903="","-",MONTH(O903))</f>
        <v>4</v>
      </c>
      <c r="H903">
        <v>7.58</v>
      </c>
      <c r="I903" s="131">
        <f>INDEX('Base de données Mono'!K:K,MATCH(B903,'Base de données Mono'!D:D,0))</f>
        <v>0.24305555555555555</v>
      </c>
      <c r="J903" s="131">
        <f>INDEX('Base de données Mono'!L:L,MATCH(B903,'Base de données Mono'!D:D,0))</f>
        <v>0.92708333333333337</v>
      </c>
      <c r="K903" s="131" t="str">
        <f>INDEX('Base de données Mono'!M:M,MATCH(B903,'Base de données Mono'!D:D,0))</f>
        <v>-</v>
      </c>
      <c r="L903" s="131" t="str">
        <f>INDEX('Base de données Mono'!N:N,MATCH(B903,'Base de données Mono'!D:D,0))</f>
        <v>-</v>
      </c>
      <c r="M903" s="33" t="s">
        <v>46</v>
      </c>
      <c r="N903" s="33">
        <f>IF(AND(E903="Electricité",M903="Hiver"),INDEX('Base de données Mono'!E:E,MATCH(B903,'Base de données Mono'!D:D,0)),IF(AND(E903="Electricité",M903="Mi-saison"),INDEX('Base de données Mono'!F:F,MATCH(B903,'Base de données Mono'!D:D,0)),IF(AND(E903="Electricité",M903="Eté"),INDEX('Base de données Mono'!G:G,MATCH(B903,'Base de données Mono'!D:D,0)),IF(AND(E903="Gaz",M903="Hiver"),INDEX('Base de données Mono'!J:J,MATCH(B903,'Base de données Mono'!D:D,0)),IF(AND(E903="Gaz",M903="Mi-saison"),INDEX('Base de données Mono'!#REF!,MATCH(B903,'Base de données Mono'!D:D,0)),IF(AND(E903="Gaz",M903="Eté"),INDEX('Base de données Mono'!#REF!,MATCH(B903,'Base de données Mono'!D:D,0)),"-"))))))</f>
        <v>55</v>
      </c>
      <c r="O903" s="123">
        <v>45389</v>
      </c>
      <c r="P903" s="123">
        <v>45390</v>
      </c>
      <c r="Q903" s="34">
        <v>85</v>
      </c>
      <c r="R903" s="33">
        <f t="shared" si="113"/>
        <v>30</v>
      </c>
      <c r="S903" s="34">
        <v>4</v>
      </c>
      <c r="T903" s="34">
        <f t="shared" si="100"/>
        <v>1</v>
      </c>
      <c r="U903" s="33">
        <f t="shared" ref="U903:U933" si="116">R903*S903*T903</f>
        <v>120</v>
      </c>
      <c r="V903" s="38" t="s">
        <v>827</v>
      </c>
      <c r="W903" s="39">
        <f t="shared" ref="W903:W933" si="117">IFERROR(IF(E903="Gaz","-",R903/N903),"-")</f>
        <v>0.54545454545454541</v>
      </c>
      <c r="X903" s="40" t="s">
        <v>304</v>
      </c>
      <c r="Y903" s="40" t="s">
        <v>284</v>
      </c>
      <c r="Z903" s="95" t="s">
        <v>311</v>
      </c>
      <c r="AA903" s="95" t="s">
        <v>775</v>
      </c>
      <c r="AB903" s="95"/>
      <c r="AC903" s="95"/>
    </row>
    <row r="904" spans="1:29" ht="14.45" hidden="1" customHeight="1" x14ac:dyDescent="0.25">
      <c r="A904" s="36" t="str">
        <f>INDEX('Base de données Mono'!C:C,MATCH(B904,'Base de données Mono'!D:D,0))</f>
        <v>TOLBIAC</v>
      </c>
      <c r="B904" t="s">
        <v>253</v>
      </c>
      <c r="C904" s="36" t="str">
        <f>INDEX('Base de données Mono'!B:B,MATCH(B904,'Base de données Mono'!D:D,0))</f>
        <v>SES8</v>
      </c>
      <c r="D904" s="36" t="str">
        <f>INDEX('Base de données Mono'!A:A,MATCH(B904,'Base de données Mono'!D:D,0))</f>
        <v>JG</v>
      </c>
      <c r="E904" s="37" t="s">
        <v>303</v>
      </c>
      <c r="F904" s="41">
        <f t="shared" si="114"/>
        <v>15</v>
      </c>
      <c r="G904" s="41">
        <f t="shared" si="115"/>
        <v>4</v>
      </c>
      <c r="H904">
        <v>7.58</v>
      </c>
      <c r="I904" s="131">
        <f>INDEX('Base de données Mono'!K:K,MATCH(B904,'Base de données Mono'!D:D,0))</f>
        <v>0.24305555555555555</v>
      </c>
      <c r="J904" s="131">
        <f>INDEX('Base de données Mono'!L:L,MATCH(B904,'Base de données Mono'!D:D,0))</f>
        <v>0.92708333333333337</v>
      </c>
      <c r="K904" s="131" t="str">
        <f>INDEX('Base de données Mono'!M:M,MATCH(B904,'Base de données Mono'!D:D,0))</f>
        <v>-</v>
      </c>
      <c r="L904" s="131" t="str">
        <f>INDEX('Base de données Mono'!N:N,MATCH(B904,'Base de données Mono'!D:D,0))</f>
        <v>-</v>
      </c>
      <c r="M904" s="33" t="s">
        <v>46</v>
      </c>
      <c r="N904" s="33">
        <f>IF(AND(E904="Electricité",M904="Hiver"),INDEX('Base de données Mono'!E:E,MATCH(B904,'Base de données Mono'!D:D,0)),IF(AND(E904="Electricité",M904="Mi-saison"),INDEX('Base de données Mono'!F:F,MATCH(B904,'Base de données Mono'!D:D,0)),IF(AND(E904="Electricité",M904="Eté"),INDEX('Base de données Mono'!G:G,MATCH(B904,'Base de données Mono'!D:D,0)),IF(AND(E904="Gaz",M904="Hiver"),INDEX('Base de données Mono'!J:J,MATCH(B904,'Base de données Mono'!D:D,0)),IF(AND(E904="Gaz",M904="Mi-saison"),INDEX('Base de données Mono'!#REF!,MATCH(B904,'Base de données Mono'!D:D,0)),IF(AND(E904="Gaz",M904="Eté"),INDEX('Base de données Mono'!#REF!,MATCH(B904,'Base de données Mono'!D:D,0)),"-"))))))</f>
        <v>55</v>
      </c>
      <c r="O904" s="123">
        <v>45389</v>
      </c>
      <c r="P904" s="123">
        <v>45390</v>
      </c>
      <c r="Q904" s="34">
        <v>65</v>
      </c>
      <c r="R904" s="33">
        <f>IF(Q904="","",Q904-N904)</f>
        <v>10</v>
      </c>
      <c r="S904" s="34">
        <v>3.5</v>
      </c>
      <c r="T904" s="34">
        <f t="shared" si="100"/>
        <v>1</v>
      </c>
      <c r="U904" s="33">
        <f>R904*S904*T904</f>
        <v>35</v>
      </c>
      <c r="V904" s="38" t="s">
        <v>827</v>
      </c>
      <c r="W904" s="39">
        <f>IFERROR(IF(E904="Gaz","-",R904/N904),"-")</f>
        <v>0.18181818181818182</v>
      </c>
      <c r="X904" s="40" t="s">
        <v>304</v>
      </c>
      <c r="Y904" s="40" t="s">
        <v>284</v>
      </c>
      <c r="Z904" s="40" t="s">
        <v>305</v>
      </c>
      <c r="AA904" s="33" t="s">
        <v>771</v>
      </c>
      <c r="AB904" s="95"/>
      <c r="AC904" s="95"/>
    </row>
    <row r="905" spans="1:29" ht="14.45" hidden="1" customHeight="1" x14ac:dyDescent="0.25">
      <c r="A905" s="36" t="str">
        <f>INDEX('Base de données Mono'!C:C,MATCH(B905,'Base de données Mono'!D:D,0))</f>
        <v>TOLBIAC</v>
      </c>
      <c r="B905" t="s">
        <v>253</v>
      </c>
      <c r="C905" s="36" t="str">
        <f>INDEX('Base de données Mono'!B:B,MATCH(B905,'Base de données Mono'!D:D,0))</f>
        <v>SES8</v>
      </c>
      <c r="D905" s="36" t="str">
        <f>INDEX('Base de données Mono'!A:A,MATCH(B905,'Base de données Mono'!D:D,0))</f>
        <v>JG</v>
      </c>
      <c r="E905" s="37" t="s">
        <v>303</v>
      </c>
      <c r="F905" s="41">
        <f t="shared" si="114"/>
        <v>15</v>
      </c>
      <c r="G905" s="41">
        <f t="shared" si="115"/>
        <v>4</v>
      </c>
      <c r="H905">
        <v>7.58</v>
      </c>
      <c r="I905" s="131">
        <f>INDEX('Base de données Mono'!K:K,MATCH(B905,'Base de données Mono'!D:D,0))</f>
        <v>0.24305555555555555</v>
      </c>
      <c r="J905" s="131">
        <f>INDEX('Base de données Mono'!L:L,MATCH(B905,'Base de données Mono'!D:D,0))</f>
        <v>0.92708333333333337</v>
      </c>
      <c r="K905" s="131" t="str">
        <f>INDEX('Base de données Mono'!M:M,MATCH(B905,'Base de données Mono'!D:D,0))</f>
        <v>-</v>
      </c>
      <c r="L905" s="131" t="str">
        <f>INDEX('Base de données Mono'!N:N,MATCH(B905,'Base de données Mono'!D:D,0))</f>
        <v>-</v>
      </c>
      <c r="M905" s="33" t="s">
        <v>46</v>
      </c>
      <c r="N905" s="33">
        <f>IF(AND(E905="Electricité",M905="Hiver"),INDEX('Base de données Mono'!E:E,MATCH(B905,'Base de données Mono'!D:D,0)),IF(AND(E905="Electricité",M905="Mi-saison"),INDEX('Base de données Mono'!F:F,MATCH(B905,'Base de données Mono'!D:D,0)),IF(AND(E905="Electricité",M905="Eté"),INDEX('Base de données Mono'!G:G,MATCH(B905,'Base de données Mono'!D:D,0)),IF(AND(E905="Gaz",M905="Hiver"),INDEX('Base de données Mono'!J:J,MATCH(B905,'Base de données Mono'!D:D,0)),IF(AND(E905="Gaz",M905="Mi-saison"),INDEX('Base de données Mono'!#REF!,MATCH(B905,'Base de données Mono'!D:D,0)),IF(AND(E905="Gaz",M905="Eté"),INDEX('Base de données Mono'!#REF!,MATCH(B905,'Base de données Mono'!D:D,0)),"-"))))))</f>
        <v>55</v>
      </c>
      <c r="O905" s="123">
        <v>45390</v>
      </c>
      <c r="P905" s="123">
        <v>45391</v>
      </c>
      <c r="Q905" s="34">
        <v>60</v>
      </c>
      <c r="R905" s="33">
        <f t="shared" si="113"/>
        <v>5</v>
      </c>
      <c r="S905" s="34">
        <v>7.5</v>
      </c>
      <c r="T905" s="34">
        <f t="shared" si="100"/>
        <v>1</v>
      </c>
      <c r="U905" s="33">
        <f t="shared" si="116"/>
        <v>37.5</v>
      </c>
      <c r="V905" s="38" t="s">
        <v>827</v>
      </c>
      <c r="W905" s="39">
        <f t="shared" si="117"/>
        <v>9.0909090909090912E-2</v>
      </c>
      <c r="X905" s="40" t="s">
        <v>304</v>
      </c>
      <c r="Y905" s="40" t="s">
        <v>284</v>
      </c>
      <c r="Z905" s="40" t="s">
        <v>305</v>
      </c>
      <c r="AA905" s="33" t="s">
        <v>771</v>
      </c>
      <c r="AB905" s="95"/>
      <c r="AC905" s="95"/>
    </row>
    <row r="906" spans="1:29" ht="14.45" hidden="1" customHeight="1" x14ac:dyDescent="0.25">
      <c r="A906" s="36" t="str">
        <f>INDEX('Base de données Mono'!C:C,MATCH(B906,'Base de données Mono'!D:D,0))</f>
        <v>TOLBIAC</v>
      </c>
      <c r="B906" t="s">
        <v>253</v>
      </c>
      <c r="C906" s="36" t="str">
        <f>INDEX('Base de données Mono'!B:B,MATCH(B906,'Base de données Mono'!D:D,0))</f>
        <v>SES8</v>
      </c>
      <c r="D906" s="36" t="str">
        <f>INDEX('Base de données Mono'!A:A,MATCH(B906,'Base de données Mono'!D:D,0))</f>
        <v>JG</v>
      </c>
      <c r="E906" s="37" t="s">
        <v>303</v>
      </c>
      <c r="F906" s="41">
        <f>IF(O906="","-",IF(AND(X906="Nuit",WEEKDAY(O906,2)=7,O906&lt;&gt;P906),WEEKNUM(O906,2),WEEKNUM(O906,2)-1))+1</f>
        <v>15</v>
      </c>
      <c r="G906" s="41">
        <f>IF(O906="","-",MONTH(O906))</f>
        <v>4</v>
      </c>
      <c r="H906">
        <v>7.58</v>
      </c>
      <c r="I906" s="131">
        <f>INDEX('Base de données Mono'!K:K,MATCH(B906,'Base de données Mono'!D:D,0))</f>
        <v>0.24305555555555555</v>
      </c>
      <c r="J906" s="131">
        <f>INDEX('Base de données Mono'!L:L,MATCH(B906,'Base de données Mono'!D:D,0))</f>
        <v>0.92708333333333337</v>
      </c>
      <c r="K906" s="131" t="str">
        <f>INDEX('Base de données Mono'!M:M,MATCH(B906,'Base de données Mono'!D:D,0))</f>
        <v>-</v>
      </c>
      <c r="L906" s="131" t="str">
        <f>INDEX('Base de données Mono'!N:N,MATCH(B906,'Base de données Mono'!D:D,0))</f>
        <v>-</v>
      </c>
      <c r="M906" s="33" t="s">
        <v>46</v>
      </c>
      <c r="N906" s="33">
        <f>IF(AND(E906="Electricité",M906="Hiver"),INDEX('Base de données Mono'!E:E,MATCH(B906,'Base de données Mono'!D:D,0)),IF(AND(E906="Electricité",M906="Mi-saison"),INDEX('Base de données Mono'!F:F,MATCH(B906,'Base de données Mono'!D:D,0)),IF(AND(E906="Electricité",M906="Eté"),INDEX('Base de données Mono'!G:G,MATCH(B906,'Base de données Mono'!D:D,0)),IF(AND(E906="Gaz",M906="Hiver"),INDEX('Base de données Mono'!J:J,MATCH(B906,'Base de données Mono'!D:D,0)),IF(AND(E906="Gaz",M906="Mi-saison"),INDEX('Base de données Mono'!#REF!,MATCH(B906,'Base de données Mono'!D:D,0)),IF(AND(E906="Gaz",M906="Eté"),INDEX('Base de données Mono'!#REF!,MATCH(B906,'Base de données Mono'!D:D,0)),"-"))))))</f>
        <v>55</v>
      </c>
      <c r="O906" s="123">
        <v>45391</v>
      </c>
      <c r="P906" s="123">
        <v>45392</v>
      </c>
      <c r="Q906" s="34">
        <v>70</v>
      </c>
      <c r="R906" s="33">
        <f>IF(Q906="","",Q906-N906)</f>
        <v>15</v>
      </c>
      <c r="S906" s="34">
        <v>7.5</v>
      </c>
      <c r="T906" s="34">
        <f t="shared" si="100"/>
        <v>1</v>
      </c>
      <c r="U906" s="33">
        <f>R906*S906*T906</f>
        <v>112.5</v>
      </c>
      <c r="V906" s="38" t="s">
        <v>827</v>
      </c>
      <c r="W906" s="39">
        <f>IFERROR(IF(E906="Gaz","-",R906/N906),"-")</f>
        <v>0.27272727272727271</v>
      </c>
      <c r="X906" s="40" t="s">
        <v>304</v>
      </c>
      <c r="Y906" s="40" t="s">
        <v>284</v>
      </c>
      <c r="Z906" s="40" t="s">
        <v>305</v>
      </c>
      <c r="AA906" s="33" t="s">
        <v>771</v>
      </c>
      <c r="AB906" s="95"/>
      <c r="AC906" s="95"/>
    </row>
    <row r="907" spans="1:29" ht="14.45" hidden="1" customHeight="1" x14ac:dyDescent="0.25">
      <c r="A907" s="36" t="str">
        <f>INDEX('Base de données Mono'!C:C,MATCH(B907,'Base de données Mono'!D:D,0))</f>
        <v>TOLBIAC</v>
      </c>
      <c r="B907" t="s">
        <v>253</v>
      </c>
      <c r="C907" s="36" t="str">
        <f>INDEX('Base de données Mono'!B:B,MATCH(B907,'Base de données Mono'!D:D,0))</f>
        <v>SES8</v>
      </c>
      <c r="D907" s="36" t="str">
        <f>INDEX('Base de données Mono'!A:A,MATCH(B907,'Base de données Mono'!D:D,0))</f>
        <v>JG</v>
      </c>
      <c r="E907" s="37" t="s">
        <v>303</v>
      </c>
      <c r="F907" s="41">
        <f t="shared" si="114"/>
        <v>15</v>
      </c>
      <c r="G907" s="41">
        <f t="shared" si="115"/>
        <v>4</v>
      </c>
      <c r="H907">
        <v>7.58</v>
      </c>
      <c r="I907" s="131">
        <f>INDEX('Base de données Mono'!K:K,MATCH(B907,'Base de données Mono'!D:D,0))</f>
        <v>0.24305555555555555</v>
      </c>
      <c r="J907" s="131">
        <f>INDEX('Base de données Mono'!L:L,MATCH(B907,'Base de données Mono'!D:D,0))</f>
        <v>0.92708333333333337</v>
      </c>
      <c r="K907" s="131" t="str">
        <f>INDEX('Base de données Mono'!M:M,MATCH(B907,'Base de données Mono'!D:D,0))</f>
        <v>-</v>
      </c>
      <c r="L907" s="131" t="str">
        <f>INDEX('Base de données Mono'!N:N,MATCH(B907,'Base de données Mono'!D:D,0))</f>
        <v>-</v>
      </c>
      <c r="M907" s="33" t="s">
        <v>46</v>
      </c>
      <c r="N907" s="33">
        <f>IF(AND(E907="Electricité",M907="Hiver"),INDEX('Base de données Mono'!E:E,MATCH(B907,'Base de données Mono'!D:D,0)),IF(AND(E907="Electricité",M907="Mi-saison"),INDEX('Base de données Mono'!F:F,MATCH(B907,'Base de données Mono'!D:D,0)),IF(AND(E907="Electricité",M907="Eté"),INDEX('Base de données Mono'!G:G,MATCH(B907,'Base de données Mono'!D:D,0)),IF(AND(E907="Gaz",M907="Hiver"),INDEX('Base de données Mono'!J:J,MATCH(B907,'Base de données Mono'!D:D,0)),IF(AND(E907="Gaz",M907="Mi-saison"),INDEX('Base de données Mono'!#REF!,MATCH(B907,'Base de données Mono'!D:D,0)),IF(AND(E907="Gaz",M907="Eté"),INDEX('Base de données Mono'!#REF!,MATCH(B907,'Base de données Mono'!D:D,0)),"-"))))))</f>
        <v>55</v>
      </c>
      <c r="O907" s="123">
        <v>45392</v>
      </c>
      <c r="P907" s="123">
        <v>45394</v>
      </c>
      <c r="Q907" s="34">
        <v>90</v>
      </c>
      <c r="R907" s="33">
        <f t="shared" si="113"/>
        <v>35</v>
      </c>
      <c r="S907" s="34">
        <v>7.5</v>
      </c>
      <c r="T907" s="34">
        <f t="shared" si="100"/>
        <v>2</v>
      </c>
      <c r="U907" s="33">
        <f t="shared" si="116"/>
        <v>525</v>
      </c>
      <c r="V907" s="38" t="s">
        <v>827</v>
      </c>
      <c r="W907" s="39">
        <f t="shared" si="117"/>
        <v>0.63636363636363635</v>
      </c>
      <c r="X907" s="40" t="s">
        <v>304</v>
      </c>
      <c r="Y907" s="40" t="s">
        <v>284</v>
      </c>
      <c r="Z907" s="95" t="s">
        <v>311</v>
      </c>
      <c r="AA907" s="95" t="s">
        <v>775</v>
      </c>
      <c r="AB907" s="95"/>
      <c r="AC907" s="95"/>
    </row>
    <row r="908" spans="1:29" ht="14.45" hidden="1" customHeight="1" x14ac:dyDescent="0.25">
      <c r="A908" s="36" t="str">
        <f>INDEX('Base de données Mono'!C:C,MATCH(B908,'Base de données Mono'!D:D,0))</f>
        <v>TOLBIAC</v>
      </c>
      <c r="B908" t="s">
        <v>253</v>
      </c>
      <c r="C908" s="36" t="str">
        <f>INDEX('Base de données Mono'!B:B,MATCH(B908,'Base de données Mono'!D:D,0))</f>
        <v>SES8</v>
      </c>
      <c r="D908" s="36" t="str">
        <f>INDEX('Base de données Mono'!A:A,MATCH(B908,'Base de données Mono'!D:D,0))</f>
        <v>JG</v>
      </c>
      <c r="E908" s="37" t="s">
        <v>303</v>
      </c>
      <c r="F908" s="41">
        <f t="shared" si="114"/>
        <v>15</v>
      </c>
      <c r="G908" s="41">
        <f t="shared" si="115"/>
        <v>4</v>
      </c>
      <c r="H908">
        <v>7.58</v>
      </c>
      <c r="I908" s="131">
        <f>INDEX('Base de données Mono'!K:K,MATCH(B908,'Base de données Mono'!D:D,0))</f>
        <v>0.24305555555555555</v>
      </c>
      <c r="J908" s="131">
        <f>INDEX('Base de données Mono'!L:L,MATCH(B908,'Base de données Mono'!D:D,0))</f>
        <v>0.92708333333333337</v>
      </c>
      <c r="K908" s="131" t="str">
        <f>INDEX('Base de données Mono'!M:M,MATCH(B908,'Base de données Mono'!D:D,0))</f>
        <v>-</v>
      </c>
      <c r="L908" s="131" t="str">
        <f>INDEX('Base de données Mono'!N:N,MATCH(B908,'Base de données Mono'!D:D,0))</f>
        <v>-</v>
      </c>
      <c r="M908" s="33" t="s">
        <v>46</v>
      </c>
      <c r="N908" s="33">
        <f>IF(AND(E908="Electricité",M908="Hiver"),INDEX('Base de données Mono'!E:E,MATCH(B908,'Base de données Mono'!D:D,0)),IF(AND(E908="Electricité",M908="Mi-saison"),INDEX('Base de données Mono'!F:F,MATCH(B908,'Base de données Mono'!D:D,0)),IF(AND(E908="Electricité",M908="Eté"),INDEX('Base de données Mono'!G:G,MATCH(B908,'Base de données Mono'!D:D,0)),IF(AND(E908="Gaz",M908="Hiver"),INDEX('Base de données Mono'!J:J,MATCH(B908,'Base de données Mono'!D:D,0)),IF(AND(E908="Gaz",M908="Mi-saison"),INDEX('Base de données Mono'!#REF!,MATCH(B908,'Base de données Mono'!D:D,0)),IF(AND(E908="Gaz",M908="Eté"),INDEX('Base de données Mono'!#REF!,MATCH(B908,'Base de données Mono'!D:D,0)),"-"))))))</f>
        <v>55</v>
      </c>
      <c r="O908" s="123">
        <v>45394</v>
      </c>
      <c r="P908" s="123">
        <v>45395</v>
      </c>
      <c r="Q908" s="34">
        <v>65</v>
      </c>
      <c r="R908" s="33">
        <f t="shared" si="113"/>
        <v>10</v>
      </c>
      <c r="S908" s="34">
        <v>6.8</v>
      </c>
      <c r="T908" s="34">
        <f t="shared" si="100"/>
        <v>1</v>
      </c>
      <c r="U908" s="33">
        <f t="shared" si="116"/>
        <v>68</v>
      </c>
      <c r="V908" s="38" t="s">
        <v>827</v>
      </c>
      <c r="W908" s="39">
        <f t="shared" si="117"/>
        <v>0.18181818181818182</v>
      </c>
      <c r="X908" s="40" t="s">
        <v>304</v>
      </c>
      <c r="Y908" s="40" t="s">
        <v>284</v>
      </c>
      <c r="Z908" s="40" t="s">
        <v>305</v>
      </c>
      <c r="AA908" s="33" t="s">
        <v>771</v>
      </c>
      <c r="AB908" s="95"/>
      <c r="AC908" s="95"/>
    </row>
    <row r="909" spans="1:29" ht="14.45" hidden="1" customHeight="1" x14ac:dyDescent="0.25">
      <c r="A909" s="36" t="str">
        <f>INDEX('Base de données Mono'!C:C,MATCH(B909,'Base de données Mono'!D:D,0))</f>
        <v>TOLBIAC</v>
      </c>
      <c r="B909" t="s">
        <v>253</v>
      </c>
      <c r="C909" s="36" t="str">
        <f>INDEX('Base de données Mono'!B:B,MATCH(B909,'Base de données Mono'!D:D,0))</f>
        <v>SES8</v>
      </c>
      <c r="D909" s="36" t="str">
        <f>INDEX('Base de données Mono'!A:A,MATCH(B909,'Base de données Mono'!D:D,0))</f>
        <v>JG</v>
      </c>
      <c r="E909" s="37" t="s">
        <v>303</v>
      </c>
      <c r="F909" s="41">
        <f>IF(O909="","-",IF(AND(X909="Nuit",WEEKDAY(O909,2)=7,O909&lt;&gt;P909),WEEKNUM(O909,2),WEEKNUM(O909,2)-1))+1</f>
        <v>15</v>
      </c>
      <c r="G909" s="41">
        <f>IF(O909="","-",MONTH(O909))</f>
        <v>4</v>
      </c>
      <c r="H909">
        <v>7.58</v>
      </c>
      <c r="I909" s="131">
        <f>INDEX('Base de données Mono'!K:K,MATCH(B909,'Base de données Mono'!D:D,0))</f>
        <v>0.24305555555555555</v>
      </c>
      <c r="J909" s="131">
        <f>INDEX('Base de données Mono'!L:L,MATCH(B909,'Base de données Mono'!D:D,0))</f>
        <v>0.92708333333333337</v>
      </c>
      <c r="K909" s="131" t="str">
        <f>INDEX('Base de données Mono'!M:M,MATCH(B909,'Base de données Mono'!D:D,0))</f>
        <v>-</v>
      </c>
      <c r="L909" s="131" t="str">
        <f>INDEX('Base de données Mono'!N:N,MATCH(B909,'Base de données Mono'!D:D,0))</f>
        <v>-</v>
      </c>
      <c r="M909" s="33" t="s">
        <v>46</v>
      </c>
      <c r="N909" s="33">
        <f>IF(AND(E909="Electricité",M909="Hiver"),INDEX('Base de données Mono'!E:E,MATCH(B909,'Base de données Mono'!D:D,0)),IF(AND(E909="Electricité",M909="Mi-saison"),INDEX('Base de données Mono'!F:F,MATCH(B909,'Base de données Mono'!D:D,0)),IF(AND(E909="Electricité",M909="Eté"),INDEX('Base de données Mono'!G:G,MATCH(B909,'Base de données Mono'!D:D,0)),IF(AND(E909="Gaz",M909="Hiver"),INDEX('Base de données Mono'!J:J,MATCH(B909,'Base de données Mono'!D:D,0)),IF(AND(E909="Gaz",M909="Mi-saison"),INDEX('Base de données Mono'!#REF!,MATCH(B909,'Base de données Mono'!D:D,0)),IF(AND(E909="Gaz",M909="Eté"),INDEX('Base de données Mono'!#REF!,MATCH(B909,'Base de données Mono'!D:D,0)),"-"))))))</f>
        <v>55</v>
      </c>
      <c r="O909" s="123">
        <v>45394</v>
      </c>
      <c r="P909" s="123">
        <v>45395</v>
      </c>
      <c r="Q909" s="34">
        <v>85</v>
      </c>
      <c r="R909" s="33">
        <f>IF(Q909="","",Q909-N909)</f>
        <v>30</v>
      </c>
      <c r="S909" s="34">
        <v>0.7</v>
      </c>
      <c r="T909" s="34">
        <f t="shared" si="100"/>
        <v>1</v>
      </c>
      <c r="U909" s="33">
        <f>R909*S909*T909</f>
        <v>21</v>
      </c>
      <c r="V909" s="38" t="s">
        <v>827</v>
      </c>
      <c r="W909" s="39">
        <f>IFERROR(IF(E909="Gaz","-",R909/N909),"-")</f>
        <v>0.54545454545454541</v>
      </c>
      <c r="X909" s="40" t="s">
        <v>304</v>
      </c>
      <c r="Y909" s="40" t="s">
        <v>284</v>
      </c>
      <c r="Z909" s="40" t="s">
        <v>307</v>
      </c>
      <c r="AA909" s="33" t="s">
        <v>414</v>
      </c>
      <c r="AB909" s="95"/>
      <c r="AC909" s="95"/>
    </row>
    <row r="910" spans="1:29" ht="14.45" hidden="1" customHeight="1" x14ac:dyDescent="0.25">
      <c r="A910" s="36" t="str">
        <f>INDEX('Base de données Mono'!C:C,MATCH(B910,'Base de données Mono'!D:D,0))</f>
        <v>TOLBIAC</v>
      </c>
      <c r="B910" t="s">
        <v>253</v>
      </c>
      <c r="C910" s="36" t="str">
        <f>INDEX('Base de données Mono'!B:B,MATCH(B910,'Base de données Mono'!D:D,0))</f>
        <v>SES8</v>
      </c>
      <c r="D910" s="36" t="str">
        <f>INDEX('Base de données Mono'!A:A,MATCH(B910,'Base de données Mono'!D:D,0))</f>
        <v>JG</v>
      </c>
      <c r="E910" s="37" t="s">
        <v>303</v>
      </c>
      <c r="F910" s="41">
        <f t="shared" si="114"/>
        <v>15</v>
      </c>
      <c r="G910" s="41">
        <f t="shared" si="115"/>
        <v>4</v>
      </c>
      <c r="H910">
        <v>7.58</v>
      </c>
      <c r="I910" s="131">
        <f>INDEX('Base de données Mono'!K:K,MATCH(B910,'Base de données Mono'!D:D,0))</f>
        <v>0.24305555555555555</v>
      </c>
      <c r="J910" s="131">
        <f>INDEX('Base de données Mono'!L:L,MATCH(B910,'Base de données Mono'!D:D,0))</f>
        <v>0.92708333333333337</v>
      </c>
      <c r="K910" s="131" t="str">
        <f>INDEX('Base de données Mono'!M:M,MATCH(B910,'Base de données Mono'!D:D,0))</f>
        <v>-</v>
      </c>
      <c r="L910" s="131" t="str">
        <f>INDEX('Base de données Mono'!N:N,MATCH(B910,'Base de données Mono'!D:D,0))</f>
        <v>-</v>
      </c>
      <c r="M910" s="33" t="s">
        <v>46</v>
      </c>
      <c r="N910" s="33">
        <f>IF(AND(E910="Electricité",M910="Hiver"),INDEX('Base de données Mono'!E:E,MATCH(B910,'Base de données Mono'!D:D,0)),IF(AND(E910="Electricité",M910="Mi-saison"),INDEX('Base de données Mono'!F:F,MATCH(B910,'Base de données Mono'!D:D,0)),IF(AND(E910="Electricité",M910="Eté"),INDEX('Base de données Mono'!G:G,MATCH(B910,'Base de données Mono'!D:D,0)),IF(AND(E910="Gaz",M910="Hiver"),INDEX('Base de données Mono'!J:J,MATCH(B910,'Base de données Mono'!D:D,0)),IF(AND(E910="Gaz",M910="Mi-saison"),INDEX('Base de données Mono'!#REF!,MATCH(B910,'Base de données Mono'!D:D,0)),IF(AND(E910="Gaz",M910="Eté"),INDEX('Base de données Mono'!#REF!,MATCH(B910,'Base de données Mono'!D:D,0)),"-"))))))</f>
        <v>55</v>
      </c>
      <c r="O910" s="123">
        <v>45395</v>
      </c>
      <c r="P910" s="123">
        <v>45396</v>
      </c>
      <c r="Q910" s="34">
        <v>70</v>
      </c>
      <c r="R910" s="33">
        <f t="shared" si="113"/>
        <v>15</v>
      </c>
      <c r="S910" s="34">
        <v>7.5</v>
      </c>
      <c r="T910" s="34">
        <f t="shared" si="100"/>
        <v>1</v>
      </c>
      <c r="U910" s="33">
        <f t="shared" si="116"/>
        <v>112.5</v>
      </c>
      <c r="V910" s="38" t="s">
        <v>827</v>
      </c>
      <c r="W910" s="39">
        <f t="shared" si="117"/>
        <v>0.27272727272727271</v>
      </c>
      <c r="X910" s="40" t="s">
        <v>304</v>
      </c>
      <c r="Y910" s="40" t="s">
        <v>284</v>
      </c>
      <c r="Z910" s="40" t="s">
        <v>305</v>
      </c>
      <c r="AA910" s="33" t="s">
        <v>771</v>
      </c>
      <c r="AB910" s="95"/>
      <c r="AC910" s="95"/>
    </row>
    <row r="911" spans="1:29" ht="14.45" hidden="1" customHeight="1" x14ac:dyDescent="0.25">
      <c r="A911" s="36" t="str">
        <f>INDEX('Base de données Mono'!C:C,MATCH(B911,'Base de données Mono'!D:D,0))</f>
        <v>BORDEAUX ST CHRISTOLY</v>
      </c>
      <c r="B911" t="s">
        <v>6</v>
      </c>
      <c r="C911" s="36" t="str">
        <f>INDEX('Base de données Mono'!B:B,MATCH(B911,'Base de données Mono'!D:D,0))</f>
        <v>SES8</v>
      </c>
      <c r="D911" s="36" t="str">
        <f>INDEX('Base de données Mono'!A:A,MATCH(B911,'Base de données Mono'!D:D,0))</f>
        <v>AD</v>
      </c>
      <c r="E911" s="37" t="s">
        <v>303</v>
      </c>
      <c r="F911" s="41">
        <f t="shared" si="114"/>
        <v>15</v>
      </c>
      <c r="G911" s="41">
        <f t="shared" si="115"/>
        <v>4</v>
      </c>
      <c r="H911">
        <v>7</v>
      </c>
      <c r="I911" s="131">
        <f>INDEX('Base de données Mono'!K:K,MATCH(B911,'Base de données Mono'!D:D,0))</f>
        <v>0.16666666666666666</v>
      </c>
      <c r="J911" s="131">
        <f>INDEX('Base de données Mono'!L:L,MATCH(B911,'Base de données Mono'!D:D,0))</f>
        <v>0.875</v>
      </c>
      <c r="K911" s="131">
        <f>INDEX('Base de données Mono'!M:M,MATCH(B911,'Base de données Mono'!D:D,0))</f>
        <v>0.20833333333333334</v>
      </c>
      <c r="L911" s="131">
        <f>INDEX('Base de données Mono'!N:N,MATCH(B911,'Base de données Mono'!D:D,0))</f>
        <v>0.54166666666666696</v>
      </c>
      <c r="M911" s="33" t="s">
        <v>46</v>
      </c>
      <c r="N911" s="33">
        <f>IF(AND(E911="Electricité",M911="Hiver"),INDEX('Base de données Mono'!E:E,MATCH(B911,'Base de données Mono'!D:D,0)),IF(AND(E911="Electricité",M911="Mi-saison"),INDEX('Base de données Mono'!F:F,MATCH(B911,'Base de données Mono'!D:D,0)),IF(AND(E911="Electricité",M911="Eté"),INDEX('Base de données Mono'!G:G,MATCH(B911,'Base de données Mono'!D:D,0)),IF(AND(E911="Gaz",M911="Hiver"),INDEX('Base de données Mono'!J:J,MATCH(B911,'Base de données Mono'!D:D,0)),IF(AND(E911="Gaz",M911="Mi-saison"),INDEX('Base de données Mono'!#REF!,MATCH(B911,'Base de données Mono'!D:D,0)),IF(AND(E911="Gaz",M911="Eté"),INDEX('Base de données Mono'!#REF!,MATCH(B911,'Base de données Mono'!D:D,0)),"-"))))))</f>
        <v>75</v>
      </c>
      <c r="O911" s="123">
        <v>45389</v>
      </c>
      <c r="P911" s="123">
        <v>45396</v>
      </c>
      <c r="Q911" s="34">
        <v>95</v>
      </c>
      <c r="R911" s="33">
        <f t="shared" si="113"/>
        <v>20</v>
      </c>
      <c r="S911" s="34">
        <v>7</v>
      </c>
      <c r="T911" s="34">
        <f t="shared" si="100"/>
        <v>7</v>
      </c>
      <c r="U911" s="33">
        <f t="shared" si="116"/>
        <v>980</v>
      </c>
      <c r="V911" s="38" t="s">
        <v>827</v>
      </c>
      <c r="W911" s="39">
        <f t="shared" si="117"/>
        <v>0.26666666666666666</v>
      </c>
      <c r="X911" s="40" t="s">
        <v>304</v>
      </c>
      <c r="Y911" s="40" t="s">
        <v>284</v>
      </c>
      <c r="Z911" s="40" t="s">
        <v>305</v>
      </c>
      <c r="AA911" s="33" t="s">
        <v>771</v>
      </c>
      <c r="AB911" s="95"/>
      <c r="AC911" s="95"/>
    </row>
    <row r="912" spans="1:29" ht="14.45" hidden="1" customHeight="1" x14ac:dyDescent="0.25">
      <c r="A912" s="36" t="str">
        <f>INDEX('Base de données Mono'!C:C,MATCH(B912,'Base de données Mono'!D:D,0))</f>
        <v>REPUBLIQUE</v>
      </c>
      <c r="B912" t="s">
        <v>221</v>
      </c>
      <c r="C912" s="36" t="str">
        <f>INDEX('Base de données Mono'!B:B,MATCH(B912,'Base de données Mono'!D:D,0))</f>
        <v>SES8</v>
      </c>
      <c r="D912" s="36" t="str">
        <f>INDEX('Base de données Mono'!A:A,MATCH(B912,'Base de données Mono'!D:D,0))</f>
        <v>JG</v>
      </c>
      <c r="E912" s="37" t="s">
        <v>303</v>
      </c>
      <c r="F912" s="41">
        <f t="shared" si="114"/>
        <v>15</v>
      </c>
      <c r="G912" s="41">
        <f t="shared" si="115"/>
        <v>4</v>
      </c>
      <c r="H912">
        <v>7.08</v>
      </c>
      <c r="I912" s="131">
        <f>INDEX('Base de données Mono'!K:K,MATCH(B912,'Base de données Mono'!D:D,0))</f>
        <v>0.24305555555555555</v>
      </c>
      <c r="J912" s="131">
        <f>INDEX('Base de données Mono'!L:L,MATCH(B912,'Base de données Mono'!D:D,0))</f>
        <v>0.94791666666666663</v>
      </c>
      <c r="K912" s="131">
        <f>INDEX('Base de données Mono'!M:M,MATCH(B912,'Base de données Mono'!D:D,0))</f>
        <v>0.25</v>
      </c>
      <c r="L912" s="131">
        <f>INDEX('Base de données Mono'!N:N,MATCH(B912,'Base de données Mono'!D:D,0))</f>
        <v>0.54166666666666663</v>
      </c>
      <c r="M912" s="33" t="s">
        <v>46</v>
      </c>
      <c r="N912" s="33">
        <f>IF(AND(E912="Electricité",M912="Hiver"),INDEX('Base de données Mono'!E:E,MATCH(B912,'Base de données Mono'!D:D,0)),IF(AND(E912="Electricité",M912="Mi-saison"),INDEX('Base de données Mono'!F:F,MATCH(B912,'Base de données Mono'!D:D,0)),IF(AND(E912="Electricité",M912="Eté"),INDEX('Base de données Mono'!G:G,MATCH(B912,'Base de données Mono'!D:D,0)),IF(AND(E912="Gaz",M912="Hiver"),INDEX('Base de données Mono'!J:J,MATCH(B912,'Base de données Mono'!D:D,0)),IF(AND(E912="Gaz",M912="Mi-saison"),INDEX('Base de données Mono'!#REF!,MATCH(B912,'Base de données Mono'!D:D,0)),IF(AND(E912="Gaz",M912="Eté"),INDEX('Base de données Mono'!#REF!,MATCH(B912,'Base de données Mono'!D:D,0)),"-"))))))</f>
        <v>75</v>
      </c>
      <c r="O912" s="123">
        <v>45393</v>
      </c>
      <c r="P912" s="123">
        <v>45396</v>
      </c>
      <c r="Q912" s="34">
        <v>85</v>
      </c>
      <c r="R912" s="33">
        <f t="shared" si="113"/>
        <v>10</v>
      </c>
      <c r="S912" s="34">
        <v>7</v>
      </c>
      <c r="T912" s="34">
        <f t="shared" si="100"/>
        <v>3</v>
      </c>
      <c r="U912" s="33">
        <f t="shared" si="116"/>
        <v>210</v>
      </c>
      <c r="V912" s="38" t="s">
        <v>827</v>
      </c>
      <c r="W912" s="39">
        <f t="shared" si="117"/>
        <v>0.13333333333333333</v>
      </c>
      <c r="X912" s="40" t="s">
        <v>304</v>
      </c>
      <c r="Y912" s="40" t="s">
        <v>283</v>
      </c>
      <c r="Z912" s="40" t="s">
        <v>749</v>
      </c>
      <c r="AA912" s="33" t="s">
        <v>749</v>
      </c>
      <c r="AB912" s="95"/>
      <c r="AC912" s="95"/>
    </row>
    <row r="913" spans="1:29" ht="14.45" hidden="1" customHeight="1" x14ac:dyDescent="0.25">
      <c r="A913" s="36" t="str">
        <f>INDEX('Base de données Mono'!C:C,MATCH(B913,'Base de données Mono'!D:D,0))</f>
        <v>MULHOUSE</v>
      </c>
      <c r="B913" t="s">
        <v>184</v>
      </c>
      <c r="C913" s="36" t="str">
        <f>INDEX('Base de données Mono'!B:B,MATCH(B913,'Base de données Mono'!D:D,0))</f>
        <v>SES8</v>
      </c>
      <c r="D913" s="36" t="str">
        <f>INDEX('Base de données Mono'!A:A,MATCH(B913,'Base de données Mono'!D:D,0))</f>
        <v>JG</v>
      </c>
      <c r="E913" s="37" t="s">
        <v>303</v>
      </c>
      <c r="F913" s="41">
        <f t="shared" si="114"/>
        <v>15</v>
      </c>
      <c r="G913" s="41">
        <f t="shared" si="115"/>
        <v>4</v>
      </c>
      <c r="H913">
        <v>9.58</v>
      </c>
      <c r="I913" s="131">
        <f>INDEX('Base de données Mono'!K:K,MATCH(B913,'Base de données Mono'!D:D,0))</f>
        <v>0.24305555555555555</v>
      </c>
      <c r="J913" s="131">
        <f>INDEX('Base de données Mono'!L:L,MATCH(B913,'Base de données Mono'!D:D,0))</f>
        <v>0.84375</v>
      </c>
      <c r="K913" s="131" t="str">
        <f>INDEX('Base de données Mono'!M:M,MATCH(B913,'Base de données Mono'!D:D,0))</f>
        <v>-</v>
      </c>
      <c r="L913" s="131" t="str">
        <f>INDEX('Base de données Mono'!N:N,MATCH(B913,'Base de données Mono'!D:D,0))</f>
        <v>-</v>
      </c>
      <c r="M913" s="33" t="s">
        <v>46</v>
      </c>
      <c r="N913" s="33">
        <f>IF(AND(E913="Electricité",M913="Hiver"),INDEX('Base de données Mono'!E:E,MATCH(B913,'Base de données Mono'!D:D,0)),IF(AND(E913="Electricité",M913="Mi-saison"),INDEX('Base de données Mono'!F:F,MATCH(B913,'Base de données Mono'!D:D,0)),IF(AND(E913="Electricité",M913="Eté"),INDEX('Base de données Mono'!G:G,MATCH(B913,'Base de données Mono'!D:D,0)),IF(AND(E913="Gaz",M913="Hiver"),INDEX('Base de données Mono'!J:J,MATCH(B913,'Base de données Mono'!D:D,0)),IF(AND(E913="Gaz",M913="Mi-saison"),INDEX('Base de données Mono'!#REF!,MATCH(B913,'Base de données Mono'!D:D,0)),IF(AND(E913="Gaz",M913="Eté"),INDEX('Base de données Mono'!#REF!,MATCH(B913,'Base de données Mono'!D:D,0)),"-"))))))</f>
        <v>45</v>
      </c>
      <c r="O913" s="123">
        <v>45389</v>
      </c>
      <c r="P913" s="123">
        <v>45396</v>
      </c>
      <c r="Q913" s="34">
        <v>65</v>
      </c>
      <c r="R913" s="33">
        <f t="shared" si="113"/>
        <v>20</v>
      </c>
      <c r="S913" s="34">
        <v>1</v>
      </c>
      <c r="T913" s="34">
        <f t="shared" si="100"/>
        <v>7</v>
      </c>
      <c r="U913" s="33">
        <f t="shared" si="116"/>
        <v>140</v>
      </c>
      <c r="V913" s="38" t="s">
        <v>827</v>
      </c>
      <c r="W913" s="39">
        <f t="shared" si="117"/>
        <v>0.44444444444444442</v>
      </c>
      <c r="X913" s="40" t="s">
        <v>304</v>
      </c>
      <c r="Y913" s="40" t="s">
        <v>284</v>
      </c>
      <c r="Z913" s="40" t="s">
        <v>307</v>
      </c>
      <c r="AA913" s="33" t="s">
        <v>313</v>
      </c>
      <c r="AB913" s="95"/>
      <c r="AC913" s="95"/>
    </row>
    <row r="914" spans="1:29" ht="14.45" hidden="1" customHeight="1" x14ac:dyDescent="0.25">
      <c r="A914" s="36" t="str">
        <f>INDEX('Base de données Mono'!C:C,MATCH(B914,'Base de données Mono'!D:D,0))</f>
        <v>MULHOUSE</v>
      </c>
      <c r="B914" t="s">
        <v>184</v>
      </c>
      <c r="C914" s="36" t="str">
        <f>INDEX('Base de données Mono'!B:B,MATCH(B914,'Base de données Mono'!D:D,0))</f>
        <v>SES8</v>
      </c>
      <c r="D914" s="36" t="str">
        <f>INDEX('Base de données Mono'!A:A,MATCH(B914,'Base de données Mono'!D:D,0))</f>
        <v>JG</v>
      </c>
      <c r="E914" s="37" t="s">
        <v>303</v>
      </c>
      <c r="F914" s="41">
        <f t="shared" si="114"/>
        <v>15</v>
      </c>
      <c r="G914" s="41">
        <f t="shared" si="115"/>
        <v>4</v>
      </c>
      <c r="H914">
        <v>9.58</v>
      </c>
      <c r="I914" s="131">
        <f>INDEX('Base de données Mono'!K:K,MATCH(B914,'Base de données Mono'!D:D,0))</f>
        <v>0.24305555555555555</v>
      </c>
      <c r="J914" s="131">
        <f>INDEX('Base de données Mono'!L:L,MATCH(B914,'Base de données Mono'!D:D,0))</f>
        <v>0.84375</v>
      </c>
      <c r="K914" s="131" t="str">
        <f>INDEX('Base de données Mono'!M:M,MATCH(B914,'Base de données Mono'!D:D,0))</f>
        <v>-</v>
      </c>
      <c r="L914" s="131" t="str">
        <f>INDEX('Base de données Mono'!N:N,MATCH(B914,'Base de données Mono'!D:D,0))</f>
        <v>-</v>
      </c>
      <c r="M914" s="33" t="s">
        <v>46</v>
      </c>
      <c r="N914" s="33">
        <f>IF(AND(E914="Electricité",M914="Hiver"),INDEX('Base de données Mono'!E:E,MATCH(B914,'Base de données Mono'!D:D,0)),IF(AND(E914="Electricité",M914="Mi-saison"),INDEX('Base de données Mono'!F:F,MATCH(B914,'Base de données Mono'!D:D,0)),IF(AND(E914="Electricité",M914="Eté"),INDEX('Base de données Mono'!G:G,MATCH(B914,'Base de données Mono'!D:D,0)),IF(AND(E914="Gaz",M914="Hiver"),INDEX('Base de données Mono'!J:J,MATCH(B914,'Base de données Mono'!D:D,0)),IF(AND(E914="Gaz",M914="Mi-saison"),INDEX('Base de données Mono'!#REF!,MATCH(B914,'Base de données Mono'!D:D,0)),IF(AND(E914="Gaz",M914="Eté"),INDEX('Base de données Mono'!#REF!,MATCH(B914,'Base de données Mono'!D:D,0)),"-"))))))</f>
        <v>45</v>
      </c>
      <c r="O914" s="123">
        <v>45389</v>
      </c>
      <c r="P914" s="123">
        <v>45396</v>
      </c>
      <c r="Q914" s="34">
        <v>50</v>
      </c>
      <c r="R914" s="33">
        <f t="shared" si="113"/>
        <v>5</v>
      </c>
      <c r="S914" s="34">
        <v>7</v>
      </c>
      <c r="T914" s="34">
        <f t="shared" si="100"/>
        <v>7</v>
      </c>
      <c r="U914" s="33">
        <f t="shared" si="116"/>
        <v>245</v>
      </c>
      <c r="V914" s="38" t="s">
        <v>827</v>
      </c>
      <c r="W914" s="39">
        <f t="shared" si="117"/>
        <v>0.1111111111111111</v>
      </c>
      <c r="X914" s="40" t="s">
        <v>304</v>
      </c>
      <c r="Y914" s="40" t="s">
        <v>284</v>
      </c>
      <c r="Z914" s="40" t="s">
        <v>305</v>
      </c>
      <c r="AA914" s="33" t="s">
        <v>771</v>
      </c>
      <c r="AB914" s="95"/>
      <c r="AC914" s="95"/>
    </row>
    <row r="915" spans="1:29" ht="14.45" hidden="1" customHeight="1" x14ac:dyDescent="0.25">
      <c r="A915" s="36" t="str">
        <f>INDEX('Base de données Mono'!C:C,MATCH(B915,'Base de données Mono'!D:D,0))</f>
        <v>CROIX ROUSSE</v>
      </c>
      <c r="B915" t="s">
        <v>116</v>
      </c>
      <c r="C915" s="36" t="str">
        <f>INDEX('Base de données Mono'!B:B,MATCH(B915,'Base de données Mono'!D:D,0))</f>
        <v>SES8</v>
      </c>
      <c r="D915" s="36" t="str">
        <f>INDEX('Base de données Mono'!A:A,MATCH(B915,'Base de données Mono'!D:D,0))</f>
        <v>JG</v>
      </c>
      <c r="E915" s="37" t="s">
        <v>303</v>
      </c>
      <c r="F915" s="41">
        <f t="shared" si="114"/>
        <v>15</v>
      </c>
      <c r="G915" s="41">
        <f t="shared" si="115"/>
        <v>4</v>
      </c>
      <c r="H915">
        <v>7.42</v>
      </c>
      <c r="I915" s="131">
        <f>INDEX('Base de données Mono'!K:K,MATCH(B915,'Base de données Mono'!D:D,0))</f>
        <v>0.20486111111111113</v>
      </c>
      <c r="J915" s="131">
        <f>INDEX('Base de données Mono'!L:L,MATCH(B915,'Base de données Mono'!D:D,0))</f>
        <v>0.89583333333333337</v>
      </c>
      <c r="K915" s="131">
        <f>INDEX('Base de données Mono'!M:M,MATCH(B915,'Base de données Mono'!D:D,0))</f>
        <v>0.29166666666666669</v>
      </c>
      <c r="L915" s="131">
        <f>INDEX('Base de données Mono'!N:N,MATCH(B915,'Base de données Mono'!D:D,0))</f>
        <v>0.5625</v>
      </c>
      <c r="M915" s="33" t="s">
        <v>46</v>
      </c>
      <c r="N915" s="33">
        <f>IF(AND(E915="Electricité",M915="Hiver"),INDEX('Base de données Mono'!E:E,MATCH(B915,'Base de données Mono'!D:D,0)),IF(AND(E915="Electricité",M915="Mi-saison"),INDEX('Base de données Mono'!F:F,MATCH(B915,'Base de données Mono'!D:D,0)),IF(AND(E915="Electricité",M915="Eté"),INDEX('Base de données Mono'!G:G,MATCH(B915,'Base de données Mono'!D:D,0)),IF(AND(E915="Gaz",M915="Hiver"),INDEX('Base de données Mono'!J:J,MATCH(B915,'Base de données Mono'!D:D,0)),IF(AND(E915="Gaz",M915="Mi-saison"),INDEX('Base de données Mono'!#REF!,MATCH(B915,'Base de données Mono'!D:D,0)),IF(AND(E915="Gaz",M915="Eté"),INDEX('Base de données Mono'!#REF!,MATCH(B915,'Base de données Mono'!D:D,0)),"-"))))))</f>
        <v>80</v>
      </c>
      <c r="O915" s="123">
        <v>45389</v>
      </c>
      <c r="P915" s="123">
        <v>45391</v>
      </c>
      <c r="Q915" s="34">
        <v>90</v>
      </c>
      <c r="R915" s="33">
        <f t="shared" si="113"/>
        <v>10</v>
      </c>
      <c r="S915" s="34">
        <v>6.8</v>
      </c>
      <c r="T915" s="34">
        <f t="shared" si="100"/>
        <v>2</v>
      </c>
      <c r="U915" s="33">
        <f t="shared" si="116"/>
        <v>136</v>
      </c>
      <c r="V915" s="38" t="s">
        <v>827</v>
      </c>
      <c r="W915" s="39">
        <f t="shared" si="117"/>
        <v>0.125</v>
      </c>
      <c r="X915" s="40" t="s">
        <v>304</v>
      </c>
      <c r="Y915" s="40" t="s">
        <v>283</v>
      </c>
      <c r="Z915" s="40" t="s">
        <v>749</v>
      </c>
      <c r="AA915" s="33" t="s">
        <v>749</v>
      </c>
      <c r="AB915" s="95"/>
      <c r="AC915" s="95"/>
    </row>
    <row r="916" spans="1:29" ht="14.45" hidden="1" customHeight="1" x14ac:dyDescent="0.25">
      <c r="A916" s="36" t="str">
        <f>INDEX('Base de données Mono'!C:C,MATCH(B916,'Base de données Mono'!D:D,0))</f>
        <v>CROIX ROUSSE</v>
      </c>
      <c r="B916" t="s">
        <v>116</v>
      </c>
      <c r="C916" s="36" t="str">
        <f>INDEX('Base de données Mono'!B:B,MATCH(B916,'Base de données Mono'!D:D,0))</f>
        <v>SES8</v>
      </c>
      <c r="D916" s="36" t="str">
        <f>INDEX('Base de données Mono'!A:A,MATCH(B916,'Base de données Mono'!D:D,0))</f>
        <v>JG</v>
      </c>
      <c r="E916" s="37" t="s">
        <v>303</v>
      </c>
      <c r="F916" s="41">
        <f t="shared" si="114"/>
        <v>15</v>
      </c>
      <c r="G916" s="41">
        <f t="shared" si="115"/>
        <v>4</v>
      </c>
      <c r="H916">
        <v>7.42</v>
      </c>
      <c r="I916" s="131">
        <f>INDEX('Base de données Mono'!K:K,MATCH(B916,'Base de données Mono'!D:D,0))</f>
        <v>0.20486111111111113</v>
      </c>
      <c r="J916" s="131">
        <f>INDEX('Base de données Mono'!L:L,MATCH(B916,'Base de données Mono'!D:D,0))</f>
        <v>0.89583333333333337</v>
      </c>
      <c r="K916" s="131">
        <f>INDEX('Base de données Mono'!M:M,MATCH(B916,'Base de données Mono'!D:D,0))</f>
        <v>0.29166666666666669</v>
      </c>
      <c r="L916" s="131">
        <f>INDEX('Base de données Mono'!N:N,MATCH(B916,'Base de données Mono'!D:D,0))</f>
        <v>0.5625</v>
      </c>
      <c r="M916" s="33" t="s">
        <v>46</v>
      </c>
      <c r="N916" s="33">
        <f>IF(AND(E916="Electricité",M916="Hiver"),INDEX('Base de données Mono'!E:E,MATCH(B916,'Base de données Mono'!D:D,0)),IF(AND(E916="Electricité",M916="Mi-saison"),INDEX('Base de données Mono'!F:F,MATCH(B916,'Base de données Mono'!D:D,0)),IF(AND(E916="Electricité",M916="Eté"),INDEX('Base de données Mono'!G:G,MATCH(B916,'Base de données Mono'!D:D,0)),IF(AND(E916="Gaz",M916="Hiver"),INDEX('Base de données Mono'!J:J,MATCH(B916,'Base de données Mono'!D:D,0)),IF(AND(E916="Gaz",M916="Mi-saison"),INDEX('Base de données Mono'!#REF!,MATCH(B916,'Base de données Mono'!D:D,0)),IF(AND(E916="Gaz",M916="Eté"),INDEX('Base de données Mono'!#REF!,MATCH(B916,'Base de données Mono'!D:D,0)),"-"))))))</f>
        <v>80</v>
      </c>
      <c r="O916" s="123">
        <v>45389</v>
      </c>
      <c r="P916" s="123">
        <v>45396</v>
      </c>
      <c r="Q916" s="34">
        <v>110</v>
      </c>
      <c r="R916" s="33">
        <f t="shared" si="113"/>
        <v>30</v>
      </c>
      <c r="S916" s="34">
        <v>0.6</v>
      </c>
      <c r="T916" s="34">
        <f t="shared" si="100"/>
        <v>7</v>
      </c>
      <c r="U916" s="33">
        <f t="shared" si="116"/>
        <v>126</v>
      </c>
      <c r="V916" s="38" t="s">
        <v>827</v>
      </c>
      <c r="W916" s="39">
        <f t="shared" si="117"/>
        <v>0.375</v>
      </c>
      <c r="X916" s="40" t="s">
        <v>304</v>
      </c>
      <c r="Y916" s="40" t="s">
        <v>283</v>
      </c>
      <c r="Z916" s="40" t="s">
        <v>749</v>
      </c>
      <c r="AA916" s="33" t="s">
        <v>749</v>
      </c>
      <c r="AB916" s="95"/>
      <c r="AC916" s="95" t="s">
        <v>833</v>
      </c>
    </row>
    <row r="917" spans="1:29" ht="14.45" hidden="1" customHeight="1" x14ac:dyDescent="0.25">
      <c r="A917" s="36" t="str">
        <f>INDEX('Base de données Mono'!C:C,MATCH(B917,'Base de données Mono'!D:D,0))</f>
        <v>MONTPELLIER COMEDIE</v>
      </c>
      <c r="B917" t="s">
        <v>179</v>
      </c>
      <c r="C917" s="36" t="str">
        <f>INDEX('Base de données Mono'!B:B,MATCH(B917,'Base de données Mono'!D:D,0))</f>
        <v>SES8</v>
      </c>
      <c r="D917" s="36" t="str">
        <f>INDEX('Base de données Mono'!A:A,MATCH(B917,'Base de données Mono'!D:D,0))</f>
        <v>AD</v>
      </c>
      <c r="E917" s="37" t="s">
        <v>303</v>
      </c>
      <c r="F917" s="41">
        <f t="shared" si="114"/>
        <v>15</v>
      </c>
      <c r="G917" s="41">
        <f t="shared" si="115"/>
        <v>4</v>
      </c>
      <c r="H917">
        <v>6.5</v>
      </c>
      <c r="I917" s="131">
        <f>INDEX('Base de données Mono'!K:K,MATCH(B917,'Base de données Mono'!D:D,0))</f>
        <v>0.1875</v>
      </c>
      <c r="J917" s="131">
        <f>INDEX('Base de données Mono'!L:L,MATCH(B917,'Base de données Mono'!D:D,0))</f>
        <v>0.91666666666666663</v>
      </c>
      <c r="K917" s="131">
        <f>INDEX('Base de données Mono'!M:M,MATCH(B917,'Base de données Mono'!D:D,0))</f>
        <v>0.29166666666666669</v>
      </c>
      <c r="L917" s="131">
        <f>INDEX('Base de données Mono'!N:N,MATCH(B917,'Base de données Mono'!D:D,0))</f>
        <v>0.54166666666666663</v>
      </c>
      <c r="M917" s="33" t="s">
        <v>46</v>
      </c>
      <c r="N917" s="33">
        <f>IF(AND(E917="Electricité",M917="Hiver"),INDEX('Base de données Mono'!E:E,MATCH(B917,'Base de données Mono'!D:D,0)),IF(AND(E917="Electricité",M917="Mi-saison"),INDEX('Base de données Mono'!F:F,MATCH(B917,'Base de données Mono'!D:D,0)),IF(AND(E917="Electricité",M917="Eté"),INDEX('Base de données Mono'!G:G,MATCH(B917,'Base de données Mono'!D:D,0)),IF(AND(E917="Gaz",M917="Hiver"),INDEX('Base de données Mono'!J:J,MATCH(B917,'Base de données Mono'!D:D,0)),IF(AND(E917="Gaz",M917="Mi-saison"),INDEX('Base de données Mono'!#REF!,MATCH(B917,'Base de données Mono'!D:D,0)),IF(AND(E917="Gaz",M917="Eté"),INDEX('Base de données Mono'!#REF!,MATCH(B917,'Base de données Mono'!D:D,0)),"-"))))))</f>
        <v>60</v>
      </c>
      <c r="O917" s="123">
        <v>45389</v>
      </c>
      <c r="P917" s="123">
        <v>45392</v>
      </c>
      <c r="Q917" s="34">
        <v>65</v>
      </c>
      <c r="R917" s="33">
        <f t="shared" si="113"/>
        <v>5</v>
      </c>
      <c r="S917" s="34">
        <v>6.5</v>
      </c>
      <c r="T917" s="34">
        <f t="shared" si="100"/>
        <v>3</v>
      </c>
      <c r="U917" s="33">
        <f t="shared" si="116"/>
        <v>97.5</v>
      </c>
      <c r="V917" s="38" t="s">
        <v>827</v>
      </c>
      <c r="W917" s="39">
        <f t="shared" si="117"/>
        <v>8.3333333333333329E-2</v>
      </c>
      <c r="X917" s="40" t="s">
        <v>304</v>
      </c>
      <c r="Y917" s="40" t="s">
        <v>284</v>
      </c>
      <c r="Z917" s="40" t="s">
        <v>305</v>
      </c>
      <c r="AA917" s="33" t="s">
        <v>771</v>
      </c>
      <c r="AB917" s="95"/>
      <c r="AC917" s="95"/>
    </row>
    <row r="918" spans="1:29" ht="14.45" hidden="1" customHeight="1" x14ac:dyDescent="0.25">
      <c r="A918" s="36" t="str">
        <f>INDEX('Base de données Mono'!C:C,MATCH(B918,'Base de données Mono'!D:D,0))</f>
        <v>MONTPELLIER COMEDIE</v>
      </c>
      <c r="B918" t="s">
        <v>179</v>
      </c>
      <c r="C918" s="36" t="str">
        <f>INDEX('Base de données Mono'!B:B,MATCH(B918,'Base de données Mono'!D:D,0))</f>
        <v>SES8</v>
      </c>
      <c r="D918" s="36" t="str">
        <f>INDEX('Base de données Mono'!A:A,MATCH(B918,'Base de données Mono'!D:D,0))</f>
        <v>AD</v>
      </c>
      <c r="E918" s="37" t="s">
        <v>303</v>
      </c>
      <c r="F918" s="41">
        <f t="shared" si="114"/>
        <v>15</v>
      </c>
      <c r="G918" s="41">
        <f t="shared" si="115"/>
        <v>4</v>
      </c>
      <c r="H918">
        <v>6.5</v>
      </c>
      <c r="I918" s="131">
        <f>INDEX('Base de données Mono'!K:K,MATCH(B918,'Base de données Mono'!D:D,0))</f>
        <v>0.1875</v>
      </c>
      <c r="J918" s="131">
        <f>INDEX('Base de données Mono'!L:L,MATCH(B918,'Base de données Mono'!D:D,0))</f>
        <v>0.91666666666666663</v>
      </c>
      <c r="K918" s="131">
        <f>INDEX('Base de données Mono'!M:M,MATCH(B918,'Base de données Mono'!D:D,0))</f>
        <v>0.29166666666666669</v>
      </c>
      <c r="L918" s="131">
        <f>INDEX('Base de données Mono'!N:N,MATCH(B918,'Base de données Mono'!D:D,0))</f>
        <v>0.54166666666666663</v>
      </c>
      <c r="M918" s="33" t="s">
        <v>46</v>
      </c>
      <c r="N918" s="33">
        <f>IF(AND(E918="Electricité",M918="Hiver"),INDEX('Base de données Mono'!E:E,MATCH(B918,'Base de données Mono'!D:D,0)),IF(AND(E918="Electricité",M918="Mi-saison"),INDEX('Base de données Mono'!F:F,MATCH(B918,'Base de données Mono'!D:D,0)),IF(AND(E918="Electricité",M918="Eté"),INDEX('Base de données Mono'!G:G,MATCH(B918,'Base de données Mono'!D:D,0)),IF(AND(E918="Gaz",M918="Hiver"),INDEX('Base de données Mono'!J:J,MATCH(B918,'Base de données Mono'!D:D,0)),IF(AND(E918="Gaz",M918="Mi-saison"),INDEX('Base de données Mono'!#REF!,MATCH(B918,'Base de données Mono'!D:D,0)),IF(AND(E918="Gaz",M918="Eté"),INDEX('Base de données Mono'!#REF!,MATCH(B918,'Base de données Mono'!D:D,0)),"-"))))))</f>
        <v>60</v>
      </c>
      <c r="O918" s="123">
        <v>45393</v>
      </c>
      <c r="P918" s="123">
        <v>45394</v>
      </c>
      <c r="Q918" s="34">
        <v>100</v>
      </c>
      <c r="R918" s="33">
        <f t="shared" si="113"/>
        <v>40</v>
      </c>
      <c r="S918" s="34">
        <v>3.6</v>
      </c>
      <c r="T918" s="34">
        <f t="shared" si="100"/>
        <v>1</v>
      </c>
      <c r="U918" s="33">
        <f t="shared" si="116"/>
        <v>144</v>
      </c>
      <c r="V918" s="38" t="s">
        <v>827</v>
      </c>
      <c r="W918" s="39">
        <f t="shared" si="117"/>
        <v>0.66666666666666663</v>
      </c>
      <c r="X918" s="40" t="s">
        <v>304</v>
      </c>
      <c r="Y918" s="40" t="s">
        <v>284</v>
      </c>
      <c r="Z918" s="40" t="s">
        <v>311</v>
      </c>
      <c r="AA918" s="33" t="s">
        <v>775</v>
      </c>
      <c r="AB918" s="95"/>
      <c r="AC918" s="95"/>
    </row>
    <row r="919" spans="1:29" ht="14.45" hidden="1" customHeight="1" x14ac:dyDescent="0.25">
      <c r="A919" s="36" t="str">
        <f>INDEX('Base de données Mono'!C:C,MATCH(B919,'Base de données Mono'!D:D,0))</f>
        <v>MONTPELLIER COMEDIE</v>
      </c>
      <c r="B919" t="s">
        <v>179</v>
      </c>
      <c r="C919" s="36" t="str">
        <f>INDEX('Base de données Mono'!B:B,MATCH(B919,'Base de données Mono'!D:D,0))</f>
        <v>SES8</v>
      </c>
      <c r="D919" s="36" t="str">
        <f>INDEX('Base de données Mono'!A:A,MATCH(B919,'Base de données Mono'!D:D,0))</f>
        <v>AD</v>
      </c>
      <c r="E919" s="37" t="s">
        <v>303</v>
      </c>
      <c r="F919" s="41">
        <f t="shared" si="114"/>
        <v>15</v>
      </c>
      <c r="G919" s="41">
        <f t="shared" si="115"/>
        <v>4</v>
      </c>
      <c r="H919">
        <v>6.5</v>
      </c>
      <c r="I919" s="131">
        <f>INDEX('Base de données Mono'!K:K,MATCH(B919,'Base de données Mono'!D:D,0))</f>
        <v>0.1875</v>
      </c>
      <c r="J919" s="131">
        <f>INDEX('Base de données Mono'!L:L,MATCH(B919,'Base de données Mono'!D:D,0))</f>
        <v>0.91666666666666663</v>
      </c>
      <c r="K919" s="131">
        <f>INDEX('Base de données Mono'!M:M,MATCH(B919,'Base de données Mono'!D:D,0))</f>
        <v>0.29166666666666669</v>
      </c>
      <c r="L919" s="131">
        <f>INDEX('Base de données Mono'!N:N,MATCH(B919,'Base de données Mono'!D:D,0))</f>
        <v>0.54166666666666663</v>
      </c>
      <c r="M919" s="33" t="s">
        <v>46</v>
      </c>
      <c r="N919" s="33">
        <f>IF(AND(E919="Electricité",M919="Hiver"),INDEX('Base de données Mono'!E:E,MATCH(B919,'Base de données Mono'!D:D,0)),IF(AND(E919="Electricité",M919="Mi-saison"),INDEX('Base de données Mono'!F:F,MATCH(B919,'Base de données Mono'!D:D,0)),IF(AND(E919="Electricité",M919="Eté"),INDEX('Base de données Mono'!G:G,MATCH(B919,'Base de données Mono'!D:D,0)),IF(AND(E919="Gaz",M919="Hiver"),INDEX('Base de données Mono'!J:J,MATCH(B919,'Base de données Mono'!D:D,0)),IF(AND(E919="Gaz",M919="Mi-saison"),INDEX('Base de données Mono'!#REF!,MATCH(B919,'Base de données Mono'!D:D,0)),IF(AND(E919="Gaz",M919="Eté"),INDEX('Base de données Mono'!#REF!,MATCH(B919,'Base de données Mono'!D:D,0)),"-"))))))</f>
        <v>60</v>
      </c>
      <c r="O919" s="123">
        <v>45394</v>
      </c>
      <c r="P919" s="123">
        <v>45395</v>
      </c>
      <c r="Q919" s="34">
        <v>100</v>
      </c>
      <c r="R919" s="33">
        <f t="shared" si="113"/>
        <v>40</v>
      </c>
      <c r="S919" s="34">
        <v>1.5</v>
      </c>
      <c r="T919" s="34">
        <f t="shared" si="100"/>
        <v>1</v>
      </c>
      <c r="U919" s="33">
        <f t="shared" si="116"/>
        <v>60</v>
      </c>
      <c r="V919" s="38" t="s">
        <v>827</v>
      </c>
      <c r="W919" s="39">
        <f t="shared" si="117"/>
        <v>0.66666666666666663</v>
      </c>
      <c r="X919" s="40" t="s">
        <v>304</v>
      </c>
      <c r="Y919" s="40" t="s">
        <v>284</v>
      </c>
      <c r="Z919" s="40" t="s">
        <v>311</v>
      </c>
      <c r="AA919" s="33" t="s">
        <v>775</v>
      </c>
      <c r="AB919" s="95"/>
      <c r="AC919" s="95"/>
    </row>
    <row r="920" spans="1:29" ht="14.45" hidden="1" customHeight="1" x14ac:dyDescent="0.25">
      <c r="A920" s="36" t="str">
        <f>INDEX('Base de données Mono'!C:C,MATCH(B920,'Base de données Mono'!D:D,0))</f>
        <v>MONTPELLIER COMEDIE</v>
      </c>
      <c r="B920" t="s">
        <v>179</v>
      </c>
      <c r="C920" s="36" t="str">
        <f>INDEX('Base de données Mono'!B:B,MATCH(B920,'Base de données Mono'!D:D,0))</f>
        <v>SES8</v>
      </c>
      <c r="D920" s="36" t="str">
        <f>INDEX('Base de données Mono'!A:A,MATCH(B920,'Base de données Mono'!D:D,0))</f>
        <v>AD</v>
      </c>
      <c r="E920" s="37" t="s">
        <v>303</v>
      </c>
      <c r="F920" s="41">
        <f t="shared" si="114"/>
        <v>15</v>
      </c>
      <c r="G920" s="41">
        <f t="shared" si="115"/>
        <v>4</v>
      </c>
      <c r="H920">
        <v>6.5</v>
      </c>
      <c r="I920" s="131">
        <f>INDEX('Base de données Mono'!K:K,MATCH(B920,'Base de données Mono'!D:D,0))</f>
        <v>0.1875</v>
      </c>
      <c r="J920" s="131">
        <f>INDEX('Base de données Mono'!L:L,MATCH(B920,'Base de données Mono'!D:D,0))</f>
        <v>0.91666666666666663</v>
      </c>
      <c r="K920" s="131">
        <f>INDEX('Base de données Mono'!M:M,MATCH(B920,'Base de données Mono'!D:D,0))</f>
        <v>0.29166666666666669</v>
      </c>
      <c r="L920" s="131">
        <f>INDEX('Base de données Mono'!N:N,MATCH(B920,'Base de données Mono'!D:D,0))</f>
        <v>0.54166666666666663</v>
      </c>
      <c r="M920" s="33" t="s">
        <v>46</v>
      </c>
      <c r="N920" s="33">
        <f>IF(AND(E920="Electricité",M920="Hiver"),INDEX('Base de données Mono'!E:E,MATCH(B920,'Base de données Mono'!D:D,0)),IF(AND(E920="Electricité",M920="Mi-saison"),INDEX('Base de données Mono'!F:F,MATCH(B920,'Base de données Mono'!D:D,0)),IF(AND(E920="Electricité",M920="Eté"),INDEX('Base de données Mono'!G:G,MATCH(B920,'Base de données Mono'!D:D,0)),IF(AND(E920="Gaz",M920="Hiver"),INDEX('Base de données Mono'!J:J,MATCH(B920,'Base de données Mono'!D:D,0)),IF(AND(E920="Gaz",M920="Mi-saison"),INDEX('Base de données Mono'!#REF!,MATCH(B920,'Base de données Mono'!D:D,0)),IF(AND(E920="Gaz",M920="Eté"),INDEX('Base de données Mono'!#REF!,MATCH(B920,'Base de données Mono'!D:D,0)),"-"))))))</f>
        <v>60</v>
      </c>
      <c r="O920" s="123">
        <v>45394</v>
      </c>
      <c r="P920" s="123">
        <v>45396</v>
      </c>
      <c r="Q920" s="34">
        <v>65</v>
      </c>
      <c r="R920" s="33">
        <f t="shared" si="113"/>
        <v>5</v>
      </c>
      <c r="S920" s="34">
        <v>6.5</v>
      </c>
      <c r="T920" s="34">
        <f t="shared" si="100"/>
        <v>2</v>
      </c>
      <c r="U920" s="33">
        <f t="shared" si="116"/>
        <v>65</v>
      </c>
      <c r="V920" s="38" t="s">
        <v>827</v>
      </c>
      <c r="W920" s="39">
        <f t="shared" si="117"/>
        <v>8.3333333333333329E-2</v>
      </c>
      <c r="X920" s="40" t="s">
        <v>304</v>
      </c>
      <c r="Y920" s="40" t="s">
        <v>284</v>
      </c>
      <c r="Z920" s="40" t="s">
        <v>305</v>
      </c>
      <c r="AA920" s="33" t="s">
        <v>771</v>
      </c>
      <c r="AB920" s="95"/>
      <c r="AC920" s="95"/>
    </row>
    <row r="921" spans="1:29" ht="14.45" hidden="1" customHeight="1" x14ac:dyDescent="0.25">
      <c r="A921" s="36" t="str">
        <f>INDEX('Base de données Mono'!C:C,MATCH(B921,'Base de données Mono'!D:D,0))</f>
        <v>AIX SEXTIUS</v>
      </c>
      <c r="B921" t="s">
        <v>3</v>
      </c>
      <c r="C921" s="36" t="str">
        <f>INDEX('Base de données Mono'!B:B,MATCH(B921,'Base de données Mono'!D:D,0))</f>
        <v>SES8</v>
      </c>
      <c r="D921" s="36" t="str">
        <f>INDEX('Base de données Mono'!A:A,MATCH(B921,'Base de données Mono'!D:D,0))</f>
        <v>JG</v>
      </c>
      <c r="E921" s="37" t="s">
        <v>303</v>
      </c>
      <c r="F921" s="41">
        <f>IF(O921="","-",IF(AND(X921="Nuit",WEEKDAY(O921,2)=7,O921&lt;&gt;P921),WEEKNUM(O921,2),WEEKNUM(O921,2)-1))+1</f>
        <v>14</v>
      </c>
      <c r="G921" s="41">
        <f>IF(O921="","-",MONTH(O921))</f>
        <v>4</v>
      </c>
      <c r="H921">
        <v>8.5</v>
      </c>
      <c r="I921" s="131">
        <f>INDEX('Base de données Mono'!K:K,MATCH(B921,'Base de données Mono'!D:D,0))</f>
        <v>0.1875</v>
      </c>
      <c r="J921" s="131">
        <f>INDEX('Base de données Mono'!L:L,MATCH(B921,'Base de données Mono'!D:D,0))</f>
        <v>0.83333333333333337</v>
      </c>
      <c r="K921" s="131">
        <f>INDEX('Base de données Mono'!M:M,MATCH(B921,'Base de données Mono'!D:D,0))</f>
        <v>0.25</v>
      </c>
      <c r="L921" s="131">
        <f>INDEX('Base de données Mono'!N:N,MATCH(B921,'Base de données Mono'!D:D,0))</f>
        <v>0.79166666666666663</v>
      </c>
      <c r="M921" s="33" t="s">
        <v>46</v>
      </c>
      <c r="N921" s="33">
        <f>IF(AND(E921="Electricité",M921="Hiver"),INDEX('Base de données Mono'!E:E,MATCH(B921,'Base de données Mono'!D:D,0)),IF(AND(E921="Electricité",M921="Mi-saison"),INDEX('Base de données Mono'!F:F,MATCH(B921,'Base de données Mono'!D:D,0)),IF(AND(E921="Electricité",M921="Eté"),INDEX('Base de données Mono'!G:G,MATCH(B921,'Base de données Mono'!D:D,0)),IF(AND(E921="Gaz",M921="Hiver"),INDEX('Base de données Mono'!J:J,MATCH(B921,'Base de données Mono'!D:D,0)),IF(AND(E921="Gaz",M921="Mi-saison"),INDEX('Base de données Mono'!#REF!,MATCH(B921,'Base de données Mono'!D:D,0)),IF(AND(E921="Gaz",M921="Eté"),INDEX('Base de données Mono'!#REF!,MATCH(B921,'Base de données Mono'!D:D,0)),"-"))))))</f>
        <v>60</v>
      </c>
      <c r="O921" s="123">
        <v>45383</v>
      </c>
      <c r="P921" s="123">
        <v>45389</v>
      </c>
      <c r="Q921" s="34">
        <v>90</v>
      </c>
      <c r="R921" s="33">
        <f>IF(Q921="","",Q921-N921)</f>
        <v>30</v>
      </c>
      <c r="S921" s="34">
        <v>1</v>
      </c>
      <c r="T921" s="34">
        <f t="shared" ref="T921:T927" si="118">P921-O921</f>
        <v>6</v>
      </c>
      <c r="U921" s="33">
        <f>R921*S921*T921</f>
        <v>180</v>
      </c>
      <c r="V921" s="38" t="s">
        <v>827</v>
      </c>
      <c r="W921" s="39">
        <f>IFERROR(IF(E921="Gaz","-",R921/N921),"-")</f>
        <v>0.5</v>
      </c>
      <c r="X921" s="40" t="s">
        <v>304</v>
      </c>
      <c r="Y921" s="40" t="s">
        <v>284</v>
      </c>
      <c r="Z921" s="40" t="s">
        <v>307</v>
      </c>
      <c r="AA921" s="33" t="s">
        <v>313</v>
      </c>
      <c r="AB921" s="95"/>
      <c r="AC921" s="95"/>
    </row>
    <row r="922" spans="1:29" ht="14.45" hidden="1" customHeight="1" x14ac:dyDescent="0.25">
      <c r="A922" s="36" t="str">
        <f>INDEX('Base de données Mono'!C:C,MATCH(B922,'Base de données Mono'!D:D,0))</f>
        <v>AIX SEXTIUS</v>
      </c>
      <c r="B922" t="s">
        <v>3</v>
      </c>
      <c r="C922" s="36" t="str">
        <f>INDEX('Base de données Mono'!B:B,MATCH(B922,'Base de données Mono'!D:D,0))</f>
        <v>SES8</v>
      </c>
      <c r="D922" s="36" t="str">
        <f>INDEX('Base de données Mono'!A:A,MATCH(B922,'Base de données Mono'!D:D,0))</f>
        <v>JG</v>
      </c>
      <c r="E922" s="37" t="s">
        <v>303</v>
      </c>
      <c r="F922" s="41">
        <f>IF(O922="","-",IF(AND(X922="Nuit",WEEKDAY(O922,2)=7,O922&lt;&gt;P922),WEEKNUM(O922,2),WEEKNUM(O922,2)-1))+1</f>
        <v>15</v>
      </c>
      <c r="G922" s="41">
        <f>IF(O922="","-",MONTH(O922))</f>
        <v>4</v>
      </c>
      <c r="H922">
        <v>8.5</v>
      </c>
      <c r="I922" s="131">
        <f>INDEX('Base de données Mono'!K:K,MATCH(B922,'Base de données Mono'!D:D,0))</f>
        <v>0.1875</v>
      </c>
      <c r="J922" s="131">
        <f>INDEX('Base de données Mono'!L:L,MATCH(B922,'Base de données Mono'!D:D,0))</f>
        <v>0.83333333333333337</v>
      </c>
      <c r="K922" s="131">
        <f>INDEX('Base de données Mono'!M:M,MATCH(B922,'Base de données Mono'!D:D,0))</f>
        <v>0.25</v>
      </c>
      <c r="L922" s="131">
        <f>INDEX('Base de données Mono'!N:N,MATCH(B922,'Base de données Mono'!D:D,0))</f>
        <v>0.79166666666666663</v>
      </c>
      <c r="M922" s="33" t="s">
        <v>46</v>
      </c>
      <c r="N922" s="33">
        <f>IF(AND(E922="Electricité",M922="Hiver"),INDEX('Base de données Mono'!E:E,MATCH(B922,'Base de données Mono'!D:D,0)),IF(AND(E922="Electricité",M922="Mi-saison"),INDEX('Base de données Mono'!F:F,MATCH(B922,'Base de données Mono'!D:D,0)),IF(AND(E922="Electricité",M922="Eté"),INDEX('Base de données Mono'!G:G,MATCH(B922,'Base de données Mono'!D:D,0)),IF(AND(E922="Gaz",M922="Hiver"),INDEX('Base de données Mono'!J:J,MATCH(B922,'Base de données Mono'!D:D,0)),IF(AND(E922="Gaz",M922="Mi-saison"),INDEX('Base de données Mono'!#REF!,MATCH(B922,'Base de données Mono'!D:D,0)),IF(AND(E922="Gaz",M922="Eté"),INDEX('Base de données Mono'!#REF!,MATCH(B922,'Base de données Mono'!D:D,0)),"-"))))))</f>
        <v>60</v>
      </c>
      <c r="O922" s="123">
        <v>45390</v>
      </c>
      <c r="P922" s="123">
        <v>45396</v>
      </c>
      <c r="Q922" s="34">
        <v>95</v>
      </c>
      <c r="R922" s="33">
        <f>IF(Q922="","",Q922-N922)</f>
        <v>35</v>
      </c>
      <c r="S922" s="34">
        <v>1</v>
      </c>
      <c r="T922" s="34">
        <f t="shared" si="118"/>
        <v>6</v>
      </c>
      <c r="U922" s="33">
        <f>R922*S922*T922</f>
        <v>210</v>
      </c>
      <c r="V922" s="38" t="s">
        <v>827</v>
      </c>
      <c r="W922" s="39">
        <f>IFERROR(IF(E922="Gaz","-",R922/N922),"-")</f>
        <v>0.58333333333333337</v>
      </c>
      <c r="X922" s="40" t="s">
        <v>304</v>
      </c>
      <c r="Y922" s="40" t="s">
        <v>284</v>
      </c>
      <c r="Z922" s="40" t="s">
        <v>307</v>
      </c>
      <c r="AA922" s="33" t="s">
        <v>313</v>
      </c>
      <c r="AB922" s="95"/>
      <c r="AC922" s="95"/>
    </row>
    <row r="923" spans="1:29" ht="14.45" hidden="1" customHeight="1" x14ac:dyDescent="0.25">
      <c r="A923" s="36" t="str">
        <f>INDEX('Base de données Mono'!C:C,MATCH(B923,'Base de données Mono'!D:D,0))</f>
        <v>VILLEJUIF</v>
      </c>
      <c r="B923" t="s">
        <v>273</v>
      </c>
      <c r="C923" s="36" t="str">
        <f>INDEX('Base de données Mono'!B:B,MATCH(B923,'Base de données Mono'!D:D,0))</f>
        <v>SES8</v>
      </c>
      <c r="D923" s="36" t="str">
        <f>INDEX('Base de données Mono'!A:A,MATCH(B923,'Base de données Mono'!D:D,0))</f>
        <v>JG</v>
      </c>
      <c r="E923" s="37" t="s">
        <v>303</v>
      </c>
      <c r="F923" s="41">
        <f t="shared" si="114"/>
        <v>15</v>
      </c>
      <c r="G923" s="41">
        <f t="shared" si="115"/>
        <v>4</v>
      </c>
      <c r="H923">
        <v>9.17</v>
      </c>
      <c r="I923" s="131">
        <f>INDEX('Base de données Mono'!K:K,MATCH(B923,'Base de données Mono'!D:D,0))</f>
        <v>0.23611111111111113</v>
      </c>
      <c r="J923" s="131">
        <f>INDEX('Base de données Mono'!L:L,MATCH(B923,'Base de données Mono'!D:D,0))</f>
        <v>0.85416666666666663</v>
      </c>
      <c r="K923" s="131">
        <f>INDEX('Base de données Mono'!M:M,MATCH(B923,'Base de données Mono'!D:D,0))</f>
        <v>0.31944444444444448</v>
      </c>
      <c r="L923" s="131">
        <f>INDEX('Base de données Mono'!N:N,MATCH(B923,'Base de données Mono'!D:D,0))</f>
        <v>0.55208333333333337</v>
      </c>
      <c r="M923" s="33" t="s">
        <v>46</v>
      </c>
      <c r="N923" s="33">
        <f>IF(AND(E923="Electricité",M923="Hiver"),INDEX('Base de données Mono'!E:E,MATCH(B923,'Base de données Mono'!D:D,0)),IF(AND(E923="Electricité",M923="Mi-saison"),INDEX('Base de données Mono'!F:F,MATCH(B923,'Base de données Mono'!D:D,0)),IF(AND(E923="Electricité",M923="Eté"),INDEX('Base de données Mono'!G:G,MATCH(B923,'Base de données Mono'!D:D,0)),IF(AND(E923="Gaz",M923="Hiver"),INDEX('Base de données Mono'!J:J,MATCH(B923,'Base de données Mono'!D:D,0)),IF(AND(E923="Gaz",M923="Mi-saison"),INDEX('Base de données Mono'!#REF!,MATCH(B923,'Base de données Mono'!D:D,0)),IF(AND(E923="Gaz",M923="Eté"),INDEX('Base de données Mono'!#REF!,MATCH(B923,'Base de données Mono'!D:D,0)),"-"))))))</f>
        <v>45</v>
      </c>
      <c r="O923" s="123">
        <v>45389</v>
      </c>
      <c r="P923" s="123">
        <v>45394</v>
      </c>
      <c r="Q923" s="34">
        <v>50</v>
      </c>
      <c r="R923" s="33">
        <f t="shared" si="113"/>
        <v>5</v>
      </c>
      <c r="S923" s="34">
        <v>9</v>
      </c>
      <c r="T923" s="34">
        <f t="shared" si="118"/>
        <v>5</v>
      </c>
      <c r="U923" s="33">
        <f t="shared" si="116"/>
        <v>225</v>
      </c>
      <c r="V923" s="38" t="s">
        <v>827</v>
      </c>
      <c r="W923" s="39">
        <f t="shared" si="117"/>
        <v>0.1111111111111111</v>
      </c>
      <c r="X923" s="40" t="s">
        <v>304</v>
      </c>
      <c r="Y923" s="40" t="s">
        <v>284</v>
      </c>
      <c r="Z923" s="40" t="s">
        <v>305</v>
      </c>
      <c r="AA923" s="33" t="s">
        <v>771</v>
      </c>
      <c r="AB923" s="95"/>
      <c r="AC923" s="95"/>
    </row>
    <row r="924" spans="1:29" ht="14.45" hidden="1" customHeight="1" x14ac:dyDescent="0.25">
      <c r="A924" s="36" t="str">
        <f>INDEX('Base de données Mono'!C:C,MATCH(B924,'Base de données Mono'!D:D,0))</f>
        <v>VILLEJUIF</v>
      </c>
      <c r="B924" t="s">
        <v>273</v>
      </c>
      <c r="C924" s="36" t="str">
        <f>INDEX('Base de données Mono'!B:B,MATCH(B924,'Base de données Mono'!D:D,0))</f>
        <v>SES8</v>
      </c>
      <c r="D924" s="36" t="str">
        <f>INDEX('Base de données Mono'!A:A,MATCH(B924,'Base de données Mono'!D:D,0))</f>
        <v>JG</v>
      </c>
      <c r="E924" s="37" t="s">
        <v>303</v>
      </c>
      <c r="F924" s="41">
        <f t="shared" si="114"/>
        <v>15</v>
      </c>
      <c r="G924" s="41">
        <f t="shared" si="115"/>
        <v>4</v>
      </c>
      <c r="H924">
        <v>9.17</v>
      </c>
      <c r="I924" s="131">
        <f>INDEX('Base de données Mono'!K:K,MATCH(B924,'Base de données Mono'!D:D,0))</f>
        <v>0.23611111111111113</v>
      </c>
      <c r="J924" s="131">
        <f>INDEX('Base de données Mono'!L:L,MATCH(B924,'Base de données Mono'!D:D,0))</f>
        <v>0.85416666666666663</v>
      </c>
      <c r="K924" s="131">
        <f>INDEX('Base de données Mono'!M:M,MATCH(B924,'Base de données Mono'!D:D,0))</f>
        <v>0.31944444444444448</v>
      </c>
      <c r="L924" s="131">
        <f>INDEX('Base de données Mono'!N:N,MATCH(B924,'Base de données Mono'!D:D,0))</f>
        <v>0.55208333333333337</v>
      </c>
      <c r="M924" s="33" t="s">
        <v>46</v>
      </c>
      <c r="N924" s="33">
        <f>IF(AND(E924="Electricité",M924="Hiver"),INDEX('Base de données Mono'!E:E,MATCH(B924,'Base de données Mono'!D:D,0)),IF(AND(E924="Electricité",M924="Mi-saison"),INDEX('Base de données Mono'!F:F,MATCH(B924,'Base de données Mono'!D:D,0)),IF(AND(E924="Electricité",M924="Eté"),INDEX('Base de données Mono'!G:G,MATCH(B924,'Base de données Mono'!D:D,0)),IF(AND(E924="Gaz",M924="Hiver"),INDEX('Base de données Mono'!J:J,MATCH(B924,'Base de données Mono'!D:D,0)),IF(AND(E924="Gaz",M924="Mi-saison"),INDEX('Base de données Mono'!#REF!,MATCH(B924,'Base de données Mono'!D:D,0)),IF(AND(E924="Gaz",M924="Eté"),INDEX('Base de données Mono'!#REF!,MATCH(B924,'Base de données Mono'!D:D,0)),"-"))))))</f>
        <v>45</v>
      </c>
      <c r="O924" s="123">
        <v>45394</v>
      </c>
      <c r="P924" s="123">
        <v>45395</v>
      </c>
      <c r="Q924" s="34">
        <v>55</v>
      </c>
      <c r="R924" s="33">
        <f t="shared" si="113"/>
        <v>10</v>
      </c>
      <c r="S924" s="34">
        <v>9</v>
      </c>
      <c r="T924" s="34">
        <f t="shared" si="118"/>
        <v>1</v>
      </c>
      <c r="U924" s="33">
        <f t="shared" si="116"/>
        <v>90</v>
      </c>
      <c r="V924" s="38" t="s">
        <v>827</v>
      </c>
      <c r="W924" s="39">
        <f t="shared" si="117"/>
        <v>0.22222222222222221</v>
      </c>
      <c r="X924" s="40" t="s">
        <v>304</v>
      </c>
      <c r="Y924" s="40" t="s">
        <v>284</v>
      </c>
      <c r="Z924" s="40" t="s">
        <v>305</v>
      </c>
      <c r="AA924" s="33" t="s">
        <v>771</v>
      </c>
      <c r="AB924" s="95"/>
      <c r="AC924" s="95"/>
    </row>
    <row r="925" spans="1:29" ht="14.45" hidden="1" customHeight="1" x14ac:dyDescent="0.25">
      <c r="A925" s="36" t="str">
        <f>INDEX('Base de données Mono'!C:C,MATCH(B925,'Base de données Mono'!D:D,0))</f>
        <v>VILLEJUIF</v>
      </c>
      <c r="B925" t="s">
        <v>273</v>
      </c>
      <c r="C925" s="36" t="str">
        <f>INDEX('Base de données Mono'!B:B,MATCH(B925,'Base de données Mono'!D:D,0))</f>
        <v>SES8</v>
      </c>
      <c r="D925" s="36" t="str">
        <f>INDEX('Base de données Mono'!A:A,MATCH(B925,'Base de données Mono'!D:D,0))</f>
        <v>JG</v>
      </c>
      <c r="E925" s="37" t="s">
        <v>303</v>
      </c>
      <c r="F925" s="41">
        <f t="shared" si="114"/>
        <v>15</v>
      </c>
      <c r="G925" s="41">
        <f t="shared" si="115"/>
        <v>4</v>
      </c>
      <c r="H925">
        <v>9.17</v>
      </c>
      <c r="I925" s="131">
        <f>INDEX('Base de données Mono'!K:K,MATCH(B925,'Base de données Mono'!D:D,0))</f>
        <v>0.23611111111111113</v>
      </c>
      <c r="J925" s="131">
        <f>INDEX('Base de données Mono'!L:L,MATCH(B925,'Base de données Mono'!D:D,0))</f>
        <v>0.85416666666666663</v>
      </c>
      <c r="K925" s="131">
        <f>INDEX('Base de données Mono'!M:M,MATCH(B925,'Base de données Mono'!D:D,0))</f>
        <v>0.31944444444444448</v>
      </c>
      <c r="L925" s="131">
        <f>INDEX('Base de données Mono'!N:N,MATCH(B925,'Base de données Mono'!D:D,0))</f>
        <v>0.55208333333333337</v>
      </c>
      <c r="M925" s="33" t="s">
        <v>46</v>
      </c>
      <c r="N925" s="33">
        <f>IF(AND(E925="Electricité",M925="Hiver"),INDEX('Base de données Mono'!E:E,MATCH(B925,'Base de données Mono'!D:D,0)),IF(AND(E925="Electricité",M925="Mi-saison"),INDEX('Base de données Mono'!F:F,MATCH(B925,'Base de données Mono'!D:D,0)),IF(AND(E925="Electricité",M925="Eté"),INDEX('Base de données Mono'!G:G,MATCH(B925,'Base de données Mono'!D:D,0)),IF(AND(E925="Gaz",M925="Hiver"),INDEX('Base de données Mono'!J:J,MATCH(B925,'Base de données Mono'!D:D,0)),IF(AND(E925="Gaz",M925="Mi-saison"),INDEX('Base de données Mono'!#REF!,MATCH(B925,'Base de données Mono'!D:D,0)),IF(AND(E925="Gaz",M925="Eté"),INDEX('Base de données Mono'!#REF!,MATCH(B925,'Base de données Mono'!D:D,0)),"-"))))))</f>
        <v>45</v>
      </c>
      <c r="O925" s="123">
        <v>45395</v>
      </c>
      <c r="P925" s="123">
        <v>45396</v>
      </c>
      <c r="Q925" s="34">
        <v>55</v>
      </c>
      <c r="R925" s="33">
        <f t="shared" si="113"/>
        <v>10</v>
      </c>
      <c r="S925" s="34">
        <v>11</v>
      </c>
      <c r="T925" s="34">
        <f t="shared" si="118"/>
        <v>1</v>
      </c>
      <c r="U925" s="33">
        <f t="shared" si="116"/>
        <v>110</v>
      </c>
      <c r="V925" s="38" t="s">
        <v>827</v>
      </c>
      <c r="W925" s="39">
        <f t="shared" si="117"/>
        <v>0.22222222222222221</v>
      </c>
      <c r="X925" s="40" t="s">
        <v>304</v>
      </c>
      <c r="Y925" s="40" t="s">
        <v>284</v>
      </c>
      <c r="Z925" s="40" t="s">
        <v>305</v>
      </c>
      <c r="AA925" s="33" t="s">
        <v>771</v>
      </c>
      <c r="AB925" s="95"/>
      <c r="AC925" s="95"/>
    </row>
    <row r="926" spans="1:29" ht="14.45" hidden="1" customHeight="1" x14ac:dyDescent="0.25">
      <c r="A926" s="36" t="str">
        <f>INDEX('Base de données Mono'!C:C,MATCH(B926,'Base de données Mono'!D:D,0))</f>
        <v>BOULOGNE SEMBAT</v>
      </c>
      <c r="B926" t="s">
        <v>8</v>
      </c>
      <c r="C926" s="36" t="str">
        <f>INDEX('Base de données Mono'!B:B,MATCH(B926,'Base de données Mono'!D:D,0))</f>
        <v>SES8</v>
      </c>
      <c r="D926" s="36" t="str">
        <f>INDEX('Base de données Mono'!A:A,MATCH(B926,'Base de données Mono'!D:D,0))</f>
        <v>AD</v>
      </c>
      <c r="E926" s="37" t="s">
        <v>303</v>
      </c>
      <c r="F926" s="41">
        <f t="shared" si="114"/>
        <v>15</v>
      </c>
      <c r="G926" s="41">
        <f t="shared" si="115"/>
        <v>4</v>
      </c>
      <c r="H926">
        <v>5.33</v>
      </c>
      <c r="I926" s="131">
        <f>INDEX('Base de données Mono'!K:K,MATCH(B926,'Base de données Mono'!D:D,0))</f>
        <v>0.20138888888888887</v>
      </c>
      <c r="J926" s="131">
        <f>INDEX('Base de données Mono'!L:L,MATCH(B926,'Base de données Mono'!D:D,0))</f>
        <v>0.97916666666666663</v>
      </c>
      <c r="K926" s="131">
        <f>INDEX('Base de données Mono'!M:M,MATCH(B926,'Base de données Mono'!D:D,0))</f>
        <v>0.2638888888888889</v>
      </c>
      <c r="L926" s="131">
        <f>INDEX('Base de données Mono'!N:N,MATCH(B926,'Base de données Mono'!D:D,0))</f>
        <v>0.85416666666666663</v>
      </c>
      <c r="M926" s="33" t="s">
        <v>46</v>
      </c>
      <c r="N926" s="33">
        <f>IF(AND(E926="Electricité",M926="Hiver"),INDEX('Base de données Mono'!E:E,MATCH(B926,'Base de données Mono'!D:D,0)),IF(AND(E926="Electricité",M926="Mi-saison"),INDEX('Base de données Mono'!F:F,MATCH(B926,'Base de données Mono'!D:D,0)),IF(AND(E926="Electricité",M926="Eté"),INDEX('Base de données Mono'!G:G,MATCH(B926,'Base de données Mono'!D:D,0)),IF(AND(E926="Gaz",M926="Hiver"),INDEX('Base de données Mono'!J:J,MATCH(B926,'Base de données Mono'!D:D,0)),IF(AND(E926="Gaz",M926="Mi-saison"),INDEX('Base de données Mono'!#REF!,MATCH(B926,'Base de données Mono'!D:D,0)),IF(AND(E926="Gaz",M926="Eté"),INDEX('Base de données Mono'!#REF!,MATCH(B926,'Base de données Mono'!D:D,0)),"-"))))))</f>
        <v>85</v>
      </c>
      <c r="O926" s="123">
        <v>45389</v>
      </c>
      <c r="P926" s="123">
        <v>45396</v>
      </c>
      <c r="Q926" s="34">
        <v>140</v>
      </c>
      <c r="R926" s="33">
        <f t="shared" ref="R926:R940" si="119">IF(Q926="","",Q926-N926)</f>
        <v>55</v>
      </c>
      <c r="S926" s="34">
        <v>1</v>
      </c>
      <c r="T926" s="34">
        <f t="shared" si="118"/>
        <v>7</v>
      </c>
      <c r="U926" s="33">
        <f t="shared" si="116"/>
        <v>385</v>
      </c>
      <c r="V926" s="38" t="s">
        <v>827</v>
      </c>
      <c r="W926" s="39">
        <f t="shared" si="117"/>
        <v>0.6470588235294118</v>
      </c>
      <c r="X926" s="40" t="s">
        <v>304</v>
      </c>
      <c r="Y926" s="40" t="s">
        <v>284</v>
      </c>
      <c r="Z926" s="40" t="s">
        <v>307</v>
      </c>
      <c r="AA926" s="33" t="s">
        <v>414</v>
      </c>
      <c r="AB926" s="95"/>
      <c r="AC926" s="95"/>
    </row>
    <row r="927" spans="1:29" ht="14.45" hidden="1" customHeight="1" x14ac:dyDescent="0.25">
      <c r="A927" s="36" t="str">
        <f>INDEX('Base de données Mono'!C:C,MATCH(B927,'Base de données Mono'!D:D,0))</f>
        <v>CAEN</v>
      </c>
      <c r="B927" t="s">
        <v>10</v>
      </c>
      <c r="C927" s="36" t="str">
        <f>INDEX('Base de données Mono'!B:B,MATCH(B927,'Base de données Mono'!D:D,0))</f>
        <v>SES8</v>
      </c>
      <c r="D927" s="36" t="str">
        <f>INDEX('Base de données Mono'!A:A,MATCH(B927,'Base de données Mono'!D:D,0))</f>
        <v>AD</v>
      </c>
      <c r="E927" s="37" t="s">
        <v>303</v>
      </c>
      <c r="F927" s="41">
        <f t="shared" si="114"/>
        <v>15</v>
      </c>
      <c r="G927" s="41">
        <f t="shared" si="115"/>
        <v>4</v>
      </c>
      <c r="H927">
        <v>8.33</v>
      </c>
      <c r="I927" s="131">
        <f>INDEX('Base de données Mono'!K:K,MATCH(B927,'Base de données Mono'!D:D,0))</f>
        <v>0.22222222222222221</v>
      </c>
      <c r="J927" s="131">
        <f>INDEX('Base de données Mono'!L:L,MATCH(B927,'Base de données Mono'!D:D,0))</f>
        <v>0.875</v>
      </c>
      <c r="K927" s="131">
        <f>INDEX('Base de données Mono'!M:M,MATCH(B927,'Base de données Mono'!D:D,0))</f>
        <v>0.29166666666666702</v>
      </c>
      <c r="L927" s="131">
        <f>INDEX('Base de données Mono'!N:N,MATCH(B927,'Base de données Mono'!D:D,0))</f>
        <v>0.54166666666666663</v>
      </c>
      <c r="M927" s="33" t="s">
        <v>46</v>
      </c>
      <c r="N927" s="33">
        <f>IF(AND(E927="Electricité",M927="Hiver"),INDEX('Base de données Mono'!E:E,MATCH(B927,'Base de données Mono'!D:D,0)),IF(AND(E927="Electricité",M927="Mi-saison"),INDEX('Base de données Mono'!F:F,MATCH(B927,'Base de données Mono'!D:D,0)),IF(AND(E927="Electricité",M927="Eté"),INDEX('Base de données Mono'!G:G,MATCH(B927,'Base de données Mono'!D:D,0)),IF(AND(E927="Gaz",M927="Hiver"),INDEX('Base de données Mono'!J:J,MATCH(B927,'Base de données Mono'!D:D,0)),IF(AND(E927="Gaz",M927="Mi-saison"),INDEX('Base de données Mono'!#REF!,MATCH(B927,'Base de données Mono'!D:D,0)),IF(AND(E927="Gaz",M927="Eté"),INDEX('Base de données Mono'!#REF!,MATCH(B927,'Base de données Mono'!D:D,0)),"-"))))))</f>
        <v>75</v>
      </c>
      <c r="O927" s="123">
        <v>45389</v>
      </c>
      <c r="P927" s="123">
        <v>45396</v>
      </c>
      <c r="Q927" s="34">
        <v>85</v>
      </c>
      <c r="R927" s="33">
        <f t="shared" si="119"/>
        <v>10</v>
      </c>
      <c r="S927" s="34">
        <v>4</v>
      </c>
      <c r="T927" s="34">
        <f t="shared" si="118"/>
        <v>7</v>
      </c>
      <c r="U927" s="33">
        <f t="shared" si="116"/>
        <v>280</v>
      </c>
      <c r="V927" s="38" t="s">
        <v>827</v>
      </c>
      <c r="W927" s="39">
        <f t="shared" si="117"/>
        <v>0.13333333333333333</v>
      </c>
      <c r="X927" s="40" t="s">
        <v>304</v>
      </c>
      <c r="Y927" s="40" t="s">
        <v>284</v>
      </c>
      <c r="Z927" s="40" t="s">
        <v>305</v>
      </c>
      <c r="AA927" s="33" t="s">
        <v>771</v>
      </c>
      <c r="AB927" s="95"/>
      <c r="AC927" s="95"/>
    </row>
    <row r="928" spans="1:29" ht="14.45" hidden="1" customHeight="1" x14ac:dyDescent="0.25">
      <c r="A928" s="36" t="str">
        <f>INDEX('Base de données Mono'!C:C,MATCH(B928,'Base de données Mono'!D:D,0))</f>
        <v>CAEN</v>
      </c>
      <c r="B928" t="s">
        <v>10</v>
      </c>
      <c r="C928" s="36" t="str">
        <f>INDEX('Base de données Mono'!B:B,MATCH(B928,'Base de données Mono'!D:D,0))</f>
        <v>SES8</v>
      </c>
      <c r="D928" s="36" t="str">
        <f>INDEX('Base de données Mono'!A:A,MATCH(B928,'Base de données Mono'!D:D,0))</f>
        <v>AD</v>
      </c>
      <c r="E928" s="37" t="s">
        <v>303</v>
      </c>
      <c r="F928" s="41">
        <f t="shared" si="114"/>
        <v>15</v>
      </c>
      <c r="G928" s="41">
        <f t="shared" si="115"/>
        <v>4</v>
      </c>
      <c r="H928">
        <v>8.33</v>
      </c>
      <c r="I928" s="131">
        <f>INDEX('Base de données Mono'!K:K,MATCH(B928,'Base de données Mono'!D:D,0))</f>
        <v>0.22222222222222221</v>
      </c>
      <c r="J928" s="131">
        <f>INDEX('Base de données Mono'!L:L,MATCH(B928,'Base de données Mono'!D:D,0))</f>
        <v>0.875</v>
      </c>
      <c r="K928" s="131">
        <f>INDEX('Base de données Mono'!M:M,MATCH(B928,'Base de données Mono'!D:D,0))</f>
        <v>0.29166666666666702</v>
      </c>
      <c r="L928" s="131">
        <f>INDEX('Base de données Mono'!N:N,MATCH(B928,'Base de données Mono'!D:D,0))</f>
        <v>0.54166666666666663</v>
      </c>
      <c r="M928" s="33" t="s">
        <v>46</v>
      </c>
      <c r="N928" s="33">
        <f>IF(AND(E928="Electricité",M928="Hiver"),INDEX('Base de données Mono'!E:E,MATCH(B928,'Base de données Mono'!D:D,0)),IF(AND(E928="Electricité",M928="Mi-saison"),INDEX('Base de données Mono'!F:F,MATCH(B928,'Base de données Mono'!D:D,0)),IF(AND(E928="Electricité",M928="Eté"),INDEX('Base de données Mono'!G:G,MATCH(B928,'Base de données Mono'!D:D,0)),IF(AND(E928="Gaz",M928="Hiver"),INDEX('Base de données Mono'!J:J,MATCH(B928,'Base de données Mono'!D:D,0)),IF(AND(E928="Gaz",M928="Mi-saison"),INDEX('Base de données Mono'!#REF!,MATCH(B928,'Base de données Mono'!D:D,0)),IF(AND(E928="Gaz",M928="Eté"),INDEX('Base de données Mono'!#REF!,MATCH(B928,'Base de données Mono'!D:D,0)),"-"))))))</f>
        <v>75</v>
      </c>
      <c r="O928" s="123">
        <v>45396</v>
      </c>
      <c r="P928" s="123">
        <v>45396</v>
      </c>
      <c r="Q928" s="34">
        <v>85</v>
      </c>
      <c r="R928" s="33">
        <f t="shared" si="119"/>
        <v>10</v>
      </c>
      <c r="S928" s="34">
        <v>7</v>
      </c>
      <c r="T928" s="34">
        <v>1</v>
      </c>
      <c r="U928" s="33">
        <f t="shared" si="116"/>
        <v>70</v>
      </c>
      <c r="V928" s="38" t="s">
        <v>827</v>
      </c>
      <c r="W928" s="39">
        <f t="shared" si="117"/>
        <v>0.13333333333333333</v>
      </c>
      <c r="X928" s="40" t="s">
        <v>730</v>
      </c>
      <c r="Y928" s="40" t="s">
        <v>284</v>
      </c>
      <c r="Z928" s="40" t="s">
        <v>305</v>
      </c>
      <c r="AA928" s="33" t="s">
        <v>771</v>
      </c>
      <c r="AB928" s="95"/>
      <c r="AC928" s="95"/>
    </row>
    <row r="929" spans="1:29" ht="14.45" hidden="1" customHeight="1" x14ac:dyDescent="0.25">
      <c r="A929" s="36" t="str">
        <f>INDEX('Base de données Mono'!C:C,MATCH(B929,'Base de données Mono'!D:D,0))</f>
        <v>LE HAVRE</v>
      </c>
      <c r="B929" t="s">
        <v>152</v>
      </c>
      <c r="C929" s="36" t="str">
        <f>INDEX('Base de données Mono'!B:B,MATCH(B929,'Base de données Mono'!D:D,0))</f>
        <v>SES8</v>
      </c>
      <c r="D929" s="36" t="str">
        <f>INDEX('Base de données Mono'!A:A,MATCH(B929,'Base de données Mono'!D:D,0))</f>
        <v>AD</v>
      </c>
      <c r="E929" s="37" t="s">
        <v>303</v>
      </c>
      <c r="F929" s="41">
        <f t="shared" si="114"/>
        <v>15</v>
      </c>
      <c r="G929" s="41">
        <f t="shared" si="115"/>
        <v>4</v>
      </c>
      <c r="H929">
        <v>7.25</v>
      </c>
      <c r="I929" s="131">
        <f>INDEX('Base de données Mono'!K:K,MATCH(B929,'Base de données Mono'!D:D,0))</f>
        <v>0.1875</v>
      </c>
      <c r="J929" s="131">
        <f>INDEX('Base de données Mono'!L:L,MATCH(B929,'Base de données Mono'!D:D,0))</f>
        <v>0.88541666666666663</v>
      </c>
      <c r="K929" s="131" t="str">
        <f>INDEX('Base de données Mono'!M:M,MATCH(B929,'Base de données Mono'!D:D,0))</f>
        <v>-</v>
      </c>
      <c r="L929" s="131" t="str">
        <f>INDEX('Base de données Mono'!N:N,MATCH(B929,'Base de données Mono'!D:D,0))</f>
        <v>-</v>
      </c>
      <c r="M929" s="33" t="s">
        <v>46</v>
      </c>
      <c r="N929" s="33">
        <f>IF(AND(E929="Electricité",M929="Hiver"),INDEX('Base de données Mono'!E:E,MATCH(B929,'Base de données Mono'!D:D,0)),IF(AND(E929="Electricité",M929="Mi-saison"),INDEX('Base de données Mono'!F:F,MATCH(B929,'Base de données Mono'!D:D,0)),IF(AND(E929="Electricité",M929="Eté"),INDEX('Base de données Mono'!G:G,MATCH(B929,'Base de données Mono'!D:D,0)),IF(AND(E929="Gaz",M929="Hiver"),INDEX('Base de données Mono'!J:J,MATCH(B929,'Base de données Mono'!D:D,0)),IF(AND(E929="Gaz",M929="Mi-saison"),INDEX('Base de données Mono'!#REF!,MATCH(B929,'Base de données Mono'!D:D,0)),IF(AND(E929="Gaz",M929="Eté"),INDEX('Base de données Mono'!#REF!,MATCH(B929,'Base de données Mono'!D:D,0)),"-"))))))</f>
        <v>60</v>
      </c>
      <c r="O929" s="123">
        <v>45389</v>
      </c>
      <c r="P929" s="123">
        <v>45396</v>
      </c>
      <c r="Q929" s="34">
        <v>70</v>
      </c>
      <c r="R929" s="33">
        <f t="shared" si="119"/>
        <v>10</v>
      </c>
      <c r="S929" s="34">
        <v>2.5</v>
      </c>
      <c r="T929" s="34">
        <f t="shared" ref="T929:T953" si="120">P929-O929</f>
        <v>7</v>
      </c>
      <c r="U929" s="33">
        <f t="shared" si="116"/>
        <v>175</v>
      </c>
      <c r="V929" s="38" t="s">
        <v>827</v>
      </c>
      <c r="W929" s="39">
        <f t="shared" si="117"/>
        <v>0.16666666666666666</v>
      </c>
      <c r="X929" s="40" t="s">
        <v>304</v>
      </c>
      <c r="Y929" s="40" t="s">
        <v>284</v>
      </c>
      <c r="Z929" s="40" t="s">
        <v>305</v>
      </c>
      <c r="AA929" s="33" t="s">
        <v>771</v>
      </c>
      <c r="AB929" s="95"/>
      <c r="AC929" s="95"/>
    </row>
    <row r="930" spans="1:29" ht="14.45" hidden="1" customHeight="1" x14ac:dyDescent="0.25">
      <c r="A930" s="36" t="str">
        <f>INDEX('Base de données Mono'!C:C,MATCH(B930,'Base de données Mono'!D:D,0))</f>
        <v>SABLONS</v>
      </c>
      <c r="B930" t="s">
        <v>32</v>
      </c>
      <c r="C930" s="36" t="str">
        <f>INDEX('Base de données Mono'!B:B,MATCH(B930,'Base de données Mono'!D:D,0))</f>
        <v>SES8</v>
      </c>
      <c r="D930" s="36" t="str">
        <f>INDEX('Base de données Mono'!A:A,MATCH(B930,'Base de données Mono'!D:D,0))</f>
        <v>AD</v>
      </c>
      <c r="E930" s="37" t="s">
        <v>303</v>
      </c>
      <c r="F930" s="41">
        <f t="shared" si="114"/>
        <v>15</v>
      </c>
      <c r="G930" s="41">
        <f t="shared" si="115"/>
        <v>4</v>
      </c>
      <c r="H930">
        <v>7.67</v>
      </c>
      <c r="I930" s="131">
        <f>INDEX('Base de données Mono'!K:K,MATCH(B930,'Base de données Mono'!D:D,0))</f>
        <v>0.23611111111111113</v>
      </c>
      <c r="J930" s="131">
        <f>INDEX('Base de données Mono'!L:L,MATCH(B930,'Base de données Mono'!D:D,0))</f>
        <v>0.91666666666666663</v>
      </c>
      <c r="K930" s="131">
        <f>INDEX('Base de données Mono'!M:M,MATCH(B930,'Base de données Mono'!D:D,0))</f>
        <v>0.25694444444444448</v>
      </c>
      <c r="L930" s="131">
        <f>INDEX('Base de données Mono'!N:N,MATCH(B930,'Base de données Mono'!D:D,0))</f>
        <v>0.60069444444444442</v>
      </c>
      <c r="M930" s="33" t="s">
        <v>46</v>
      </c>
      <c r="N930" s="33">
        <f>IF(AND(E930="Electricité",M930="Hiver"),INDEX('Base de données Mono'!E:E,MATCH(B930,'Base de données Mono'!D:D,0)),IF(AND(E930="Electricité",M930="Mi-saison"),INDEX('Base de données Mono'!F:F,MATCH(B930,'Base de données Mono'!D:D,0)),IF(AND(E930="Electricité",M930="Eté"),INDEX('Base de données Mono'!G:G,MATCH(B930,'Base de données Mono'!D:D,0)),IF(AND(E930="Gaz",M930="Hiver"),INDEX('Base de données Mono'!J:J,MATCH(B930,'Base de données Mono'!D:D,0)),IF(AND(E930="Gaz",M930="Mi-saison"),INDEX('Base de données Mono'!#REF!,MATCH(B930,'Base de données Mono'!D:D,0)),IF(AND(E930="Gaz",M930="Eté"),INDEX('Base de données Mono'!#REF!,MATCH(B930,'Base de données Mono'!D:D,0)),"-"))))))</f>
        <v>70</v>
      </c>
      <c r="O930" s="123">
        <v>45389</v>
      </c>
      <c r="P930" s="123">
        <v>45391</v>
      </c>
      <c r="Q930" s="34">
        <v>105</v>
      </c>
      <c r="R930" s="33">
        <f t="shared" si="119"/>
        <v>35</v>
      </c>
      <c r="S930" s="34">
        <v>7.6</v>
      </c>
      <c r="T930" s="34">
        <f t="shared" si="120"/>
        <v>2</v>
      </c>
      <c r="U930" s="33">
        <f t="shared" si="116"/>
        <v>532</v>
      </c>
      <c r="V930" s="38" t="s">
        <v>827</v>
      </c>
      <c r="W930" s="39">
        <f t="shared" si="117"/>
        <v>0.5</v>
      </c>
      <c r="X930" s="40" t="s">
        <v>304</v>
      </c>
      <c r="Y930" s="40" t="s">
        <v>284</v>
      </c>
      <c r="Z930" s="40" t="s">
        <v>305</v>
      </c>
      <c r="AA930" s="33" t="s">
        <v>771</v>
      </c>
      <c r="AB930" s="95"/>
      <c r="AC930" s="95"/>
    </row>
    <row r="931" spans="1:29" ht="14.45" hidden="1" customHeight="1" x14ac:dyDescent="0.25">
      <c r="A931" s="36" t="str">
        <f>INDEX('Base de données Mono'!C:C,MATCH(B931,'Base de données Mono'!D:D,0))</f>
        <v>SABLONS</v>
      </c>
      <c r="B931" t="s">
        <v>32</v>
      </c>
      <c r="C931" s="36" t="str">
        <f>INDEX('Base de données Mono'!B:B,MATCH(B931,'Base de données Mono'!D:D,0))</f>
        <v>SES8</v>
      </c>
      <c r="D931" s="36" t="str">
        <f>INDEX('Base de données Mono'!A:A,MATCH(B931,'Base de données Mono'!D:D,0))</f>
        <v>AD</v>
      </c>
      <c r="E931" s="37" t="s">
        <v>303</v>
      </c>
      <c r="F931" s="41">
        <f t="shared" si="114"/>
        <v>15</v>
      </c>
      <c r="G931" s="41">
        <f t="shared" si="115"/>
        <v>4</v>
      </c>
      <c r="H931">
        <v>7.67</v>
      </c>
      <c r="I931" s="131">
        <f>INDEX('Base de données Mono'!K:K,MATCH(B931,'Base de données Mono'!D:D,0))</f>
        <v>0.23611111111111113</v>
      </c>
      <c r="J931" s="131">
        <f>INDEX('Base de données Mono'!L:L,MATCH(B931,'Base de données Mono'!D:D,0))</f>
        <v>0.91666666666666663</v>
      </c>
      <c r="K931" s="131">
        <f>INDEX('Base de données Mono'!M:M,MATCH(B931,'Base de données Mono'!D:D,0))</f>
        <v>0.25694444444444448</v>
      </c>
      <c r="L931" s="131">
        <f>INDEX('Base de données Mono'!N:N,MATCH(B931,'Base de données Mono'!D:D,0))</f>
        <v>0.60069444444444442</v>
      </c>
      <c r="M931" s="33" t="s">
        <v>46</v>
      </c>
      <c r="N931" s="33">
        <f>IF(AND(E931="Electricité",M931="Hiver"),INDEX('Base de données Mono'!E:E,MATCH(B931,'Base de données Mono'!D:D,0)),IF(AND(E931="Electricité",M931="Mi-saison"),INDEX('Base de données Mono'!F:F,MATCH(B931,'Base de données Mono'!D:D,0)),IF(AND(E931="Electricité",M931="Eté"),INDEX('Base de données Mono'!G:G,MATCH(B931,'Base de données Mono'!D:D,0)),IF(AND(E931="Gaz",M931="Hiver"),INDEX('Base de données Mono'!J:J,MATCH(B931,'Base de données Mono'!D:D,0)),IF(AND(E931="Gaz",M931="Mi-saison"),INDEX('Base de données Mono'!#REF!,MATCH(B931,'Base de données Mono'!D:D,0)),IF(AND(E931="Gaz",M931="Eté"),INDEX('Base de données Mono'!#REF!,MATCH(B931,'Base de données Mono'!D:D,0)),"-"))))))</f>
        <v>70</v>
      </c>
      <c r="O931" s="123">
        <v>45391</v>
      </c>
      <c r="P931" s="123">
        <v>45394</v>
      </c>
      <c r="Q931" s="34">
        <v>125</v>
      </c>
      <c r="R931" s="33">
        <f t="shared" si="119"/>
        <v>55</v>
      </c>
      <c r="S931" s="34">
        <v>7.6</v>
      </c>
      <c r="T931" s="34">
        <f t="shared" si="120"/>
        <v>3</v>
      </c>
      <c r="U931" s="33">
        <f t="shared" si="116"/>
        <v>1254</v>
      </c>
      <c r="V931" s="38" t="s">
        <v>827</v>
      </c>
      <c r="W931" s="39">
        <f t="shared" si="117"/>
        <v>0.7857142857142857</v>
      </c>
      <c r="X931" s="40" t="s">
        <v>304</v>
      </c>
      <c r="Y931" s="40" t="s">
        <v>284</v>
      </c>
      <c r="Z931" s="40" t="s">
        <v>311</v>
      </c>
      <c r="AA931" s="33" t="s">
        <v>775</v>
      </c>
      <c r="AB931" s="95"/>
      <c r="AC931" s="95"/>
    </row>
    <row r="932" spans="1:29" ht="14.45" hidden="1" customHeight="1" x14ac:dyDescent="0.25">
      <c r="A932" s="36" t="str">
        <f>INDEX('Base de données Mono'!C:C,MATCH(B932,'Base de données Mono'!D:D,0))</f>
        <v>SABLONS</v>
      </c>
      <c r="B932" t="s">
        <v>32</v>
      </c>
      <c r="C932" s="36" t="str">
        <f>INDEX('Base de données Mono'!B:B,MATCH(B932,'Base de données Mono'!D:D,0))</f>
        <v>SES8</v>
      </c>
      <c r="D932" s="36" t="str">
        <f>INDEX('Base de données Mono'!A:A,MATCH(B932,'Base de données Mono'!D:D,0))</f>
        <v>AD</v>
      </c>
      <c r="E932" s="37" t="s">
        <v>303</v>
      </c>
      <c r="F932" s="41">
        <f t="shared" si="114"/>
        <v>15</v>
      </c>
      <c r="G932" s="41">
        <f t="shared" si="115"/>
        <v>4</v>
      </c>
      <c r="H932">
        <v>7.67</v>
      </c>
      <c r="I932" s="131">
        <f>INDEX('Base de données Mono'!K:K,MATCH(B932,'Base de données Mono'!D:D,0))</f>
        <v>0.23611111111111113</v>
      </c>
      <c r="J932" s="131">
        <f>INDEX('Base de données Mono'!L:L,MATCH(B932,'Base de données Mono'!D:D,0))</f>
        <v>0.91666666666666663</v>
      </c>
      <c r="K932" s="131">
        <f>INDEX('Base de données Mono'!M:M,MATCH(B932,'Base de données Mono'!D:D,0))</f>
        <v>0.25694444444444448</v>
      </c>
      <c r="L932" s="131">
        <f>INDEX('Base de données Mono'!N:N,MATCH(B932,'Base de données Mono'!D:D,0))</f>
        <v>0.60069444444444442</v>
      </c>
      <c r="M932" s="33" t="s">
        <v>46</v>
      </c>
      <c r="N932" s="33">
        <f>IF(AND(E932="Electricité",M932="Hiver"),INDEX('Base de données Mono'!E:E,MATCH(B932,'Base de données Mono'!D:D,0)),IF(AND(E932="Electricité",M932="Mi-saison"),INDEX('Base de données Mono'!F:F,MATCH(B932,'Base de données Mono'!D:D,0)),IF(AND(E932="Electricité",M932="Eté"),INDEX('Base de données Mono'!G:G,MATCH(B932,'Base de données Mono'!D:D,0)),IF(AND(E932="Gaz",M932="Hiver"),INDEX('Base de données Mono'!J:J,MATCH(B932,'Base de données Mono'!D:D,0)),IF(AND(E932="Gaz",M932="Mi-saison"),INDEX('Base de données Mono'!#REF!,MATCH(B932,'Base de données Mono'!D:D,0)),IF(AND(E932="Gaz",M932="Eté"),INDEX('Base de données Mono'!#REF!,MATCH(B932,'Base de données Mono'!D:D,0)),"-"))))))</f>
        <v>70</v>
      </c>
      <c r="O932" s="123">
        <v>45394</v>
      </c>
      <c r="P932" s="123">
        <v>45396</v>
      </c>
      <c r="Q932" s="34">
        <v>105</v>
      </c>
      <c r="R932" s="33">
        <f t="shared" si="119"/>
        <v>35</v>
      </c>
      <c r="S932" s="34">
        <v>7.6</v>
      </c>
      <c r="T932" s="34">
        <f t="shared" si="120"/>
        <v>2</v>
      </c>
      <c r="U932" s="33">
        <f t="shared" si="116"/>
        <v>532</v>
      </c>
      <c r="V932" s="38" t="s">
        <v>827</v>
      </c>
      <c r="W932" s="39">
        <f t="shared" si="117"/>
        <v>0.5</v>
      </c>
      <c r="X932" s="40" t="s">
        <v>304</v>
      </c>
      <c r="Y932" s="40" t="s">
        <v>284</v>
      </c>
      <c r="Z932" s="40" t="s">
        <v>305</v>
      </c>
      <c r="AA932" s="33" t="s">
        <v>771</v>
      </c>
      <c r="AB932" s="95"/>
      <c r="AC932" s="95"/>
    </row>
    <row r="933" spans="1:29" ht="14.45" hidden="1" customHeight="1" x14ac:dyDescent="0.25">
      <c r="A933" s="36" t="str">
        <f>INDEX('Base de données Mono'!C:C,MATCH(B933,'Base de données Mono'!D:D,0))</f>
        <v>SAINT RAPHAEL</v>
      </c>
      <c r="B933" t="s">
        <v>36</v>
      </c>
      <c r="C933" s="36" t="str">
        <f>INDEX('Base de données Mono'!B:B,MATCH(B933,'Base de données Mono'!D:D,0))</f>
        <v>SES8</v>
      </c>
      <c r="D933" s="36" t="str">
        <f>INDEX('Base de données Mono'!A:A,MATCH(B933,'Base de données Mono'!D:D,0))</f>
        <v>JG</v>
      </c>
      <c r="E933" s="37" t="s">
        <v>303</v>
      </c>
      <c r="F933" s="41">
        <f t="shared" ref="F933:F944" si="121">IF(O933="","-",IF(AND(X933="Nuit",WEEKDAY(O933,2)=7,O933&lt;&gt;P933),WEEKNUM(O933,2),WEEKNUM(O933,2)-1))+1</f>
        <v>15</v>
      </c>
      <c r="G933" s="41">
        <f t="shared" ref="G933:G944" si="122">IF(O933="","-",MONTH(O933))</f>
        <v>4</v>
      </c>
      <c r="H933">
        <v>8.5</v>
      </c>
      <c r="I933" s="131">
        <f>INDEX('Base de données Mono'!K:K,MATCH(B933,'Base de données Mono'!D:D,0))</f>
        <v>0.20833333333333334</v>
      </c>
      <c r="J933" s="131">
        <f>INDEX('Base de données Mono'!L:L,MATCH(B933,'Base de données Mono'!D:D,0))</f>
        <v>0.85416666666666663</v>
      </c>
      <c r="K933" s="131">
        <f>INDEX('Base de données Mono'!M:M,MATCH(B933,'Base de données Mono'!D:D,0))</f>
        <v>0.3125</v>
      </c>
      <c r="L933" s="131">
        <f>INDEX('Base de données Mono'!N:N,MATCH(B933,'Base de données Mono'!D:D,0))</f>
        <v>0.55902777777777779</v>
      </c>
      <c r="M933" s="33" t="s">
        <v>46</v>
      </c>
      <c r="N933" s="33">
        <f>IF(AND(E933="Electricité",M933="Hiver"),INDEX('Base de données Mono'!E:E,MATCH(B933,'Base de données Mono'!D:D,0)),IF(AND(E933="Electricité",M933="Mi-saison"),INDEX('Base de données Mono'!F:F,MATCH(B933,'Base de données Mono'!D:D,0)),IF(AND(E933="Electricité",M933="Eté"),INDEX('Base de données Mono'!G:G,MATCH(B933,'Base de données Mono'!D:D,0)),IF(AND(E933="Gaz",M933="Hiver"),INDEX('Base de données Mono'!J:J,MATCH(B933,'Base de données Mono'!D:D,0)),IF(AND(E933="Gaz",M933="Mi-saison"),INDEX('Base de données Mono'!#REF!,MATCH(B933,'Base de données Mono'!D:D,0)),IF(AND(E933="Gaz",M933="Eté"),INDEX('Base de données Mono'!#REF!,MATCH(B933,'Base de données Mono'!D:D,0)),"-"))))))</f>
        <v>35</v>
      </c>
      <c r="O933" s="123">
        <v>45389</v>
      </c>
      <c r="P933" s="123">
        <v>45396</v>
      </c>
      <c r="Q933" s="34">
        <v>60</v>
      </c>
      <c r="R933" s="33">
        <f t="shared" si="119"/>
        <v>25</v>
      </c>
      <c r="S933" s="34">
        <v>2.5</v>
      </c>
      <c r="T933" s="34">
        <f t="shared" si="120"/>
        <v>7</v>
      </c>
      <c r="U933" s="33">
        <f t="shared" si="116"/>
        <v>437.5</v>
      </c>
      <c r="V933" s="38" t="s">
        <v>827</v>
      </c>
      <c r="W933" s="39">
        <f t="shared" si="117"/>
        <v>0.7142857142857143</v>
      </c>
      <c r="X933" s="40" t="s">
        <v>304</v>
      </c>
      <c r="Y933" s="40" t="s">
        <v>284</v>
      </c>
      <c r="Z933" s="40" t="s">
        <v>307</v>
      </c>
      <c r="AA933" s="33" t="s">
        <v>313</v>
      </c>
      <c r="AB933" s="95"/>
      <c r="AC933" s="95"/>
    </row>
    <row r="934" spans="1:29" ht="14.45" hidden="1" customHeight="1" x14ac:dyDescent="0.25">
      <c r="A934" s="36" t="str">
        <f>INDEX('Base de données Mono'!C:C,MATCH(B934,'Base de données Mono'!D:D,0))</f>
        <v>CHAVILLE</v>
      </c>
      <c r="B934" t="s">
        <v>12</v>
      </c>
      <c r="C934" s="36" t="str">
        <f>INDEX('Base de données Mono'!B:B,MATCH(B934,'Base de données Mono'!D:D,0))</f>
        <v>SES8</v>
      </c>
      <c r="D934" s="36" t="str">
        <f>INDEX('Base de données Mono'!A:A,MATCH(B934,'Base de données Mono'!D:D,0))</f>
        <v>AD</v>
      </c>
      <c r="E934" s="37" t="s">
        <v>303</v>
      </c>
      <c r="F934" s="41">
        <f t="shared" si="121"/>
        <v>15</v>
      </c>
      <c r="G934" s="41">
        <f t="shared" si="122"/>
        <v>4</v>
      </c>
      <c r="H934">
        <v>8.5</v>
      </c>
      <c r="I934" s="131">
        <f>INDEX('Base de données Mono'!K:K,MATCH(B934,'Base de données Mono'!D:D,0))</f>
        <v>0.25</v>
      </c>
      <c r="J934" s="131">
        <f>INDEX('Base de données Mono'!L:L,MATCH(B934,'Base de données Mono'!D:D,0))</f>
        <v>0.89583333333333337</v>
      </c>
      <c r="K934" s="131">
        <f>INDEX('Base de données Mono'!M:M,MATCH(B934,'Base de données Mono'!D:D,0))</f>
        <v>0.29166666666666702</v>
      </c>
      <c r="L934" s="131">
        <f>INDEX('Base de données Mono'!N:N,MATCH(B934,'Base de données Mono'!D:D,0))</f>
        <v>0.80208333333333337</v>
      </c>
      <c r="M934" s="33" t="s">
        <v>46</v>
      </c>
      <c r="N934" s="33">
        <f>IF(AND(E934="Electricité",M934="Hiver"),INDEX('Base de données Mono'!E:E,MATCH(B934,'Base de données Mono'!D:D,0)),IF(AND(E934="Electricité",M934="Mi-saison"),INDEX('Base de données Mono'!F:F,MATCH(B934,'Base de données Mono'!D:D,0)),IF(AND(E934="Electricité",M934="Eté"),INDEX('Base de données Mono'!G:G,MATCH(B934,'Base de données Mono'!D:D,0)),IF(AND(E934="Gaz",M934="Hiver"),INDEX('Base de données Mono'!J:J,MATCH(B934,'Base de données Mono'!D:D,0)),IF(AND(E934="Gaz",M934="Mi-saison"),INDEX('Base de données Mono'!#REF!,MATCH(B934,'Base de données Mono'!D:D,0)),IF(AND(E934="Gaz",M934="Eté"),INDEX('Base de données Mono'!#REF!,MATCH(B934,'Base de données Mono'!D:D,0)),"-"))))))</f>
        <v>80</v>
      </c>
      <c r="O934" s="123">
        <v>45389</v>
      </c>
      <c r="P934" s="123">
        <v>45391</v>
      </c>
      <c r="Q934" s="34">
        <v>130</v>
      </c>
      <c r="R934" s="33">
        <f t="shared" si="119"/>
        <v>50</v>
      </c>
      <c r="S934" s="34">
        <v>8.5</v>
      </c>
      <c r="T934" s="34">
        <f t="shared" si="120"/>
        <v>2</v>
      </c>
      <c r="U934" s="33">
        <f t="shared" ref="U934:U944" si="123">R934*S934*T934</f>
        <v>850</v>
      </c>
      <c r="V934" s="38" t="s">
        <v>827</v>
      </c>
      <c r="W934" s="39">
        <f t="shared" ref="W934:W944" si="124">IFERROR(IF(E934="Gaz","-",R934/N934),"-")</f>
        <v>0.625</v>
      </c>
      <c r="X934" s="40" t="s">
        <v>304</v>
      </c>
      <c r="Y934" s="40" t="s">
        <v>284</v>
      </c>
      <c r="Z934" s="40" t="s">
        <v>311</v>
      </c>
      <c r="AA934" s="33" t="s">
        <v>775</v>
      </c>
      <c r="AB934" s="95"/>
      <c r="AC934" s="95"/>
    </row>
    <row r="935" spans="1:29" ht="14.45" hidden="1" customHeight="1" x14ac:dyDescent="0.25">
      <c r="A935" s="36" t="str">
        <f>INDEX('Base de données Mono'!C:C,MATCH(B935,'Base de données Mono'!D:D,0))</f>
        <v>CHAVILLE</v>
      </c>
      <c r="B935" t="s">
        <v>12</v>
      </c>
      <c r="C935" s="36" t="str">
        <f>INDEX('Base de données Mono'!B:B,MATCH(B935,'Base de données Mono'!D:D,0))</f>
        <v>SES8</v>
      </c>
      <c r="D935" s="36" t="str">
        <f>INDEX('Base de données Mono'!A:A,MATCH(B935,'Base de données Mono'!D:D,0))</f>
        <v>AD</v>
      </c>
      <c r="E935" s="37" t="s">
        <v>303</v>
      </c>
      <c r="F935" s="41">
        <f t="shared" si="121"/>
        <v>15</v>
      </c>
      <c r="G935" s="41">
        <f t="shared" si="122"/>
        <v>4</v>
      </c>
      <c r="H935">
        <v>8.5</v>
      </c>
      <c r="I935" s="131">
        <f>INDEX('Base de données Mono'!K:K,MATCH(B935,'Base de données Mono'!D:D,0))</f>
        <v>0.25</v>
      </c>
      <c r="J935" s="131">
        <f>INDEX('Base de données Mono'!L:L,MATCH(B935,'Base de données Mono'!D:D,0))</f>
        <v>0.89583333333333337</v>
      </c>
      <c r="K935" s="131">
        <f>INDEX('Base de données Mono'!M:M,MATCH(B935,'Base de données Mono'!D:D,0))</f>
        <v>0.29166666666666702</v>
      </c>
      <c r="L935" s="131">
        <f>INDEX('Base de données Mono'!N:N,MATCH(B935,'Base de données Mono'!D:D,0))</f>
        <v>0.80208333333333337</v>
      </c>
      <c r="M935" s="33" t="s">
        <v>46</v>
      </c>
      <c r="N935" s="33">
        <f>IF(AND(E935="Electricité",M935="Hiver"),INDEX('Base de données Mono'!E:E,MATCH(B935,'Base de données Mono'!D:D,0)),IF(AND(E935="Electricité",M935="Mi-saison"),INDEX('Base de données Mono'!F:F,MATCH(B935,'Base de données Mono'!D:D,0)),IF(AND(E935="Electricité",M935="Eté"),INDEX('Base de données Mono'!G:G,MATCH(B935,'Base de données Mono'!D:D,0)),IF(AND(E935="Gaz",M935="Hiver"),INDEX('Base de données Mono'!J:J,MATCH(B935,'Base de données Mono'!D:D,0)),IF(AND(E935="Gaz",M935="Mi-saison"),INDEX('Base de données Mono'!#REF!,MATCH(B935,'Base de données Mono'!D:D,0)),IF(AND(E935="Gaz",M935="Eté"),INDEX('Base de données Mono'!#REF!,MATCH(B935,'Base de données Mono'!D:D,0)),"-"))))))</f>
        <v>80</v>
      </c>
      <c r="O935" s="123">
        <v>45391</v>
      </c>
      <c r="P935" s="123">
        <v>45395</v>
      </c>
      <c r="Q935" s="34">
        <v>90</v>
      </c>
      <c r="R935" s="33">
        <f t="shared" si="119"/>
        <v>10</v>
      </c>
      <c r="S935" s="34">
        <v>8</v>
      </c>
      <c r="T935" s="34">
        <f t="shared" si="120"/>
        <v>4</v>
      </c>
      <c r="U935" s="33">
        <f t="shared" si="123"/>
        <v>320</v>
      </c>
      <c r="V935" s="38" t="s">
        <v>827</v>
      </c>
      <c r="W935" s="39">
        <f t="shared" si="124"/>
        <v>0.125</v>
      </c>
      <c r="X935" s="40" t="s">
        <v>304</v>
      </c>
      <c r="Y935" s="40" t="s">
        <v>284</v>
      </c>
      <c r="Z935" s="40" t="s">
        <v>305</v>
      </c>
      <c r="AA935" s="33" t="s">
        <v>771</v>
      </c>
      <c r="AB935" s="95"/>
      <c r="AC935" s="95"/>
    </row>
    <row r="936" spans="1:29" ht="14.45" hidden="1" customHeight="1" x14ac:dyDescent="0.25">
      <c r="A936" s="36" t="str">
        <f>INDEX('Base de données Mono'!C:C,MATCH(B936,'Base de données Mono'!D:D,0))</f>
        <v>CHAVILLE</v>
      </c>
      <c r="B936" t="s">
        <v>12</v>
      </c>
      <c r="C936" s="36" t="str">
        <f>INDEX('Base de données Mono'!B:B,MATCH(B936,'Base de données Mono'!D:D,0))</f>
        <v>SES8</v>
      </c>
      <c r="D936" s="36" t="str">
        <f>INDEX('Base de données Mono'!A:A,MATCH(B936,'Base de données Mono'!D:D,0))</f>
        <v>AD</v>
      </c>
      <c r="E936" s="37" t="s">
        <v>303</v>
      </c>
      <c r="F936" s="41">
        <f t="shared" si="121"/>
        <v>15</v>
      </c>
      <c r="G936" s="41">
        <f t="shared" si="122"/>
        <v>4</v>
      </c>
      <c r="H936">
        <v>8.5</v>
      </c>
      <c r="I936" s="131">
        <f>INDEX('Base de données Mono'!K:K,MATCH(B936,'Base de données Mono'!D:D,0))</f>
        <v>0.25</v>
      </c>
      <c r="J936" s="131">
        <f>INDEX('Base de données Mono'!L:L,MATCH(B936,'Base de données Mono'!D:D,0))</f>
        <v>0.89583333333333337</v>
      </c>
      <c r="K936" s="131">
        <f>INDEX('Base de données Mono'!M:M,MATCH(B936,'Base de données Mono'!D:D,0))</f>
        <v>0.29166666666666702</v>
      </c>
      <c r="L936" s="131">
        <f>INDEX('Base de données Mono'!N:N,MATCH(B936,'Base de données Mono'!D:D,0))</f>
        <v>0.80208333333333337</v>
      </c>
      <c r="M936" s="33" t="s">
        <v>46</v>
      </c>
      <c r="N936" s="33">
        <f>IF(AND(E936="Electricité",M936="Hiver"),INDEX('Base de données Mono'!E:E,MATCH(B936,'Base de données Mono'!D:D,0)),IF(AND(E936="Electricité",M936="Mi-saison"),INDEX('Base de données Mono'!F:F,MATCH(B936,'Base de données Mono'!D:D,0)),IF(AND(E936="Electricité",M936="Eté"),INDEX('Base de données Mono'!G:G,MATCH(B936,'Base de données Mono'!D:D,0)),IF(AND(E936="Gaz",M936="Hiver"),INDEX('Base de données Mono'!J:J,MATCH(B936,'Base de données Mono'!D:D,0)),IF(AND(E936="Gaz",M936="Mi-saison"),INDEX('Base de données Mono'!#REF!,MATCH(B936,'Base de données Mono'!D:D,0)),IF(AND(E936="Gaz",M936="Eté"),INDEX('Base de données Mono'!#REF!,MATCH(B936,'Base de données Mono'!D:D,0)),"-"))))))</f>
        <v>80</v>
      </c>
      <c r="O936" s="123">
        <v>45391</v>
      </c>
      <c r="P936" s="123">
        <v>45395</v>
      </c>
      <c r="Q936" s="34">
        <v>125</v>
      </c>
      <c r="R936" s="33">
        <f t="shared" si="119"/>
        <v>45</v>
      </c>
      <c r="S936" s="34">
        <v>0.5</v>
      </c>
      <c r="T936" s="34">
        <f t="shared" si="120"/>
        <v>4</v>
      </c>
      <c r="U936" s="33">
        <f t="shared" si="123"/>
        <v>90</v>
      </c>
      <c r="V936" s="38" t="s">
        <v>827</v>
      </c>
      <c r="W936" s="39">
        <f t="shared" si="124"/>
        <v>0.5625</v>
      </c>
      <c r="X936" s="40" t="s">
        <v>304</v>
      </c>
      <c r="Y936" s="40" t="s">
        <v>284</v>
      </c>
      <c r="Z936" s="40" t="s">
        <v>307</v>
      </c>
      <c r="AA936" s="33" t="s">
        <v>414</v>
      </c>
      <c r="AB936" s="95"/>
      <c r="AC936" s="95"/>
    </row>
    <row r="937" spans="1:29" ht="14.45" hidden="1" customHeight="1" x14ac:dyDescent="0.25">
      <c r="A937" s="36" t="str">
        <f>INDEX('Base de données Mono'!C:C,MATCH(B937,'Base de données Mono'!D:D,0))</f>
        <v>CHAVILLE</v>
      </c>
      <c r="B937" t="s">
        <v>12</v>
      </c>
      <c r="C937" s="36" t="str">
        <f>INDEX('Base de données Mono'!B:B,MATCH(B937,'Base de données Mono'!D:D,0))</f>
        <v>SES8</v>
      </c>
      <c r="D937" s="36" t="str">
        <f>INDEX('Base de données Mono'!A:A,MATCH(B937,'Base de données Mono'!D:D,0))</f>
        <v>AD</v>
      </c>
      <c r="E937" s="37" t="s">
        <v>303</v>
      </c>
      <c r="F937" s="41">
        <f t="shared" si="121"/>
        <v>15</v>
      </c>
      <c r="G937" s="41">
        <f t="shared" si="122"/>
        <v>4</v>
      </c>
      <c r="H937">
        <v>8.5</v>
      </c>
      <c r="I937" s="131">
        <f>INDEX('Base de données Mono'!K:K,MATCH(B937,'Base de données Mono'!D:D,0))</f>
        <v>0.25</v>
      </c>
      <c r="J937" s="131">
        <f>INDEX('Base de données Mono'!L:L,MATCH(B937,'Base de données Mono'!D:D,0))</f>
        <v>0.89583333333333337</v>
      </c>
      <c r="K937" s="131">
        <f>INDEX('Base de données Mono'!M:M,MATCH(B937,'Base de données Mono'!D:D,0))</f>
        <v>0.29166666666666702</v>
      </c>
      <c r="L937" s="131">
        <f>INDEX('Base de données Mono'!N:N,MATCH(B937,'Base de données Mono'!D:D,0))</f>
        <v>0.80208333333333337</v>
      </c>
      <c r="M937" s="33" t="s">
        <v>46</v>
      </c>
      <c r="N937" s="33">
        <f>IF(AND(E937="Electricité",M937="Hiver"),INDEX('Base de données Mono'!E:E,MATCH(B937,'Base de données Mono'!D:D,0)),IF(AND(E937="Electricité",M937="Mi-saison"),INDEX('Base de données Mono'!F:F,MATCH(B937,'Base de données Mono'!D:D,0)),IF(AND(E937="Electricité",M937="Eté"),INDEX('Base de données Mono'!G:G,MATCH(B937,'Base de données Mono'!D:D,0)),IF(AND(E937="Gaz",M937="Hiver"),INDEX('Base de données Mono'!J:J,MATCH(B937,'Base de données Mono'!D:D,0)),IF(AND(E937="Gaz",M937="Mi-saison"),INDEX('Base de données Mono'!#REF!,MATCH(B937,'Base de données Mono'!D:D,0)),IF(AND(E937="Gaz",M937="Eté"),INDEX('Base de données Mono'!#REF!,MATCH(B937,'Base de données Mono'!D:D,0)),"-"))))))</f>
        <v>80</v>
      </c>
      <c r="O937" s="123">
        <v>45395</v>
      </c>
      <c r="P937" s="123">
        <v>45396</v>
      </c>
      <c r="Q937" s="34">
        <v>90</v>
      </c>
      <c r="R937" s="33">
        <f t="shared" si="119"/>
        <v>10</v>
      </c>
      <c r="S937" s="34">
        <v>9.5</v>
      </c>
      <c r="T937" s="34">
        <f t="shared" si="120"/>
        <v>1</v>
      </c>
      <c r="U937" s="33">
        <f t="shared" si="123"/>
        <v>95</v>
      </c>
      <c r="V937" s="38" t="s">
        <v>827</v>
      </c>
      <c r="W937" s="39">
        <f t="shared" si="124"/>
        <v>0.125</v>
      </c>
      <c r="X937" s="40" t="s">
        <v>304</v>
      </c>
      <c r="Y937" s="40" t="s">
        <v>284</v>
      </c>
      <c r="Z937" s="40" t="s">
        <v>305</v>
      </c>
      <c r="AA937" s="33" t="s">
        <v>771</v>
      </c>
      <c r="AB937" s="95"/>
      <c r="AC937" s="95"/>
    </row>
    <row r="938" spans="1:29" ht="14.45" hidden="1" customHeight="1" x14ac:dyDescent="0.25">
      <c r="A938" s="36" t="str">
        <f>INDEX('Base de données Mono'!C:C,MATCH(B938,'Base de données Mono'!D:D,0))</f>
        <v>VANNES</v>
      </c>
      <c r="B938" t="s">
        <v>260</v>
      </c>
      <c r="C938" s="36" t="str">
        <f>INDEX('Base de données Mono'!B:B,MATCH(B938,'Base de données Mono'!D:D,0))</f>
        <v>SES8</v>
      </c>
      <c r="D938" s="36" t="str">
        <f>INDEX('Base de données Mono'!A:A,MATCH(B938,'Base de données Mono'!D:D,0))</f>
        <v>AD</v>
      </c>
      <c r="E938" s="37" t="s">
        <v>303</v>
      </c>
      <c r="F938" s="41">
        <f t="shared" si="121"/>
        <v>15</v>
      </c>
      <c r="G938" s="41">
        <f t="shared" si="122"/>
        <v>4</v>
      </c>
      <c r="H938">
        <v>9.83</v>
      </c>
      <c r="I938" s="131">
        <f>INDEX('Base de données Mono'!K:K,MATCH(B938,'Base de données Mono'!D:D,0))</f>
        <v>0.24305555555555555</v>
      </c>
      <c r="J938" s="131">
        <f>INDEX('Base de données Mono'!L:L,MATCH(B938,'Base de données Mono'!D:D,0))</f>
        <v>0.83333333333333337</v>
      </c>
      <c r="K938" s="131">
        <f>INDEX('Base de données Mono'!M:M,MATCH(B938,'Base de données Mono'!D:D,0))</f>
        <v>0.34722222222222227</v>
      </c>
      <c r="L938" s="131">
        <f>INDEX('Base de données Mono'!N:N,MATCH(B938,'Base de données Mono'!D:D,0))</f>
        <v>0.57986111111111105</v>
      </c>
      <c r="M938" s="33" t="s">
        <v>46</v>
      </c>
      <c r="N938" s="33">
        <f>IF(AND(E938="Electricité",M938="Hiver"),INDEX('Base de données Mono'!E:E,MATCH(B938,'Base de données Mono'!D:D,0)),IF(AND(E938="Electricité",M938="Mi-saison"),INDEX('Base de données Mono'!F:F,MATCH(B938,'Base de données Mono'!D:D,0)),IF(AND(E938="Electricité",M938="Eté"),INDEX('Base de données Mono'!G:G,MATCH(B938,'Base de données Mono'!D:D,0)),IF(AND(E938="Gaz",M938="Hiver"),INDEX('Base de données Mono'!J:J,MATCH(B938,'Base de données Mono'!D:D,0)),IF(AND(E938="Gaz",M938="Mi-saison"),INDEX('Base de données Mono'!#REF!,MATCH(B938,'Base de données Mono'!D:D,0)),IF(AND(E938="Gaz",M938="Eté"),INDEX('Base de données Mono'!#REF!,MATCH(B938,'Base de données Mono'!D:D,0)),"-"))))))</f>
        <v>45</v>
      </c>
      <c r="O938" s="123">
        <v>45389</v>
      </c>
      <c r="P938" s="123">
        <v>45392</v>
      </c>
      <c r="Q938" s="34">
        <v>55</v>
      </c>
      <c r="R938" s="33">
        <f t="shared" si="119"/>
        <v>10</v>
      </c>
      <c r="S938" s="34">
        <v>1.8</v>
      </c>
      <c r="T938" s="34">
        <f t="shared" si="120"/>
        <v>3</v>
      </c>
      <c r="U938" s="33">
        <f t="shared" si="123"/>
        <v>54</v>
      </c>
      <c r="V938" s="38" t="s">
        <v>827</v>
      </c>
      <c r="W938" s="39">
        <f t="shared" si="124"/>
        <v>0.22222222222222221</v>
      </c>
      <c r="X938" s="40" t="s">
        <v>304</v>
      </c>
      <c r="Y938" s="40" t="s">
        <v>284</v>
      </c>
      <c r="Z938" s="40" t="s">
        <v>305</v>
      </c>
      <c r="AA938" s="33" t="s">
        <v>771</v>
      </c>
      <c r="AB938" s="95"/>
      <c r="AC938" s="95"/>
    </row>
    <row r="939" spans="1:29" ht="14.45" hidden="1" customHeight="1" x14ac:dyDescent="0.25">
      <c r="A939" s="36" t="str">
        <f>INDEX('Base de données Mono'!C:C,MATCH(B939,'Base de données Mono'!D:D,0))</f>
        <v>VANNES</v>
      </c>
      <c r="B939" t="s">
        <v>260</v>
      </c>
      <c r="C939" s="36" t="str">
        <f>INDEX('Base de données Mono'!B:B,MATCH(B939,'Base de données Mono'!D:D,0))</f>
        <v>SES8</v>
      </c>
      <c r="D939" s="36" t="str">
        <f>INDEX('Base de données Mono'!A:A,MATCH(B939,'Base de données Mono'!D:D,0))</f>
        <v>AD</v>
      </c>
      <c r="E939" s="37" t="s">
        <v>303</v>
      </c>
      <c r="F939" s="41">
        <f>IF(O939="","-",IF(AND(X939="Nuit",WEEKDAY(O939,2)=7,O939&lt;&gt;P939),WEEKNUM(O939,2),WEEKNUM(O939,2)-1))+1</f>
        <v>15</v>
      </c>
      <c r="G939" s="41">
        <f>IF(O939="","-",MONTH(O939))</f>
        <v>4</v>
      </c>
      <c r="H939">
        <v>9.83</v>
      </c>
      <c r="I939" s="131">
        <f>INDEX('Base de données Mono'!K:K,MATCH(B939,'Base de données Mono'!D:D,0))</f>
        <v>0.24305555555555555</v>
      </c>
      <c r="J939" s="131">
        <f>INDEX('Base de données Mono'!L:L,MATCH(B939,'Base de données Mono'!D:D,0))</f>
        <v>0.83333333333333337</v>
      </c>
      <c r="K939" s="131">
        <f>INDEX('Base de données Mono'!M:M,MATCH(B939,'Base de données Mono'!D:D,0))</f>
        <v>0.34722222222222227</v>
      </c>
      <c r="L939" s="131">
        <f>INDEX('Base de données Mono'!N:N,MATCH(B939,'Base de données Mono'!D:D,0))</f>
        <v>0.57986111111111105</v>
      </c>
      <c r="M939" s="33" t="s">
        <v>46</v>
      </c>
      <c r="N939" s="33">
        <f>IF(AND(E939="Electricité",M939="Hiver"),INDEX('Base de données Mono'!E:E,MATCH(B939,'Base de données Mono'!D:D,0)),IF(AND(E939="Electricité",M939="Mi-saison"),INDEX('Base de données Mono'!F:F,MATCH(B939,'Base de données Mono'!D:D,0)),IF(AND(E939="Electricité",M939="Eté"),INDEX('Base de données Mono'!G:G,MATCH(B939,'Base de données Mono'!D:D,0)),IF(AND(E939="Gaz",M939="Hiver"),INDEX('Base de données Mono'!J:J,MATCH(B939,'Base de données Mono'!D:D,0)),IF(AND(E939="Gaz",M939="Mi-saison"),INDEX('Base de données Mono'!#REF!,MATCH(B939,'Base de données Mono'!D:D,0)),IF(AND(E939="Gaz",M939="Eté"),INDEX('Base de données Mono'!#REF!,MATCH(B939,'Base de données Mono'!D:D,0)),"-"))))))</f>
        <v>45</v>
      </c>
      <c r="O939" s="123">
        <v>45392</v>
      </c>
      <c r="P939" s="123">
        <v>45395</v>
      </c>
      <c r="Q939" s="34">
        <v>55</v>
      </c>
      <c r="R939" s="33">
        <f>IF(Q939="","",Q939-N939)</f>
        <v>10</v>
      </c>
      <c r="S939" s="34">
        <v>1.5</v>
      </c>
      <c r="T939" s="34">
        <f t="shared" si="120"/>
        <v>3</v>
      </c>
      <c r="U939" s="33">
        <f>R939*S939*T939</f>
        <v>45</v>
      </c>
      <c r="V939" s="38" t="s">
        <v>827</v>
      </c>
      <c r="W939" s="39">
        <f>IFERROR(IF(E939="Gaz","-",R939/N939),"-")</f>
        <v>0.22222222222222221</v>
      </c>
      <c r="X939" s="40" t="s">
        <v>304</v>
      </c>
      <c r="Y939" s="40" t="s">
        <v>284</v>
      </c>
      <c r="Z939" s="40" t="s">
        <v>305</v>
      </c>
      <c r="AA939" s="33" t="s">
        <v>771</v>
      </c>
      <c r="AB939" s="95"/>
      <c r="AC939" s="95"/>
    </row>
    <row r="940" spans="1:29" ht="14.45" hidden="1" customHeight="1" x14ac:dyDescent="0.25">
      <c r="A940" s="36" t="str">
        <f>INDEX('Base de données Mono'!C:C,MATCH(B940,'Base de données Mono'!D:D,0))</f>
        <v>VANNES</v>
      </c>
      <c r="B940" t="s">
        <v>260</v>
      </c>
      <c r="C940" s="36" t="str">
        <f>INDEX('Base de données Mono'!B:B,MATCH(B940,'Base de données Mono'!D:D,0))</f>
        <v>SES8</v>
      </c>
      <c r="D940" s="36" t="str">
        <f>INDEX('Base de données Mono'!A:A,MATCH(B940,'Base de données Mono'!D:D,0))</f>
        <v>AD</v>
      </c>
      <c r="E940" s="37" t="s">
        <v>303</v>
      </c>
      <c r="F940" s="41">
        <f t="shared" si="121"/>
        <v>15</v>
      </c>
      <c r="G940" s="41">
        <f t="shared" si="122"/>
        <v>4</v>
      </c>
      <c r="H940">
        <v>9.83</v>
      </c>
      <c r="I940" s="131">
        <f>INDEX('Base de données Mono'!K:K,MATCH(B940,'Base de données Mono'!D:D,0))</f>
        <v>0.24305555555555555</v>
      </c>
      <c r="J940" s="131">
        <f>INDEX('Base de données Mono'!L:L,MATCH(B940,'Base de données Mono'!D:D,0))</f>
        <v>0.83333333333333337</v>
      </c>
      <c r="K940" s="131">
        <f>INDEX('Base de données Mono'!M:M,MATCH(B940,'Base de données Mono'!D:D,0))</f>
        <v>0.34722222222222227</v>
      </c>
      <c r="L940" s="131">
        <f>INDEX('Base de données Mono'!N:N,MATCH(B940,'Base de données Mono'!D:D,0))</f>
        <v>0.57986111111111105</v>
      </c>
      <c r="M940" s="33" t="s">
        <v>46</v>
      </c>
      <c r="N940" s="33">
        <f>IF(AND(E940="Electricité",M940="Hiver"),INDEX('Base de données Mono'!E:E,MATCH(B940,'Base de données Mono'!D:D,0)),IF(AND(E940="Electricité",M940="Mi-saison"),INDEX('Base de données Mono'!F:F,MATCH(B940,'Base de données Mono'!D:D,0)),IF(AND(E940="Electricité",M940="Eté"),INDEX('Base de données Mono'!G:G,MATCH(B940,'Base de données Mono'!D:D,0)),IF(AND(E940="Gaz",M940="Hiver"),INDEX('Base de données Mono'!J:J,MATCH(B940,'Base de données Mono'!D:D,0)),IF(AND(E940="Gaz",M940="Mi-saison"),INDEX('Base de données Mono'!#REF!,MATCH(B940,'Base de données Mono'!D:D,0)),IF(AND(E940="Gaz",M940="Eté"),INDEX('Base de données Mono'!#REF!,MATCH(B940,'Base de données Mono'!D:D,0)),"-"))))))</f>
        <v>45</v>
      </c>
      <c r="O940" s="123">
        <v>45392</v>
      </c>
      <c r="P940" s="123">
        <v>45395</v>
      </c>
      <c r="Q940" s="34">
        <v>75</v>
      </c>
      <c r="R940" s="33">
        <f t="shared" si="119"/>
        <v>30</v>
      </c>
      <c r="S940" s="34">
        <v>0.3</v>
      </c>
      <c r="T940" s="34">
        <f t="shared" si="120"/>
        <v>3</v>
      </c>
      <c r="U940" s="33">
        <f t="shared" si="123"/>
        <v>27</v>
      </c>
      <c r="V940" s="38" t="s">
        <v>827</v>
      </c>
      <c r="W940" s="39">
        <f t="shared" si="124"/>
        <v>0.66666666666666663</v>
      </c>
      <c r="X940" s="40" t="s">
        <v>304</v>
      </c>
      <c r="Y940" s="40" t="s">
        <v>284</v>
      </c>
      <c r="Z940" s="40" t="s">
        <v>307</v>
      </c>
      <c r="AA940" s="33" t="s">
        <v>414</v>
      </c>
      <c r="AB940" s="95"/>
      <c r="AC940" s="95"/>
    </row>
    <row r="941" spans="1:29" ht="14.45" hidden="1" customHeight="1" x14ac:dyDescent="0.25">
      <c r="A941" s="36" t="str">
        <f>INDEX('Base de données Mono'!C:C,MATCH(B941,'Base de données Mono'!D:D,0))</f>
        <v>ASNIERES MARCHE</v>
      </c>
      <c r="B941" t="s">
        <v>5</v>
      </c>
      <c r="C941" s="36" t="str">
        <f>INDEX('Base de données Mono'!B:B,MATCH(B941,'Base de données Mono'!D:D,0))</f>
        <v>SES8</v>
      </c>
      <c r="D941" s="36" t="str">
        <f>INDEX('Base de données Mono'!A:A,MATCH(B941,'Base de données Mono'!D:D,0))</f>
        <v>AD</v>
      </c>
      <c r="E941" s="37" t="s">
        <v>303</v>
      </c>
      <c r="F941" s="41">
        <f t="shared" si="121"/>
        <v>15</v>
      </c>
      <c r="G941" s="41">
        <f t="shared" si="122"/>
        <v>4</v>
      </c>
      <c r="H941">
        <v>9</v>
      </c>
      <c r="I941" s="131">
        <f>INDEX('Base de données Mono'!K:K,MATCH(B941,'Base de données Mono'!D:D,0))</f>
        <v>0.20833333333333334</v>
      </c>
      <c r="J941" s="131">
        <f>INDEX('Base de données Mono'!L:L,MATCH(B941,'Base de données Mono'!D:D,0))</f>
        <v>0.83333333333333337</v>
      </c>
      <c r="K941" s="131">
        <f>INDEX('Base de données Mono'!M:M,MATCH(B941,'Base de données Mono'!D:D,0))</f>
        <v>0.25</v>
      </c>
      <c r="L941" s="131">
        <f>INDEX('Base de données Mono'!N:N,MATCH(B941,'Base de données Mono'!D:D,0))</f>
        <v>0.79166666666666663</v>
      </c>
      <c r="M941" s="33" t="s">
        <v>46</v>
      </c>
      <c r="N941" s="33">
        <f>IF(AND(E941="Electricité",M941="Hiver"),INDEX('Base de données Mono'!E:E,MATCH(B941,'Base de données Mono'!D:D,0)),IF(AND(E941="Electricité",M941="Mi-saison"),INDEX('Base de données Mono'!F:F,MATCH(B941,'Base de données Mono'!D:D,0)),IF(AND(E941="Electricité",M941="Eté"),INDEX('Base de données Mono'!G:G,MATCH(B941,'Base de données Mono'!D:D,0)),IF(AND(E941="Gaz",M941="Hiver"),INDEX('Base de données Mono'!J:J,MATCH(B941,'Base de données Mono'!D:D,0)),IF(AND(E941="Gaz",M941="Mi-saison"),INDEX('Base de données Mono'!#REF!,MATCH(B941,'Base de données Mono'!D:D,0)),IF(AND(E941="Gaz",M941="Eté"),INDEX('Base de données Mono'!#REF!,MATCH(B941,'Base de données Mono'!D:D,0)),"-"))))))</f>
        <v>45</v>
      </c>
      <c r="O941" s="123">
        <v>45390</v>
      </c>
      <c r="P941" s="123">
        <v>45396</v>
      </c>
      <c r="Q941" s="34">
        <v>85</v>
      </c>
      <c r="R941" s="33">
        <f t="shared" ref="R941:R964" si="125">IF(Q941="","",Q941-N941)</f>
        <v>40</v>
      </c>
      <c r="S941" s="34">
        <v>0.8</v>
      </c>
      <c r="T941" s="34">
        <f t="shared" si="120"/>
        <v>6</v>
      </c>
      <c r="U941" s="33">
        <f t="shared" si="123"/>
        <v>192</v>
      </c>
      <c r="V941" s="38" t="s">
        <v>827</v>
      </c>
      <c r="W941" s="39">
        <f t="shared" si="124"/>
        <v>0.88888888888888884</v>
      </c>
      <c r="X941" s="40" t="s">
        <v>304</v>
      </c>
      <c r="Y941" s="40" t="s">
        <v>284</v>
      </c>
      <c r="Z941" s="40" t="s">
        <v>307</v>
      </c>
      <c r="AA941" s="33" t="s">
        <v>313</v>
      </c>
      <c r="AB941" s="95"/>
      <c r="AC941" s="95"/>
    </row>
    <row r="942" spans="1:29" ht="14.45" hidden="1" customHeight="1" x14ac:dyDescent="0.25">
      <c r="A942" s="36" t="str">
        <f>INDEX('Base de données Mono'!C:C,MATCH(B942,'Base de données Mono'!D:D,0))</f>
        <v>ASNIERES MARCHE</v>
      </c>
      <c r="B942" t="s">
        <v>5</v>
      </c>
      <c r="C942" s="36" t="str">
        <f>INDEX('Base de données Mono'!B:B,MATCH(B942,'Base de données Mono'!D:D,0))</f>
        <v>SES8</v>
      </c>
      <c r="D942" s="36" t="str">
        <f>INDEX('Base de données Mono'!A:A,MATCH(B942,'Base de données Mono'!D:D,0))</f>
        <v>AD</v>
      </c>
      <c r="E942" s="37" t="s">
        <v>303</v>
      </c>
      <c r="F942" s="41">
        <f t="shared" si="121"/>
        <v>15</v>
      </c>
      <c r="G942" s="41">
        <f t="shared" si="122"/>
        <v>4</v>
      </c>
      <c r="H942">
        <v>9</v>
      </c>
      <c r="I942" s="131">
        <f>INDEX('Base de données Mono'!K:K,MATCH(B942,'Base de données Mono'!D:D,0))</f>
        <v>0.20833333333333334</v>
      </c>
      <c r="J942" s="131">
        <f>INDEX('Base de données Mono'!L:L,MATCH(B942,'Base de données Mono'!D:D,0))</f>
        <v>0.83333333333333337</v>
      </c>
      <c r="K942" s="131">
        <f>INDEX('Base de données Mono'!M:M,MATCH(B942,'Base de données Mono'!D:D,0))</f>
        <v>0.25</v>
      </c>
      <c r="L942" s="131">
        <f>INDEX('Base de données Mono'!N:N,MATCH(B942,'Base de données Mono'!D:D,0))</f>
        <v>0.79166666666666663</v>
      </c>
      <c r="M942" s="33" t="s">
        <v>46</v>
      </c>
      <c r="N942" s="33">
        <f>IF(AND(E942="Electricité",M942="Hiver"),INDEX('Base de données Mono'!E:E,MATCH(B942,'Base de données Mono'!D:D,0)),IF(AND(E942="Electricité",M942="Mi-saison"),INDEX('Base de données Mono'!F:F,MATCH(B942,'Base de données Mono'!D:D,0)),IF(AND(E942="Electricité",M942="Eté"),INDEX('Base de données Mono'!G:G,MATCH(B942,'Base de données Mono'!D:D,0)),IF(AND(E942="Gaz",M942="Hiver"),INDEX('Base de données Mono'!J:J,MATCH(B942,'Base de données Mono'!D:D,0)),IF(AND(E942="Gaz",M942="Mi-saison"),INDEX('Base de données Mono'!#REF!,MATCH(B942,'Base de données Mono'!D:D,0)),IF(AND(E942="Gaz",M942="Eté"),INDEX('Base de données Mono'!#REF!,MATCH(B942,'Base de données Mono'!D:D,0)),"-"))))))</f>
        <v>45</v>
      </c>
      <c r="O942" s="123">
        <v>45394</v>
      </c>
      <c r="P942" s="123">
        <v>45396</v>
      </c>
      <c r="Q942" s="34">
        <v>50</v>
      </c>
      <c r="R942" s="33">
        <f t="shared" si="125"/>
        <v>5</v>
      </c>
      <c r="S942" s="34">
        <v>8.1999999999999993</v>
      </c>
      <c r="T942" s="34">
        <f t="shared" si="120"/>
        <v>2</v>
      </c>
      <c r="U942" s="33">
        <f t="shared" si="123"/>
        <v>82</v>
      </c>
      <c r="V942" s="38" t="s">
        <v>827</v>
      </c>
      <c r="W942" s="39">
        <f t="shared" si="124"/>
        <v>0.1111111111111111</v>
      </c>
      <c r="X942" s="40" t="s">
        <v>304</v>
      </c>
      <c r="Y942" s="40" t="s">
        <v>283</v>
      </c>
      <c r="Z942" s="40" t="s">
        <v>749</v>
      </c>
      <c r="AA942" s="33" t="s">
        <v>749</v>
      </c>
      <c r="AB942" s="95"/>
      <c r="AC942" s="95"/>
    </row>
    <row r="943" spans="1:29" ht="14.45" hidden="1" customHeight="1" x14ac:dyDescent="0.25">
      <c r="A943" s="36" t="str">
        <f>INDEX('Base de données Mono'!C:C,MATCH(B943,'Base de données Mono'!D:D,0))</f>
        <v>VINCI COURBEVOIE</v>
      </c>
      <c r="B943" t="s">
        <v>279</v>
      </c>
      <c r="C943" s="36" t="str">
        <f>INDEX('Base de données Mono'!B:B,MATCH(B943,'Base de données Mono'!D:D,0))</f>
        <v>SES8</v>
      </c>
      <c r="D943" s="36" t="str">
        <f>INDEX('Base de données Mono'!A:A,MATCH(B943,'Base de données Mono'!D:D,0))</f>
        <v>AD</v>
      </c>
      <c r="E943" s="37" t="s">
        <v>303</v>
      </c>
      <c r="F943" s="41">
        <f t="shared" si="121"/>
        <v>15</v>
      </c>
      <c r="G943" s="41">
        <f t="shared" si="122"/>
        <v>4</v>
      </c>
      <c r="H943">
        <v>8</v>
      </c>
      <c r="I943" s="131">
        <f>INDEX('Base de données Mono'!K:K,MATCH(B943,'Base de données Mono'!D:D,0))</f>
        <v>0.25</v>
      </c>
      <c r="J943" s="131">
        <f>INDEX('Base de données Mono'!L:L,MATCH(B943,'Base de données Mono'!D:D,0))</f>
        <v>0.91666666666666663</v>
      </c>
      <c r="K943" s="131">
        <f>INDEX('Base de données Mono'!M:M,MATCH(B943,'Base de données Mono'!D:D,0))</f>
        <v>0.27777777777777779</v>
      </c>
      <c r="L943" s="131">
        <f>INDEX('Base de données Mono'!N:N,MATCH(B943,'Base de données Mono'!D:D,0))</f>
        <v>0.5625</v>
      </c>
      <c r="M943" s="33" t="s">
        <v>46</v>
      </c>
      <c r="N943" s="33">
        <f>IF(AND(E943="Electricité",M943="Hiver"),INDEX('Base de données Mono'!E:E,MATCH(B943,'Base de données Mono'!D:D,0)),IF(AND(E943="Electricité",M943="Mi-saison"),INDEX('Base de données Mono'!F:F,MATCH(B943,'Base de données Mono'!D:D,0)),IF(AND(E943="Electricité",M943="Eté"),INDEX('Base de données Mono'!G:G,MATCH(B943,'Base de données Mono'!D:D,0)),IF(AND(E943="Gaz",M943="Hiver"),INDEX('Base de données Mono'!J:J,MATCH(B943,'Base de données Mono'!D:D,0)),IF(AND(E943="Gaz",M943="Mi-saison"),INDEX('Base de données Mono'!#REF!,MATCH(B943,'Base de données Mono'!D:D,0)),IF(AND(E943="Gaz",M943="Eté"),INDEX('Base de données Mono'!#REF!,MATCH(B943,'Base de données Mono'!D:D,0)),"-"))))))</f>
        <v>75</v>
      </c>
      <c r="O943" s="123">
        <v>45389</v>
      </c>
      <c r="P943" s="123">
        <v>45395</v>
      </c>
      <c r="Q943" s="34">
        <v>90</v>
      </c>
      <c r="R943" s="33">
        <f t="shared" si="125"/>
        <v>15</v>
      </c>
      <c r="S943" s="34">
        <v>2.5</v>
      </c>
      <c r="T943" s="34">
        <f t="shared" si="120"/>
        <v>6</v>
      </c>
      <c r="U943" s="33">
        <f t="shared" si="123"/>
        <v>225</v>
      </c>
      <c r="V943" s="38" t="s">
        <v>827</v>
      </c>
      <c r="W943" s="39">
        <f t="shared" si="124"/>
        <v>0.2</v>
      </c>
      <c r="X943" s="40" t="s">
        <v>304</v>
      </c>
      <c r="Y943" s="40" t="s">
        <v>284</v>
      </c>
      <c r="Z943" s="40" t="s">
        <v>305</v>
      </c>
      <c r="AA943" s="33" t="s">
        <v>771</v>
      </c>
      <c r="AB943" s="95"/>
      <c r="AC943" s="95"/>
    </row>
    <row r="944" spans="1:29" ht="14.45" hidden="1" customHeight="1" x14ac:dyDescent="0.25">
      <c r="A944" s="36" t="str">
        <f>INDEX('Base de données Mono'!C:C,MATCH(B944,'Base de données Mono'!D:D,0))</f>
        <v>VINCI COURBEVOIE</v>
      </c>
      <c r="B944" t="s">
        <v>279</v>
      </c>
      <c r="C944" s="36" t="str">
        <f>INDEX('Base de données Mono'!B:B,MATCH(B944,'Base de données Mono'!D:D,0))</f>
        <v>SES8</v>
      </c>
      <c r="D944" s="36" t="str">
        <f>INDEX('Base de données Mono'!A:A,MATCH(B944,'Base de données Mono'!D:D,0))</f>
        <v>AD</v>
      </c>
      <c r="E944" s="37" t="s">
        <v>303</v>
      </c>
      <c r="F944" s="41">
        <f t="shared" si="121"/>
        <v>15</v>
      </c>
      <c r="G944" s="41">
        <f t="shared" si="122"/>
        <v>4</v>
      </c>
      <c r="H944">
        <v>8</v>
      </c>
      <c r="I944" s="131">
        <f>INDEX('Base de données Mono'!K:K,MATCH(B944,'Base de données Mono'!D:D,0))</f>
        <v>0.25</v>
      </c>
      <c r="J944" s="131">
        <f>INDEX('Base de données Mono'!L:L,MATCH(B944,'Base de données Mono'!D:D,0))</f>
        <v>0.91666666666666663</v>
      </c>
      <c r="K944" s="131">
        <f>INDEX('Base de données Mono'!M:M,MATCH(B944,'Base de données Mono'!D:D,0))</f>
        <v>0.27777777777777779</v>
      </c>
      <c r="L944" s="131">
        <f>INDEX('Base de données Mono'!N:N,MATCH(B944,'Base de données Mono'!D:D,0))</f>
        <v>0.5625</v>
      </c>
      <c r="M944" s="33" t="s">
        <v>46</v>
      </c>
      <c r="N944" s="33">
        <f>IF(AND(E944="Electricité",M944="Hiver"),INDEX('Base de données Mono'!E:E,MATCH(B944,'Base de données Mono'!D:D,0)),IF(AND(E944="Electricité",M944="Mi-saison"),INDEX('Base de données Mono'!F:F,MATCH(B944,'Base de données Mono'!D:D,0)),IF(AND(E944="Electricité",M944="Eté"),INDEX('Base de données Mono'!G:G,MATCH(B944,'Base de données Mono'!D:D,0)),IF(AND(E944="Gaz",M944="Hiver"),INDEX('Base de données Mono'!J:J,MATCH(B944,'Base de données Mono'!D:D,0)),IF(AND(E944="Gaz",M944="Mi-saison"),INDEX('Base de données Mono'!#REF!,MATCH(B944,'Base de données Mono'!D:D,0)),IF(AND(E944="Gaz",M944="Eté"),INDEX('Base de données Mono'!#REF!,MATCH(B944,'Base de données Mono'!D:D,0)),"-"))))))</f>
        <v>75</v>
      </c>
      <c r="O944" s="123">
        <v>45395</v>
      </c>
      <c r="P944" s="123">
        <v>45396</v>
      </c>
      <c r="Q944" s="34">
        <v>85</v>
      </c>
      <c r="R944" s="33">
        <f t="shared" si="125"/>
        <v>10</v>
      </c>
      <c r="S944" s="34">
        <v>2</v>
      </c>
      <c r="T944" s="34">
        <f t="shared" si="120"/>
        <v>1</v>
      </c>
      <c r="U944" s="33">
        <f t="shared" si="123"/>
        <v>20</v>
      </c>
      <c r="V944" s="38" t="s">
        <v>827</v>
      </c>
      <c r="W944" s="39">
        <f t="shared" si="124"/>
        <v>0.13333333333333333</v>
      </c>
      <c r="X944" s="40" t="s">
        <v>304</v>
      </c>
      <c r="Y944" s="40" t="s">
        <v>284</v>
      </c>
      <c r="Z944" s="40" t="s">
        <v>305</v>
      </c>
      <c r="AA944" s="33" t="s">
        <v>771</v>
      </c>
      <c r="AB944" s="95"/>
      <c r="AC944" s="95"/>
    </row>
    <row r="945" spans="1:29" ht="14.45" hidden="1" customHeight="1" x14ac:dyDescent="0.25">
      <c r="A945" s="36" t="str">
        <f>INDEX('Base de données Mono'!C:C,MATCH(B945,'Base de données Mono'!D:D,0))</f>
        <v>RENNES COLOMBIA</v>
      </c>
      <c r="B945" t="s">
        <v>30</v>
      </c>
      <c r="C945" s="36" t="str">
        <f>INDEX('Base de données Mono'!B:B,MATCH(B945,'Base de données Mono'!D:D,0))</f>
        <v>SES8</v>
      </c>
      <c r="D945" s="36" t="str">
        <f>INDEX('Base de données Mono'!A:A,MATCH(B945,'Base de données Mono'!D:D,0))</f>
        <v>AD</v>
      </c>
      <c r="E945" s="37" t="s">
        <v>303</v>
      </c>
      <c r="F945" s="41">
        <f t="shared" ref="F945:F973" si="126">IF(O945="","-",IF(AND(X945="Nuit",WEEKDAY(O945,2)=7,O945&lt;&gt;P945),WEEKNUM(O945,2),WEEKNUM(O945,2)-1))+1</f>
        <v>15</v>
      </c>
      <c r="G945" s="41">
        <f t="shared" ref="G945:G973" si="127">IF(O945="","-",MONTH(O945))</f>
        <v>4</v>
      </c>
      <c r="H945">
        <v>8.75</v>
      </c>
      <c r="I945" s="131">
        <f>INDEX('Base de données Mono'!K:K,MATCH(B945,'Base de données Mono'!D:D,0))</f>
        <v>0.22916666666666666</v>
      </c>
      <c r="J945" s="131">
        <f>INDEX('Base de données Mono'!L:L,MATCH(B945,'Base de données Mono'!D:D,0))</f>
        <v>0.86458333333333337</v>
      </c>
      <c r="K945" s="131" t="str">
        <f>INDEX('Base de données Mono'!M:M,MATCH(B945,'Base de données Mono'!D:D,0))</f>
        <v>-</v>
      </c>
      <c r="L945" s="131" t="str">
        <f>INDEX('Base de données Mono'!N:N,MATCH(B945,'Base de données Mono'!D:D,0))</f>
        <v>-</v>
      </c>
      <c r="M945" s="33" t="s">
        <v>46</v>
      </c>
      <c r="N945" s="33">
        <f>IF(AND(E945="Electricité",M945="Hiver"),INDEX('Base de données Mono'!E:E,MATCH(B945,'Base de données Mono'!D:D,0)),IF(AND(E945="Electricité",M945="Mi-saison"),INDEX('Base de données Mono'!F:F,MATCH(B945,'Base de données Mono'!D:D,0)),IF(AND(E945="Electricité",M945="Eté"),INDEX('Base de données Mono'!G:G,MATCH(B945,'Base de données Mono'!D:D,0)),IF(AND(E945="Gaz",M945="Hiver"),INDEX('Base de données Mono'!J:J,MATCH(B945,'Base de données Mono'!D:D,0)),IF(AND(E945="Gaz",M945="Mi-saison"),INDEX('Base de données Mono'!#REF!,MATCH(B945,'Base de données Mono'!D:D,0)),IF(AND(E945="Gaz",M945="Eté"),INDEX('Base de données Mono'!#REF!,MATCH(B945,'Base de données Mono'!D:D,0)),"-"))))))</f>
        <v>60</v>
      </c>
      <c r="O945" s="123">
        <v>45389</v>
      </c>
      <c r="P945" s="123">
        <v>45392</v>
      </c>
      <c r="Q945" s="34">
        <v>70</v>
      </c>
      <c r="R945" s="33">
        <f t="shared" si="125"/>
        <v>10</v>
      </c>
      <c r="S945" s="34">
        <v>8</v>
      </c>
      <c r="T945" s="34">
        <f t="shared" si="120"/>
        <v>3</v>
      </c>
      <c r="U945" s="33">
        <f t="shared" ref="U945:U973" si="128">R945*S945*T945</f>
        <v>240</v>
      </c>
      <c r="V945" s="38" t="s">
        <v>827</v>
      </c>
      <c r="W945" s="39">
        <f t="shared" ref="W945:W973" si="129">IFERROR(IF(E945="Gaz","-",R945/N945),"-")</f>
        <v>0.16666666666666666</v>
      </c>
      <c r="X945" s="40" t="s">
        <v>304</v>
      </c>
      <c r="Y945" s="40" t="s">
        <v>284</v>
      </c>
      <c r="Z945" s="40" t="s">
        <v>305</v>
      </c>
      <c r="AA945" s="33" t="s">
        <v>771</v>
      </c>
      <c r="AB945" s="95"/>
      <c r="AC945" s="95"/>
    </row>
    <row r="946" spans="1:29" ht="14.45" hidden="1" customHeight="1" x14ac:dyDescent="0.25">
      <c r="A946" s="36" t="str">
        <f>INDEX('Base de données Mono'!C:C,MATCH(B946,'Base de données Mono'!D:D,0))</f>
        <v>RENNES COLOMBIA</v>
      </c>
      <c r="B946" t="s">
        <v>30</v>
      </c>
      <c r="C946" s="36" t="str">
        <f>INDEX('Base de données Mono'!B:B,MATCH(B946,'Base de données Mono'!D:D,0))</f>
        <v>SES8</v>
      </c>
      <c r="D946" s="36" t="str">
        <f>INDEX('Base de données Mono'!A:A,MATCH(B946,'Base de données Mono'!D:D,0))</f>
        <v>AD</v>
      </c>
      <c r="E946" s="37" t="s">
        <v>303</v>
      </c>
      <c r="F946" s="41">
        <f t="shared" si="126"/>
        <v>15</v>
      </c>
      <c r="G946" s="41">
        <f t="shared" si="127"/>
        <v>4</v>
      </c>
      <c r="H946">
        <v>8.75</v>
      </c>
      <c r="I946" s="131">
        <f>INDEX('Base de données Mono'!K:K,MATCH(B946,'Base de données Mono'!D:D,0))</f>
        <v>0.22916666666666666</v>
      </c>
      <c r="J946" s="131">
        <f>INDEX('Base de données Mono'!L:L,MATCH(B946,'Base de données Mono'!D:D,0))</f>
        <v>0.86458333333333337</v>
      </c>
      <c r="K946" s="131" t="str">
        <f>INDEX('Base de données Mono'!M:M,MATCH(B946,'Base de données Mono'!D:D,0))</f>
        <v>-</v>
      </c>
      <c r="L946" s="131" t="str">
        <f>INDEX('Base de données Mono'!N:N,MATCH(B946,'Base de données Mono'!D:D,0))</f>
        <v>-</v>
      </c>
      <c r="M946" s="33" t="s">
        <v>46</v>
      </c>
      <c r="N946" s="33">
        <f>IF(AND(E946="Electricité",M946="Hiver"),INDEX('Base de données Mono'!E:E,MATCH(B946,'Base de données Mono'!D:D,0)),IF(AND(E946="Electricité",M946="Mi-saison"),INDEX('Base de données Mono'!F:F,MATCH(B946,'Base de données Mono'!D:D,0)),IF(AND(E946="Electricité",M946="Eté"),INDEX('Base de données Mono'!G:G,MATCH(B946,'Base de données Mono'!D:D,0)),IF(AND(E946="Gaz",M946="Hiver"),INDEX('Base de données Mono'!J:J,MATCH(B946,'Base de données Mono'!D:D,0)),IF(AND(E946="Gaz",M946="Mi-saison"),INDEX('Base de données Mono'!#REF!,MATCH(B946,'Base de données Mono'!D:D,0)),IF(AND(E946="Gaz",M946="Eté"),INDEX('Base de données Mono'!#REF!,MATCH(B946,'Base de données Mono'!D:D,0)),"-"))))))</f>
        <v>60</v>
      </c>
      <c r="O946" s="123">
        <v>45392</v>
      </c>
      <c r="P946" s="123">
        <v>45395</v>
      </c>
      <c r="Q946" s="34">
        <v>75</v>
      </c>
      <c r="R946" s="33">
        <f t="shared" si="125"/>
        <v>15</v>
      </c>
      <c r="S946" s="34">
        <v>8.6999999999999993</v>
      </c>
      <c r="T946" s="34">
        <f t="shared" si="120"/>
        <v>3</v>
      </c>
      <c r="U946" s="33">
        <f t="shared" si="128"/>
        <v>391.5</v>
      </c>
      <c r="V946" s="38" t="s">
        <v>827</v>
      </c>
      <c r="W946" s="39">
        <f t="shared" si="129"/>
        <v>0.25</v>
      </c>
      <c r="X946" s="40" t="s">
        <v>304</v>
      </c>
      <c r="Y946" s="40" t="s">
        <v>284</v>
      </c>
      <c r="Z946" s="40" t="s">
        <v>305</v>
      </c>
      <c r="AA946" s="33" t="s">
        <v>771</v>
      </c>
      <c r="AB946" s="95"/>
      <c r="AC946" s="95"/>
    </row>
    <row r="947" spans="1:29" ht="14.45" hidden="1" customHeight="1" x14ac:dyDescent="0.25">
      <c r="A947" s="36" t="str">
        <f>INDEX('Base de données Mono'!C:C,MATCH(B947,'Base de données Mono'!D:D,0))</f>
        <v>RENNES COLOMBIA</v>
      </c>
      <c r="B947" t="s">
        <v>30</v>
      </c>
      <c r="C947" s="36" t="str">
        <f>INDEX('Base de données Mono'!B:B,MATCH(B947,'Base de données Mono'!D:D,0))</f>
        <v>SES8</v>
      </c>
      <c r="D947" s="36" t="str">
        <f>INDEX('Base de données Mono'!A:A,MATCH(B947,'Base de données Mono'!D:D,0))</f>
        <v>AD</v>
      </c>
      <c r="E947" s="37" t="s">
        <v>303</v>
      </c>
      <c r="F947" s="41">
        <f t="shared" si="126"/>
        <v>15</v>
      </c>
      <c r="G947" s="41">
        <f t="shared" si="127"/>
        <v>4</v>
      </c>
      <c r="H947">
        <v>8.75</v>
      </c>
      <c r="I947" s="131">
        <f>INDEX('Base de données Mono'!K:K,MATCH(B947,'Base de données Mono'!D:D,0))</f>
        <v>0.22916666666666666</v>
      </c>
      <c r="J947" s="131">
        <f>INDEX('Base de données Mono'!L:L,MATCH(B947,'Base de données Mono'!D:D,0))</f>
        <v>0.86458333333333337</v>
      </c>
      <c r="K947" s="131" t="str">
        <f>INDEX('Base de données Mono'!M:M,MATCH(B947,'Base de données Mono'!D:D,0))</f>
        <v>-</v>
      </c>
      <c r="L947" s="131" t="str">
        <f>INDEX('Base de données Mono'!N:N,MATCH(B947,'Base de données Mono'!D:D,0))</f>
        <v>-</v>
      </c>
      <c r="M947" s="33" t="s">
        <v>46</v>
      </c>
      <c r="N947" s="33">
        <f>IF(AND(E947="Electricité",M947="Hiver"),INDEX('Base de données Mono'!E:E,MATCH(B947,'Base de données Mono'!D:D,0)),IF(AND(E947="Electricité",M947="Mi-saison"),INDEX('Base de données Mono'!F:F,MATCH(B947,'Base de données Mono'!D:D,0)),IF(AND(E947="Electricité",M947="Eté"),INDEX('Base de données Mono'!G:G,MATCH(B947,'Base de données Mono'!D:D,0)),IF(AND(E947="Gaz",M947="Hiver"),INDEX('Base de données Mono'!J:J,MATCH(B947,'Base de données Mono'!D:D,0)),IF(AND(E947="Gaz",M947="Mi-saison"),INDEX('Base de données Mono'!#REF!,MATCH(B947,'Base de données Mono'!D:D,0)),IF(AND(E947="Gaz",M947="Eté"),INDEX('Base de données Mono'!#REF!,MATCH(B947,'Base de données Mono'!D:D,0)),"-"))))))</f>
        <v>60</v>
      </c>
      <c r="O947" s="123">
        <v>45395</v>
      </c>
      <c r="P947" s="123">
        <v>45396</v>
      </c>
      <c r="Q947" s="34">
        <v>85</v>
      </c>
      <c r="R947" s="33">
        <f t="shared" si="125"/>
        <v>25</v>
      </c>
      <c r="S947" s="34">
        <v>8.6999999999999993</v>
      </c>
      <c r="T947" s="34">
        <f t="shared" si="120"/>
        <v>1</v>
      </c>
      <c r="U947" s="33">
        <f t="shared" si="128"/>
        <v>217.49999999999997</v>
      </c>
      <c r="V947" s="38" t="s">
        <v>827</v>
      </c>
      <c r="W947" s="39">
        <f t="shared" si="129"/>
        <v>0.41666666666666669</v>
      </c>
      <c r="X947" s="40" t="s">
        <v>304</v>
      </c>
      <c r="Y947" s="40" t="s">
        <v>284</v>
      </c>
      <c r="Z947" s="40" t="s">
        <v>305</v>
      </c>
      <c r="AA947" s="33" t="s">
        <v>771</v>
      </c>
      <c r="AB947" s="95"/>
      <c r="AC947" s="95" t="s">
        <v>842</v>
      </c>
    </row>
    <row r="948" spans="1:29" ht="14.45" hidden="1" customHeight="1" x14ac:dyDescent="0.25">
      <c r="A948" s="36" t="str">
        <f>INDEX('Base de données Mono'!C:C,MATCH(B948,'Base de données Mono'!D:D,0))</f>
        <v>COLOMBES</v>
      </c>
      <c r="B948" t="s">
        <v>14</v>
      </c>
      <c r="C948" s="36" t="str">
        <f>INDEX('Base de données Mono'!B:B,MATCH(B948,'Base de données Mono'!D:D,0))</f>
        <v>SES8</v>
      </c>
      <c r="D948" s="36" t="str">
        <f>INDEX('Base de données Mono'!A:A,MATCH(B948,'Base de données Mono'!D:D,0))</f>
        <v>AD</v>
      </c>
      <c r="E948" s="37" t="s">
        <v>303</v>
      </c>
      <c r="F948" s="41">
        <f>IF(O948="","-",IF(AND(X948="Nuit",WEEKDAY(O948,2)=7,O948&lt;&gt;P948),WEEKNUM(O948,2),WEEKNUM(O948,2)-1))+1</f>
        <v>15</v>
      </c>
      <c r="G948" s="41">
        <f>IF(O948="","-",MONTH(O948))</f>
        <v>4</v>
      </c>
      <c r="H948">
        <v>8.33</v>
      </c>
      <c r="I948" s="131">
        <f>INDEX('Base de données Mono'!K:K,MATCH(B948,'Base de données Mono'!D:D,0))</f>
        <v>0.24305555555555555</v>
      </c>
      <c r="J948" s="131">
        <f>INDEX('Base de données Mono'!L:L,MATCH(B948,'Base de données Mono'!D:D,0))</f>
        <v>0.89583333333333337</v>
      </c>
      <c r="K948" s="131">
        <f>INDEX('Base de données Mono'!M:M,MATCH(B948,'Base de données Mono'!D:D,0))</f>
        <v>0.27083333333333331</v>
      </c>
      <c r="L948" s="131">
        <f>INDEX('Base de données Mono'!N:N,MATCH(B948,'Base de données Mono'!D:D,0))</f>
        <v>0.55902777777777779</v>
      </c>
      <c r="M948" s="33" t="s">
        <v>46</v>
      </c>
      <c r="N948" s="33">
        <f>IF(AND(E948="Electricité",M948="Hiver"),INDEX('Base de données Mono'!E:E,MATCH(B948,'Base de données Mono'!D:D,0)),IF(AND(E948="Electricité",M948="Mi-saison"),INDEX('Base de données Mono'!F:F,MATCH(B948,'Base de données Mono'!D:D,0)),IF(AND(E948="Electricité",M948="Eté"),INDEX('Base de données Mono'!G:G,MATCH(B948,'Base de données Mono'!D:D,0)),IF(AND(E948="Gaz",M948="Hiver"),INDEX('Base de données Mono'!J:J,MATCH(B948,'Base de données Mono'!D:D,0)),IF(AND(E948="Gaz",M948="Mi-saison"),INDEX('Base de données Mono'!#REF!,MATCH(B948,'Base de données Mono'!D:D,0)),IF(AND(E948="Gaz",M948="Eté"),INDEX('Base de données Mono'!#REF!,MATCH(B948,'Base de données Mono'!D:D,0)),"-"))))))</f>
        <v>75</v>
      </c>
      <c r="O948" s="123">
        <v>45390</v>
      </c>
      <c r="P948" s="123">
        <v>45396</v>
      </c>
      <c r="Q948" s="34">
        <v>135</v>
      </c>
      <c r="R948" s="33">
        <f t="shared" si="125"/>
        <v>60</v>
      </c>
      <c r="S948" s="34">
        <v>0.5</v>
      </c>
      <c r="T948" s="34">
        <f t="shared" si="120"/>
        <v>6</v>
      </c>
      <c r="U948" s="33">
        <f t="shared" si="128"/>
        <v>180</v>
      </c>
      <c r="V948" s="38" t="s">
        <v>827</v>
      </c>
      <c r="W948" s="39">
        <f t="shared" si="129"/>
        <v>0.8</v>
      </c>
      <c r="X948" s="40" t="s">
        <v>304</v>
      </c>
      <c r="Y948" s="40" t="s">
        <v>284</v>
      </c>
      <c r="Z948" s="40" t="s">
        <v>307</v>
      </c>
      <c r="AA948" s="33" t="s">
        <v>313</v>
      </c>
      <c r="AB948" s="95"/>
      <c r="AC948" s="95"/>
    </row>
    <row r="949" spans="1:29" ht="14.45" hidden="1" customHeight="1" x14ac:dyDescent="0.25">
      <c r="A949" s="36" t="str">
        <f>INDEX('Base de données Mono'!C:C,MATCH(B949,'Base de données Mono'!D:D,0))</f>
        <v>COLOMBES</v>
      </c>
      <c r="B949" t="s">
        <v>14</v>
      </c>
      <c r="C949" s="36" t="str">
        <f>INDEX('Base de données Mono'!B:B,MATCH(B949,'Base de données Mono'!D:D,0))</f>
        <v>SES8</v>
      </c>
      <c r="D949" s="36" t="str">
        <f>INDEX('Base de données Mono'!A:A,MATCH(B949,'Base de données Mono'!D:D,0))</f>
        <v>AD</v>
      </c>
      <c r="E949" s="37" t="s">
        <v>303</v>
      </c>
      <c r="F949" s="41">
        <f t="shared" si="126"/>
        <v>15</v>
      </c>
      <c r="G949" s="41">
        <f t="shared" si="127"/>
        <v>4</v>
      </c>
      <c r="H949">
        <v>8.33</v>
      </c>
      <c r="I949" s="131">
        <f>INDEX('Base de données Mono'!K:K,MATCH(B949,'Base de données Mono'!D:D,0))</f>
        <v>0.24305555555555555</v>
      </c>
      <c r="J949" s="131">
        <f>INDEX('Base de données Mono'!L:L,MATCH(B949,'Base de données Mono'!D:D,0))</f>
        <v>0.89583333333333337</v>
      </c>
      <c r="K949" s="131">
        <f>INDEX('Base de données Mono'!M:M,MATCH(B949,'Base de données Mono'!D:D,0))</f>
        <v>0.27083333333333331</v>
      </c>
      <c r="L949" s="131">
        <f>INDEX('Base de données Mono'!N:N,MATCH(B949,'Base de données Mono'!D:D,0))</f>
        <v>0.55902777777777779</v>
      </c>
      <c r="M949" s="33" t="s">
        <v>46</v>
      </c>
      <c r="N949" s="33">
        <f>IF(AND(E949="Electricité",M949="Hiver"),INDEX('Base de données Mono'!E:E,MATCH(B949,'Base de données Mono'!D:D,0)),IF(AND(E949="Electricité",M949="Mi-saison"),INDEX('Base de données Mono'!F:F,MATCH(B949,'Base de données Mono'!D:D,0)),IF(AND(E949="Electricité",M949="Eté"),INDEX('Base de données Mono'!G:G,MATCH(B949,'Base de données Mono'!D:D,0)),IF(AND(E949="Gaz",M949="Hiver"),INDEX('Base de données Mono'!J:J,MATCH(B949,'Base de données Mono'!D:D,0)),IF(AND(E949="Gaz",M949="Mi-saison"),INDEX('Base de données Mono'!#REF!,MATCH(B949,'Base de données Mono'!D:D,0)),IF(AND(E949="Gaz",M949="Eté"),INDEX('Base de données Mono'!#REF!,MATCH(B949,'Base de données Mono'!D:D,0)),"-"))))))</f>
        <v>75</v>
      </c>
      <c r="O949" s="123">
        <v>45393</v>
      </c>
      <c r="P949" s="123">
        <v>45395</v>
      </c>
      <c r="Q949" s="34">
        <v>85</v>
      </c>
      <c r="R949" s="33">
        <f t="shared" si="125"/>
        <v>10</v>
      </c>
      <c r="S949" s="34">
        <v>1</v>
      </c>
      <c r="T949" s="34">
        <f t="shared" si="120"/>
        <v>2</v>
      </c>
      <c r="U949" s="33">
        <f t="shared" si="128"/>
        <v>20</v>
      </c>
      <c r="V949" s="38" t="s">
        <v>827</v>
      </c>
      <c r="W949" s="39">
        <f t="shared" si="129"/>
        <v>0.13333333333333333</v>
      </c>
      <c r="X949" s="40" t="s">
        <v>304</v>
      </c>
      <c r="Y949" s="40" t="s">
        <v>284</v>
      </c>
      <c r="Z949" s="40" t="s">
        <v>305</v>
      </c>
      <c r="AA949" s="33" t="s">
        <v>771</v>
      </c>
      <c r="AB949" s="95"/>
      <c r="AC949" s="95"/>
    </row>
    <row r="950" spans="1:29" ht="14.45" hidden="1" customHeight="1" x14ac:dyDescent="0.25">
      <c r="A950" s="36" t="str">
        <f>INDEX('Base de données Mono'!C:C,MATCH(B950,'Base de données Mono'!D:D,0))</f>
        <v>COLOMBES</v>
      </c>
      <c r="B950" t="s">
        <v>14</v>
      </c>
      <c r="C950" s="36" t="str">
        <f>INDEX('Base de données Mono'!B:B,MATCH(B950,'Base de données Mono'!D:D,0))</f>
        <v>SES8</v>
      </c>
      <c r="D950" s="36" t="str">
        <f>INDEX('Base de données Mono'!A:A,MATCH(B950,'Base de données Mono'!D:D,0))</f>
        <v>AD</v>
      </c>
      <c r="E950" s="37" t="s">
        <v>303</v>
      </c>
      <c r="F950" s="41">
        <f t="shared" si="126"/>
        <v>15</v>
      </c>
      <c r="G950" s="41">
        <f t="shared" si="127"/>
        <v>4</v>
      </c>
      <c r="H950">
        <v>8.33</v>
      </c>
      <c r="I950" s="131">
        <f>INDEX('Base de données Mono'!K:K,MATCH(B950,'Base de données Mono'!D:D,0))</f>
        <v>0.24305555555555555</v>
      </c>
      <c r="J950" s="131">
        <f>INDEX('Base de données Mono'!L:L,MATCH(B950,'Base de données Mono'!D:D,0))</f>
        <v>0.89583333333333337</v>
      </c>
      <c r="K950" s="131">
        <f>INDEX('Base de données Mono'!M:M,MATCH(B950,'Base de données Mono'!D:D,0))</f>
        <v>0.27083333333333331</v>
      </c>
      <c r="L950" s="131">
        <f>INDEX('Base de données Mono'!N:N,MATCH(B950,'Base de données Mono'!D:D,0))</f>
        <v>0.55902777777777779</v>
      </c>
      <c r="M950" s="33" t="s">
        <v>46</v>
      </c>
      <c r="N950" s="33">
        <f>IF(AND(E950="Electricité",M950="Hiver"),INDEX('Base de données Mono'!E:E,MATCH(B950,'Base de données Mono'!D:D,0)),IF(AND(E950="Electricité",M950="Mi-saison"),INDEX('Base de données Mono'!F:F,MATCH(B950,'Base de données Mono'!D:D,0)),IF(AND(E950="Electricité",M950="Eté"),INDEX('Base de données Mono'!G:G,MATCH(B950,'Base de données Mono'!D:D,0)),IF(AND(E950="Gaz",M950="Hiver"),INDEX('Base de données Mono'!J:J,MATCH(B950,'Base de données Mono'!D:D,0)),IF(AND(E950="Gaz",M950="Mi-saison"),INDEX('Base de données Mono'!#REF!,MATCH(B950,'Base de données Mono'!D:D,0)),IF(AND(E950="Gaz",M950="Eté"),INDEX('Base de données Mono'!#REF!,MATCH(B950,'Base de données Mono'!D:D,0)),"-"))))))</f>
        <v>75</v>
      </c>
      <c r="O950" s="123">
        <v>45395</v>
      </c>
      <c r="P950" s="123">
        <v>45396</v>
      </c>
      <c r="Q950" s="34">
        <v>85</v>
      </c>
      <c r="R950" s="33">
        <f t="shared" si="125"/>
        <v>10</v>
      </c>
      <c r="S950" s="34">
        <v>8</v>
      </c>
      <c r="T950" s="34">
        <f t="shared" si="120"/>
        <v>1</v>
      </c>
      <c r="U950" s="33">
        <f t="shared" si="128"/>
        <v>80</v>
      </c>
      <c r="V950" s="38" t="s">
        <v>827</v>
      </c>
      <c r="W950" s="39">
        <f t="shared" si="129"/>
        <v>0.13333333333333333</v>
      </c>
      <c r="X950" s="40" t="s">
        <v>304</v>
      </c>
      <c r="Y950" s="40" t="s">
        <v>284</v>
      </c>
      <c r="Z950" s="40" t="s">
        <v>305</v>
      </c>
      <c r="AA950" s="33" t="s">
        <v>771</v>
      </c>
      <c r="AB950" s="95"/>
      <c r="AC950" s="95"/>
    </row>
    <row r="951" spans="1:29" ht="14.45" hidden="1" customHeight="1" x14ac:dyDescent="0.25">
      <c r="A951" s="36" t="str">
        <f>INDEX('Base de données Mono'!C:C,MATCH(B951,'Base de données Mono'!D:D,0))</f>
        <v>BOULOGNE LES PASSAGES</v>
      </c>
      <c r="B951" t="s">
        <v>7</v>
      </c>
      <c r="C951" s="36" t="str">
        <f>INDEX('Base de données Mono'!B:B,MATCH(B951,'Base de données Mono'!D:D,0))</f>
        <v>SES8</v>
      </c>
      <c r="D951" s="36" t="str">
        <f>INDEX('Base de données Mono'!A:A,MATCH(B951,'Base de données Mono'!D:D,0))</f>
        <v>AD</v>
      </c>
      <c r="E951" s="37" t="s">
        <v>303</v>
      </c>
      <c r="F951" s="41">
        <f t="shared" si="126"/>
        <v>15</v>
      </c>
      <c r="G951" s="41">
        <f t="shared" si="127"/>
        <v>4</v>
      </c>
      <c r="H951">
        <v>8.5</v>
      </c>
      <c r="I951" s="131">
        <f>INDEX('Base de données Mono'!K:K,MATCH(B951,'Base de données Mono'!D:D,0))</f>
        <v>0.20833333333333334</v>
      </c>
      <c r="J951" s="131">
        <f>INDEX('Base de données Mono'!L:L,MATCH(B951,'Base de données Mono'!D:D,0))</f>
        <v>0.85416666666666663</v>
      </c>
      <c r="K951" s="131" t="str">
        <f>INDEX('Base de données Mono'!M:M,MATCH(B951,'Base de données Mono'!D:D,0))</f>
        <v>-</v>
      </c>
      <c r="L951" s="131" t="str">
        <f>INDEX('Base de données Mono'!N:N,MATCH(B951,'Base de données Mono'!D:D,0))</f>
        <v>-</v>
      </c>
      <c r="M951" s="33" t="s">
        <v>46</v>
      </c>
      <c r="N951" s="33">
        <f>IF(AND(E951="Electricité",M951="Hiver"),INDEX('Base de données Mono'!E:E,MATCH(B951,'Base de données Mono'!D:D,0)),IF(AND(E951="Electricité",M951="Mi-saison"),INDEX('Base de données Mono'!F:F,MATCH(B951,'Base de données Mono'!D:D,0)),IF(AND(E951="Electricité",M951="Eté"),INDEX('Base de données Mono'!G:G,MATCH(B951,'Base de données Mono'!D:D,0)),IF(AND(E951="Gaz",M951="Hiver"),INDEX('Base de données Mono'!J:J,MATCH(B951,'Base de données Mono'!D:D,0)),IF(AND(E951="Gaz",M951="Mi-saison"),INDEX('Base de données Mono'!#REF!,MATCH(B951,'Base de données Mono'!D:D,0)),IF(AND(E951="Gaz",M951="Eté"),INDEX('Base de données Mono'!#REF!,MATCH(B951,'Base de données Mono'!D:D,0)),"-"))))))</f>
        <v>95</v>
      </c>
      <c r="O951" s="123">
        <v>45389</v>
      </c>
      <c r="P951" s="123">
        <v>45390</v>
      </c>
      <c r="Q951" s="34">
        <v>105</v>
      </c>
      <c r="R951" s="33">
        <f t="shared" si="125"/>
        <v>10</v>
      </c>
      <c r="S951" s="34">
        <v>8.5</v>
      </c>
      <c r="T951" s="34">
        <f t="shared" si="120"/>
        <v>1</v>
      </c>
      <c r="U951" s="33">
        <f t="shared" si="128"/>
        <v>85</v>
      </c>
      <c r="V951" s="38" t="s">
        <v>827</v>
      </c>
      <c r="W951" s="39">
        <f t="shared" si="129"/>
        <v>0.10526315789473684</v>
      </c>
      <c r="X951" s="40" t="s">
        <v>304</v>
      </c>
      <c r="Y951" s="40" t="s">
        <v>284</v>
      </c>
      <c r="Z951" s="40" t="s">
        <v>305</v>
      </c>
      <c r="AA951" s="33" t="s">
        <v>771</v>
      </c>
      <c r="AB951" s="95"/>
      <c r="AC951" s="95"/>
    </row>
    <row r="952" spans="1:29" ht="14.45" hidden="1" customHeight="1" x14ac:dyDescent="0.25">
      <c r="A952" s="36" t="str">
        <f>INDEX('Base de données Mono'!C:C,MATCH(B952,'Base de données Mono'!D:D,0))</f>
        <v>BOULOGNE LES PASSAGES</v>
      </c>
      <c r="B952" t="s">
        <v>7</v>
      </c>
      <c r="C952" s="36" t="str">
        <f>INDEX('Base de données Mono'!B:B,MATCH(B952,'Base de données Mono'!D:D,0))</f>
        <v>SES8</v>
      </c>
      <c r="D952" s="36" t="str">
        <f>INDEX('Base de données Mono'!A:A,MATCH(B952,'Base de données Mono'!D:D,0))</f>
        <v>AD</v>
      </c>
      <c r="E952" s="37" t="s">
        <v>303</v>
      </c>
      <c r="F952" s="41">
        <f t="shared" si="126"/>
        <v>15</v>
      </c>
      <c r="G952" s="41">
        <f t="shared" si="127"/>
        <v>4</v>
      </c>
      <c r="H952">
        <v>8.5</v>
      </c>
      <c r="I952" s="131">
        <f>INDEX('Base de données Mono'!K:K,MATCH(B952,'Base de données Mono'!D:D,0))</f>
        <v>0.20833333333333334</v>
      </c>
      <c r="J952" s="131">
        <f>INDEX('Base de données Mono'!L:L,MATCH(B952,'Base de données Mono'!D:D,0))</f>
        <v>0.85416666666666663</v>
      </c>
      <c r="K952" s="131" t="str">
        <f>INDEX('Base de données Mono'!M:M,MATCH(B952,'Base de données Mono'!D:D,0))</f>
        <v>-</v>
      </c>
      <c r="L952" s="131" t="str">
        <f>INDEX('Base de données Mono'!N:N,MATCH(B952,'Base de données Mono'!D:D,0))</f>
        <v>-</v>
      </c>
      <c r="M952" s="33" t="s">
        <v>46</v>
      </c>
      <c r="N952" s="33">
        <f>IF(AND(E952="Electricité",M952="Hiver"),INDEX('Base de données Mono'!E:E,MATCH(B952,'Base de données Mono'!D:D,0)),IF(AND(E952="Electricité",M952="Mi-saison"),INDEX('Base de données Mono'!F:F,MATCH(B952,'Base de données Mono'!D:D,0)),IF(AND(E952="Electricité",M952="Eté"),INDEX('Base de données Mono'!G:G,MATCH(B952,'Base de données Mono'!D:D,0)),IF(AND(E952="Gaz",M952="Hiver"),INDEX('Base de données Mono'!J:J,MATCH(B952,'Base de données Mono'!D:D,0)),IF(AND(E952="Gaz",M952="Mi-saison"),INDEX('Base de données Mono'!#REF!,MATCH(B952,'Base de données Mono'!D:D,0)),IF(AND(E952="Gaz",M952="Eté"),INDEX('Base de données Mono'!#REF!,MATCH(B952,'Base de données Mono'!D:D,0)),"-"))))))</f>
        <v>95</v>
      </c>
      <c r="O952" s="123">
        <v>45390</v>
      </c>
      <c r="P952" s="123">
        <v>45396</v>
      </c>
      <c r="Q952" s="34">
        <v>165</v>
      </c>
      <c r="R952" s="33">
        <f t="shared" si="125"/>
        <v>70</v>
      </c>
      <c r="S952" s="34">
        <v>0.8</v>
      </c>
      <c r="T952" s="34">
        <f t="shared" si="120"/>
        <v>6</v>
      </c>
      <c r="U952" s="33">
        <f t="shared" si="128"/>
        <v>336</v>
      </c>
      <c r="V952" s="38" t="s">
        <v>827</v>
      </c>
      <c r="W952" s="39">
        <f t="shared" si="129"/>
        <v>0.73684210526315785</v>
      </c>
      <c r="X952" s="40" t="s">
        <v>304</v>
      </c>
      <c r="Y952" s="40" t="s">
        <v>284</v>
      </c>
      <c r="Z952" s="40" t="s">
        <v>307</v>
      </c>
      <c r="AA952" s="33" t="s">
        <v>313</v>
      </c>
      <c r="AB952" s="95"/>
      <c r="AC952" s="95"/>
    </row>
    <row r="953" spans="1:29" ht="14.45" hidden="1" customHeight="1" x14ac:dyDescent="0.25">
      <c r="A953" s="36" t="str">
        <f>INDEX('Base de données Mono'!C:C,MATCH(B953,'Base de données Mono'!D:D,0))</f>
        <v>BOULOGNE LES PASSAGES</v>
      </c>
      <c r="B953" t="s">
        <v>7</v>
      </c>
      <c r="C953" s="36" t="str">
        <f>INDEX('Base de données Mono'!B:B,MATCH(B953,'Base de données Mono'!D:D,0))</f>
        <v>SES8</v>
      </c>
      <c r="D953" s="36" t="str">
        <f>INDEX('Base de données Mono'!A:A,MATCH(B953,'Base de données Mono'!D:D,0))</f>
        <v>AD</v>
      </c>
      <c r="E953" s="37" t="s">
        <v>303</v>
      </c>
      <c r="F953" s="41">
        <f t="shared" si="126"/>
        <v>15</v>
      </c>
      <c r="G953" s="41">
        <f t="shared" si="127"/>
        <v>4</v>
      </c>
      <c r="H953">
        <v>8.5</v>
      </c>
      <c r="I953" s="131">
        <f>INDEX('Base de données Mono'!K:K,MATCH(B953,'Base de données Mono'!D:D,0))</f>
        <v>0.20833333333333334</v>
      </c>
      <c r="J953" s="131">
        <f>INDEX('Base de données Mono'!L:L,MATCH(B953,'Base de données Mono'!D:D,0))</f>
        <v>0.85416666666666663</v>
      </c>
      <c r="K953" s="131" t="str">
        <f>INDEX('Base de données Mono'!M:M,MATCH(B953,'Base de données Mono'!D:D,0))</f>
        <v>-</v>
      </c>
      <c r="L953" s="131" t="str">
        <f>INDEX('Base de données Mono'!N:N,MATCH(B953,'Base de données Mono'!D:D,0))</f>
        <v>-</v>
      </c>
      <c r="M953" s="33" t="s">
        <v>46</v>
      </c>
      <c r="N953" s="33">
        <f>IF(AND(E953="Electricité",M953="Hiver"),INDEX('Base de données Mono'!E:E,MATCH(B953,'Base de données Mono'!D:D,0)),IF(AND(E953="Electricité",M953="Mi-saison"),INDEX('Base de données Mono'!F:F,MATCH(B953,'Base de données Mono'!D:D,0)),IF(AND(E953="Electricité",M953="Eté"),INDEX('Base de données Mono'!G:G,MATCH(B953,'Base de données Mono'!D:D,0)),IF(AND(E953="Gaz",M953="Hiver"),INDEX('Base de données Mono'!J:J,MATCH(B953,'Base de données Mono'!D:D,0)),IF(AND(E953="Gaz",M953="Mi-saison"),INDEX('Base de données Mono'!#REF!,MATCH(B953,'Base de données Mono'!D:D,0)),IF(AND(E953="Gaz",M953="Eté"),INDEX('Base de données Mono'!#REF!,MATCH(B953,'Base de données Mono'!D:D,0)),"-"))))))</f>
        <v>95</v>
      </c>
      <c r="O953" s="123">
        <v>45390</v>
      </c>
      <c r="P953" s="123">
        <v>45396</v>
      </c>
      <c r="Q953" s="34">
        <v>105</v>
      </c>
      <c r="R953" s="33">
        <f t="shared" si="125"/>
        <v>10</v>
      </c>
      <c r="S953" s="34">
        <v>7.7</v>
      </c>
      <c r="T953" s="34">
        <f t="shared" si="120"/>
        <v>6</v>
      </c>
      <c r="U953" s="33">
        <f t="shared" si="128"/>
        <v>462</v>
      </c>
      <c r="V953" s="38" t="s">
        <v>827</v>
      </c>
      <c r="W953" s="39">
        <f t="shared" si="129"/>
        <v>0.10526315789473684</v>
      </c>
      <c r="X953" s="40" t="s">
        <v>304</v>
      </c>
      <c r="Y953" s="40" t="s">
        <v>284</v>
      </c>
      <c r="Z953" s="40" t="s">
        <v>305</v>
      </c>
      <c r="AA953" s="33" t="s">
        <v>771</v>
      </c>
      <c r="AB953" s="95"/>
      <c r="AC953" s="95"/>
    </row>
    <row r="954" spans="1:29" ht="14.45" hidden="1" customHeight="1" x14ac:dyDescent="0.25">
      <c r="A954" s="36" t="str">
        <f>INDEX('Base de données Mono'!C:C,MATCH(B954,'Base de données Mono'!D:D,0))</f>
        <v>BOULOGNE LES PASSAGES</v>
      </c>
      <c r="B954" t="s">
        <v>7</v>
      </c>
      <c r="C954" s="36" t="str">
        <f>INDEX('Base de données Mono'!B:B,MATCH(B954,'Base de données Mono'!D:D,0))</f>
        <v>SES8</v>
      </c>
      <c r="D954" s="36" t="str">
        <f>INDEX('Base de données Mono'!A:A,MATCH(B954,'Base de données Mono'!D:D,0))</f>
        <v>AD</v>
      </c>
      <c r="E954" s="37" t="s">
        <v>303</v>
      </c>
      <c r="F954" s="41">
        <f t="shared" si="126"/>
        <v>15</v>
      </c>
      <c r="G954" s="41">
        <f t="shared" si="127"/>
        <v>4</v>
      </c>
      <c r="H954">
        <v>8.5</v>
      </c>
      <c r="I954" s="131">
        <f>INDEX('Base de données Mono'!K:K,MATCH(B954,'Base de données Mono'!D:D,0))</f>
        <v>0.20833333333333334</v>
      </c>
      <c r="J954" s="131">
        <f>INDEX('Base de données Mono'!L:L,MATCH(B954,'Base de données Mono'!D:D,0))</f>
        <v>0.85416666666666663</v>
      </c>
      <c r="K954" s="131" t="str">
        <f>INDEX('Base de données Mono'!M:M,MATCH(B954,'Base de données Mono'!D:D,0))</f>
        <v>-</v>
      </c>
      <c r="L954" s="131" t="str">
        <f>INDEX('Base de données Mono'!N:N,MATCH(B954,'Base de données Mono'!D:D,0))</f>
        <v>-</v>
      </c>
      <c r="M954" s="33" t="s">
        <v>46</v>
      </c>
      <c r="N954" s="33">
        <f>IF(AND(E954="Electricité",M954="Hiver"),INDEX('Base de données Mono'!E:E,MATCH(B954,'Base de données Mono'!D:D,0)),IF(AND(E954="Electricité",M954="Mi-saison"),INDEX('Base de données Mono'!F:F,MATCH(B954,'Base de données Mono'!D:D,0)),IF(AND(E954="Electricité",M954="Eté"),INDEX('Base de données Mono'!G:G,MATCH(B954,'Base de données Mono'!D:D,0)),IF(AND(E954="Gaz",M954="Hiver"),INDEX('Base de données Mono'!J:J,MATCH(B954,'Base de données Mono'!D:D,0)),IF(AND(E954="Gaz",M954="Mi-saison"),INDEX('Base de données Mono'!#REF!,MATCH(B954,'Base de données Mono'!D:D,0)),IF(AND(E954="Gaz",M954="Eté"),INDEX('Base de données Mono'!#REF!,MATCH(B954,'Base de données Mono'!D:D,0)),"-"))))))</f>
        <v>95</v>
      </c>
      <c r="O954" s="123">
        <v>45396</v>
      </c>
      <c r="P954" s="123">
        <v>45396</v>
      </c>
      <c r="Q954" s="34">
        <v>145</v>
      </c>
      <c r="R954" s="33">
        <f t="shared" si="125"/>
        <v>50</v>
      </c>
      <c r="S954" s="34">
        <v>6</v>
      </c>
      <c r="T954" s="34">
        <v>1</v>
      </c>
      <c r="U954" s="33">
        <f t="shared" si="128"/>
        <v>300</v>
      </c>
      <c r="V954" s="38" t="s">
        <v>148</v>
      </c>
      <c r="W954" s="39">
        <f t="shared" si="129"/>
        <v>0.52631578947368418</v>
      </c>
      <c r="X954" s="40" t="s">
        <v>730</v>
      </c>
      <c r="Y954" s="40" t="s">
        <v>284</v>
      </c>
      <c r="Z954" s="40" t="s">
        <v>307</v>
      </c>
      <c r="AA954" s="33" t="s">
        <v>308</v>
      </c>
      <c r="AB954" s="95"/>
      <c r="AC954" s="95"/>
    </row>
    <row r="955" spans="1:29" ht="14.45" hidden="1" customHeight="1" x14ac:dyDescent="0.25">
      <c r="A955" s="36" t="str">
        <f>INDEX('Base de données Mono'!C:C,MATCH(B955,'Base de données Mono'!D:D,0))</f>
        <v>BOULOGNE LES PASSAGES</v>
      </c>
      <c r="B955" t="s">
        <v>7</v>
      </c>
      <c r="C955" s="36" t="str">
        <f>INDEX('Base de données Mono'!B:B,MATCH(B955,'Base de données Mono'!D:D,0))</f>
        <v>SES8</v>
      </c>
      <c r="D955" s="36" t="str">
        <f>INDEX('Base de données Mono'!A:A,MATCH(B955,'Base de données Mono'!D:D,0))</f>
        <v>AD</v>
      </c>
      <c r="E955" s="37" t="s">
        <v>303</v>
      </c>
      <c r="F955" s="41">
        <f t="shared" si="126"/>
        <v>15</v>
      </c>
      <c r="G955" s="41">
        <f t="shared" si="127"/>
        <v>4</v>
      </c>
      <c r="H955">
        <v>8.5</v>
      </c>
      <c r="I955" s="131">
        <f>INDEX('Base de données Mono'!K:K,MATCH(B955,'Base de données Mono'!D:D,0))</f>
        <v>0.20833333333333334</v>
      </c>
      <c r="J955" s="131">
        <f>INDEX('Base de données Mono'!L:L,MATCH(B955,'Base de données Mono'!D:D,0))</f>
        <v>0.85416666666666663</v>
      </c>
      <c r="K955" s="131" t="str">
        <f>INDEX('Base de données Mono'!M:M,MATCH(B955,'Base de données Mono'!D:D,0))</f>
        <v>-</v>
      </c>
      <c r="L955" s="131" t="str">
        <f>INDEX('Base de données Mono'!N:N,MATCH(B955,'Base de données Mono'!D:D,0))</f>
        <v>-</v>
      </c>
      <c r="M955" s="33" t="s">
        <v>46</v>
      </c>
      <c r="N955" s="33">
        <f>IF(AND(E955="Electricité",M955="Hiver"),INDEX('Base de données Mono'!E:E,MATCH(B955,'Base de données Mono'!D:D,0)),IF(AND(E955="Electricité",M955="Mi-saison"),INDEX('Base de données Mono'!F:F,MATCH(B955,'Base de données Mono'!D:D,0)),IF(AND(E955="Electricité",M955="Eté"),INDEX('Base de données Mono'!G:G,MATCH(B955,'Base de données Mono'!D:D,0)),IF(AND(E955="Gaz",M955="Hiver"),INDEX('Base de données Mono'!J:J,MATCH(B955,'Base de données Mono'!D:D,0)),IF(AND(E955="Gaz",M955="Mi-saison"),INDEX('Base de données Mono'!#REF!,MATCH(B955,'Base de données Mono'!D:D,0)),IF(AND(E955="Gaz",M955="Eté"),INDEX('Base de données Mono'!#REF!,MATCH(B955,'Base de données Mono'!D:D,0)),"-"))))))</f>
        <v>95</v>
      </c>
      <c r="O955" s="123">
        <v>45396</v>
      </c>
      <c r="P955" s="123">
        <v>45396</v>
      </c>
      <c r="Q955" s="34">
        <v>105</v>
      </c>
      <c r="R955" s="33">
        <f t="shared" si="125"/>
        <v>10</v>
      </c>
      <c r="S955" s="34">
        <v>9.5</v>
      </c>
      <c r="T955" s="34">
        <v>1</v>
      </c>
      <c r="U955" s="33">
        <f t="shared" si="128"/>
        <v>95</v>
      </c>
      <c r="V955" s="38" t="s">
        <v>148</v>
      </c>
      <c r="W955" s="39">
        <f t="shared" si="129"/>
        <v>0.10526315789473684</v>
      </c>
      <c r="X955" s="40" t="s">
        <v>730</v>
      </c>
      <c r="Y955" s="40" t="s">
        <v>284</v>
      </c>
      <c r="Z955" s="40" t="s">
        <v>305</v>
      </c>
      <c r="AA955" s="33" t="s">
        <v>771</v>
      </c>
      <c r="AB955" s="95"/>
      <c r="AC955" s="95"/>
    </row>
    <row r="956" spans="1:29" ht="14.45" hidden="1" customHeight="1" x14ac:dyDescent="0.25">
      <c r="A956" s="36" t="str">
        <f>INDEX('Base de données Mono'!C:C,MATCH(B956,'Base de données Mono'!D:D,0))</f>
        <v>ANNECY COURRIER</v>
      </c>
      <c r="B956" t="s">
        <v>59</v>
      </c>
      <c r="C956" s="36" t="str">
        <f>INDEX('Base de données Mono'!B:B,MATCH(B956,'Base de données Mono'!D:D,0))</f>
        <v>SES8</v>
      </c>
      <c r="D956" s="36" t="str">
        <f>INDEX('Base de données Mono'!A:A,MATCH(B956,'Base de données Mono'!D:D,0))</f>
        <v>JG</v>
      </c>
      <c r="E956" s="37" t="s">
        <v>303</v>
      </c>
      <c r="F956" s="41">
        <f t="shared" si="126"/>
        <v>15</v>
      </c>
      <c r="G956" s="41">
        <f t="shared" si="127"/>
        <v>4</v>
      </c>
      <c r="H956">
        <v>9</v>
      </c>
      <c r="I956" s="131">
        <f>INDEX('Base de données Mono'!K:K,MATCH(B956,'Base de données Mono'!D:D,0))</f>
        <v>0.20833333333333334</v>
      </c>
      <c r="J956" s="131">
        <f>INDEX('Base de données Mono'!L:L,MATCH(B956,'Base de données Mono'!D:D,0))</f>
        <v>0.83333333333333304</v>
      </c>
      <c r="K956" s="131" t="str">
        <f>INDEX('Base de données Mono'!M:M,MATCH(B956,'Base de données Mono'!D:D,0))</f>
        <v>-</v>
      </c>
      <c r="L956" s="131" t="str">
        <f>INDEX('Base de données Mono'!N:N,MATCH(B956,'Base de données Mono'!D:D,0))</f>
        <v>-</v>
      </c>
      <c r="M956" s="33" t="s">
        <v>46</v>
      </c>
      <c r="N956" s="33">
        <f>IF(AND(E956="Electricité",M956="Hiver"),INDEX('Base de données Mono'!E:E,MATCH(B956,'Base de données Mono'!D:D,0)),IF(AND(E956="Electricité",M956="Mi-saison"),INDEX('Base de données Mono'!F:F,MATCH(B956,'Base de données Mono'!D:D,0)),IF(AND(E956="Electricité",M956="Eté"),INDEX('Base de données Mono'!G:G,MATCH(B956,'Base de données Mono'!D:D,0)),IF(AND(E956="Gaz",M956="Hiver"),INDEX('Base de données Mono'!J:J,MATCH(B956,'Base de données Mono'!D:D,0)),IF(AND(E956="Gaz",M956="Mi-saison"),INDEX('Base de données Mono'!#REF!,MATCH(B956,'Base de données Mono'!D:D,0)),IF(AND(E956="Gaz",M956="Eté"),INDEX('Base de données Mono'!#REF!,MATCH(B956,'Base de données Mono'!D:D,0)),"-"))))))</f>
        <v>110</v>
      </c>
      <c r="O956" s="123">
        <v>45389</v>
      </c>
      <c r="P956" s="123">
        <v>45390</v>
      </c>
      <c r="Q956" s="34">
        <v>160</v>
      </c>
      <c r="R956" s="33">
        <f t="shared" si="125"/>
        <v>50</v>
      </c>
      <c r="S956" s="34">
        <v>9</v>
      </c>
      <c r="T956" s="34">
        <f t="shared" ref="T956:T972" si="130">P956-O956</f>
        <v>1</v>
      </c>
      <c r="U956" s="33">
        <f t="shared" si="128"/>
        <v>450</v>
      </c>
      <c r="V956" s="38" t="s">
        <v>827</v>
      </c>
      <c r="W956" s="39">
        <f t="shared" si="129"/>
        <v>0.45454545454545453</v>
      </c>
      <c r="X956" s="40" t="s">
        <v>304</v>
      </c>
      <c r="Y956" s="40" t="s">
        <v>284</v>
      </c>
      <c r="Z956" s="40" t="s">
        <v>305</v>
      </c>
      <c r="AA956" s="33" t="s">
        <v>771</v>
      </c>
      <c r="AB956" s="95"/>
      <c r="AC956" s="95"/>
    </row>
    <row r="957" spans="1:29" ht="14.45" hidden="1" customHeight="1" x14ac:dyDescent="0.25">
      <c r="A957" s="36" t="str">
        <f>INDEX('Base de données Mono'!C:C,MATCH(B957,'Base de données Mono'!D:D,0))</f>
        <v>ANNECY COURRIER</v>
      </c>
      <c r="B957" t="s">
        <v>59</v>
      </c>
      <c r="C957" s="36" t="str">
        <f>INDEX('Base de données Mono'!B:B,MATCH(B957,'Base de données Mono'!D:D,0))</f>
        <v>SES8</v>
      </c>
      <c r="D957" s="36" t="str">
        <f>INDEX('Base de données Mono'!A:A,MATCH(B957,'Base de données Mono'!D:D,0))</f>
        <v>JG</v>
      </c>
      <c r="E957" s="37" t="s">
        <v>303</v>
      </c>
      <c r="F957" s="41">
        <f t="shared" si="126"/>
        <v>15</v>
      </c>
      <c r="G957" s="41">
        <f t="shared" si="127"/>
        <v>4</v>
      </c>
      <c r="H957">
        <v>9</v>
      </c>
      <c r="I957" s="131">
        <f>INDEX('Base de données Mono'!K:K,MATCH(B957,'Base de données Mono'!D:D,0))</f>
        <v>0.20833333333333334</v>
      </c>
      <c r="J957" s="131">
        <f>INDEX('Base de données Mono'!L:L,MATCH(B957,'Base de données Mono'!D:D,0))</f>
        <v>0.83333333333333304</v>
      </c>
      <c r="K957" s="131" t="str">
        <f>INDEX('Base de données Mono'!M:M,MATCH(B957,'Base de données Mono'!D:D,0))</f>
        <v>-</v>
      </c>
      <c r="L957" s="131" t="str">
        <f>INDEX('Base de données Mono'!N:N,MATCH(B957,'Base de données Mono'!D:D,0))</f>
        <v>-</v>
      </c>
      <c r="M957" s="33" t="s">
        <v>46</v>
      </c>
      <c r="N957" s="33">
        <f>IF(AND(E957="Electricité",M957="Hiver"),INDEX('Base de données Mono'!E:E,MATCH(B957,'Base de données Mono'!D:D,0)),IF(AND(E957="Electricité",M957="Mi-saison"),INDEX('Base de données Mono'!F:F,MATCH(B957,'Base de données Mono'!D:D,0)),IF(AND(E957="Electricité",M957="Eté"),INDEX('Base de données Mono'!G:G,MATCH(B957,'Base de données Mono'!D:D,0)),IF(AND(E957="Gaz",M957="Hiver"),INDEX('Base de données Mono'!J:J,MATCH(B957,'Base de données Mono'!D:D,0)),IF(AND(E957="Gaz",M957="Mi-saison"),INDEX('Base de données Mono'!#REF!,MATCH(B957,'Base de données Mono'!D:D,0)),IF(AND(E957="Gaz",M957="Eté"),INDEX('Base de données Mono'!#REF!,MATCH(B957,'Base de données Mono'!D:D,0)),"-"))))))</f>
        <v>110</v>
      </c>
      <c r="O957" s="123">
        <v>45390</v>
      </c>
      <c r="P957" s="123">
        <v>45396</v>
      </c>
      <c r="Q957" s="34">
        <v>205</v>
      </c>
      <c r="R957" s="33">
        <f>IF(Q957="","",Q957-N957)</f>
        <v>95</v>
      </c>
      <c r="S957" s="34">
        <v>1</v>
      </c>
      <c r="T957" s="34">
        <f t="shared" si="130"/>
        <v>6</v>
      </c>
      <c r="U957" s="33">
        <f t="shared" si="128"/>
        <v>570</v>
      </c>
      <c r="V957" s="38" t="s">
        <v>827</v>
      </c>
      <c r="W957" s="39">
        <f t="shared" si="129"/>
        <v>0.86363636363636365</v>
      </c>
      <c r="X957" s="40" t="s">
        <v>304</v>
      </c>
      <c r="Y957" s="40" t="s">
        <v>284</v>
      </c>
      <c r="Z957" s="95" t="s">
        <v>307</v>
      </c>
      <c r="AA957" s="95" t="s">
        <v>313</v>
      </c>
      <c r="AB957" s="95"/>
      <c r="AC957" s="95"/>
    </row>
    <row r="958" spans="1:29" ht="14.45" hidden="1" customHeight="1" x14ac:dyDescent="0.25">
      <c r="A958" s="36" t="str">
        <f>INDEX('Base de données Mono'!C:C,MATCH(B958,'Base de données Mono'!D:D,0))</f>
        <v>ANNECY COURRIER</v>
      </c>
      <c r="B958" t="s">
        <v>59</v>
      </c>
      <c r="C958" s="36" t="str">
        <f>INDEX('Base de données Mono'!B:B,MATCH(B958,'Base de données Mono'!D:D,0))</f>
        <v>SES8</v>
      </c>
      <c r="D958" s="36" t="str">
        <f>INDEX('Base de données Mono'!A:A,MATCH(B958,'Base de données Mono'!D:D,0))</f>
        <v>JG</v>
      </c>
      <c r="E958" s="37" t="s">
        <v>303</v>
      </c>
      <c r="F958" s="41">
        <f t="shared" si="126"/>
        <v>15</v>
      </c>
      <c r="G958" s="41">
        <f t="shared" si="127"/>
        <v>4</v>
      </c>
      <c r="H958">
        <v>9</v>
      </c>
      <c r="I958" s="131">
        <f>INDEX('Base de données Mono'!K:K,MATCH(B958,'Base de données Mono'!D:D,0))</f>
        <v>0.20833333333333334</v>
      </c>
      <c r="J958" s="131">
        <f>INDEX('Base de données Mono'!L:L,MATCH(B958,'Base de données Mono'!D:D,0))</f>
        <v>0.83333333333333304</v>
      </c>
      <c r="K958" s="131" t="str">
        <f>INDEX('Base de données Mono'!M:M,MATCH(B958,'Base de données Mono'!D:D,0))</f>
        <v>-</v>
      </c>
      <c r="L958" s="131" t="str">
        <f>INDEX('Base de données Mono'!N:N,MATCH(B958,'Base de données Mono'!D:D,0))</f>
        <v>-</v>
      </c>
      <c r="M958" s="33" t="s">
        <v>46</v>
      </c>
      <c r="N958" s="33">
        <f>IF(AND(E958="Electricité",M958="Hiver"),INDEX('Base de données Mono'!E:E,MATCH(B958,'Base de données Mono'!D:D,0)),IF(AND(E958="Electricité",M958="Mi-saison"),INDEX('Base de données Mono'!F:F,MATCH(B958,'Base de données Mono'!D:D,0)),IF(AND(E958="Electricité",M958="Eté"),INDEX('Base de données Mono'!G:G,MATCH(B958,'Base de données Mono'!D:D,0)),IF(AND(E958="Gaz",M958="Hiver"),INDEX('Base de données Mono'!J:J,MATCH(B958,'Base de données Mono'!D:D,0)),IF(AND(E958="Gaz",M958="Mi-saison"),INDEX('Base de données Mono'!#REF!,MATCH(B958,'Base de données Mono'!D:D,0)),IF(AND(E958="Gaz",M958="Eté"),INDEX('Base de données Mono'!#REF!,MATCH(B958,'Base de données Mono'!D:D,0)),"-"))))))</f>
        <v>110</v>
      </c>
      <c r="O958" s="123">
        <v>45390</v>
      </c>
      <c r="P958" s="123">
        <v>45396</v>
      </c>
      <c r="Q958" s="34">
        <v>155</v>
      </c>
      <c r="R958" s="33">
        <f t="shared" si="125"/>
        <v>45</v>
      </c>
      <c r="S958" s="34">
        <v>8</v>
      </c>
      <c r="T958" s="34">
        <f t="shared" si="130"/>
        <v>6</v>
      </c>
      <c r="U958" s="33">
        <f t="shared" si="128"/>
        <v>2160</v>
      </c>
      <c r="V958" s="38" t="s">
        <v>827</v>
      </c>
      <c r="W958" s="39">
        <f t="shared" si="129"/>
        <v>0.40909090909090912</v>
      </c>
      <c r="X958" s="40" t="s">
        <v>304</v>
      </c>
      <c r="Y958" s="40" t="s">
        <v>284</v>
      </c>
      <c r="Z958" s="40" t="s">
        <v>305</v>
      </c>
      <c r="AA958" s="33" t="s">
        <v>771</v>
      </c>
      <c r="AB958" s="95"/>
      <c r="AC958" s="95"/>
    </row>
    <row r="959" spans="1:29" ht="14.45" hidden="1" customHeight="1" x14ac:dyDescent="0.25">
      <c r="A959" s="36" t="str">
        <f>INDEX('Base de données Mono'!C:C,MATCH(B959,'Base de données Mono'!D:D,0))</f>
        <v>OULLINS</v>
      </c>
      <c r="B959" t="s">
        <v>203</v>
      </c>
      <c r="C959" s="36" t="str">
        <f>INDEX('Base de données Mono'!B:B,MATCH(B959,'Base de données Mono'!D:D,0))</f>
        <v>SES8</v>
      </c>
      <c r="D959" s="36" t="str">
        <f>INDEX('Base de données Mono'!A:A,MATCH(B959,'Base de données Mono'!D:D,0))</f>
        <v>JG</v>
      </c>
      <c r="E959" s="37" t="s">
        <v>303</v>
      </c>
      <c r="F959" s="41">
        <f t="shared" si="126"/>
        <v>15</v>
      </c>
      <c r="G959" s="41">
        <f t="shared" si="127"/>
        <v>4</v>
      </c>
      <c r="H959">
        <v>8.5</v>
      </c>
      <c r="I959" s="131">
        <f>INDEX('Base de données Mono'!K:K,MATCH(B959,'Base de données Mono'!D:D,0))</f>
        <v>0.1875</v>
      </c>
      <c r="J959" s="131">
        <f>INDEX('Base de données Mono'!L:L,MATCH(B959,'Base de données Mono'!D:D,0))</f>
        <v>0.83333333333333337</v>
      </c>
      <c r="K959" s="131">
        <f>INDEX('Base de données Mono'!M:M,MATCH(B959,'Base de données Mono'!D:D,0))</f>
        <v>0.27083333333333331</v>
      </c>
      <c r="L959" s="131">
        <f>INDEX('Base de données Mono'!N:N,MATCH(B959,'Base de données Mono'!D:D,0))</f>
        <v>0.8125</v>
      </c>
      <c r="M959" s="33" t="s">
        <v>46</v>
      </c>
      <c r="N959" s="33">
        <f>IF(AND(E959="Electricité",M959="Hiver"),INDEX('Base de données Mono'!E:E,MATCH(B959,'Base de données Mono'!D:D,0)),IF(AND(E959="Electricité",M959="Mi-saison"),INDEX('Base de données Mono'!F:F,MATCH(B959,'Base de données Mono'!D:D,0)),IF(AND(E959="Electricité",M959="Eté"),INDEX('Base de données Mono'!G:G,MATCH(B959,'Base de données Mono'!D:D,0)),IF(AND(E959="Gaz",M959="Hiver"),INDEX('Base de données Mono'!J:J,MATCH(B959,'Base de données Mono'!D:D,0)),IF(AND(E959="Gaz",M959="Mi-saison"),INDEX('Base de données Mono'!#REF!,MATCH(B959,'Base de données Mono'!D:D,0)),IF(AND(E959="Gaz",M959="Eté"),INDEX('Base de données Mono'!#REF!,MATCH(B959,'Base de données Mono'!D:D,0)),"-"))))))</f>
        <v>45</v>
      </c>
      <c r="O959" s="123">
        <v>45389</v>
      </c>
      <c r="P959" s="123">
        <v>45396</v>
      </c>
      <c r="Q959" s="34">
        <v>50</v>
      </c>
      <c r="R959" s="33">
        <f t="shared" si="125"/>
        <v>5</v>
      </c>
      <c r="S959" s="34">
        <v>8.5</v>
      </c>
      <c r="T959" s="34">
        <f t="shared" si="130"/>
        <v>7</v>
      </c>
      <c r="U959" s="33">
        <f t="shared" si="128"/>
        <v>297.5</v>
      </c>
      <c r="V959" s="38" t="s">
        <v>827</v>
      </c>
      <c r="W959" s="39">
        <f t="shared" si="129"/>
        <v>0.1111111111111111</v>
      </c>
      <c r="X959" s="40" t="s">
        <v>304</v>
      </c>
      <c r="Y959" s="40" t="s">
        <v>284</v>
      </c>
      <c r="Z959" s="40" t="s">
        <v>305</v>
      </c>
      <c r="AA959" s="33" t="s">
        <v>771</v>
      </c>
      <c r="AB959" s="95"/>
      <c r="AC959" s="95"/>
    </row>
    <row r="960" spans="1:29" ht="14.45" hidden="1" customHeight="1" x14ac:dyDescent="0.25">
      <c r="A960" s="36" t="str">
        <f>INDEX('Base de données Mono'!C:C,MATCH(B960,'Base de données Mono'!D:D,0))</f>
        <v>POITIERS</v>
      </c>
      <c r="B960" t="s">
        <v>212</v>
      </c>
      <c r="C960" s="36" t="str">
        <f>INDEX('Base de données Mono'!B:B,MATCH(B960,'Base de données Mono'!D:D,0))</f>
        <v>SES8</v>
      </c>
      <c r="D960" s="36" t="str">
        <f>INDEX('Base de données Mono'!A:A,MATCH(B960,'Base de données Mono'!D:D,0))</f>
        <v>AD</v>
      </c>
      <c r="E960" s="37" t="s">
        <v>303</v>
      </c>
      <c r="F960" s="41">
        <f t="shared" si="126"/>
        <v>15</v>
      </c>
      <c r="G960" s="41">
        <f t="shared" si="127"/>
        <v>4</v>
      </c>
      <c r="H960">
        <v>8.5</v>
      </c>
      <c r="I960" s="131">
        <f>INDEX('Base de données Mono'!K:K,MATCH(B960,'Base de données Mono'!D:D,0))</f>
        <v>0.22916666666666666</v>
      </c>
      <c r="J960" s="131">
        <f>INDEX('Base de données Mono'!L:L,MATCH(B960,'Base de données Mono'!D:D,0))</f>
        <v>0.875</v>
      </c>
      <c r="K960" s="131">
        <f>INDEX('Base de données Mono'!M:M,MATCH(B960,'Base de données Mono'!D:D,0))</f>
        <v>0.22916666666666666</v>
      </c>
      <c r="L960" s="131">
        <f>INDEX('Base de données Mono'!N:N,MATCH(B960,'Base de données Mono'!D:D,0))</f>
        <v>0.54166666666666663</v>
      </c>
      <c r="M960" s="33" t="s">
        <v>46</v>
      </c>
      <c r="N960" s="33">
        <f>IF(AND(E960="Electricité",M960="Hiver"),INDEX('Base de données Mono'!E:E,MATCH(B960,'Base de données Mono'!D:D,0)),IF(AND(E960="Electricité",M960="Mi-saison"),INDEX('Base de données Mono'!F:F,MATCH(B960,'Base de données Mono'!D:D,0)),IF(AND(E960="Electricité",M960="Eté"),INDEX('Base de données Mono'!G:G,MATCH(B960,'Base de données Mono'!D:D,0)),IF(AND(E960="Gaz",M960="Hiver"),INDEX('Base de données Mono'!J:J,MATCH(B960,'Base de données Mono'!D:D,0)),IF(AND(E960="Gaz",M960="Mi-saison"),INDEX('Base de données Mono'!#REF!,MATCH(B960,'Base de données Mono'!D:D,0)),IF(AND(E960="Gaz",M960="Eté"),INDEX('Base de données Mono'!#REF!,MATCH(B960,'Base de données Mono'!D:D,0)),"-"))))))</f>
        <v>75</v>
      </c>
      <c r="O960" s="123">
        <v>45389</v>
      </c>
      <c r="P960" s="123">
        <v>45392</v>
      </c>
      <c r="Q960" s="34">
        <v>90</v>
      </c>
      <c r="R960" s="33">
        <f t="shared" si="125"/>
        <v>15</v>
      </c>
      <c r="S960" s="34">
        <v>8.5</v>
      </c>
      <c r="T960" s="34">
        <f t="shared" si="130"/>
        <v>3</v>
      </c>
      <c r="U960" s="33">
        <f t="shared" si="128"/>
        <v>382.5</v>
      </c>
      <c r="V960" s="38" t="s">
        <v>827</v>
      </c>
      <c r="W960" s="39">
        <f t="shared" si="129"/>
        <v>0.2</v>
      </c>
      <c r="X960" s="40" t="s">
        <v>304</v>
      </c>
      <c r="Y960" s="40" t="s">
        <v>284</v>
      </c>
      <c r="Z960" s="40" t="s">
        <v>305</v>
      </c>
      <c r="AA960" s="33" t="s">
        <v>771</v>
      </c>
      <c r="AB960" s="95"/>
      <c r="AC960" s="95"/>
    </row>
    <row r="961" spans="1:29" ht="14.45" hidden="1" customHeight="1" x14ac:dyDescent="0.25">
      <c r="A961" s="36" t="str">
        <f>INDEX('Base de données Mono'!C:C,MATCH(B961,'Base de données Mono'!D:D,0))</f>
        <v>POITIERS</v>
      </c>
      <c r="B961" t="s">
        <v>212</v>
      </c>
      <c r="C961" s="36" t="str">
        <f>INDEX('Base de données Mono'!B:B,MATCH(B961,'Base de données Mono'!D:D,0))</f>
        <v>SES8</v>
      </c>
      <c r="D961" s="36" t="str">
        <f>INDEX('Base de données Mono'!A:A,MATCH(B961,'Base de données Mono'!D:D,0))</f>
        <v>AD</v>
      </c>
      <c r="E961" s="37" t="s">
        <v>303</v>
      </c>
      <c r="F961" s="41">
        <f t="shared" si="126"/>
        <v>15</v>
      </c>
      <c r="G961" s="41">
        <f t="shared" si="127"/>
        <v>4</v>
      </c>
      <c r="H961">
        <v>8.5</v>
      </c>
      <c r="I961" s="131">
        <f>INDEX('Base de données Mono'!K:K,MATCH(B961,'Base de données Mono'!D:D,0))</f>
        <v>0.22916666666666666</v>
      </c>
      <c r="J961" s="131">
        <f>INDEX('Base de données Mono'!L:L,MATCH(B961,'Base de données Mono'!D:D,0))</f>
        <v>0.875</v>
      </c>
      <c r="K961" s="131">
        <f>INDEX('Base de données Mono'!M:M,MATCH(B961,'Base de données Mono'!D:D,0))</f>
        <v>0.22916666666666666</v>
      </c>
      <c r="L961" s="131">
        <f>INDEX('Base de données Mono'!N:N,MATCH(B961,'Base de données Mono'!D:D,0))</f>
        <v>0.54166666666666663</v>
      </c>
      <c r="M961" s="33" t="s">
        <v>46</v>
      </c>
      <c r="N961" s="33">
        <f>IF(AND(E961="Electricité",M961="Hiver"),INDEX('Base de données Mono'!E:E,MATCH(B961,'Base de données Mono'!D:D,0)),IF(AND(E961="Electricité",M961="Mi-saison"),INDEX('Base de données Mono'!F:F,MATCH(B961,'Base de données Mono'!D:D,0)),IF(AND(E961="Electricité",M961="Eté"),INDEX('Base de données Mono'!G:G,MATCH(B961,'Base de données Mono'!D:D,0)),IF(AND(E961="Gaz",M961="Hiver"),INDEX('Base de données Mono'!J:J,MATCH(B961,'Base de données Mono'!D:D,0)),IF(AND(E961="Gaz",M961="Mi-saison"),INDEX('Base de données Mono'!#REF!,MATCH(B961,'Base de données Mono'!D:D,0)),IF(AND(E961="Gaz",M961="Eté"),INDEX('Base de données Mono'!#REF!,MATCH(B961,'Base de données Mono'!D:D,0)),"-"))))))</f>
        <v>75</v>
      </c>
      <c r="O961" s="123">
        <v>45392</v>
      </c>
      <c r="P961" s="123">
        <v>45396</v>
      </c>
      <c r="Q961" s="34">
        <v>95</v>
      </c>
      <c r="R961" s="33">
        <f t="shared" si="125"/>
        <v>20</v>
      </c>
      <c r="S961" s="34">
        <v>8.5</v>
      </c>
      <c r="T961" s="34">
        <f t="shared" si="130"/>
        <v>4</v>
      </c>
      <c r="U961" s="33">
        <f t="shared" si="128"/>
        <v>680</v>
      </c>
      <c r="V961" s="38" t="s">
        <v>827</v>
      </c>
      <c r="W961" s="39">
        <f t="shared" si="129"/>
        <v>0.26666666666666666</v>
      </c>
      <c r="X961" s="40" t="s">
        <v>304</v>
      </c>
      <c r="Y961" s="40" t="s">
        <v>284</v>
      </c>
      <c r="Z961" s="40" t="s">
        <v>305</v>
      </c>
      <c r="AA961" s="33" t="s">
        <v>771</v>
      </c>
      <c r="AB961" s="95"/>
      <c r="AC961" s="95"/>
    </row>
    <row r="962" spans="1:29" ht="14.45" hidden="1" customHeight="1" x14ac:dyDescent="0.25">
      <c r="A962" s="36" t="str">
        <f>INDEX('Base de données Mono'!C:C,MATCH(B962,'Base de données Mono'!D:D,0))</f>
        <v>MONTREUIL</v>
      </c>
      <c r="B962" t="s">
        <v>25</v>
      </c>
      <c r="C962" s="36" t="str">
        <f>INDEX('Base de données Mono'!B:B,MATCH(B962,'Base de données Mono'!D:D,0))</f>
        <v>SES8</v>
      </c>
      <c r="D962" s="36" t="str">
        <f>INDEX('Base de données Mono'!A:A,MATCH(B962,'Base de données Mono'!D:D,0))</f>
        <v>JG</v>
      </c>
      <c r="E962" s="37" t="s">
        <v>303</v>
      </c>
      <c r="F962" s="41">
        <f>IF(O962="","-",IF(AND(X962="Nuit",WEEKDAY(O962,2)=7,O962&lt;&gt;P962),WEEKNUM(O962,2),WEEKNUM(O962,2)-1))+1</f>
        <v>15</v>
      </c>
      <c r="G962" s="41">
        <f>IF(O962="","-",MONTH(O962))</f>
        <v>4</v>
      </c>
      <c r="H962">
        <v>8.83</v>
      </c>
      <c r="I962" s="131">
        <f>INDEX('Base de données Mono'!K:K,MATCH(B962,'Base de données Mono'!D:D,0))</f>
        <v>0.24305555555555555</v>
      </c>
      <c r="J962" s="131">
        <f>INDEX('Base de données Mono'!L:L,MATCH(B962,'Base de données Mono'!D:D,0))</f>
        <v>0.875</v>
      </c>
      <c r="K962" s="131">
        <f>INDEX('Base de données Mono'!M:M,MATCH(B962,'Base de données Mono'!D:D,0))</f>
        <v>0.27083333333333331</v>
      </c>
      <c r="L962" s="131">
        <f>INDEX('Base de données Mono'!N:N,MATCH(B962,'Base de données Mono'!D:D,0))</f>
        <v>0.55902777777777779</v>
      </c>
      <c r="M962" s="33" t="s">
        <v>46</v>
      </c>
      <c r="N962" s="33">
        <f>IF(AND(E962="Electricité",M962="Hiver"),INDEX('Base de données Mono'!E:E,MATCH(B962,'Base de données Mono'!D:D,0)),IF(AND(E962="Electricité",M962="Mi-saison"),INDEX('Base de données Mono'!F:F,MATCH(B962,'Base de données Mono'!D:D,0)),IF(AND(E962="Electricité",M962="Eté"),INDEX('Base de données Mono'!G:G,MATCH(B962,'Base de données Mono'!D:D,0)),IF(AND(E962="Gaz",M962="Hiver"),INDEX('Base de données Mono'!J:J,MATCH(B962,'Base de données Mono'!D:D,0)),IF(AND(E962="Gaz",M962="Mi-saison"),INDEX('Base de données Mono'!#REF!,MATCH(B962,'Base de données Mono'!D:D,0)),IF(AND(E962="Gaz",M962="Eté"),INDEX('Base de données Mono'!#REF!,MATCH(B962,'Base de données Mono'!D:D,0)),"-"))))))</f>
        <v>95</v>
      </c>
      <c r="O962" s="123">
        <v>45389</v>
      </c>
      <c r="P962" s="123">
        <v>45390</v>
      </c>
      <c r="Q962" s="34">
        <v>110</v>
      </c>
      <c r="R962" s="33">
        <f t="shared" si="125"/>
        <v>15</v>
      </c>
      <c r="S962" s="34">
        <v>8.8000000000000007</v>
      </c>
      <c r="T962" s="34">
        <f t="shared" si="130"/>
        <v>1</v>
      </c>
      <c r="U962" s="33">
        <f t="shared" si="128"/>
        <v>132</v>
      </c>
      <c r="V962" s="38" t="s">
        <v>827</v>
      </c>
      <c r="W962" s="39">
        <f t="shared" si="129"/>
        <v>0.15789473684210525</v>
      </c>
      <c r="X962" s="40" t="s">
        <v>304</v>
      </c>
      <c r="Y962" s="40" t="s">
        <v>284</v>
      </c>
      <c r="Z962" s="40" t="s">
        <v>305</v>
      </c>
      <c r="AA962" s="33" t="s">
        <v>771</v>
      </c>
      <c r="AB962" s="95"/>
      <c r="AC962" s="95"/>
    </row>
    <row r="963" spans="1:29" ht="14.45" hidden="1" customHeight="1" x14ac:dyDescent="0.25">
      <c r="A963" s="36" t="str">
        <f>INDEX('Base de données Mono'!C:C,MATCH(B963,'Base de données Mono'!D:D,0))</f>
        <v>MONTREUIL</v>
      </c>
      <c r="B963" t="s">
        <v>25</v>
      </c>
      <c r="C963" s="36" t="str">
        <f>INDEX('Base de données Mono'!B:B,MATCH(B963,'Base de données Mono'!D:D,0))</f>
        <v>SES8</v>
      </c>
      <c r="D963" s="36" t="str">
        <f>INDEX('Base de données Mono'!A:A,MATCH(B963,'Base de données Mono'!D:D,0))</f>
        <v>JG</v>
      </c>
      <c r="E963" s="37" t="s">
        <v>303</v>
      </c>
      <c r="F963" s="41">
        <f>IF(O963="","-",IF(AND(X963="Nuit",WEEKDAY(O963,2)=7,O963&lt;&gt;P963),WEEKNUM(O963,2),WEEKNUM(O963,2)-1))+1</f>
        <v>15</v>
      </c>
      <c r="G963" s="41">
        <f>IF(O963="","-",MONTH(O963))</f>
        <v>4</v>
      </c>
      <c r="H963">
        <v>8.83</v>
      </c>
      <c r="I963" s="131">
        <f>INDEX('Base de données Mono'!K:K,MATCH(B963,'Base de données Mono'!D:D,0))</f>
        <v>0.24305555555555555</v>
      </c>
      <c r="J963" s="131">
        <f>INDEX('Base de données Mono'!L:L,MATCH(B963,'Base de données Mono'!D:D,0))</f>
        <v>0.875</v>
      </c>
      <c r="K963" s="131">
        <f>INDEX('Base de données Mono'!M:M,MATCH(B963,'Base de données Mono'!D:D,0))</f>
        <v>0.27083333333333331</v>
      </c>
      <c r="L963" s="131">
        <f>INDEX('Base de données Mono'!N:N,MATCH(B963,'Base de données Mono'!D:D,0))</f>
        <v>0.55902777777777779</v>
      </c>
      <c r="M963" s="33" t="s">
        <v>46</v>
      </c>
      <c r="N963" s="33">
        <f>IF(AND(E963="Electricité",M963="Hiver"),INDEX('Base de données Mono'!E:E,MATCH(B963,'Base de données Mono'!D:D,0)),IF(AND(E963="Electricité",M963="Mi-saison"),INDEX('Base de données Mono'!F:F,MATCH(B963,'Base de données Mono'!D:D,0)),IF(AND(E963="Electricité",M963="Eté"),INDEX('Base de données Mono'!G:G,MATCH(B963,'Base de données Mono'!D:D,0)),IF(AND(E963="Gaz",M963="Hiver"),INDEX('Base de données Mono'!J:J,MATCH(B963,'Base de données Mono'!D:D,0)),IF(AND(E963="Gaz",M963="Mi-saison"),INDEX('Base de données Mono'!#REF!,MATCH(B963,'Base de données Mono'!D:D,0)),IF(AND(E963="Gaz",M963="Eté"),INDEX('Base de données Mono'!#REF!,MATCH(B963,'Base de données Mono'!D:D,0)),"-"))))))</f>
        <v>95</v>
      </c>
      <c r="O963" s="123">
        <v>45390</v>
      </c>
      <c r="P963" s="123">
        <v>45396</v>
      </c>
      <c r="Q963" s="34">
        <v>150</v>
      </c>
      <c r="R963" s="33">
        <f t="shared" si="125"/>
        <v>55</v>
      </c>
      <c r="S963" s="34">
        <v>0.8</v>
      </c>
      <c r="T963" s="34">
        <f t="shared" si="130"/>
        <v>6</v>
      </c>
      <c r="U963" s="33">
        <f t="shared" si="128"/>
        <v>264</v>
      </c>
      <c r="V963" s="38" t="s">
        <v>827</v>
      </c>
      <c r="W963" s="39">
        <f t="shared" si="129"/>
        <v>0.57894736842105265</v>
      </c>
      <c r="X963" s="40" t="s">
        <v>304</v>
      </c>
      <c r="Y963" s="40" t="s">
        <v>284</v>
      </c>
      <c r="Z963" s="40" t="s">
        <v>307</v>
      </c>
      <c r="AA963" s="33" t="s">
        <v>313</v>
      </c>
      <c r="AB963" s="95"/>
      <c r="AC963" s="95"/>
    </row>
    <row r="964" spans="1:29" ht="14.45" hidden="1" customHeight="1" x14ac:dyDescent="0.25">
      <c r="A964" s="36" t="str">
        <f>INDEX('Base de données Mono'!C:C,MATCH(B964,'Base de données Mono'!D:D,0))</f>
        <v>MONTREUIL</v>
      </c>
      <c r="B964" t="s">
        <v>25</v>
      </c>
      <c r="C964" s="36" t="str">
        <f>INDEX('Base de données Mono'!B:B,MATCH(B964,'Base de données Mono'!D:D,0))</f>
        <v>SES8</v>
      </c>
      <c r="D964" s="36" t="str">
        <f>INDEX('Base de données Mono'!A:A,MATCH(B964,'Base de données Mono'!D:D,0))</f>
        <v>JG</v>
      </c>
      <c r="E964" s="37" t="s">
        <v>303</v>
      </c>
      <c r="F964" s="41">
        <f t="shared" si="126"/>
        <v>15</v>
      </c>
      <c r="G964" s="41">
        <f t="shared" si="127"/>
        <v>4</v>
      </c>
      <c r="H964">
        <v>8.83</v>
      </c>
      <c r="I964" s="131">
        <f>INDEX('Base de données Mono'!K:K,MATCH(B964,'Base de données Mono'!D:D,0))</f>
        <v>0.24305555555555555</v>
      </c>
      <c r="J964" s="131">
        <f>INDEX('Base de données Mono'!L:L,MATCH(B964,'Base de données Mono'!D:D,0))</f>
        <v>0.875</v>
      </c>
      <c r="K964" s="131">
        <f>INDEX('Base de données Mono'!M:M,MATCH(B964,'Base de données Mono'!D:D,0))</f>
        <v>0.27083333333333331</v>
      </c>
      <c r="L964" s="131">
        <f>INDEX('Base de données Mono'!N:N,MATCH(B964,'Base de données Mono'!D:D,0))</f>
        <v>0.55902777777777779</v>
      </c>
      <c r="M964" s="33" t="s">
        <v>46</v>
      </c>
      <c r="N964" s="33">
        <f>IF(AND(E964="Electricité",M964="Hiver"),INDEX('Base de données Mono'!E:E,MATCH(B964,'Base de données Mono'!D:D,0)),IF(AND(E964="Electricité",M964="Mi-saison"),INDEX('Base de données Mono'!F:F,MATCH(B964,'Base de données Mono'!D:D,0)),IF(AND(E964="Electricité",M964="Eté"),INDEX('Base de données Mono'!G:G,MATCH(B964,'Base de données Mono'!D:D,0)),IF(AND(E964="Gaz",M964="Hiver"),INDEX('Base de données Mono'!J:J,MATCH(B964,'Base de données Mono'!D:D,0)),IF(AND(E964="Gaz",M964="Mi-saison"),INDEX('Base de données Mono'!#REF!,MATCH(B964,'Base de données Mono'!D:D,0)),IF(AND(E964="Gaz",M964="Eté"),INDEX('Base de données Mono'!#REF!,MATCH(B964,'Base de données Mono'!D:D,0)),"-"))))))</f>
        <v>95</v>
      </c>
      <c r="O964" s="123">
        <v>45390</v>
      </c>
      <c r="P964" s="123">
        <v>45396</v>
      </c>
      <c r="Q964" s="34">
        <v>115</v>
      </c>
      <c r="R964" s="33">
        <f t="shared" si="125"/>
        <v>20</v>
      </c>
      <c r="S964" s="34">
        <v>8</v>
      </c>
      <c r="T964" s="34">
        <f t="shared" si="130"/>
        <v>6</v>
      </c>
      <c r="U964" s="33">
        <f t="shared" si="128"/>
        <v>960</v>
      </c>
      <c r="V964" s="38" t="s">
        <v>827</v>
      </c>
      <c r="W964" s="39">
        <f t="shared" si="129"/>
        <v>0.21052631578947367</v>
      </c>
      <c r="X964" s="40" t="s">
        <v>304</v>
      </c>
      <c r="Y964" s="40" t="s">
        <v>284</v>
      </c>
      <c r="Z964" s="40" t="s">
        <v>305</v>
      </c>
      <c r="AA964" s="33" t="s">
        <v>771</v>
      </c>
      <c r="AB964" s="95"/>
      <c r="AC964" s="95"/>
    </row>
    <row r="965" spans="1:29" ht="14.45" hidden="1" customHeight="1" x14ac:dyDescent="0.25">
      <c r="A965" s="36" t="str">
        <f>INDEX('Base de données Mono'!C:C,MATCH(B965,'Base de données Mono'!D:D,0))</f>
        <v>PLACE DES FETES</v>
      </c>
      <c r="B965" t="s">
        <v>210</v>
      </c>
      <c r="C965" s="36" t="str">
        <f>INDEX('Base de données Mono'!B:B,MATCH(B965,'Base de données Mono'!D:D,0))</f>
        <v>SES8</v>
      </c>
      <c r="D965" s="36" t="str">
        <f>INDEX('Base de données Mono'!A:A,MATCH(B965,'Base de données Mono'!D:D,0))</f>
        <v>AD</v>
      </c>
      <c r="E965" s="37" t="s">
        <v>303</v>
      </c>
      <c r="F965" s="41">
        <f t="shared" si="126"/>
        <v>15</v>
      </c>
      <c r="G965" s="41">
        <f t="shared" si="127"/>
        <v>4</v>
      </c>
      <c r="H965">
        <v>8.83</v>
      </c>
      <c r="I965" s="131">
        <f>INDEX('Base de données Mono'!K:K,MATCH(B965,'Base de données Mono'!D:D,0))</f>
        <v>0.22916666666666666</v>
      </c>
      <c r="J965" s="131">
        <f>INDEX('Base de données Mono'!L:L,MATCH(B965,'Base de données Mono'!D:D,0))</f>
        <v>0.86111111111111116</v>
      </c>
      <c r="K965" s="131">
        <f>INDEX('Base de données Mono'!M:M,MATCH(B965,'Base de données Mono'!D:D,0))</f>
        <v>0.27777777777777779</v>
      </c>
      <c r="L965" s="131">
        <f>INDEX('Base de données Mono'!N:N,MATCH(B965,'Base de données Mono'!D:D,0))</f>
        <v>0.77777777777777779</v>
      </c>
      <c r="M965" s="33" t="s">
        <v>46</v>
      </c>
      <c r="N965" s="33">
        <f>IF(AND(E965="Electricité",M965="Hiver"),INDEX('Base de données Mono'!E:E,MATCH(B965,'Base de données Mono'!D:D,0)),IF(AND(E965="Electricité",M965="Mi-saison"),INDEX('Base de données Mono'!F:F,MATCH(B965,'Base de données Mono'!D:D,0)),IF(AND(E965="Electricité",M965="Eté"),INDEX('Base de données Mono'!G:G,MATCH(B965,'Base de données Mono'!D:D,0)),IF(AND(E965="Gaz",M965="Hiver"),INDEX('Base de données Mono'!J:J,MATCH(B965,'Base de données Mono'!D:D,0)),IF(AND(E965="Gaz",M965="Mi-saison"),INDEX('Base de données Mono'!#REF!,MATCH(B965,'Base de données Mono'!D:D,0)),IF(AND(E965="Gaz",M965="Eté"),INDEX('Base de données Mono'!#REF!,MATCH(B965,'Base de données Mono'!D:D,0)),"-"))))))</f>
        <v>85</v>
      </c>
      <c r="O965" s="123">
        <v>45389</v>
      </c>
      <c r="P965" s="123">
        <v>45392</v>
      </c>
      <c r="Q965" s="34">
        <v>115</v>
      </c>
      <c r="R965" s="33">
        <v>30</v>
      </c>
      <c r="S965" s="34">
        <v>0.5</v>
      </c>
      <c r="T965" s="34">
        <f t="shared" si="130"/>
        <v>3</v>
      </c>
      <c r="U965" s="33">
        <v>45</v>
      </c>
      <c r="V965" s="38" t="s">
        <v>827</v>
      </c>
      <c r="W965" s="39">
        <v>0.35294117647058826</v>
      </c>
      <c r="X965" s="40" t="s">
        <v>304</v>
      </c>
      <c r="Y965" s="40" t="s">
        <v>284</v>
      </c>
      <c r="Z965" s="40" t="s">
        <v>307</v>
      </c>
      <c r="AA965" s="95" t="s">
        <v>414</v>
      </c>
      <c r="AB965" s="95"/>
      <c r="AC965" s="95"/>
    </row>
    <row r="966" spans="1:29" ht="14.45" hidden="1" customHeight="1" x14ac:dyDescent="0.25">
      <c r="A966" s="36" t="str">
        <f>INDEX('Base de données Mono'!C:C,MATCH(B966,'Base de données Mono'!D:D,0))</f>
        <v>PLACE DES FETES</v>
      </c>
      <c r="B966" t="s">
        <v>210</v>
      </c>
      <c r="C966" s="36" t="str">
        <f>INDEX('Base de données Mono'!B:B,MATCH(B966,'Base de données Mono'!D:D,0))</f>
        <v>SES8</v>
      </c>
      <c r="D966" s="36" t="str">
        <f>INDEX('Base de données Mono'!A:A,MATCH(B966,'Base de données Mono'!D:D,0))</f>
        <v>AD</v>
      </c>
      <c r="E966" s="37" t="s">
        <v>303</v>
      </c>
      <c r="F966" s="41">
        <f t="shared" si="126"/>
        <v>15</v>
      </c>
      <c r="G966" s="41">
        <f t="shared" si="127"/>
        <v>4</v>
      </c>
      <c r="H966">
        <v>8.83</v>
      </c>
      <c r="I966" s="131">
        <f>INDEX('Base de données Mono'!K:K,MATCH(B966,'Base de données Mono'!D:D,0))</f>
        <v>0.22916666666666666</v>
      </c>
      <c r="J966" s="131">
        <f>INDEX('Base de données Mono'!L:L,MATCH(B966,'Base de données Mono'!D:D,0))</f>
        <v>0.86111111111111116</v>
      </c>
      <c r="K966" s="131">
        <f>INDEX('Base de données Mono'!M:M,MATCH(B966,'Base de données Mono'!D:D,0))</f>
        <v>0.27777777777777779</v>
      </c>
      <c r="L966" s="131">
        <f>INDEX('Base de données Mono'!N:N,MATCH(B966,'Base de données Mono'!D:D,0))</f>
        <v>0.77777777777777779</v>
      </c>
      <c r="M966" s="33" t="s">
        <v>46</v>
      </c>
      <c r="N966" s="33">
        <f>IF(AND(E966="Electricité",M966="Hiver"),INDEX('Base de données Mono'!E:E,MATCH(B966,'Base de données Mono'!D:D,0)),IF(AND(E966="Electricité",M966="Mi-saison"),INDEX('Base de données Mono'!F:F,MATCH(B966,'Base de données Mono'!D:D,0)),IF(AND(E966="Electricité",M966="Eté"),INDEX('Base de données Mono'!G:G,MATCH(B966,'Base de données Mono'!D:D,0)),IF(AND(E966="Gaz",M966="Hiver"),INDEX('Base de données Mono'!J:J,MATCH(B966,'Base de données Mono'!D:D,0)),IF(AND(E966="Gaz",M966="Mi-saison"),INDEX('Base de données Mono'!#REF!,MATCH(B966,'Base de données Mono'!D:D,0)),IF(AND(E966="Gaz",M966="Eté"),INDEX('Base de données Mono'!#REF!,MATCH(B966,'Base de données Mono'!D:D,0)),"-"))))))</f>
        <v>85</v>
      </c>
      <c r="O966" s="123">
        <v>45390</v>
      </c>
      <c r="P966" s="123">
        <v>45396</v>
      </c>
      <c r="Q966" s="34">
        <v>125</v>
      </c>
      <c r="R966" s="33">
        <v>40</v>
      </c>
      <c r="S966" s="34">
        <v>0.3</v>
      </c>
      <c r="T966" s="34">
        <f t="shared" si="130"/>
        <v>6</v>
      </c>
      <c r="U966" s="33">
        <v>72</v>
      </c>
      <c r="V966" s="38" t="s">
        <v>827</v>
      </c>
      <c r="W966" s="39">
        <v>0.47058823529411764</v>
      </c>
      <c r="X966" s="40" t="s">
        <v>304</v>
      </c>
      <c r="Y966" s="40" t="s">
        <v>284</v>
      </c>
      <c r="Z966" s="40" t="s">
        <v>307</v>
      </c>
      <c r="AA966" s="33" t="s">
        <v>313</v>
      </c>
      <c r="AB966" s="95"/>
      <c r="AC966" s="95"/>
    </row>
    <row r="967" spans="1:29" ht="14.45" hidden="1" customHeight="1" x14ac:dyDescent="0.25">
      <c r="A967" s="36" t="str">
        <f>INDEX('Base de données Mono'!C:C,MATCH(B967,'Base de données Mono'!D:D,0))</f>
        <v>LES HUISSIERS</v>
      </c>
      <c r="B967" t="s">
        <v>156</v>
      </c>
      <c r="C967" s="36" t="str">
        <f>INDEX('Base de données Mono'!B:B,MATCH(B967,'Base de données Mono'!D:D,0))</f>
        <v>SES8</v>
      </c>
      <c r="D967" s="36" t="str">
        <f>INDEX('Base de données Mono'!A:A,MATCH(B967,'Base de données Mono'!D:D,0))</f>
        <v>AD</v>
      </c>
      <c r="E967" s="37" t="s">
        <v>303</v>
      </c>
      <c r="F967" s="41">
        <f>IF(O967="","-",IF(AND(X967="Nuit",WEEKDAY(O967,2)=7,O967&lt;&gt;P967),WEEKNUM(O967,2),WEEKNUM(O967,2)-1))+1</f>
        <v>15</v>
      </c>
      <c r="G967" s="41">
        <f>IF(O967="","-",MONTH(O967))</f>
        <v>4</v>
      </c>
      <c r="H967">
        <v>8</v>
      </c>
      <c r="I967" s="131">
        <f>INDEX('Base de données Mono'!K:K,MATCH(B967,'Base de données Mono'!D:D,0))</f>
        <v>0.22916666666666666</v>
      </c>
      <c r="J967" s="131">
        <f>INDEX('Base de données Mono'!L:L,MATCH(B967,'Base de données Mono'!D:D,0))</f>
        <v>0.89583333333333337</v>
      </c>
      <c r="K967" s="131">
        <f>INDEX('Base de données Mono'!M:M,MATCH(B967,'Base de données Mono'!D:D,0))</f>
        <v>0.27777777777777779</v>
      </c>
      <c r="L967" s="131">
        <f>INDEX('Base de données Mono'!N:N,MATCH(B967,'Base de données Mono'!D:D,0))</f>
        <v>0.5625</v>
      </c>
      <c r="M967" s="33" t="s">
        <v>46</v>
      </c>
      <c r="N967" s="33">
        <f>IF(AND(E967="Electricité",M967="Hiver"),INDEX('Base de données Mono'!E:E,MATCH(B967,'Base de données Mono'!D:D,0)),IF(AND(E967="Electricité",M967="Mi-saison"),INDEX('Base de données Mono'!F:F,MATCH(B967,'Base de données Mono'!D:D,0)),IF(AND(E967="Electricité",M967="Eté"),INDEX('Base de données Mono'!G:G,MATCH(B967,'Base de données Mono'!D:D,0)),IF(AND(E967="Gaz",M967="Hiver"),INDEX('Base de données Mono'!J:J,MATCH(B967,'Base de données Mono'!D:D,0)),IF(AND(E967="Gaz",M967="Mi-saison"),INDEX('Base de données Mono'!#REF!,MATCH(B967,'Base de données Mono'!D:D,0)),IF(AND(E967="Gaz",M967="Eté"),INDEX('Base de données Mono'!#REF!,MATCH(B967,'Base de données Mono'!D:D,0)),"-"))))))</f>
        <v>65</v>
      </c>
      <c r="O967" s="123">
        <v>45389</v>
      </c>
      <c r="P967" s="123">
        <v>45390</v>
      </c>
      <c r="Q967" s="34">
        <v>80</v>
      </c>
      <c r="R967" s="33">
        <f>IF(Q967="","",Q967-N967)</f>
        <v>15</v>
      </c>
      <c r="S967" s="34">
        <v>8</v>
      </c>
      <c r="T967" s="34">
        <f t="shared" si="130"/>
        <v>1</v>
      </c>
      <c r="U967" s="33">
        <f>R967*S967*T967</f>
        <v>120</v>
      </c>
      <c r="V967" s="38" t="s">
        <v>827</v>
      </c>
      <c r="W967" s="39">
        <f>IFERROR(IF(E967="Gaz","-",R967/N967),"-")</f>
        <v>0.23076923076923078</v>
      </c>
      <c r="X967" s="40" t="s">
        <v>304</v>
      </c>
      <c r="Y967" s="40" t="s">
        <v>284</v>
      </c>
      <c r="Z967" s="40" t="s">
        <v>305</v>
      </c>
      <c r="AA967" s="33" t="s">
        <v>771</v>
      </c>
      <c r="AB967" s="95"/>
      <c r="AC967" s="95"/>
    </row>
    <row r="968" spans="1:29" ht="14.45" hidden="1" customHeight="1" x14ac:dyDescent="0.25">
      <c r="A968" s="36" t="str">
        <f>INDEX('Base de données Mono'!C:C,MATCH(B968,'Base de données Mono'!D:D,0))</f>
        <v>LES HUISSIERS</v>
      </c>
      <c r="B968" t="s">
        <v>156</v>
      </c>
      <c r="C968" s="36" t="str">
        <f>INDEX('Base de données Mono'!B:B,MATCH(B968,'Base de données Mono'!D:D,0))</f>
        <v>SES8</v>
      </c>
      <c r="D968" s="36" t="str">
        <f>INDEX('Base de données Mono'!A:A,MATCH(B968,'Base de données Mono'!D:D,0))</f>
        <v>AD</v>
      </c>
      <c r="E968" s="37" t="s">
        <v>303</v>
      </c>
      <c r="F968" s="41">
        <f t="shared" si="126"/>
        <v>15</v>
      </c>
      <c r="G968" s="41">
        <f t="shared" si="127"/>
        <v>4</v>
      </c>
      <c r="H968">
        <v>8</v>
      </c>
      <c r="I968" s="131">
        <f>INDEX('Base de données Mono'!K:K,MATCH(B968,'Base de données Mono'!D:D,0))</f>
        <v>0.22916666666666666</v>
      </c>
      <c r="J968" s="131">
        <f>INDEX('Base de données Mono'!L:L,MATCH(B968,'Base de données Mono'!D:D,0))</f>
        <v>0.89583333333333337</v>
      </c>
      <c r="K968" s="131">
        <f>INDEX('Base de données Mono'!M:M,MATCH(B968,'Base de données Mono'!D:D,0))</f>
        <v>0.27777777777777779</v>
      </c>
      <c r="L968" s="131">
        <f>INDEX('Base de données Mono'!N:N,MATCH(B968,'Base de données Mono'!D:D,0))</f>
        <v>0.5625</v>
      </c>
      <c r="M968" s="33" t="s">
        <v>46</v>
      </c>
      <c r="N968" s="33">
        <f>IF(AND(E968="Electricité",M968="Hiver"),INDEX('Base de données Mono'!E:E,MATCH(B968,'Base de données Mono'!D:D,0)),IF(AND(E968="Electricité",M968="Mi-saison"),INDEX('Base de données Mono'!F:F,MATCH(B968,'Base de données Mono'!D:D,0)),IF(AND(E968="Electricité",M968="Eté"),INDEX('Base de données Mono'!G:G,MATCH(B968,'Base de données Mono'!D:D,0)),IF(AND(E968="Gaz",M968="Hiver"),INDEX('Base de données Mono'!J:J,MATCH(B968,'Base de données Mono'!D:D,0)),IF(AND(E968="Gaz",M968="Mi-saison"),INDEX('Base de données Mono'!#REF!,MATCH(B968,'Base de données Mono'!D:D,0)),IF(AND(E968="Gaz",M968="Eté"),INDEX('Base de données Mono'!#REF!,MATCH(B968,'Base de données Mono'!D:D,0)),"-"))))))</f>
        <v>65</v>
      </c>
      <c r="O968" s="123">
        <v>45393</v>
      </c>
      <c r="P968" s="123">
        <v>45395</v>
      </c>
      <c r="Q968" s="34">
        <v>80</v>
      </c>
      <c r="R968" s="33">
        <f t="shared" ref="R968:R989" si="131">IF(Q968="","",Q968-N968)</f>
        <v>15</v>
      </c>
      <c r="S968" s="34">
        <v>8</v>
      </c>
      <c r="T968" s="34">
        <f t="shared" si="130"/>
        <v>2</v>
      </c>
      <c r="U968" s="33">
        <f t="shared" si="128"/>
        <v>240</v>
      </c>
      <c r="V968" s="38" t="s">
        <v>827</v>
      </c>
      <c r="W968" s="39">
        <f t="shared" si="129"/>
        <v>0.23076923076923078</v>
      </c>
      <c r="X968" s="40" t="s">
        <v>304</v>
      </c>
      <c r="Y968" s="40" t="s">
        <v>284</v>
      </c>
      <c r="Z968" s="40" t="s">
        <v>305</v>
      </c>
      <c r="AA968" s="33" t="s">
        <v>771</v>
      </c>
      <c r="AB968" s="95"/>
      <c r="AC968" s="95"/>
    </row>
    <row r="969" spans="1:29" ht="14.45" hidden="1" customHeight="1" x14ac:dyDescent="0.25">
      <c r="A969" s="36" t="str">
        <f>INDEX('Base de données Mono'!C:C,MATCH(B969,'Base de données Mono'!D:D,0))</f>
        <v>LES HUISSIERS</v>
      </c>
      <c r="B969" t="s">
        <v>156</v>
      </c>
      <c r="C969" s="36" t="str">
        <f>INDEX('Base de données Mono'!B:B,MATCH(B969,'Base de données Mono'!D:D,0))</f>
        <v>SES8</v>
      </c>
      <c r="D969" s="36" t="str">
        <f>INDEX('Base de données Mono'!A:A,MATCH(B969,'Base de données Mono'!D:D,0))</f>
        <v>AD</v>
      </c>
      <c r="E969" s="37" t="s">
        <v>303</v>
      </c>
      <c r="F969" s="41">
        <f t="shared" si="126"/>
        <v>15</v>
      </c>
      <c r="G969" s="41">
        <f t="shared" si="127"/>
        <v>4</v>
      </c>
      <c r="H969">
        <v>8</v>
      </c>
      <c r="I969" s="131">
        <f>INDEX('Base de données Mono'!K:K,MATCH(B969,'Base de données Mono'!D:D,0))</f>
        <v>0.22916666666666666</v>
      </c>
      <c r="J969" s="131">
        <f>INDEX('Base de données Mono'!L:L,MATCH(B969,'Base de données Mono'!D:D,0))</f>
        <v>0.89583333333333337</v>
      </c>
      <c r="K969" s="131">
        <f>INDEX('Base de données Mono'!M:M,MATCH(B969,'Base de données Mono'!D:D,0))</f>
        <v>0.27777777777777779</v>
      </c>
      <c r="L969" s="131">
        <f>INDEX('Base de données Mono'!N:N,MATCH(B969,'Base de données Mono'!D:D,0))</f>
        <v>0.5625</v>
      </c>
      <c r="M969" s="33" t="s">
        <v>46</v>
      </c>
      <c r="N969" s="33">
        <f>IF(AND(E969="Electricité",M969="Hiver"),INDEX('Base de données Mono'!E:E,MATCH(B969,'Base de données Mono'!D:D,0)),IF(AND(E969="Electricité",M969="Mi-saison"),INDEX('Base de données Mono'!F:F,MATCH(B969,'Base de données Mono'!D:D,0)),IF(AND(E969="Electricité",M969="Eté"),INDEX('Base de données Mono'!G:G,MATCH(B969,'Base de données Mono'!D:D,0)),IF(AND(E969="Gaz",M969="Hiver"),INDEX('Base de données Mono'!J:J,MATCH(B969,'Base de données Mono'!D:D,0)),IF(AND(E969="Gaz",M969="Mi-saison"),INDEX('Base de données Mono'!#REF!,MATCH(B969,'Base de données Mono'!D:D,0)),IF(AND(E969="Gaz",M969="Eté"),INDEX('Base de données Mono'!#REF!,MATCH(B969,'Base de données Mono'!D:D,0)),"-"))))))</f>
        <v>65</v>
      </c>
      <c r="O969" s="123">
        <v>45395</v>
      </c>
      <c r="P969" s="123">
        <v>45396</v>
      </c>
      <c r="Q969" s="34">
        <v>80</v>
      </c>
      <c r="R969" s="33">
        <f t="shared" si="131"/>
        <v>15</v>
      </c>
      <c r="S969" s="34">
        <v>9</v>
      </c>
      <c r="T969" s="34">
        <f t="shared" si="130"/>
        <v>1</v>
      </c>
      <c r="U969" s="33">
        <f t="shared" si="128"/>
        <v>135</v>
      </c>
      <c r="V969" s="38" t="s">
        <v>827</v>
      </c>
      <c r="W969" s="39">
        <f t="shared" si="129"/>
        <v>0.23076923076923078</v>
      </c>
      <c r="X969" s="40" t="s">
        <v>304</v>
      </c>
      <c r="Y969" s="40" t="s">
        <v>284</v>
      </c>
      <c r="Z969" s="40" t="s">
        <v>305</v>
      </c>
      <c r="AA969" s="33" t="s">
        <v>771</v>
      </c>
      <c r="AB969" s="95"/>
      <c r="AC969" s="95"/>
    </row>
    <row r="970" spans="1:29" ht="14.45" hidden="1" customHeight="1" x14ac:dyDescent="0.25">
      <c r="A970" s="36" t="str">
        <f>INDEX('Base de données Mono'!C:C,MATCH(B970,'Base de données Mono'!D:D,0))</f>
        <v>ROQUETTE</v>
      </c>
      <c r="B970" t="s">
        <v>225</v>
      </c>
      <c r="C970" s="36" t="str">
        <f>INDEX('Base de données Mono'!B:B,MATCH(B970,'Base de données Mono'!D:D,0))</f>
        <v>SES8</v>
      </c>
      <c r="D970" s="36" t="str">
        <f>INDEX('Base de données Mono'!A:A,MATCH(B970,'Base de données Mono'!D:D,0))</f>
        <v>JG</v>
      </c>
      <c r="E970" s="37" t="s">
        <v>303</v>
      </c>
      <c r="F970" s="41">
        <f t="shared" si="126"/>
        <v>15</v>
      </c>
      <c r="G970" s="41">
        <f t="shared" si="127"/>
        <v>4</v>
      </c>
      <c r="H970">
        <v>8</v>
      </c>
      <c r="I970" s="131">
        <f>INDEX('Base de données Mono'!K:K,MATCH(B970,'Base de données Mono'!D:D,0))</f>
        <v>0.25</v>
      </c>
      <c r="J970" s="131">
        <f>INDEX('Base de données Mono'!L:L,MATCH(B970,'Base de données Mono'!D:D,0))</f>
        <v>0.91666666666666663</v>
      </c>
      <c r="K970" s="131">
        <f>INDEX('Base de données Mono'!M:M,MATCH(B970,'Base de données Mono'!D:D,0))</f>
        <v>0.29166666666666669</v>
      </c>
      <c r="L970" s="131">
        <f>INDEX('Base de données Mono'!N:N,MATCH(B970,'Base de données Mono'!D:D,0))</f>
        <v>0.55208333333333337</v>
      </c>
      <c r="M970" s="33" t="s">
        <v>46</v>
      </c>
      <c r="N970" s="33">
        <f>IF(AND(E970="Electricité",M970="Hiver"),INDEX('Base de données Mono'!E:E,MATCH(B970,'Base de données Mono'!D:D,0)),IF(AND(E970="Electricité",M970="Mi-saison"),INDEX('Base de données Mono'!F:F,MATCH(B970,'Base de données Mono'!D:D,0)),IF(AND(E970="Electricité",M970="Eté"),INDEX('Base de données Mono'!G:G,MATCH(B970,'Base de données Mono'!D:D,0)),IF(AND(E970="Gaz",M970="Hiver"),INDEX('Base de données Mono'!J:J,MATCH(B970,'Base de données Mono'!D:D,0)),IF(AND(E970="Gaz",M970="Mi-saison"),INDEX('Base de données Mono'!#REF!,MATCH(B970,'Base de données Mono'!D:D,0)),IF(AND(E970="Gaz",M970="Eté"),INDEX('Base de données Mono'!#REF!,MATCH(B970,'Base de données Mono'!D:D,0)),"-"))))))</f>
        <v>60</v>
      </c>
      <c r="O970" s="123">
        <v>45389</v>
      </c>
      <c r="P970" s="123">
        <v>45391</v>
      </c>
      <c r="Q970" s="34">
        <v>80</v>
      </c>
      <c r="R970" s="33">
        <f t="shared" si="131"/>
        <v>20</v>
      </c>
      <c r="S970" s="34">
        <v>8</v>
      </c>
      <c r="T970" s="34">
        <f t="shared" si="130"/>
        <v>2</v>
      </c>
      <c r="U970" s="33">
        <f t="shared" si="128"/>
        <v>320</v>
      </c>
      <c r="V970" s="38" t="s">
        <v>827</v>
      </c>
      <c r="W970" s="39">
        <f t="shared" si="129"/>
        <v>0.33333333333333331</v>
      </c>
      <c r="X970" s="40" t="s">
        <v>304</v>
      </c>
      <c r="Y970" s="40" t="s">
        <v>284</v>
      </c>
      <c r="Z970" s="40" t="s">
        <v>305</v>
      </c>
      <c r="AA970" s="33" t="s">
        <v>771</v>
      </c>
      <c r="AB970" s="95"/>
      <c r="AC970" s="95"/>
    </row>
    <row r="971" spans="1:29" ht="14.45" hidden="1" customHeight="1" x14ac:dyDescent="0.25">
      <c r="A971" s="36" t="str">
        <f>INDEX('Base de données Mono'!C:C,MATCH(B971,'Base de données Mono'!D:D,0))</f>
        <v>ROQUETTE</v>
      </c>
      <c r="B971" t="s">
        <v>225</v>
      </c>
      <c r="C971" s="36" t="str">
        <f>INDEX('Base de données Mono'!B:B,MATCH(B971,'Base de données Mono'!D:D,0))</f>
        <v>SES8</v>
      </c>
      <c r="D971" s="36" t="str">
        <f>INDEX('Base de données Mono'!A:A,MATCH(B971,'Base de données Mono'!D:D,0))</f>
        <v>JG</v>
      </c>
      <c r="E971" s="37" t="s">
        <v>303</v>
      </c>
      <c r="F971" s="41">
        <f t="shared" si="126"/>
        <v>15</v>
      </c>
      <c r="G971" s="41">
        <f t="shared" si="127"/>
        <v>4</v>
      </c>
      <c r="H971">
        <v>8</v>
      </c>
      <c r="I971" s="131">
        <f>INDEX('Base de données Mono'!K:K,MATCH(B971,'Base de données Mono'!D:D,0))</f>
        <v>0.25</v>
      </c>
      <c r="J971" s="131">
        <f>INDEX('Base de données Mono'!L:L,MATCH(B971,'Base de données Mono'!D:D,0))</f>
        <v>0.91666666666666663</v>
      </c>
      <c r="K971" s="131">
        <f>INDEX('Base de données Mono'!M:M,MATCH(B971,'Base de données Mono'!D:D,0))</f>
        <v>0.29166666666666669</v>
      </c>
      <c r="L971" s="131">
        <f>INDEX('Base de données Mono'!N:N,MATCH(B971,'Base de données Mono'!D:D,0))</f>
        <v>0.55208333333333337</v>
      </c>
      <c r="M971" s="33" t="s">
        <v>46</v>
      </c>
      <c r="N971" s="33">
        <f>IF(AND(E971="Electricité",M971="Hiver"),INDEX('Base de données Mono'!E:E,MATCH(B971,'Base de données Mono'!D:D,0)),IF(AND(E971="Electricité",M971="Mi-saison"),INDEX('Base de données Mono'!F:F,MATCH(B971,'Base de données Mono'!D:D,0)),IF(AND(E971="Electricité",M971="Eté"),INDEX('Base de données Mono'!G:G,MATCH(B971,'Base de données Mono'!D:D,0)),IF(AND(E971="Gaz",M971="Hiver"),INDEX('Base de données Mono'!J:J,MATCH(B971,'Base de données Mono'!D:D,0)),IF(AND(E971="Gaz",M971="Mi-saison"),INDEX('Base de données Mono'!#REF!,MATCH(B971,'Base de données Mono'!D:D,0)),IF(AND(E971="Gaz",M971="Eté"),INDEX('Base de données Mono'!#REF!,MATCH(B971,'Base de données Mono'!D:D,0)),"-"))))))</f>
        <v>60</v>
      </c>
      <c r="O971" s="123">
        <v>45391</v>
      </c>
      <c r="P971" s="123">
        <v>45393</v>
      </c>
      <c r="Q971" s="34">
        <v>85</v>
      </c>
      <c r="R971" s="33">
        <f t="shared" si="131"/>
        <v>25</v>
      </c>
      <c r="S971" s="34">
        <v>8</v>
      </c>
      <c r="T971" s="34">
        <f t="shared" si="130"/>
        <v>2</v>
      </c>
      <c r="U971" s="33">
        <f t="shared" si="128"/>
        <v>400</v>
      </c>
      <c r="V971" s="38" t="s">
        <v>827</v>
      </c>
      <c r="W971" s="39">
        <f t="shared" si="129"/>
        <v>0.41666666666666669</v>
      </c>
      <c r="X971" s="40" t="s">
        <v>304</v>
      </c>
      <c r="Y971" s="40" t="s">
        <v>284</v>
      </c>
      <c r="Z971" s="40" t="s">
        <v>305</v>
      </c>
      <c r="AA971" s="33" t="s">
        <v>771</v>
      </c>
      <c r="AB971" s="95"/>
      <c r="AC971" s="95"/>
    </row>
    <row r="972" spans="1:29" ht="14.45" hidden="1" customHeight="1" x14ac:dyDescent="0.25">
      <c r="A972" s="36" t="str">
        <f>INDEX('Base de données Mono'!C:C,MATCH(B972,'Base de données Mono'!D:D,0))</f>
        <v>ROQUETTE</v>
      </c>
      <c r="B972" t="s">
        <v>225</v>
      </c>
      <c r="C972" s="36" t="str">
        <f>INDEX('Base de données Mono'!B:B,MATCH(B972,'Base de données Mono'!D:D,0))</f>
        <v>SES8</v>
      </c>
      <c r="D972" s="36" t="str">
        <f>INDEX('Base de données Mono'!A:A,MATCH(B972,'Base de données Mono'!D:D,0))</f>
        <v>JG</v>
      </c>
      <c r="E972" s="37" t="s">
        <v>303</v>
      </c>
      <c r="F972" s="41">
        <f t="shared" si="126"/>
        <v>15</v>
      </c>
      <c r="G972" s="41">
        <f t="shared" si="127"/>
        <v>4</v>
      </c>
      <c r="H972">
        <v>8</v>
      </c>
      <c r="I972" s="131">
        <f>INDEX('Base de données Mono'!K:K,MATCH(B972,'Base de données Mono'!D:D,0))</f>
        <v>0.25</v>
      </c>
      <c r="J972" s="131">
        <f>INDEX('Base de données Mono'!L:L,MATCH(B972,'Base de données Mono'!D:D,0))</f>
        <v>0.91666666666666663</v>
      </c>
      <c r="K972" s="131">
        <f>INDEX('Base de données Mono'!M:M,MATCH(B972,'Base de données Mono'!D:D,0))</f>
        <v>0.29166666666666669</v>
      </c>
      <c r="L972" s="131">
        <f>INDEX('Base de données Mono'!N:N,MATCH(B972,'Base de données Mono'!D:D,0))</f>
        <v>0.55208333333333337</v>
      </c>
      <c r="M972" s="33" t="s">
        <v>46</v>
      </c>
      <c r="N972" s="33">
        <f>IF(AND(E972="Electricité",M972="Hiver"),INDEX('Base de données Mono'!E:E,MATCH(B972,'Base de données Mono'!D:D,0)),IF(AND(E972="Electricité",M972="Mi-saison"),INDEX('Base de données Mono'!F:F,MATCH(B972,'Base de données Mono'!D:D,0)),IF(AND(E972="Electricité",M972="Eté"),INDEX('Base de données Mono'!G:G,MATCH(B972,'Base de données Mono'!D:D,0)),IF(AND(E972="Gaz",M972="Hiver"),INDEX('Base de données Mono'!J:J,MATCH(B972,'Base de données Mono'!D:D,0)),IF(AND(E972="Gaz",M972="Mi-saison"),INDEX('Base de données Mono'!#REF!,MATCH(B972,'Base de données Mono'!D:D,0)),IF(AND(E972="Gaz",M972="Eté"),INDEX('Base de données Mono'!#REF!,MATCH(B972,'Base de données Mono'!D:D,0)),"-"))))))</f>
        <v>60</v>
      </c>
      <c r="O972" s="123">
        <v>45393</v>
      </c>
      <c r="P972" s="123">
        <v>45396</v>
      </c>
      <c r="Q972" s="34">
        <v>75</v>
      </c>
      <c r="R972" s="33">
        <f t="shared" si="131"/>
        <v>15</v>
      </c>
      <c r="S972" s="34">
        <v>8</v>
      </c>
      <c r="T972" s="34">
        <f t="shared" si="130"/>
        <v>3</v>
      </c>
      <c r="U972" s="33">
        <f t="shared" si="128"/>
        <v>360</v>
      </c>
      <c r="V972" s="38" t="s">
        <v>827</v>
      </c>
      <c r="W972" s="39">
        <f t="shared" si="129"/>
        <v>0.25</v>
      </c>
      <c r="X972" s="40" t="s">
        <v>304</v>
      </c>
      <c r="Y972" s="40" t="s">
        <v>284</v>
      </c>
      <c r="Z972" s="40" t="s">
        <v>305</v>
      </c>
      <c r="AA972" s="33" t="s">
        <v>771</v>
      </c>
      <c r="AB972" s="95"/>
      <c r="AC972" s="95"/>
    </row>
    <row r="973" spans="1:29" ht="14.45" hidden="1" customHeight="1" x14ac:dyDescent="0.25">
      <c r="A973" s="36" t="str">
        <f>INDEX('Base de données Mono'!C:C,MATCH(B973,'Base de données Mono'!D:D,0))</f>
        <v>UNI POTEAU</v>
      </c>
      <c r="B973" t="s">
        <v>258</v>
      </c>
      <c r="C973" s="36" t="str">
        <f>INDEX('Base de données Mono'!B:B,MATCH(B973,'Base de données Mono'!D:D,0))</f>
        <v>SES8</v>
      </c>
      <c r="D973" s="36" t="str">
        <f>INDEX('Base de données Mono'!A:A,MATCH(B973,'Base de données Mono'!D:D,0))</f>
        <v>JG</v>
      </c>
      <c r="E973" s="37" t="s">
        <v>303</v>
      </c>
      <c r="F973" s="41">
        <f t="shared" si="126"/>
        <v>14</v>
      </c>
      <c r="G973" s="41">
        <f t="shared" si="127"/>
        <v>4</v>
      </c>
      <c r="I973" s="131">
        <f>INDEX('Base de données Mono'!K:K,MATCH(B973,'Base de données Mono'!D:D,0))</f>
        <v>0.20138888888888887</v>
      </c>
      <c r="J973" s="131">
        <f>INDEX('Base de données Mono'!L:L,MATCH(B973,'Base de données Mono'!D:D,0))</f>
        <v>0.92013888888888884</v>
      </c>
      <c r="K973" s="131">
        <f>INDEX('Base de données Mono'!M:M,MATCH(B973,'Base de données Mono'!D:D,0))</f>
        <v>0.27777777777777779</v>
      </c>
      <c r="L973" s="131">
        <f>INDEX('Base de données Mono'!N:N,MATCH(B973,'Base de données Mono'!D:D,0))</f>
        <v>0.55208333333333337</v>
      </c>
      <c r="M973" s="33" t="s">
        <v>46</v>
      </c>
      <c r="N973" s="33">
        <f>IF(AND(E973="Electricité",M973="Hiver"),INDEX('Base de données Mono'!E:E,MATCH(B973,'Base de données Mono'!D:D,0)),IF(AND(E973="Electricité",M973="Mi-saison"),INDEX('Base de données Mono'!F:F,MATCH(B973,'Base de données Mono'!D:D,0)),IF(AND(E973="Electricité",M973="Eté"),INDEX('Base de données Mono'!G:G,MATCH(B973,'Base de données Mono'!D:D,0)),IF(AND(E973="Gaz",M973="Hiver"),INDEX('Base de données Mono'!J:J,MATCH(B973,'Base de données Mono'!D:D,0)),IF(AND(E973="Gaz",M973="Mi-saison"),INDEX('Base de données Mono'!#REF!,MATCH(B973,'Base de données Mono'!D:D,0)),IF(AND(E973="Gaz",M973="Eté"),INDEX('Base de données Mono'!#REF!,MATCH(B973,'Base de données Mono'!D:D,0)),"-"))))))</f>
        <v>65</v>
      </c>
      <c r="O973" s="123">
        <v>45389</v>
      </c>
      <c r="P973" s="123">
        <v>45389</v>
      </c>
      <c r="Q973" s="34">
        <v>110</v>
      </c>
      <c r="R973" s="33">
        <f t="shared" si="131"/>
        <v>45</v>
      </c>
      <c r="S973" s="34">
        <v>6.7</v>
      </c>
      <c r="T973" s="34">
        <v>1</v>
      </c>
      <c r="U973" s="33">
        <f t="shared" si="128"/>
        <v>301.5</v>
      </c>
      <c r="V973" s="38" t="s">
        <v>827</v>
      </c>
      <c r="W973" s="39">
        <f t="shared" si="129"/>
        <v>0.69230769230769229</v>
      </c>
      <c r="X973" s="40" t="s">
        <v>730</v>
      </c>
      <c r="Y973" s="40" t="s">
        <v>284</v>
      </c>
      <c r="Z973" s="40" t="s">
        <v>307</v>
      </c>
      <c r="AA973" s="33" t="s">
        <v>308</v>
      </c>
      <c r="AB973" s="95"/>
      <c r="AC973" s="95"/>
    </row>
    <row r="974" spans="1:29" ht="14.45" hidden="1" customHeight="1" x14ac:dyDescent="0.25">
      <c r="A974" s="36" t="str">
        <f>INDEX('Base de données Mono'!C:C,MATCH(B974,'Base de données Mono'!D:D,0))</f>
        <v>UNI POTEAU</v>
      </c>
      <c r="B974" t="s">
        <v>258</v>
      </c>
      <c r="C974" s="36" t="str">
        <f>INDEX('Base de données Mono'!B:B,MATCH(B974,'Base de données Mono'!D:D,0))</f>
        <v>SES8</v>
      </c>
      <c r="D974" s="36" t="str">
        <f>INDEX('Base de données Mono'!A:A,MATCH(B974,'Base de données Mono'!D:D,0))</f>
        <v>JG</v>
      </c>
      <c r="E974" s="37" t="s">
        <v>303</v>
      </c>
      <c r="F974" s="41">
        <f t="shared" ref="F974:F1002" si="132">IF(O974="","-",IF(AND(X974="Nuit",WEEKDAY(O974,2)=7,O974&lt;&gt;P974),WEEKNUM(O974,2),WEEKNUM(O974,2)-1))+1</f>
        <v>15</v>
      </c>
      <c r="G974" s="41">
        <f t="shared" ref="G974:G1002" si="133">IF(O974="","-",MONTH(O974))</f>
        <v>4</v>
      </c>
      <c r="H974">
        <v>6.75</v>
      </c>
      <c r="I974" s="131">
        <f>INDEX('Base de données Mono'!K:K,MATCH(B974,'Base de données Mono'!D:D,0))</f>
        <v>0.20138888888888887</v>
      </c>
      <c r="J974" s="131">
        <f>INDEX('Base de données Mono'!L:L,MATCH(B974,'Base de données Mono'!D:D,0))</f>
        <v>0.92013888888888884</v>
      </c>
      <c r="K974" s="131">
        <f>INDEX('Base de données Mono'!M:M,MATCH(B974,'Base de données Mono'!D:D,0))</f>
        <v>0.27777777777777779</v>
      </c>
      <c r="L974" s="131">
        <f>INDEX('Base de données Mono'!N:N,MATCH(B974,'Base de données Mono'!D:D,0))</f>
        <v>0.55208333333333337</v>
      </c>
      <c r="M974" s="33" t="s">
        <v>46</v>
      </c>
      <c r="N974" s="33">
        <f>IF(AND(E974="Electricité",M974="Hiver"),INDEX('Base de données Mono'!E:E,MATCH(B974,'Base de données Mono'!D:D,0)),IF(AND(E974="Electricité",M974="Mi-saison"),INDEX('Base de données Mono'!F:F,MATCH(B974,'Base de données Mono'!D:D,0)),IF(AND(E974="Electricité",M974="Eté"),INDEX('Base de données Mono'!G:G,MATCH(B974,'Base de données Mono'!D:D,0)),IF(AND(E974="Gaz",M974="Hiver"),INDEX('Base de données Mono'!J:J,MATCH(B974,'Base de données Mono'!D:D,0)),IF(AND(E974="Gaz",M974="Mi-saison"),INDEX('Base de données Mono'!#REF!,MATCH(B974,'Base de données Mono'!D:D,0)),IF(AND(E974="Gaz",M974="Eté"),INDEX('Base de données Mono'!#REF!,MATCH(B974,'Base de données Mono'!D:D,0)),"-"))))))</f>
        <v>65</v>
      </c>
      <c r="O974" s="123">
        <v>45394</v>
      </c>
      <c r="P974" s="123">
        <v>45396</v>
      </c>
      <c r="Q974" s="34">
        <v>75</v>
      </c>
      <c r="R974" s="33">
        <f t="shared" si="131"/>
        <v>10</v>
      </c>
      <c r="S974" s="34">
        <v>6.7</v>
      </c>
      <c r="T974" s="34">
        <f t="shared" ref="T974:T998" si="134">P974-O974</f>
        <v>2</v>
      </c>
      <c r="U974" s="33">
        <f t="shared" ref="U974:U1002" si="135">R974*S974*T974</f>
        <v>134</v>
      </c>
      <c r="V974" s="38" t="s">
        <v>827</v>
      </c>
      <c r="W974" s="39">
        <f t="shared" ref="W974:W1002" si="136">IFERROR(IF(E974="Gaz","-",R974/N974),"-")</f>
        <v>0.15384615384615385</v>
      </c>
      <c r="X974" s="40" t="s">
        <v>304</v>
      </c>
      <c r="Y974" s="40" t="s">
        <v>283</v>
      </c>
      <c r="Z974" s="40" t="s">
        <v>749</v>
      </c>
      <c r="AA974" s="33" t="s">
        <v>749</v>
      </c>
      <c r="AB974" s="95"/>
      <c r="AC974" s="95"/>
    </row>
    <row r="975" spans="1:29" ht="14.45" hidden="1" customHeight="1" x14ac:dyDescent="0.25">
      <c r="A975" s="36" t="str">
        <f>INDEX('Base de données Mono'!C:C,MATCH(B975,'Base de données Mono'!D:D,0))</f>
        <v>TERNES</v>
      </c>
      <c r="B975" t="s">
        <v>251</v>
      </c>
      <c r="C975" s="36" t="str">
        <f>INDEX('Base de données Mono'!B:B,MATCH(B975,'Base de données Mono'!D:D,0))</f>
        <v>SES8</v>
      </c>
      <c r="D975" s="36" t="str">
        <f>INDEX('Base de données Mono'!A:A,MATCH(B975,'Base de données Mono'!D:D,0))</f>
        <v>AD</v>
      </c>
      <c r="E975" s="37" t="s">
        <v>303</v>
      </c>
      <c r="F975" s="41">
        <f t="shared" si="132"/>
        <v>15</v>
      </c>
      <c r="G975" s="41">
        <f t="shared" si="133"/>
        <v>4</v>
      </c>
      <c r="H975">
        <v>7</v>
      </c>
      <c r="I975" s="131">
        <f>INDEX('Base de données Mono'!K:K,MATCH(B975,'Base de données Mono'!D:D,0))</f>
        <v>0.1875</v>
      </c>
      <c r="J975" s="131">
        <f>INDEX('Base de données Mono'!L:L,MATCH(B975,'Base de données Mono'!D:D,0))</f>
        <v>0.89583333333333337</v>
      </c>
      <c r="K975" s="131">
        <f>INDEX('Base de données Mono'!M:M,MATCH(B975,'Base de données Mono'!D:D,0))</f>
        <v>0.22916666666666666</v>
      </c>
      <c r="L975" s="131">
        <f>INDEX('Base de données Mono'!N:N,MATCH(B975,'Base de données Mono'!D:D,0))</f>
        <v>0.8125</v>
      </c>
      <c r="M975" s="33" t="s">
        <v>46</v>
      </c>
      <c r="N975" s="33">
        <f>IF(AND(E975="Electricité",M975="Hiver"),INDEX('Base de données Mono'!E:E,MATCH(B975,'Base de données Mono'!D:D,0)),IF(AND(E975="Electricité",M975="Mi-saison"),INDEX('Base de données Mono'!F:F,MATCH(B975,'Base de données Mono'!D:D,0)),IF(AND(E975="Electricité",M975="Eté"),INDEX('Base de données Mono'!G:G,MATCH(B975,'Base de données Mono'!D:D,0)),IF(AND(E975="Gaz",M975="Hiver"),INDEX('Base de données Mono'!J:J,MATCH(B975,'Base de données Mono'!D:D,0)),IF(AND(E975="Gaz",M975="Mi-saison"),INDEX('Base de données Mono'!#REF!,MATCH(B975,'Base de données Mono'!D:D,0)),IF(AND(E975="Gaz",M975="Eté"),INDEX('Base de données Mono'!#REF!,MATCH(B975,'Base de données Mono'!D:D,0)),"-"))))))</f>
        <v>80</v>
      </c>
      <c r="O975" s="123">
        <v>45389</v>
      </c>
      <c r="P975" s="123">
        <v>45395</v>
      </c>
      <c r="Q975" s="34">
        <v>100</v>
      </c>
      <c r="R975" s="33">
        <f t="shared" si="131"/>
        <v>20</v>
      </c>
      <c r="S975" s="34">
        <v>0.5</v>
      </c>
      <c r="T975" s="34">
        <f t="shared" si="134"/>
        <v>6</v>
      </c>
      <c r="U975" s="33">
        <f t="shared" si="135"/>
        <v>60</v>
      </c>
      <c r="V975" s="38" t="s">
        <v>827</v>
      </c>
      <c r="W975" s="39">
        <f t="shared" si="136"/>
        <v>0.25</v>
      </c>
      <c r="X975" s="40" t="s">
        <v>304</v>
      </c>
      <c r="Y975" s="40" t="s">
        <v>284</v>
      </c>
      <c r="Z975" s="40" t="s">
        <v>305</v>
      </c>
      <c r="AA975" s="33" t="s">
        <v>771</v>
      </c>
      <c r="AB975" s="95"/>
      <c r="AC975" s="95" t="s">
        <v>844</v>
      </c>
    </row>
    <row r="976" spans="1:29" ht="14.45" hidden="1" customHeight="1" x14ac:dyDescent="0.25">
      <c r="A976" s="36" t="str">
        <f>INDEX('Base de données Mono'!C:C,MATCH(B976,'Base de données Mono'!D:D,0))</f>
        <v>TERNES</v>
      </c>
      <c r="B976" t="s">
        <v>251</v>
      </c>
      <c r="C976" s="36" t="str">
        <f>INDEX('Base de données Mono'!B:B,MATCH(B976,'Base de données Mono'!D:D,0))</f>
        <v>SES8</v>
      </c>
      <c r="D976" s="36" t="str">
        <f>INDEX('Base de données Mono'!A:A,MATCH(B976,'Base de données Mono'!D:D,0))</f>
        <v>AD</v>
      </c>
      <c r="E976" s="37" t="s">
        <v>303</v>
      </c>
      <c r="F976" s="41">
        <f t="shared" si="132"/>
        <v>15</v>
      </c>
      <c r="G976" s="41">
        <f t="shared" si="133"/>
        <v>4</v>
      </c>
      <c r="H976">
        <v>7</v>
      </c>
      <c r="I976" s="131">
        <f>INDEX('Base de données Mono'!K:K,MATCH(B976,'Base de données Mono'!D:D,0))</f>
        <v>0.1875</v>
      </c>
      <c r="J976" s="131">
        <f>INDEX('Base de données Mono'!L:L,MATCH(B976,'Base de données Mono'!D:D,0))</f>
        <v>0.89583333333333337</v>
      </c>
      <c r="K976" s="131">
        <f>INDEX('Base de données Mono'!M:M,MATCH(B976,'Base de données Mono'!D:D,0))</f>
        <v>0.22916666666666666</v>
      </c>
      <c r="L976" s="131">
        <f>INDEX('Base de données Mono'!N:N,MATCH(B976,'Base de données Mono'!D:D,0))</f>
        <v>0.8125</v>
      </c>
      <c r="M976" s="33" t="s">
        <v>46</v>
      </c>
      <c r="N976" s="33">
        <f>IF(AND(E976="Electricité",M976="Hiver"),INDEX('Base de données Mono'!E:E,MATCH(B976,'Base de données Mono'!D:D,0)),IF(AND(E976="Electricité",M976="Mi-saison"),INDEX('Base de données Mono'!F:F,MATCH(B976,'Base de données Mono'!D:D,0)),IF(AND(E976="Electricité",M976="Eté"),INDEX('Base de données Mono'!G:G,MATCH(B976,'Base de données Mono'!D:D,0)),IF(AND(E976="Gaz",M976="Hiver"),INDEX('Base de données Mono'!J:J,MATCH(B976,'Base de données Mono'!D:D,0)),IF(AND(E976="Gaz",M976="Mi-saison"),INDEX('Base de données Mono'!#REF!,MATCH(B976,'Base de données Mono'!D:D,0)),IF(AND(E976="Gaz",M976="Eté"),INDEX('Base de données Mono'!#REF!,MATCH(B976,'Base de données Mono'!D:D,0)),"-"))))))</f>
        <v>80</v>
      </c>
      <c r="O976" s="123">
        <v>45390</v>
      </c>
      <c r="P976" s="123">
        <v>45396</v>
      </c>
      <c r="Q976" s="34">
        <v>120</v>
      </c>
      <c r="R976" s="33">
        <f t="shared" si="131"/>
        <v>40</v>
      </c>
      <c r="S976" s="34">
        <v>0.7</v>
      </c>
      <c r="T976" s="34">
        <f t="shared" si="134"/>
        <v>6</v>
      </c>
      <c r="U976" s="33">
        <f t="shared" si="135"/>
        <v>168</v>
      </c>
      <c r="V976" s="38" t="s">
        <v>827</v>
      </c>
      <c r="W976" s="39">
        <f t="shared" si="136"/>
        <v>0.5</v>
      </c>
      <c r="X976" s="40" t="s">
        <v>304</v>
      </c>
      <c r="Y976" s="40" t="s">
        <v>284</v>
      </c>
      <c r="Z976" s="40" t="s">
        <v>307</v>
      </c>
      <c r="AA976" s="33" t="s">
        <v>313</v>
      </c>
      <c r="AB976" s="95"/>
      <c r="AC976" s="95"/>
    </row>
    <row r="977" spans="1:29" ht="14.45" hidden="1" customHeight="1" x14ac:dyDescent="0.25">
      <c r="A977" s="36" t="str">
        <f>INDEX('Base de données Mono'!C:C,MATCH(B977,'Base de données Mono'!D:D,0))</f>
        <v>TERNES</v>
      </c>
      <c r="B977" t="s">
        <v>251</v>
      </c>
      <c r="C977" s="36" t="str">
        <f>INDEX('Base de données Mono'!B:B,MATCH(B977,'Base de données Mono'!D:D,0))</f>
        <v>SES8</v>
      </c>
      <c r="D977" s="36" t="str">
        <f>INDEX('Base de données Mono'!A:A,MATCH(B977,'Base de données Mono'!D:D,0))</f>
        <v>AD</v>
      </c>
      <c r="E977" s="37" t="s">
        <v>303</v>
      </c>
      <c r="F977" s="41">
        <f t="shared" si="132"/>
        <v>15</v>
      </c>
      <c r="G977" s="41">
        <f t="shared" si="133"/>
        <v>4</v>
      </c>
      <c r="H977">
        <v>7</v>
      </c>
      <c r="I977" s="131">
        <f>INDEX('Base de données Mono'!K:K,MATCH(B977,'Base de données Mono'!D:D,0))</f>
        <v>0.1875</v>
      </c>
      <c r="J977" s="131">
        <f>INDEX('Base de données Mono'!L:L,MATCH(B977,'Base de données Mono'!D:D,0))</f>
        <v>0.89583333333333337</v>
      </c>
      <c r="K977" s="131">
        <f>INDEX('Base de données Mono'!M:M,MATCH(B977,'Base de données Mono'!D:D,0))</f>
        <v>0.22916666666666666</v>
      </c>
      <c r="L977" s="131">
        <f>INDEX('Base de données Mono'!N:N,MATCH(B977,'Base de données Mono'!D:D,0))</f>
        <v>0.8125</v>
      </c>
      <c r="M977" s="33" t="s">
        <v>46</v>
      </c>
      <c r="N977" s="33">
        <f>IF(AND(E977="Electricité",M977="Hiver"),INDEX('Base de données Mono'!E:E,MATCH(B977,'Base de données Mono'!D:D,0)),IF(AND(E977="Electricité",M977="Mi-saison"),INDEX('Base de données Mono'!F:F,MATCH(B977,'Base de données Mono'!D:D,0)),IF(AND(E977="Electricité",M977="Eté"),INDEX('Base de données Mono'!G:G,MATCH(B977,'Base de données Mono'!D:D,0)),IF(AND(E977="Gaz",M977="Hiver"),INDEX('Base de données Mono'!J:J,MATCH(B977,'Base de données Mono'!D:D,0)),IF(AND(E977="Gaz",M977="Mi-saison"),INDEX('Base de données Mono'!#REF!,MATCH(B977,'Base de données Mono'!D:D,0)),IF(AND(E977="Gaz",M977="Eté"),INDEX('Base de données Mono'!#REF!,MATCH(B977,'Base de données Mono'!D:D,0)),"-"))))))</f>
        <v>80</v>
      </c>
      <c r="O977" s="123">
        <v>45393</v>
      </c>
      <c r="P977" s="123">
        <v>45396</v>
      </c>
      <c r="Q977" s="34">
        <v>90</v>
      </c>
      <c r="R977" s="33">
        <f t="shared" si="131"/>
        <v>10</v>
      </c>
      <c r="S977" s="34">
        <v>5</v>
      </c>
      <c r="T977" s="34">
        <f t="shared" si="134"/>
        <v>3</v>
      </c>
      <c r="U977" s="33">
        <f t="shared" si="135"/>
        <v>150</v>
      </c>
      <c r="V977" s="38" t="s">
        <v>827</v>
      </c>
      <c r="W977" s="39">
        <f t="shared" si="136"/>
        <v>0.125</v>
      </c>
      <c r="X977" s="40" t="s">
        <v>304</v>
      </c>
      <c r="Y977" s="40" t="s">
        <v>284</v>
      </c>
      <c r="Z977" s="40" t="s">
        <v>305</v>
      </c>
      <c r="AA977" s="33" t="s">
        <v>771</v>
      </c>
      <c r="AB977" s="95"/>
      <c r="AC977" s="95"/>
    </row>
    <row r="978" spans="1:29" ht="14.45" hidden="1" customHeight="1" x14ac:dyDescent="0.25">
      <c r="A978" s="36" t="str">
        <f>INDEX('Base de données Mono'!C:C,MATCH(B978,'Base de données Mono'!D:D,0))</f>
        <v>LES TOITS DE BOULOGNE</v>
      </c>
      <c r="B978" t="s">
        <v>158</v>
      </c>
      <c r="C978" s="36" t="str">
        <f>INDEX('Base de données Mono'!B:B,MATCH(B978,'Base de données Mono'!D:D,0))</f>
        <v>SES8</v>
      </c>
      <c r="D978" s="36" t="str">
        <f>INDEX('Base de données Mono'!A:A,MATCH(B978,'Base de données Mono'!D:D,0))</f>
        <v>AD</v>
      </c>
      <c r="E978" s="37" t="s">
        <v>303</v>
      </c>
      <c r="F978" s="41">
        <f t="shared" si="132"/>
        <v>15</v>
      </c>
      <c r="G978" s="41">
        <f t="shared" si="133"/>
        <v>4</v>
      </c>
      <c r="H978">
        <v>8.5</v>
      </c>
      <c r="I978" s="131">
        <f>INDEX('Base de données Mono'!K:K,MATCH(B978,'Base de données Mono'!D:D,0))</f>
        <v>0.22916666666666666</v>
      </c>
      <c r="J978" s="131">
        <f>INDEX('Base de données Mono'!L:L,MATCH(B978,'Base de données Mono'!D:D,0))</f>
        <v>0.875</v>
      </c>
      <c r="K978" s="131">
        <f>INDEX('Base de données Mono'!M:M,MATCH(B978,'Base de données Mono'!D:D,0))</f>
        <v>0.29166666666666669</v>
      </c>
      <c r="L978" s="131">
        <f>INDEX('Base de données Mono'!N:N,MATCH(B978,'Base de données Mono'!D:D,0))</f>
        <v>0.83333333333333337</v>
      </c>
      <c r="M978" s="33" t="s">
        <v>46</v>
      </c>
      <c r="N978" s="33">
        <f>IF(AND(E978="Electricité",M978="Hiver"),INDEX('Base de données Mono'!E:E,MATCH(B978,'Base de données Mono'!D:D,0)),IF(AND(E978="Electricité",M978="Mi-saison"),INDEX('Base de données Mono'!F:F,MATCH(B978,'Base de données Mono'!D:D,0)),IF(AND(E978="Electricité",M978="Eté"),INDEX('Base de données Mono'!G:G,MATCH(B978,'Base de données Mono'!D:D,0)),IF(AND(E978="Gaz",M978="Hiver"),INDEX('Base de données Mono'!J:J,MATCH(B978,'Base de données Mono'!D:D,0)),IF(AND(E978="Gaz",M978="Mi-saison"),INDEX('Base de données Mono'!#REF!,MATCH(B978,'Base de données Mono'!D:D,0)),IF(AND(E978="Gaz",M978="Eté"),INDEX('Base de données Mono'!#REF!,MATCH(B978,'Base de données Mono'!D:D,0)),"-"))))))</f>
        <v>70</v>
      </c>
      <c r="O978" s="123">
        <v>45389</v>
      </c>
      <c r="P978" s="123">
        <v>45390</v>
      </c>
      <c r="Q978" s="34">
        <v>105</v>
      </c>
      <c r="R978" s="33">
        <f t="shared" si="131"/>
        <v>35</v>
      </c>
      <c r="S978" s="34">
        <v>8.5</v>
      </c>
      <c r="T978" s="34">
        <f t="shared" si="134"/>
        <v>1</v>
      </c>
      <c r="U978" s="33">
        <f t="shared" si="135"/>
        <v>297.5</v>
      </c>
      <c r="V978" s="38" t="s">
        <v>827</v>
      </c>
      <c r="W978" s="39">
        <f t="shared" si="136"/>
        <v>0.5</v>
      </c>
      <c r="X978" s="40" t="s">
        <v>304</v>
      </c>
      <c r="Y978" s="40" t="s">
        <v>284</v>
      </c>
      <c r="Z978" s="40" t="s">
        <v>305</v>
      </c>
      <c r="AA978" s="33" t="s">
        <v>771</v>
      </c>
      <c r="AB978" s="95"/>
      <c r="AC978" s="95"/>
    </row>
    <row r="979" spans="1:29" ht="14.45" hidden="1" customHeight="1" x14ac:dyDescent="0.25">
      <c r="A979" s="36" t="str">
        <f>INDEX('Base de données Mono'!C:C,MATCH(B979,'Base de données Mono'!D:D,0))</f>
        <v>LES TOITS DE BOULOGNE</v>
      </c>
      <c r="B979" t="s">
        <v>158</v>
      </c>
      <c r="C979" s="36" t="str">
        <f>INDEX('Base de données Mono'!B:B,MATCH(B979,'Base de données Mono'!D:D,0))</f>
        <v>SES8</v>
      </c>
      <c r="D979" s="36" t="str">
        <f>INDEX('Base de données Mono'!A:A,MATCH(B979,'Base de données Mono'!D:D,0))</f>
        <v>AD</v>
      </c>
      <c r="E979" s="37" t="s">
        <v>303</v>
      </c>
      <c r="F979" s="41">
        <f t="shared" si="132"/>
        <v>15</v>
      </c>
      <c r="G979" s="41">
        <f t="shared" si="133"/>
        <v>4</v>
      </c>
      <c r="H979">
        <v>8.5</v>
      </c>
      <c r="I979" s="131">
        <f>INDEX('Base de données Mono'!K:K,MATCH(B979,'Base de données Mono'!D:D,0))</f>
        <v>0.22916666666666666</v>
      </c>
      <c r="J979" s="131">
        <f>INDEX('Base de données Mono'!L:L,MATCH(B979,'Base de données Mono'!D:D,0))</f>
        <v>0.875</v>
      </c>
      <c r="K979" s="131">
        <f>INDEX('Base de données Mono'!M:M,MATCH(B979,'Base de données Mono'!D:D,0))</f>
        <v>0.29166666666666669</v>
      </c>
      <c r="L979" s="131">
        <f>INDEX('Base de données Mono'!N:N,MATCH(B979,'Base de données Mono'!D:D,0))</f>
        <v>0.83333333333333337</v>
      </c>
      <c r="M979" s="33" t="s">
        <v>46</v>
      </c>
      <c r="N979" s="33">
        <f>IF(AND(E979="Electricité",M979="Hiver"),INDEX('Base de données Mono'!E:E,MATCH(B979,'Base de données Mono'!D:D,0)),IF(AND(E979="Electricité",M979="Mi-saison"),INDEX('Base de données Mono'!F:F,MATCH(B979,'Base de données Mono'!D:D,0)),IF(AND(E979="Electricité",M979="Eté"),INDEX('Base de données Mono'!G:G,MATCH(B979,'Base de données Mono'!D:D,0)),IF(AND(E979="Gaz",M979="Hiver"),INDEX('Base de données Mono'!J:J,MATCH(B979,'Base de données Mono'!D:D,0)),IF(AND(E979="Gaz",M979="Mi-saison"),INDEX('Base de données Mono'!#REF!,MATCH(B979,'Base de données Mono'!D:D,0)),IF(AND(E979="Gaz",M979="Eté"),INDEX('Base de données Mono'!#REF!,MATCH(B979,'Base de données Mono'!D:D,0)),"-"))))))</f>
        <v>70</v>
      </c>
      <c r="O979" s="123">
        <v>45390</v>
      </c>
      <c r="P979" s="123">
        <v>45396</v>
      </c>
      <c r="Q979" s="34">
        <v>145</v>
      </c>
      <c r="R979" s="33">
        <f t="shared" si="131"/>
        <v>75</v>
      </c>
      <c r="S979" s="34">
        <v>0.6</v>
      </c>
      <c r="T979" s="34">
        <f t="shared" si="134"/>
        <v>6</v>
      </c>
      <c r="U979" s="33">
        <f t="shared" si="135"/>
        <v>270</v>
      </c>
      <c r="V979" s="38" t="s">
        <v>827</v>
      </c>
      <c r="W979" s="39">
        <f t="shared" si="136"/>
        <v>1.0714285714285714</v>
      </c>
      <c r="X979" s="40" t="s">
        <v>304</v>
      </c>
      <c r="Y979" s="40" t="s">
        <v>284</v>
      </c>
      <c r="Z979" s="40" t="s">
        <v>307</v>
      </c>
      <c r="AA979" s="33" t="s">
        <v>313</v>
      </c>
      <c r="AB979" s="95"/>
      <c r="AC979" s="95"/>
    </row>
    <row r="980" spans="1:29" ht="14.45" hidden="1" customHeight="1" x14ac:dyDescent="0.25">
      <c r="A980" s="36" t="str">
        <f>INDEX('Base de données Mono'!C:C,MATCH(B980,'Base de données Mono'!D:D,0))</f>
        <v>LES TOITS DE BOULOGNE</v>
      </c>
      <c r="B980" t="s">
        <v>158</v>
      </c>
      <c r="C980" s="36" t="str">
        <f>INDEX('Base de données Mono'!B:B,MATCH(B980,'Base de données Mono'!D:D,0))</f>
        <v>SES8</v>
      </c>
      <c r="D980" s="36" t="str">
        <f>INDEX('Base de données Mono'!A:A,MATCH(B980,'Base de données Mono'!D:D,0))</f>
        <v>AD</v>
      </c>
      <c r="E980" s="37" t="s">
        <v>303</v>
      </c>
      <c r="F980" s="41">
        <f>IF(O980="","-",IF(AND(X980="Nuit",WEEKDAY(O980,2)=7,O980&lt;&gt;P980),WEEKNUM(O980,2),WEEKNUM(O980,2)-1))+1</f>
        <v>15</v>
      </c>
      <c r="G980" s="41">
        <f>IF(O980="","-",MONTH(O980))</f>
        <v>4</v>
      </c>
      <c r="H980">
        <v>8.5</v>
      </c>
      <c r="I980" s="131">
        <f>INDEX('Base de données Mono'!K:K,MATCH(B980,'Base de données Mono'!D:D,0))</f>
        <v>0.22916666666666666</v>
      </c>
      <c r="J980" s="131">
        <f>INDEX('Base de données Mono'!L:L,MATCH(B980,'Base de données Mono'!D:D,0))</f>
        <v>0.875</v>
      </c>
      <c r="K980" s="131">
        <f>INDEX('Base de données Mono'!M:M,MATCH(B980,'Base de données Mono'!D:D,0))</f>
        <v>0.29166666666666669</v>
      </c>
      <c r="L980" s="131">
        <f>INDEX('Base de données Mono'!N:N,MATCH(B980,'Base de données Mono'!D:D,0))</f>
        <v>0.83333333333333337</v>
      </c>
      <c r="M980" s="33" t="s">
        <v>46</v>
      </c>
      <c r="N980" s="33">
        <f>IF(AND(E980="Electricité",M980="Hiver"),INDEX('Base de données Mono'!E:E,MATCH(B980,'Base de données Mono'!D:D,0)),IF(AND(E980="Electricité",M980="Mi-saison"),INDEX('Base de données Mono'!F:F,MATCH(B980,'Base de données Mono'!D:D,0)),IF(AND(E980="Electricité",M980="Eté"),INDEX('Base de données Mono'!G:G,MATCH(B980,'Base de données Mono'!D:D,0)),IF(AND(E980="Gaz",M980="Hiver"),INDEX('Base de données Mono'!J:J,MATCH(B980,'Base de données Mono'!D:D,0)),IF(AND(E980="Gaz",M980="Mi-saison"),INDEX('Base de données Mono'!#REF!,MATCH(B980,'Base de données Mono'!D:D,0)),IF(AND(E980="Gaz",M980="Eté"),INDEX('Base de données Mono'!#REF!,MATCH(B980,'Base de données Mono'!D:D,0)),"-"))))))</f>
        <v>70</v>
      </c>
      <c r="O980" s="123">
        <v>45390</v>
      </c>
      <c r="P980" s="123">
        <v>45395</v>
      </c>
      <c r="Q980" s="34">
        <v>105</v>
      </c>
      <c r="R980" s="33">
        <f>IF(Q980="","",Q980-N980)</f>
        <v>35</v>
      </c>
      <c r="S980" s="34">
        <v>7.9</v>
      </c>
      <c r="T980" s="34">
        <f t="shared" si="134"/>
        <v>5</v>
      </c>
      <c r="U980" s="33">
        <f>R980*S980*T980</f>
        <v>1382.5</v>
      </c>
      <c r="V980" s="38" t="s">
        <v>827</v>
      </c>
      <c r="W980" s="39">
        <f>IFERROR(IF(E980="Gaz","-",R980/N980),"-")</f>
        <v>0.5</v>
      </c>
      <c r="X980" s="40" t="s">
        <v>304</v>
      </c>
      <c r="Y980" s="40" t="s">
        <v>284</v>
      </c>
      <c r="Z980" s="40" t="s">
        <v>305</v>
      </c>
      <c r="AA980" s="33" t="s">
        <v>771</v>
      </c>
      <c r="AB980" s="95"/>
      <c r="AC980" s="95"/>
    </row>
    <row r="981" spans="1:29" ht="14.45" hidden="1" customHeight="1" x14ac:dyDescent="0.25">
      <c r="A981" s="36" t="str">
        <f>INDEX('Base de données Mono'!C:C,MATCH(B981,'Base de données Mono'!D:D,0))</f>
        <v>LES TOITS DE BOULOGNE</v>
      </c>
      <c r="B981" t="s">
        <v>158</v>
      </c>
      <c r="C981" s="36" t="str">
        <f>INDEX('Base de données Mono'!B:B,MATCH(B981,'Base de données Mono'!D:D,0))</f>
        <v>SES8</v>
      </c>
      <c r="D981" s="36" t="str">
        <f>INDEX('Base de données Mono'!A:A,MATCH(B981,'Base de données Mono'!D:D,0))</f>
        <v>AD</v>
      </c>
      <c r="E981" s="37" t="s">
        <v>303</v>
      </c>
      <c r="F981" s="41">
        <f t="shared" si="132"/>
        <v>15</v>
      </c>
      <c r="G981" s="41">
        <f t="shared" si="133"/>
        <v>4</v>
      </c>
      <c r="H981">
        <v>8.5</v>
      </c>
      <c r="I981" s="131">
        <f>INDEX('Base de données Mono'!K:K,MATCH(B981,'Base de données Mono'!D:D,0))</f>
        <v>0.22916666666666666</v>
      </c>
      <c r="J981" s="131">
        <f>INDEX('Base de données Mono'!L:L,MATCH(B981,'Base de données Mono'!D:D,0))</f>
        <v>0.875</v>
      </c>
      <c r="K981" s="131">
        <f>INDEX('Base de données Mono'!M:M,MATCH(B981,'Base de données Mono'!D:D,0))</f>
        <v>0.29166666666666669</v>
      </c>
      <c r="L981" s="131">
        <f>INDEX('Base de données Mono'!N:N,MATCH(B981,'Base de données Mono'!D:D,0))</f>
        <v>0.83333333333333337</v>
      </c>
      <c r="M981" s="33" t="s">
        <v>46</v>
      </c>
      <c r="N981" s="33">
        <f>IF(AND(E981="Electricité",M981="Hiver"),INDEX('Base de données Mono'!E:E,MATCH(B981,'Base de données Mono'!D:D,0)),IF(AND(E981="Electricité",M981="Mi-saison"),INDEX('Base de données Mono'!F:F,MATCH(B981,'Base de données Mono'!D:D,0)),IF(AND(E981="Electricité",M981="Eté"),INDEX('Base de données Mono'!G:G,MATCH(B981,'Base de données Mono'!D:D,0)),IF(AND(E981="Gaz",M981="Hiver"),INDEX('Base de données Mono'!J:J,MATCH(B981,'Base de données Mono'!D:D,0)),IF(AND(E981="Gaz",M981="Mi-saison"),INDEX('Base de données Mono'!#REF!,MATCH(B981,'Base de données Mono'!D:D,0)),IF(AND(E981="Gaz",M981="Eté"),INDEX('Base de données Mono'!#REF!,MATCH(B981,'Base de données Mono'!D:D,0)),"-"))))))</f>
        <v>70</v>
      </c>
      <c r="O981" s="123">
        <v>45395</v>
      </c>
      <c r="P981" s="123">
        <v>45396</v>
      </c>
      <c r="Q981" s="34">
        <v>105</v>
      </c>
      <c r="R981" s="33">
        <f t="shared" si="131"/>
        <v>35</v>
      </c>
      <c r="S981" s="34">
        <v>9.4</v>
      </c>
      <c r="T981" s="34">
        <f t="shared" si="134"/>
        <v>1</v>
      </c>
      <c r="U981" s="33">
        <f t="shared" si="135"/>
        <v>329</v>
      </c>
      <c r="V981" s="38" t="s">
        <v>827</v>
      </c>
      <c r="W981" s="39">
        <f t="shared" si="136"/>
        <v>0.5</v>
      </c>
      <c r="X981" s="40" t="s">
        <v>304</v>
      </c>
      <c r="Y981" s="40" t="s">
        <v>284</v>
      </c>
      <c r="Z981" s="40" t="s">
        <v>305</v>
      </c>
      <c r="AA981" s="33" t="s">
        <v>771</v>
      </c>
      <c r="AB981" s="95"/>
      <c r="AC981" s="95"/>
    </row>
    <row r="982" spans="1:29" ht="14.45" hidden="1" customHeight="1" x14ac:dyDescent="0.25">
      <c r="A982" s="36" t="str">
        <f>INDEX('Base de données Mono'!C:C,MATCH(B982,'Base de données Mono'!D:D,0))</f>
        <v>VAUGIRARD</v>
      </c>
      <c r="B982" t="s">
        <v>262</v>
      </c>
      <c r="C982" s="36" t="str">
        <f>INDEX('Base de données Mono'!B:B,MATCH(B982,'Base de données Mono'!D:D,0))</f>
        <v>SES8</v>
      </c>
      <c r="D982" s="36" t="str">
        <f>INDEX('Base de données Mono'!A:A,MATCH(B982,'Base de données Mono'!D:D,0))</f>
        <v>AD</v>
      </c>
      <c r="E982" s="37" t="s">
        <v>303</v>
      </c>
      <c r="F982" s="41">
        <f t="shared" si="132"/>
        <v>15</v>
      </c>
      <c r="G982" s="41">
        <f t="shared" si="133"/>
        <v>4</v>
      </c>
      <c r="H982">
        <v>6.58</v>
      </c>
      <c r="I982" s="131">
        <f>INDEX('Base de données Mono'!K:K,MATCH(B982,'Base de données Mono'!D:D,0))</f>
        <v>0.20138888888888887</v>
      </c>
      <c r="J982" s="131">
        <f>INDEX('Base de données Mono'!L:L,MATCH(B982,'Base de données Mono'!D:D,0))</f>
        <v>0.92708333333333337</v>
      </c>
      <c r="K982" s="131">
        <f>INDEX('Base de données Mono'!M:M,MATCH(B982,'Base de données Mono'!D:D,0))</f>
        <v>0.2638888888888889</v>
      </c>
      <c r="L982" s="131">
        <f>INDEX('Base de données Mono'!N:N,MATCH(B982,'Base de données Mono'!D:D,0))</f>
        <v>0.5625</v>
      </c>
      <c r="M982" s="33" t="s">
        <v>46</v>
      </c>
      <c r="N982" s="33">
        <f>IF(AND(E982="Electricité",M982="Hiver"),INDEX('Base de données Mono'!E:E,MATCH(B982,'Base de données Mono'!D:D,0)),IF(AND(E982="Electricité",M982="Mi-saison"),INDEX('Base de données Mono'!F:F,MATCH(B982,'Base de données Mono'!D:D,0)),IF(AND(E982="Electricité",M982="Eté"),INDEX('Base de données Mono'!G:G,MATCH(B982,'Base de données Mono'!D:D,0)),IF(AND(E982="Gaz",M982="Hiver"),INDEX('Base de données Mono'!J:J,MATCH(B982,'Base de données Mono'!D:D,0)),IF(AND(E982="Gaz",M982="Mi-saison"),INDEX('Base de données Mono'!#REF!,MATCH(B982,'Base de données Mono'!D:D,0)),IF(AND(E982="Gaz",M982="Eté"),INDEX('Base de données Mono'!#REF!,MATCH(B982,'Base de données Mono'!D:D,0)),"-"))))))</f>
        <v>80</v>
      </c>
      <c r="O982" s="123">
        <v>45389</v>
      </c>
      <c r="P982" s="123">
        <v>45395</v>
      </c>
      <c r="Q982" s="34">
        <v>95</v>
      </c>
      <c r="R982" s="33">
        <f t="shared" si="131"/>
        <v>15</v>
      </c>
      <c r="S982" s="34">
        <v>6</v>
      </c>
      <c r="T982" s="34">
        <f t="shared" si="134"/>
        <v>6</v>
      </c>
      <c r="U982" s="33">
        <v>120</v>
      </c>
      <c r="V982" s="38" t="s">
        <v>827</v>
      </c>
      <c r="W982" s="39">
        <v>0.25</v>
      </c>
      <c r="X982" s="40" t="s">
        <v>304</v>
      </c>
      <c r="Y982" s="40" t="s">
        <v>284</v>
      </c>
      <c r="Z982" s="40" t="s">
        <v>305</v>
      </c>
      <c r="AA982" s="33" t="s">
        <v>771</v>
      </c>
      <c r="AB982" s="95"/>
      <c r="AC982" s="95"/>
    </row>
    <row r="983" spans="1:29" ht="14.45" hidden="1" customHeight="1" x14ac:dyDescent="0.25">
      <c r="A983" s="36" t="str">
        <f>INDEX('Base de données Mono'!C:C,MATCH(B983,'Base de données Mono'!D:D,0))</f>
        <v>VAUGIRARD</v>
      </c>
      <c r="B983" t="s">
        <v>262</v>
      </c>
      <c r="C983" s="36" t="str">
        <f>INDEX('Base de données Mono'!B:B,MATCH(B983,'Base de données Mono'!D:D,0))</f>
        <v>SES8</v>
      </c>
      <c r="D983" s="36" t="str">
        <f>INDEX('Base de données Mono'!A:A,MATCH(B983,'Base de données Mono'!D:D,0))</f>
        <v>AD</v>
      </c>
      <c r="E983" s="37" t="s">
        <v>303</v>
      </c>
      <c r="F983" s="41">
        <f t="shared" si="132"/>
        <v>15</v>
      </c>
      <c r="G983" s="41">
        <f t="shared" si="133"/>
        <v>4</v>
      </c>
      <c r="H983">
        <v>6.58</v>
      </c>
      <c r="I983" s="131">
        <f>INDEX('Base de données Mono'!K:K,MATCH(B983,'Base de données Mono'!D:D,0))</f>
        <v>0.20138888888888887</v>
      </c>
      <c r="J983" s="131">
        <f>INDEX('Base de données Mono'!L:L,MATCH(B983,'Base de données Mono'!D:D,0))</f>
        <v>0.92708333333333337</v>
      </c>
      <c r="K983" s="131">
        <f>INDEX('Base de données Mono'!M:M,MATCH(B983,'Base de données Mono'!D:D,0))</f>
        <v>0.2638888888888889</v>
      </c>
      <c r="L983" s="131">
        <f>INDEX('Base de données Mono'!N:N,MATCH(B983,'Base de données Mono'!D:D,0))</f>
        <v>0.5625</v>
      </c>
      <c r="M983" s="33" t="s">
        <v>46</v>
      </c>
      <c r="N983" s="33">
        <f>IF(AND(E983="Electricité",M983="Hiver"),INDEX('Base de données Mono'!E:E,MATCH(B983,'Base de données Mono'!D:D,0)),IF(AND(E983="Electricité",M983="Mi-saison"),INDEX('Base de données Mono'!F:F,MATCH(B983,'Base de données Mono'!D:D,0)),IF(AND(E983="Electricité",M983="Eté"),INDEX('Base de données Mono'!G:G,MATCH(B983,'Base de données Mono'!D:D,0)),IF(AND(E983="Gaz",M983="Hiver"),INDEX('Base de données Mono'!J:J,MATCH(B983,'Base de données Mono'!D:D,0)),IF(AND(E983="Gaz",M983="Mi-saison"),INDEX('Base de données Mono'!#REF!,MATCH(B983,'Base de données Mono'!D:D,0)),IF(AND(E983="Gaz",M983="Eté"),INDEX('Base de données Mono'!#REF!,MATCH(B983,'Base de données Mono'!D:D,0)),"-"))))))</f>
        <v>80</v>
      </c>
      <c r="O983" s="123">
        <v>45389</v>
      </c>
      <c r="P983" s="123">
        <v>45391</v>
      </c>
      <c r="Q983" s="34">
        <v>120</v>
      </c>
      <c r="R983" s="33">
        <f t="shared" si="131"/>
        <v>40</v>
      </c>
      <c r="S983" s="34">
        <v>0.5</v>
      </c>
      <c r="T983" s="34">
        <f t="shared" si="134"/>
        <v>2</v>
      </c>
      <c r="U983" s="33">
        <v>67.5</v>
      </c>
      <c r="V983" s="38" t="s">
        <v>827</v>
      </c>
      <c r="W983" s="39">
        <v>0.5625</v>
      </c>
      <c r="X983" s="40" t="s">
        <v>304</v>
      </c>
      <c r="Y983" s="40" t="s">
        <v>284</v>
      </c>
      <c r="Z983" s="40" t="s">
        <v>305</v>
      </c>
      <c r="AA983" s="33" t="s">
        <v>771</v>
      </c>
      <c r="AB983" s="95"/>
      <c r="AC983" s="95"/>
    </row>
    <row r="984" spans="1:29" ht="14.45" hidden="1" customHeight="1" x14ac:dyDescent="0.25">
      <c r="A984" s="36" t="str">
        <f>INDEX('Base de données Mono'!C:C,MATCH(B984,'Base de données Mono'!D:D,0))</f>
        <v>VAUGIRARD</v>
      </c>
      <c r="B984" t="s">
        <v>262</v>
      </c>
      <c r="C984" s="36" t="str">
        <f>INDEX('Base de données Mono'!B:B,MATCH(B984,'Base de données Mono'!D:D,0))</f>
        <v>SES8</v>
      </c>
      <c r="D984" s="36" t="str">
        <f>INDEX('Base de données Mono'!A:A,MATCH(B984,'Base de données Mono'!D:D,0))</f>
        <v>AD</v>
      </c>
      <c r="E984" s="37" t="s">
        <v>303</v>
      </c>
      <c r="F984" s="41">
        <f t="shared" si="132"/>
        <v>15</v>
      </c>
      <c r="G984" s="41">
        <f t="shared" si="133"/>
        <v>4</v>
      </c>
      <c r="H984">
        <v>6.58</v>
      </c>
      <c r="I984" s="131">
        <f>INDEX('Base de données Mono'!K:K,MATCH(B984,'Base de données Mono'!D:D,0))</f>
        <v>0.20138888888888887</v>
      </c>
      <c r="J984" s="131">
        <f>INDEX('Base de données Mono'!L:L,MATCH(B984,'Base de données Mono'!D:D,0))</f>
        <v>0.92708333333333337</v>
      </c>
      <c r="K984" s="131">
        <f>INDEX('Base de données Mono'!M:M,MATCH(B984,'Base de données Mono'!D:D,0))</f>
        <v>0.2638888888888889</v>
      </c>
      <c r="L984" s="131">
        <f>INDEX('Base de données Mono'!N:N,MATCH(B984,'Base de données Mono'!D:D,0))</f>
        <v>0.5625</v>
      </c>
      <c r="M984" s="33" t="s">
        <v>46</v>
      </c>
      <c r="N984" s="33">
        <f>IF(AND(E984="Electricité",M984="Hiver"),INDEX('Base de données Mono'!E:E,MATCH(B984,'Base de données Mono'!D:D,0)),IF(AND(E984="Electricité",M984="Mi-saison"),INDEX('Base de données Mono'!F:F,MATCH(B984,'Base de données Mono'!D:D,0)),IF(AND(E984="Electricité",M984="Eté"),INDEX('Base de données Mono'!G:G,MATCH(B984,'Base de données Mono'!D:D,0)),IF(AND(E984="Gaz",M984="Hiver"),INDEX('Base de données Mono'!J:J,MATCH(B984,'Base de données Mono'!D:D,0)),IF(AND(E984="Gaz",M984="Mi-saison"),INDEX('Base de données Mono'!#REF!,MATCH(B984,'Base de données Mono'!D:D,0)),IF(AND(E984="Gaz",M984="Eté"),INDEX('Base de données Mono'!#REF!,MATCH(B984,'Base de données Mono'!D:D,0)),"-"))))))</f>
        <v>80</v>
      </c>
      <c r="O984" s="123">
        <v>45391</v>
      </c>
      <c r="P984" s="123">
        <v>45395</v>
      </c>
      <c r="Q984" s="34">
        <v>175</v>
      </c>
      <c r="R984" s="33">
        <f>IF(Q984="","",Q984-N984)</f>
        <v>95</v>
      </c>
      <c r="S984" s="34">
        <v>0.6</v>
      </c>
      <c r="T984" s="34">
        <f t="shared" si="134"/>
        <v>4</v>
      </c>
      <c r="U984" s="33">
        <f t="shared" si="135"/>
        <v>228</v>
      </c>
      <c r="V984" s="38" t="s">
        <v>827</v>
      </c>
      <c r="W984" s="39">
        <f t="shared" si="136"/>
        <v>1.1875</v>
      </c>
      <c r="X984" s="40" t="s">
        <v>304</v>
      </c>
      <c r="Y984" s="40" t="s">
        <v>284</v>
      </c>
      <c r="Z984" s="40" t="s">
        <v>311</v>
      </c>
      <c r="AA984" s="33" t="s">
        <v>775</v>
      </c>
      <c r="AB984" s="95"/>
      <c r="AC984" s="95"/>
    </row>
    <row r="985" spans="1:29" ht="14.45" hidden="1" customHeight="1" x14ac:dyDescent="0.25">
      <c r="A985" s="36" t="str">
        <f>INDEX('Base de données Mono'!C:C,MATCH(B985,'Base de données Mono'!D:D,0))</f>
        <v>VAUGIRARD</v>
      </c>
      <c r="B985" t="s">
        <v>262</v>
      </c>
      <c r="C985" s="36" t="str">
        <f>INDEX('Base de données Mono'!B:B,MATCH(B985,'Base de données Mono'!D:D,0))</f>
        <v>SES8</v>
      </c>
      <c r="D985" s="36" t="str">
        <f>INDEX('Base de données Mono'!A:A,MATCH(B985,'Base de données Mono'!D:D,0))</f>
        <v>AD</v>
      </c>
      <c r="E985" s="37" t="s">
        <v>303</v>
      </c>
      <c r="F985" s="41">
        <f>IF(O985="","-",IF(AND(X985="Nuit",WEEKDAY(O985,2)=7,O985&lt;&gt;P985),WEEKNUM(O985,2),WEEKNUM(O985,2)-1))+1</f>
        <v>15</v>
      </c>
      <c r="G985" s="41">
        <f>IF(O985="","-",MONTH(O985))</f>
        <v>4</v>
      </c>
      <c r="H985">
        <v>6.58</v>
      </c>
      <c r="I985" s="131">
        <f>INDEX('Base de données Mono'!K:K,MATCH(B985,'Base de données Mono'!D:D,0))</f>
        <v>0.20138888888888887</v>
      </c>
      <c r="J985" s="131">
        <f>INDEX('Base de données Mono'!L:L,MATCH(B985,'Base de données Mono'!D:D,0))</f>
        <v>0.92708333333333337</v>
      </c>
      <c r="K985" s="131">
        <f>INDEX('Base de données Mono'!M:M,MATCH(B985,'Base de données Mono'!D:D,0))</f>
        <v>0.2638888888888889</v>
      </c>
      <c r="L985" s="131">
        <f>INDEX('Base de données Mono'!N:N,MATCH(B985,'Base de données Mono'!D:D,0))</f>
        <v>0.5625</v>
      </c>
      <c r="M985" s="33" t="s">
        <v>46</v>
      </c>
      <c r="N985" s="33">
        <f>IF(AND(E985="Electricité",M985="Hiver"),INDEX('Base de données Mono'!E:E,MATCH(B985,'Base de données Mono'!D:D,0)),IF(AND(E985="Electricité",M985="Mi-saison"),INDEX('Base de données Mono'!F:F,MATCH(B985,'Base de données Mono'!D:D,0)),IF(AND(E985="Electricité",M985="Eté"),INDEX('Base de données Mono'!G:G,MATCH(B985,'Base de données Mono'!D:D,0)),IF(AND(E985="Gaz",M985="Hiver"),INDEX('Base de données Mono'!J:J,MATCH(B985,'Base de données Mono'!D:D,0)),IF(AND(E985="Gaz",M985="Mi-saison"),INDEX('Base de données Mono'!#REF!,MATCH(B985,'Base de données Mono'!D:D,0)),IF(AND(E985="Gaz",M985="Eté"),INDEX('Base de données Mono'!#REF!,MATCH(B985,'Base de données Mono'!D:D,0)),"-"))))))</f>
        <v>80</v>
      </c>
      <c r="O985" s="123">
        <v>45395</v>
      </c>
      <c r="P985" s="123">
        <v>45396</v>
      </c>
      <c r="Q985" s="34">
        <v>100</v>
      </c>
      <c r="R985" s="33">
        <f>IF(Q985="","",Q985-N985)</f>
        <v>20</v>
      </c>
      <c r="S985" s="34">
        <v>7</v>
      </c>
      <c r="T985" s="34">
        <f t="shared" si="134"/>
        <v>1</v>
      </c>
      <c r="U985" s="33">
        <f>R985*S985*T985</f>
        <v>140</v>
      </c>
      <c r="V985" s="38" t="s">
        <v>827</v>
      </c>
      <c r="W985" s="39">
        <f>IFERROR(IF(E985="Gaz","-",R985/N985),"-")</f>
        <v>0.25</v>
      </c>
      <c r="X985" s="40" t="s">
        <v>304</v>
      </c>
      <c r="Y985" s="40" t="s">
        <v>284</v>
      </c>
      <c r="Z985" s="40" t="s">
        <v>305</v>
      </c>
      <c r="AA985" s="33" t="s">
        <v>771</v>
      </c>
      <c r="AB985" s="95"/>
      <c r="AC985" s="95"/>
    </row>
    <row r="986" spans="1:29" ht="14.45" hidden="1" customHeight="1" x14ac:dyDescent="0.25">
      <c r="A986" s="36" t="str">
        <f>INDEX('Base de données Mono'!C:C,MATCH(B986,'Base de données Mono'!D:D,0))</f>
        <v>VAUGIRARD</v>
      </c>
      <c r="B986" t="s">
        <v>262</v>
      </c>
      <c r="C986" s="36" t="str">
        <f>INDEX('Base de données Mono'!B:B,MATCH(B986,'Base de données Mono'!D:D,0))</f>
        <v>SES8</v>
      </c>
      <c r="D986" s="36" t="str">
        <f>INDEX('Base de données Mono'!A:A,MATCH(B986,'Base de données Mono'!D:D,0))</f>
        <v>AD</v>
      </c>
      <c r="E986" s="37" t="s">
        <v>303</v>
      </c>
      <c r="F986" s="41">
        <f t="shared" si="132"/>
        <v>15</v>
      </c>
      <c r="G986" s="41">
        <f t="shared" si="133"/>
        <v>4</v>
      </c>
      <c r="H986">
        <v>6.58</v>
      </c>
      <c r="I986" s="131">
        <f>INDEX('Base de données Mono'!K:K,MATCH(B986,'Base de données Mono'!D:D,0))</f>
        <v>0.20138888888888887</v>
      </c>
      <c r="J986" s="131">
        <f>INDEX('Base de données Mono'!L:L,MATCH(B986,'Base de données Mono'!D:D,0))</f>
        <v>0.92708333333333337</v>
      </c>
      <c r="K986" s="131">
        <f>INDEX('Base de données Mono'!M:M,MATCH(B986,'Base de données Mono'!D:D,0))</f>
        <v>0.2638888888888889</v>
      </c>
      <c r="L986" s="131">
        <f>INDEX('Base de données Mono'!N:N,MATCH(B986,'Base de données Mono'!D:D,0))</f>
        <v>0.5625</v>
      </c>
      <c r="M986" s="33" t="s">
        <v>46</v>
      </c>
      <c r="N986" s="33">
        <f>IF(AND(E986="Electricité",M986="Hiver"),INDEX('Base de données Mono'!E:E,MATCH(B986,'Base de données Mono'!D:D,0)),IF(AND(E986="Electricité",M986="Mi-saison"),INDEX('Base de données Mono'!F:F,MATCH(B986,'Base de données Mono'!D:D,0)),IF(AND(E986="Electricité",M986="Eté"),INDEX('Base de données Mono'!G:G,MATCH(B986,'Base de données Mono'!D:D,0)),IF(AND(E986="Gaz",M986="Hiver"),INDEX('Base de données Mono'!J:J,MATCH(B986,'Base de données Mono'!D:D,0)),IF(AND(E986="Gaz",M986="Mi-saison"),INDEX('Base de données Mono'!#REF!,MATCH(B986,'Base de données Mono'!D:D,0)),IF(AND(E986="Gaz",M986="Eté"),INDEX('Base de données Mono'!#REF!,MATCH(B986,'Base de données Mono'!D:D,0)),"-"))))))</f>
        <v>80</v>
      </c>
      <c r="O986" s="123">
        <v>45395</v>
      </c>
      <c r="P986" s="123">
        <v>45396</v>
      </c>
      <c r="Q986" s="34">
        <v>170</v>
      </c>
      <c r="R986" s="33">
        <f t="shared" si="131"/>
        <v>90</v>
      </c>
      <c r="S986" s="34">
        <v>1.3</v>
      </c>
      <c r="T986" s="34">
        <f t="shared" si="134"/>
        <v>1</v>
      </c>
      <c r="U986" s="33">
        <f t="shared" si="135"/>
        <v>117</v>
      </c>
      <c r="V986" s="38" t="s">
        <v>827</v>
      </c>
      <c r="W986" s="39">
        <f t="shared" si="136"/>
        <v>1.125</v>
      </c>
      <c r="X986" s="40" t="s">
        <v>304</v>
      </c>
      <c r="Y986" s="40" t="s">
        <v>284</v>
      </c>
      <c r="Z986" s="40" t="s">
        <v>311</v>
      </c>
      <c r="AA986" s="33" t="s">
        <v>775</v>
      </c>
      <c r="AB986" s="95"/>
      <c r="AC986" s="95"/>
    </row>
    <row r="987" spans="1:29" ht="14.45" hidden="1" customHeight="1" x14ac:dyDescent="0.25">
      <c r="A987" s="36" t="str">
        <f>INDEX('Base de données Mono'!C:C,MATCH(B987,'Base de données Mono'!D:D,0))</f>
        <v>SAINT MAUR</v>
      </c>
      <c r="B987" t="s">
        <v>235</v>
      </c>
      <c r="C987" s="36" t="str">
        <f>INDEX('Base de données Mono'!B:B,MATCH(B987,'Base de données Mono'!D:D,0))</f>
        <v>SES8</v>
      </c>
      <c r="D987" s="36" t="str">
        <f>INDEX('Base de données Mono'!A:A,MATCH(B987,'Base de données Mono'!D:D,0))</f>
        <v>JG</v>
      </c>
      <c r="E987" s="37" t="s">
        <v>303</v>
      </c>
      <c r="F987" s="41">
        <f t="shared" si="132"/>
        <v>15</v>
      </c>
      <c r="G987" s="41">
        <f t="shared" si="133"/>
        <v>4</v>
      </c>
      <c r="H987">
        <v>8.83</v>
      </c>
      <c r="I987" s="131">
        <f>INDEX('Base de données Mono'!K:K,MATCH(B987,'Base de données Mono'!D:D,0))</f>
        <v>0.24305555555555555</v>
      </c>
      <c r="J987" s="131">
        <f>INDEX('Base de données Mono'!L:L,MATCH(B987,'Base de données Mono'!D:D,0))</f>
        <v>0.875</v>
      </c>
      <c r="K987" s="131">
        <f>INDEX('Base de données Mono'!M:M,MATCH(B987,'Base de données Mono'!D:D,0))</f>
        <v>0.28472222222222221</v>
      </c>
      <c r="L987" s="131">
        <f>INDEX('Base de données Mono'!N:N,MATCH(B987,'Base de données Mono'!D:D,0))</f>
        <v>0.55208333333333337</v>
      </c>
      <c r="M987" s="33" t="s">
        <v>46</v>
      </c>
      <c r="N987" s="33">
        <f>IF(AND(E987="Electricité",M987="Hiver"),INDEX('Base de données Mono'!E:E,MATCH(B987,'Base de données Mono'!D:D,0)),IF(AND(E987="Electricité",M987="Mi-saison"),INDEX('Base de données Mono'!F:F,MATCH(B987,'Base de données Mono'!D:D,0)),IF(AND(E987="Electricité",M987="Eté"),INDEX('Base de données Mono'!G:G,MATCH(B987,'Base de données Mono'!D:D,0)),IF(AND(E987="Gaz",M987="Hiver"),INDEX('Base de données Mono'!J:J,MATCH(B987,'Base de données Mono'!D:D,0)),IF(AND(E987="Gaz",M987="Mi-saison"),INDEX('Base de données Mono'!#REF!,MATCH(B987,'Base de données Mono'!D:D,0)),IF(AND(E987="Gaz",M987="Eté"),INDEX('Base de données Mono'!#REF!,MATCH(B987,'Base de données Mono'!D:D,0)),"-"))))))</f>
        <v>50</v>
      </c>
      <c r="O987" s="123">
        <v>45389</v>
      </c>
      <c r="P987" s="123">
        <v>45395</v>
      </c>
      <c r="Q987" s="34">
        <v>55</v>
      </c>
      <c r="R987" s="33">
        <f t="shared" si="131"/>
        <v>5</v>
      </c>
      <c r="S987" s="34">
        <v>8.8000000000000007</v>
      </c>
      <c r="T987" s="34">
        <f t="shared" si="134"/>
        <v>6</v>
      </c>
      <c r="U987" s="33">
        <f t="shared" si="135"/>
        <v>264</v>
      </c>
      <c r="V987" s="38" t="s">
        <v>827</v>
      </c>
      <c r="W987" s="39">
        <f t="shared" si="136"/>
        <v>0.1</v>
      </c>
      <c r="X987" s="40" t="s">
        <v>304</v>
      </c>
      <c r="Y987" s="40" t="s">
        <v>284</v>
      </c>
      <c r="Z987" s="40" t="s">
        <v>305</v>
      </c>
      <c r="AA987" s="33" t="s">
        <v>771</v>
      </c>
      <c r="AB987" s="95"/>
      <c r="AC987" s="95"/>
    </row>
    <row r="988" spans="1:29" ht="14.45" hidden="1" customHeight="1" x14ac:dyDescent="0.25">
      <c r="A988" s="36" t="str">
        <f>INDEX('Base de données Mono'!C:C,MATCH(B988,'Base de données Mono'!D:D,0))</f>
        <v>SAINT MAUR</v>
      </c>
      <c r="B988" t="s">
        <v>235</v>
      </c>
      <c r="C988" s="36" t="str">
        <f>INDEX('Base de données Mono'!B:B,MATCH(B988,'Base de données Mono'!D:D,0))</f>
        <v>SES8</v>
      </c>
      <c r="D988" s="36" t="str">
        <f>INDEX('Base de données Mono'!A:A,MATCH(B988,'Base de données Mono'!D:D,0))</f>
        <v>JG</v>
      </c>
      <c r="E988" s="37" t="s">
        <v>303</v>
      </c>
      <c r="F988" s="41">
        <f t="shared" si="132"/>
        <v>15</v>
      </c>
      <c r="G988" s="41">
        <f t="shared" si="133"/>
        <v>4</v>
      </c>
      <c r="H988">
        <v>8.83</v>
      </c>
      <c r="I988" s="131">
        <f>INDEX('Base de données Mono'!K:K,MATCH(B988,'Base de données Mono'!D:D,0))</f>
        <v>0.24305555555555555</v>
      </c>
      <c r="J988" s="131">
        <f>INDEX('Base de données Mono'!L:L,MATCH(B988,'Base de données Mono'!D:D,0))</f>
        <v>0.875</v>
      </c>
      <c r="K988" s="131">
        <f>INDEX('Base de données Mono'!M:M,MATCH(B988,'Base de données Mono'!D:D,0))</f>
        <v>0.28472222222222221</v>
      </c>
      <c r="L988" s="131">
        <f>INDEX('Base de données Mono'!N:N,MATCH(B988,'Base de données Mono'!D:D,0))</f>
        <v>0.55208333333333337</v>
      </c>
      <c r="M988" s="33" t="s">
        <v>46</v>
      </c>
      <c r="N988" s="33">
        <f>IF(AND(E988="Electricité",M988="Hiver"),INDEX('Base de données Mono'!E:E,MATCH(B988,'Base de données Mono'!D:D,0)),IF(AND(E988="Electricité",M988="Mi-saison"),INDEX('Base de données Mono'!F:F,MATCH(B988,'Base de données Mono'!D:D,0)),IF(AND(E988="Electricité",M988="Eté"),INDEX('Base de données Mono'!G:G,MATCH(B988,'Base de données Mono'!D:D,0)),IF(AND(E988="Gaz",M988="Hiver"),INDEX('Base de données Mono'!J:J,MATCH(B988,'Base de données Mono'!D:D,0)),IF(AND(E988="Gaz",M988="Mi-saison"),INDEX('Base de données Mono'!#REF!,MATCH(B988,'Base de données Mono'!D:D,0)),IF(AND(E988="Gaz",M988="Eté"),INDEX('Base de données Mono'!#REF!,MATCH(B988,'Base de données Mono'!D:D,0)),"-"))))))</f>
        <v>50</v>
      </c>
      <c r="O988" s="123">
        <v>45395</v>
      </c>
      <c r="P988" s="123">
        <v>45396</v>
      </c>
      <c r="Q988" s="34">
        <v>55</v>
      </c>
      <c r="R988" s="33">
        <f t="shared" si="131"/>
        <v>5</v>
      </c>
      <c r="S988" s="34">
        <v>9.8000000000000007</v>
      </c>
      <c r="T988" s="34">
        <f t="shared" si="134"/>
        <v>1</v>
      </c>
      <c r="U988" s="33">
        <f t="shared" si="135"/>
        <v>49</v>
      </c>
      <c r="V988" s="38" t="s">
        <v>827</v>
      </c>
      <c r="W988" s="39">
        <f t="shared" si="136"/>
        <v>0.1</v>
      </c>
      <c r="X988" s="40" t="s">
        <v>304</v>
      </c>
      <c r="Y988" s="40" t="s">
        <v>284</v>
      </c>
      <c r="Z988" s="40" t="s">
        <v>305</v>
      </c>
      <c r="AA988" s="33" t="s">
        <v>771</v>
      </c>
      <c r="AB988" s="95"/>
      <c r="AC988" s="95"/>
    </row>
    <row r="989" spans="1:29" ht="14.45" hidden="1" customHeight="1" x14ac:dyDescent="0.25">
      <c r="A989" s="36" t="str">
        <f>INDEX('Base de données Mono'!C:C,MATCH(B989,'Base de données Mono'!D:D,0))</f>
        <v>RUEIL MALMAISON</v>
      </c>
      <c r="B989" t="s">
        <v>31</v>
      </c>
      <c r="C989" s="36" t="str">
        <f>INDEX('Base de données Mono'!B:B,MATCH(B989,'Base de données Mono'!D:D,0))</f>
        <v>SES8</v>
      </c>
      <c r="D989" s="36" t="str">
        <f>INDEX('Base de données Mono'!A:A,MATCH(B989,'Base de données Mono'!D:D,0))</f>
        <v>AD</v>
      </c>
      <c r="E989" s="37" t="s">
        <v>303</v>
      </c>
      <c r="F989" s="41">
        <f t="shared" si="132"/>
        <v>15</v>
      </c>
      <c r="G989" s="41">
        <f t="shared" si="133"/>
        <v>4</v>
      </c>
      <c r="H989">
        <v>8</v>
      </c>
      <c r="I989" s="131">
        <f>INDEX('Base de données Mono'!K:K,MATCH(B989,'Base de données Mono'!D:D,0))</f>
        <v>0.26041666666666669</v>
      </c>
      <c r="J989" s="131">
        <f>INDEX('Base de données Mono'!L:L,MATCH(B989,'Base de données Mono'!D:D,0))</f>
        <v>0.92708333333333337</v>
      </c>
      <c r="K989" s="131">
        <f>INDEX('Base de données Mono'!M:M,MATCH(B989,'Base de données Mono'!D:D,0))</f>
        <v>0.27777777777777779</v>
      </c>
      <c r="L989" s="131">
        <f>INDEX('Base de données Mono'!N:N,MATCH(B989,'Base de données Mono'!D:D,0))</f>
        <v>0.59375</v>
      </c>
      <c r="M989" s="33" t="s">
        <v>46</v>
      </c>
      <c r="N989" s="33">
        <f>IF(AND(E989="Electricité",M989="Hiver"),INDEX('Base de données Mono'!E:E,MATCH(B989,'Base de données Mono'!D:D,0)),IF(AND(E989="Electricité",M989="Mi-saison"),INDEX('Base de données Mono'!F:F,MATCH(B989,'Base de données Mono'!D:D,0)),IF(AND(E989="Electricité",M989="Eté"),INDEX('Base de données Mono'!G:G,MATCH(B989,'Base de données Mono'!D:D,0)),IF(AND(E989="Gaz",M989="Hiver"),INDEX('Base de données Mono'!J:J,MATCH(B989,'Base de données Mono'!D:D,0)),IF(AND(E989="Gaz",M989="Mi-saison"),INDEX('Base de données Mono'!#REF!,MATCH(B989,'Base de données Mono'!D:D,0)),IF(AND(E989="Gaz",M989="Eté"),INDEX('Base de données Mono'!#REF!,MATCH(B989,'Base de données Mono'!D:D,0)),"-"))))))</f>
        <v>65</v>
      </c>
      <c r="O989" s="123">
        <v>45389</v>
      </c>
      <c r="P989" s="123">
        <v>45390</v>
      </c>
      <c r="Q989" s="34">
        <v>95</v>
      </c>
      <c r="R989" s="33">
        <f t="shared" si="131"/>
        <v>30</v>
      </c>
      <c r="S989" s="34">
        <v>4.5</v>
      </c>
      <c r="T989" s="34">
        <f t="shared" si="134"/>
        <v>1</v>
      </c>
      <c r="U989" s="33">
        <f t="shared" si="135"/>
        <v>135</v>
      </c>
      <c r="V989" s="38" t="s">
        <v>827</v>
      </c>
      <c r="W989" s="39">
        <f t="shared" si="136"/>
        <v>0.46153846153846156</v>
      </c>
      <c r="X989" s="40" t="s">
        <v>304</v>
      </c>
      <c r="Y989" s="40" t="s">
        <v>284</v>
      </c>
      <c r="Z989" s="40" t="s">
        <v>305</v>
      </c>
      <c r="AA989" s="33" t="s">
        <v>771</v>
      </c>
      <c r="AB989" s="95"/>
      <c r="AC989" s="95"/>
    </row>
    <row r="990" spans="1:29" ht="14.45" hidden="1" customHeight="1" x14ac:dyDescent="0.25">
      <c r="A990" s="36" t="str">
        <f>INDEX('Base de données Mono'!C:C,MATCH(B990,'Base de données Mono'!D:D,0))</f>
        <v>RUEIL MALMAISON</v>
      </c>
      <c r="B990" t="s">
        <v>31</v>
      </c>
      <c r="C990" s="36" t="str">
        <f>INDEX('Base de données Mono'!B:B,MATCH(B990,'Base de données Mono'!D:D,0))</f>
        <v>SES8</v>
      </c>
      <c r="D990" s="36" t="str">
        <f>INDEX('Base de données Mono'!A:A,MATCH(B990,'Base de données Mono'!D:D,0))</f>
        <v>AD</v>
      </c>
      <c r="E990" s="37" t="s">
        <v>303</v>
      </c>
      <c r="F990" s="41">
        <f t="shared" si="132"/>
        <v>15</v>
      </c>
      <c r="G990" s="41">
        <f t="shared" si="133"/>
        <v>4</v>
      </c>
      <c r="H990">
        <v>8</v>
      </c>
      <c r="I990" s="131">
        <f>INDEX('Base de données Mono'!K:K,MATCH(B990,'Base de données Mono'!D:D,0))</f>
        <v>0.26041666666666669</v>
      </c>
      <c r="J990" s="131">
        <f>INDEX('Base de données Mono'!L:L,MATCH(B990,'Base de données Mono'!D:D,0))</f>
        <v>0.92708333333333337</v>
      </c>
      <c r="K990" s="131">
        <f>INDEX('Base de données Mono'!M:M,MATCH(B990,'Base de données Mono'!D:D,0))</f>
        <v>0.27777777777777779</v>
      </c>
      <c r="L990" s="131">
        <f>INDEX('Base de données Mono'!N:N,MATCH(B990,'Base de données Mono'!D:D,0))</f>
        <v>0.59375</v>
      </c>
      <c r="M990" s="33" t="s">
        <v>46</v>
      </c>
      <c r="N990" s="33">
        <f>IF(AND(E990="Electricité",M990="Hiver"),INDEX('Base de données Mono'!E:E,MATCH(B990,'Base de données Mono'!D:D,0)),IF(AND(E990="Electricité",M990="Mi-saison"),INDEX('Base de données Mono'!F:F,MATCH(B990,'Base de données Mono'!D:D,0)),IF(AND(E990="Electricité",M990="Eté"),INDEX('Base de données Mono'!G:G,MATCH(B990,'Base de données Mono'!D:D,0)),IF(AND(E990="Gaz",M990="Hiver"),INDEX('Base de données Mono'!J:J,MATCH(B990,'Base de données Mono'!D:D,0)),IF(AND(E990="Gaz",M990="Mi-saison"),INDEX('Base de données Mono'!#REF!,MATCH(B990,'Base de données Mono'!D:D,0)),IF(AND(E990="Gaz",M990="Eté"),INDEX('Base de données Mono'!#REF!,MATCH(B990,'Base de données Mono'!D:D,0)),"-"))))))</f>
        <v>65</v>
      </c>
      <c r="O990" s="123">
        <v>45395</v>
      </c>
      <c r="P990" s="123">
        <v>45396</v>
      </c>
      <c r="Q990" s="34">
        <v>95</v>
      </c>
      <c r="R990" s="33">
        <f t="shared" ref="R990:R1014" si="137">IF(Q990="","",Q990-N990)</f>
        <v>30</v>
      </c>
      <c r="S990" s="34">
        <v>0.5</v>
      </c>
      <c r="T990" s="34">
        <f t="shared" si="134"/>
        <v>1</v>
      </c>
      <c r="U990" s="33">
        <f t="shared" si="135"/>
        <v>15</v>
      </c>
      <c r="V990" s="38" t="s">
        <v>827</v>
      </c>
      <c r="W990" s="39">
        <f t="shared" si="136"/>
        <v>0.46153846153846156</v>
      </c>
      <c r="X990" s="40" t="s">
        <v>304</v>
      </c>
      <c r="Y990" s="40" t="s">
        <v>284</v>
      </c>
      <c r="Z990" s="40" t="s">
        <v>305</v>
      </c>
      <c r="AA990" s="33" t="s">
        <v>771</v>
      </c>
      <c r="AB990" s="95"/>
      <c r="AC990" s="95"/>
    </row>
    <row r="991" spans="1:29" ht="14.45" hidden="1" customHeight="1" x14ac:dyDescent="0.25">
      <c r="A991" s="36" t="str">
        <f>INDEX('Base de données Mono'!C:C,MATCH(B991,'Base de données Mono'!D:D,0))</f>
        <v>MANTES LA JOLIE</v>
      </c>
      <c r="B991" t="s">
        <v>23</v>
      </c>
      <c r="C991" s="36" t="str">
        <f>INDEX('Base de données Mono'!B:B,MATCH(B991,'Base de données Mono'!D:D,0))</f>
        <v>SES8</v>
      </c>
      <c r="D991" s="36" t="str">
        <f>INDEX('Base de données Mono'!A:A,MATCH(B991,'Base de données Mono'!D:D,0))</f>
        <v>AD</v>
      </c>
      <c r="E991" s="37" t="s">
        <v>303</v>
      </c>
      <c r="F991" s="41">
        <f>IF(O991="","-",IF(AND(X991="Nuit",WEEKDAY(O991,2)=7,O991&lt;&gt;P991),WEEKNUM(O991,2),WEEKNUM(O991,2)-1))+1</f>
        <v>15</v>
      </c>
      <c r="G991" s="41">
        <f>IF(O991="","-",MONTH(O991))</f>
        <v>4</v>
      </c>
      <c r="H991">
        <v>7.83</v>
      </c>
      <c r="I991" s="131">
        <f>INDEX('Base de données Mono'!K:K,MATCH(B991,'Base de données Mono'!D:D,0))</f>
        <v>0.20138888888888887</v>
      </c>
      <c r="J991" s="131">
        <f>INDEX('Base de données Mono'!L:L,MATCH(B991,'Base de données Mono'!D:D,0))</f>
        <v>0.875</v>
      </c>
      <c r="K991" s="131">
        <f>INDEX('Base de données Mono'!M:M,MATCH(B991,'Base de données Mono'!D:D,0))</f>
        <v>0.24305555555555555</v>
      </c>
      <c r="L991" s="131">
        <f>INDEX('Base de données Mono'!N:N,MATCH(B991,'Base de données Mono'!D:D,0))</f>
        <v>0.83333333333333337</v>
      </c>
      <c r="M991" s="33" t="s">
        <v>46</v>
      </c>
      <c r="N991" s="33">
        <f>IF(AND(E991="Electricité",M991="Hiver"),INDEX('Base de données Mono'!E:E,MATCH(B991,'Base de données Mono'!D:D,0)),IF(AND(E991="Electricité",M991="Mi-saison"),INDEX('Base de données Mono'!F:F,MATCH(B991,'Base de données Mono'!D:D,0)),IF(AND(E991="Electricité",M991="Eté"),INDEX('Base de données Mono'!G:G,MATCH(B991,'Base de données Mono'!D:D,0)),IF(AND(E991="Gaz",M991="Hiver"),INDEX('Base de données Mono'!J:J,MATCH(B991,'Base de données Mono'!D:D,0)),IF(AND(E991="Gaz",M991="Mi-saison"),INDEX('Base de données Mono'!#REF!,MATCH(B991,'Base de données Mono'!D:D,0)),IF(AND(E991="Gaz",M991="Eté"),INDEX('Base de données Mono'!#REF!,MATCH(B991,'Base de données Mono'!D:D,0)),"-"))))))</f>
        <v>35</v>
      </c>
      <c r="O991" s="123">
        <v>45389</v>
      </c>
      <c r="P991" s="123">
        <v>45391</v>
      </c>
      <c r="Q991" s="34">
        <v>40</v>
      </c>
      <c r="R991" s="33">
        <f>IF(Q991="","",Q991-N991)</f>
        <v>5</v>
      </c>
      <c r="S991" s="34">
        <v>7.8</v>
      </c>
      <c r="T991" s="34">
        <f t="shared" si="134"/>
        <v>2</v>
      </c>
      <c r="U991" s="33">
        <f>R991*S991*T991</f>
        <v>78</v>
      </c>
      <c r="V991" s="38" t="s">
        <v>827</v>
      </c>
      <c r="W991" s="39">
        <f>IFERROR(IF(E991="Gaz","-",R991/N991),"-")</f>
        <v>0.14285714285714285</v>
      </c>
      <c r="X991" s="40" t="s">
        <v>304</v>
      </c>
      <c r="Y991" s="40" t="s">
        <v>283</v>
      </c>
      <c r="Z991" s="40" t="s">
        <v>749</v>
      </c>
      <c r="AA991" s="33" t="s">
        <v>749</v>
      </c>
      <c r="AB991" s="95"/>
      <c r="AC991" s="95"/>
    </row>
    <row r="992" spans="1:29" ht="14.45" hidden="1" customHeight="1" x14ac:dyDescent="0.25">
      <c r="A992" s="36" t="str">
        <f>INDEX('Base de données Mono'!C:C,MATCH(B992,'Base de données Mono'!D:D,0))</f>
        <v>MANTES LA JOLIE</v>
      </c>
      <c r="B992" t="s">
        <v>23</v>
      </c>
      <c r="C992" s="36" t="str">
        <f>INDEX('Base de données Mono'!B:B,MATCH(B992,'Base de données Mono'!D:D,0))</f>
        <v>SES8</v>
      </c>
      <c r="D992" s="36" t="str">
        <f>INDEX('Base de données Mono'!A:A,MATCH(B992,'Base de données Mono'!D:D,0))</f>
        <v>AD</v>
      </c>
      <c r="E992" s="37" t="s">
        <v>303</v>
      </c>
      <c r="F992" s="41">
        <f t="shared" si="132"/>
        <v>15</v>
      </c>
      <c r="G992" s="41">
        <f t="shared" si="133"/>
        <v>4</v>
      </c>
      <c r="H992">
        <v>7.83</v>
      </c>
      <c r="I992" s="131">
        <f>INDEX('Base de données Mono'!K:K,MATCH(B992,'Base de données Mono'!D:D,0))</f>
        <v>0.20138888888888887</v>
      </c>
      <c r="J992" s="131">
        <f>INDEX('Base de données Mono'!L:L,MATCH(B992,'Base de données Mono'!D:D,0))</f>
        <v>0.875</v>
      </c>
      <c r="K992" s="131">
        <f>INDEX('Base de données Mono'!M:M,MATCH(B992,'Base de données Mono'!D:D,0))</f>
        <v>0.24305555555555555</v>
      </c>
      <c r="L992" s="131">
        <f>INDEX('Base de données Mono'!N:N,MATCH(B992,'Base de données Mono'!D:D,0))</f>
        <v>0.83333333333333337</v>
      </c>
      <c r="M992" s="33" t="s">
        <v>46</v>
      </c>
      <c r="N992" s="33">
        <f>IF(AND(E992="Electricité",M992="Hiver"),INDEX('Base de données Mono'!E:E,MATCH(B992,'Base de données Mono'!D:D,0)),IF(AND(E992="Electricité",M992="Mi-saison"),INDEX('Base de données Mono'!F:F,MATCH(B992,'Base de données Mono'!D:D,0)),IF(AND(E992="Electricité",M992="Eté"),INDEX('Base de données Mono'!G:G,MATCH(B992,'Base de données Mono'!D:D,0)),IF(AND(E992="Gaz",M992="Hiver"),INDEX('Base de données Mono'!J:J,MATCH(B992,'Base de données Mono'!D:D,0)),IF(AND(E992="Gaz",M992="Mi-saison"),INDEX('Base de données Mono'!#REF!,MATCH(B992,'Base de données Mono'!D:D,0)),IF(AND(E992="Gaz",M992="Eté"),INDEX('Base de données Mono'!#REF!,MATCH(B992,'Base de données Mono'!D:D,0)),"-"))))))</f>
        <v>35</v>
      </c>
      <c r="O992" s="123">
        <v>45391</v>
      </c>
      <c r="P992" s="123">
        <v>45396</v>
      </c>
      <c r="Q992" s="34">
        <v>40</v>
      </c>
      <c r="R992" s="33">
        <f t="shared" si="137"/>
        <v>5</v>
      </c>
      <c r="S992" s="34">
        <v>7.8</v>
      </c>
      <c r="T992" s="34">
        <f t="shared" si="134"/>
        <v>5</v>
      </c>
      <c r="U992" s="33">
        <f t="shared" si="135"/>
        <v>195</v>
      </c>
      <c r="V992" s="38" t="s">
        <v>827</v>
      </c>
      <c r="W992" s="39">
        <f t="shared" si="136"/>
        <v>0.14285714285714285</v>
      </c>
      <c r="X992" s="40" t="s">
        <v>304</v>
      </c>
      <c r="Y992" s="40" t="s">
        <v>283</v>
      </c>
      <c r="Z992" s="40" t="s">
        <v>749</v>
      </c>
      <c r="AA992" s="33" t="s">
        <v>749</v>
      </c>
      <c r="AB992" s="95"/>
      <c r="AC992" s="95"/>
    </row>
    <row r="993" spans="1:29" ht="14.45" hidden="1" customHeight="1" x14ac:dyDescent="0.25">
      <c r="A993" s="36" t="str">
        <f>INDEX('Base de données Mono'!C:C,MATCH(B993,'Base de données Mono'!D:D,0))</f>
        <v>LYON LA PART DIEU</v>
      </c>
      <c r="B993" t="s">
        <v>21</v>
      </c>
      <c r="C993" s="36" t="str">
        <f>INDEX('Base de données Mono'!B:B,MATCH(B993,'Base de données Mono'!D:D,0))</f>
        <v>SES8</v>
      </c>
      <c r="D993" s="36" t="str">
        <f>INDEX('Base de données Mono'!A:A,MATCH(B993,'Base de données Mono'!D:D,0))</f>
        <v>JG</v>
      </c>
      <c r="E993" s="37" t="s">
        <v>303</v>
      </c>
      <c r="F993" s="41">
        <f t="shared" si="132"/>
        <v>15</v>
      </c>
      <c r="G993" s="41">
        <f t="shared" si="133"/>
        <v>4</v>
      </c>
      <c r="H993">
        <v>8.5</v>
      </c>
      <c r="I993" s="131">
        <f>INDEX('Base de données Mono'!K:K,MATCH(B993,'Base de données Mono'!D:D,0))</f>
        <v>0.1875</v>
      </c>
      <c r="J993" s="131">
        <f>INDEX('Base de données Mono'!L:L,MATCH(B993,'Base de données Mono'!D:D,0))</f>
        <v>0.83333333333333337</v>
      </c>
      <c r="K993" s="131">
        <f>INDEX('Base de données Mono'!M:M,MATCH(B993,'Base de données Mono'!D:D,0))</f>
        <v>0.25</v>
      </c>
      <c r="L993" s="131">
        <f>INDEX('Base de données Mono'!N:N,MATCH(B993,'Base de données Mono'!D:D,0))</f>
        <v>0.5</v>
      </c>
      <c r="M993" s="33" t="s">
        <v>46</v>
      </c>
      <c r="N993" s="33">
        <f>IF(AND(E993="Electricité",M993="Hiver"),INDEX('Base de données Mono'!E:E,MATCH(B993,'Base de données Mono'!D:D,0)),IF(AND(E993="Electricité",M993="Mi-saison"),INDEX('Base de données Mono'!F:F,MATCH(B993,'Base de données Mono'!D:D,0)),IF(AND(E993="Electricité",M993="Eté"),INDEX('Base de données Mono'!G:G,MATCH(B993,'Base de données Mono'!D:D,0)),IF(AND(E993="Gaz",M993="Hiver"),INDEX('Base de données Mono'!J:J,MATCH(B993,'Base de données Mono'!D:D,0)),IF(AND(E993="Gaz",M993="Mi-saison"),INDEX('Base de données Mono'!#REF!,MATCH(B993,'Base de données Mono'!D:D,0)),IF(AND(E993="Gaz",M993="Eté"),INDEX('Base de données Mono'!#REF!,MATCH(B993,'Base de données Mono'!D:D,0)),"-"))))))</f>
        <v>45</v>
      </c>
      <c r="O993" s="123">
        <v>45389</v>
      </c>
      <c r="P993" s="123">
        <v>45390</v>
      </c>
      <c r="Q993" s="34">
        <v>60</v>
      </c>
      <c r="R993" s="33">
        <f t="shared" si="137"/>
        <v>15</v>
      </c>
      <c r="S993" s="34">
        <v>8</v>
      </c>
      <c r="T993" s="34">
        <f t="shared" si="134"/>
        <v>1</v>
      </c>
      <c r="U993" s="33">
        <f t="shared" si="135"/>
        <v>120</v>
      </c>
      <c r="V993" s="38" t="s">
        <v>827</v>
      </c>
      <c r="W993" s="39">
        <f t="shared" si="136"/>
        <v>0.33333333333333331</v>
      </c>
      <c r="X993" s="40" t="s">
        <v>304</v>
      </c>
      <c r="Y993" s="40" t="s">
        <v>284</v>
      </c>
      <c r="Z993" s="40" t="s">
        <v>305</v>
      </c>
      <c r="AA993" s="33" t="s">
        <v>771</v>
      </c>
      <c r="AB993" s="95"/>
      <c r="AC993" s="95"/>
    </row>
    <row r="994" spans="1:29" ht="14.45" hidden="1" customHeight="1" x14ac:dyDescent="0.25">
      <c r="A994" s="36" t="str">
        <f>INDEX('Base de données Mono'!C:C,MATCH(B994,'Base de données Mono'!D:D,0))</f>
        <v>LYON LA PART DIEU</v>
      </c>
      <c r="B994" t="s">
        <v>21</v>
      </c>
      <c r="C994" s="36" t="str">
        <f>INDEX('Base de données Mono'!B:B,MATCH(B994,'Base de données Mono'!D:D,0))</f>
        <v>SES8</v>
      </c>
      <c r="D994" s="36" t="str">
        <f>INDEX('Base de données Mono'!A:A,MATCH(B994,'Base de données Mono'!D:D,0))</f>
        <v>JG</v>
      </c>
      <c r="E994" s="37" t="s">
        <v>303</v>
      </c>
      <c r="F994" s="41">
        <f t="shared" si="132"/>
        <v>15</v>
      </c>
      <c r="G994" s="41">
        <f t="shared" si="133"/>
        <v>4</v>
      </c>
      <c r="H994">
        <v>8.5</v>
      </c>
      <c r="I994" s="131">
        <f>INDEX('Base de données Mono'!K:K,MATCH(B994,'Base de données Mono'!D:D,0))</f>
        <v>0.1875</v>
      </c>
      <c r="J994" s="131">
        <f>INDEX('Base de données Mono'!L:L,MATCH(B994,'Base de données Mono'!D:D,0))</f>
        <v>0.83333333333333337</v>
      </c>
      <c r="K994" s="131">
        <f>INDEX('Base de données Mono'!M:M,MATCH(B994,'Base de données Mono'!D:D,0))</f>
        <v>0.25</v>
      </c>
      <c r="L994" s="131">
        <f>INDEX('Base de données Mono'!N:N,MATCH(B994,'Base de données Mono'!D:D,0))</f>
        <v>0.5</v>
      </c>
      <c r="M994" s="33" t="s">
        <v>46</v>
      </c>
      <c r="N994" s="33">
        <f>IF(AND(E994="Electricité",M994="Hiver"),INDEX('Base de données Mono'!E:E,MATCH(B994,'Base de données Mono'!D:D,0)),IF(AND(E994="Electricité",M994="Mi-saison"),INDEX('Base de données Mono'!F:F,MATCH(B994,'Base de données Mono'!D:D,0)),IF(AND(E994="Electricité",M994="Eté"),INDEX('Base de données Mono'!G:G,MATCH(B994,'Base de données Mono'!D:D,0)),IF(AND(E994="Gaz",M994="Hiver"),INDEX('Base de données Mono'!J:J,MATCH(B994,'Base de données Mono'!D:D,0)),IF(AND(E994="Gaz",M994="Mi-saison"),INDEX('Base de données Mono'!#REF!,MATCH(B994,'Base de données Mono'!D:D,0)),IF(AND(E994="Gaz",M994="Eté"),INDEX('Base de données Mono'!#REF!,MATCH(B994,'Base de données Mono'!D:D,0)),"-"))))))</f>
        <v>45</v>
      </c>
      <c r="O994" s="123">
        <v>45390</v>
      </c>
      <c r="P994" s="123">
        <v>45392</v>
      </c>
      <c r="Q994" s="34">
        <v>115</v>
      </c>
      <c r="R994" s="33">
        <f t="shared" si="137"/>
        <v>70</v>
      </c>
      <c r="S994" s="34">
        <v>3</v>
      </c>
      <c r="T994" s="34">
        <f t="shared" si="134"/>
        <v>2</v>
      </c>
      <c r="U994" s="33">
        <f t="shared" si="135"/>
        <v>420</v>
      </c>
      <c r="V994" s="38" t="s">
        <v>827</v>
      </c>
      <c r="W994" s="39">
        <f t="shared" si="136"/>
        <v>1.5555555555555556</v>
      </c>
      <c r="X994" s="40" t="s">
        <v>304</v>
      </c>
      <c r="Y994" s="40" t="s">
        <v>284</v>
      </c>
      <c r="Z994" s="40" t="s">
        <v>307</v>
      </c>
      <c r="AA994" s="33" t="s">
        <v>313</v>
      </c>
      <c r="AB994" s="95"/>
      <c r="AC994" s="95"/>
    </row>
    <row r="995" spans="1:29" ht="14.45" hidden="1" customHeight="1" x14ac:dyDescent="0.25">
      <c r="A995" s="36" t="str">
        <f>INDEX('Base de données Mono'!C:C,MATCH(B995,'Base de données Mono'!D:D,0))</f>
        <v>LYON LA PART DIEU</v>
      </c>
      <c r="B995" t="s">
        <v>21</v>
      </c>
      <c r="C995" s="36" t="str">
        <f>INDEX('Base de données Mono'!B:B,MATCH(B995,'Base de données Mono'!D:D,0))</f>
        <v>SES8</v>
      </c>
      <c r="D995" s="36" t="str">
        <f>INDEX('Base de données Mono'!A:A,MATCH(B995,'Base de données Mono'!D:D,0))</f>
        <v>JG</v>
      </c>
      <c r="E995" s="37" t="s">
        <v>303</v>
      </c>
      <c r="F995" s="41">
        <f t="shared" si="132"/>
        <v>15</v>
      </c>
      <c r="G995" s="41">
        <f t="shared" si="133"/>
        <v>4</v>
      </c>
      <c r="H995">
        <v>8.5</v>
      </c>
      <c r="I995" s="131">
        <f>INDEX('Base de données Mono'!K:K,MATCH(B995,'Base de données Mono'!D:D,0))</f>
        <v>0.1875</v>
      </c>
      <c r="J995" s="131">
        <f>INDEX('Base de données Mono'!L:L,MATCH(B995,'Base de données Mono'!D:D,0))</f>
        <v>0.83333333333333337</v>
      </c>
      <c r="K995" s="131">
        <f>INDEX('Base de données Mono'!M:M,MATCH(B995,'Base de données Mono'!D:D,0))</f>
        <v>0.25</v>
      </c>
      <c r="L995" s="131">
        <f>INDEX('Base de données Mono'!N:N,MATCH(B995,'Base de données Mono'!D:D,0))</f>
        <v>0.5</v>
      </c>
      <c r="M995" s="33" t="s">
        <v>46</v>
      </c>
      <c r="N995" s="33">
        <f>IF(AND(E995="Electricité",M995="Hiver"),INDEX('Base de données Mono'!E:E,MATCH(B995,'Base de données Mono'!D:D,0)),IF(AND(E995="Electricité",M995="Mi-saison"),INDEX('Base de données Mono'!F:F,MATCH(B995,'Base de données Mono'!D:D,0)),IF(AND(E995="Electricité",M995="Eté"),INDEX('Base de données Mono'!G:G,MATCH(B995,'Base de données Mono'!D:D,0)),IF(AND(E995="Gaz",M995="Hiver"),INDEX('Base de données Mono'!J:J,MATCH(B995,'Base de données Mono'!D:D,0)),IF(AND(E995="Gaz",M995="Mi-saison"),INDEX('Base de données Mono'!#REF!,MATCH(B995,'Base de données Mono'!D:D,0)),IF(AND(E995="Gaz",M995="Eté"),INDEX('Base de données Mono'!#REF!,MATCH(B995,'Base de données Mono'!D:D,0)),"-"))))))</f>
        <v>45</v>
      </c>
      <c r="O995" s="123">
        <v>45390</v>
      </c>
      <c r="P995" s="123">
        <v>45392</v>
      </c>
      <c r="Q995" s="34">
        <v>60</v>
      </c>
      <c r="R995" s="33">
        <f t="shared" si="137"/>
        <v>15</v>
      </c>
      <c r="S995" s="34">
        <v>5</v>
      </c>
      <c r="T995" s="34">
        <f t="shared" si="134"/>
        <v>2</v>
      </c>
      <c r="U995" s="33">
        <f t="shared" si="135"/>
        <v>150</v>
      </c>
      <c r="V995" s="38" t="s">
        <v>827</v>
      </c>
      <c r="W995" s="39">
        <f t="shared" si="136"/>
        <v>0.33333333333333331</v>
      </c>
      <c r="X995" s="40" t="s">
        <v>304</v>
      </c>
      <c r="Y995" s="40" t="s">
        <v>284</v>
      </c>
      <c r="Z995" s="40" t="s">
        <v>305</v>
      </c>
      <c r="AA995" s="33" t="s">
        <v>771</v>
      </c>
      <c r="AB995" s="95"/>
      <c r="AC995" s="95"/>
    </row>
    <row r="996" spans="1:29" ht="14.45" hidden="1" customHeight="1" x14ac:dyDescent="0.25">
      <c r="A996" s="36" t="str">
        <f>INDEX('Base de données Mono'!C:C,MATCH(B996,'Base de données Mono'!D:D,0))</f>
        <v>LYON LA PART DIEU</v>
      </c>
      <c r="B996" t="s">
        <v>21</v>
      </c>
      <c r="C996" s="36" t="str">
        <f>INDEX('Base de données Mono'!B:B,MATCH(B996,'Base de données Mono'!D:D,0))</f>
        <v>SES8</v>
      </c>
      <c r="D996" s="36" t="str">
        <f>INDEX('Base de données Mono'!A:A,MATCH(B996,'Base de données Mono'!D:D,0))</f>
        <v>JG</v>
      </c>
      <c r="E996" s="37" t="s">
        <v>303</v>
      </c>
      <c r="F996" s="41">
        <f t="shared" si="132"/>
        <v>15</v>
      </c>
      <c r="G996" s="41">
        <f t="shared" si="133"/>
        <v>4</v>
      </c>
      <c r="H996">
        <v>8.5</v>
      </c>
      <c r="I996" s="131">
        <f>INDEX('Base de données Mono'!K:K,MATCH(B996,'Base de données Mono'!D:D,0))</f>
        <v>0.1875</v>
      </c>
      <c r="J996" s="131">
        <f>INDEX('Base de données Mono'!L:L,MATCH(B996,'Base de données Mono'!D:D,0))</f>
        <v>0.83333333333333337</v>
      </c>
      <c r="K996" s="131">
        <f>INDEX('Base de données Mono'!M:M,MATCH(B996,'Base de données Mono'!D:D,0))</f>
        <v>0.25</v>
      </c>
      <c r="L996" s="131">
        <f>INDEX('Base de données Mono'!N:N,MATCH(B996,'Base de données Mono'!D:D,0))</f>
        <v>0.5</v>
      </c>
      <c r="M996" s="33" t="s">
        <v>46</v>
      </c>
      <c r="N996" s="33">
        <f>IF(AND(E996="Electricité",M996="Hiver"),INDEX('Base de données Mono'!E:E,MATCH(B996,'Base de données Mono'!D:D,0)),IF(AND(E996="Electricité",M996="Mi-saison"),INDEX('Base de données Mono'!F:F,MATCH(B996,'Base de données Mono'!D:D,0)),IF(AND(E996="Electricité",M996="Eté"),INDEX('Base de données Mono'!G:G,MATCH(B996,'Base de données Mono'!D:D,0)),IF(AND(E996="Gaz",M996="Hiver"),INDEX('Base de données Mono'!J:J,MATCH(B996,'Base de données Mono'!D:D,0)),IF(AND(E996="Gaz",M996="Mi-saison"),INDEX('Base de données Mono'!#REF!,MATCH(B996,'Base de données Mono'!D:D,0)),IF(AND(E996="Gaz",M996="Eté"),INDEX('Base de données Mono'!#REF!,MATCH(B996,'Base de données Mono'!D:D,0)),"-"))))))</f>
        <v>45</v>
      </c>
      <c r="O996" s="123">
        <v>45392</v>
      </c>
      <c r="P996" s="123">
        <v>45396</v>
      </c>
      <c r="Q996" s="34">
        <v>115</v>
      </c>
      <c r="R996" s="33">
        <f t="shared" si="137"/>
        <v>70</v>
      </c>
      <c r="S996" s="34">
        <v>0.8</v>
      </c>
      <c r="T996" s="34">
        <f t="shared" si="134"/>
        <v>4</v>
      </c>
      <c r="U996" s="33">
        <f t="shared" si="135"/>
        <v>224</v>
      </c>
      <c r="V996" s="38" t="s">
        <v>827</v>
      </c>
      <c r="W996" s="39">
        <f t="shared" si="136"/>
        <v>1.5555555555555556</v>
      </c>
      <c r="X996" s="40" t="s">
        <v>304</v>
      </c>
      <c r="Y996" s="40" t="s">
        <v>284</v>
      </c>
      <c r="Z996" s="40" t="s">
        <v>307</v>
      </c>
      <c r="AA996" s="33" t="s">
        <v>313</v>
      </c>
      <c r="AB996" s="95"/>
      <c r="AC996" s="95"/>
    </row>
    <row r="997" spans="1:29" ht="14.45" hidden="1" customHeight="1" x14ac:dyDescent="0.25">
      <c r="A997" s="36" t="str">
        <f>INDEX('Base de données Mono'!C:C,MATCH(B997,'Base de données Mono'!D:D,0))</f>
        <v>LYON LA PART DIEU</v>
      </c>
      <c r="B997" t="s">
        <v>21</v>
      </c>
      <c r="C997" s="36" t="str">
        <f>INDEX('Base de données Mono'!B:B,MATCH(B997,'Base de données Mono'!D:D,0))</f>
        <v>SES8</v>
      </c>
      <c r="D997" s="36" t="str">
        <f>INDEX('Base de données Mono'!A:A,MATCH(B997,'Base de données Mono'!D:D,0))</f>
        <v>JG</v>
      </c>
      <c r="E997" s="37" t="s">
        <v>303</v>
      </c>
      <c r="F997" s="41">
        <f t="shared" si="132"/>
        <v>15</v>
      </c>
      <c r="G997" s="41">
        <f t="shared" si="133"/>
        <v>4</v>
      </c>
      <c r="H997">
        <v>8.5</v>
      </c>
      <c r="I997" s="131">
        <f>INDEX('Base de données Mono'!K:K,MATCH(B997,'Base de données Mono'!D:D,0))</f>
        <v>0.1875</v>
      </c>
      <c r="J997" s="131">
        <f>INDEX('Base de données Mono'!L:L,MATCH(B997,'Base de données Mono'!D:D,0))</f>
        <v>0.83333333333333337</v>
      </c>
      <c r="K997" s="131">
        <f>INDEX('Base de données Mono'!M:M,MATCH(B997,'Base de données Mono'!D:D,0))</f>
        <v>0.25</v>
      </c>
      <c r="L997" s="131">
        <f>INDEX('Base de données Mono'!N:N,MATCH(B997,'Base de données Mono'!D:D,0))</f>
        <v>0.5</v>
      </c>
      <c r="M997" s="33" t="s">
        <v>46</v>
      </c>
      <c r="N997" s="33">
        <f>IF(AND(E997="Electricité",M997="Hiver"),INDEX('Base de données Mono'!E:E,MATCH(B997,'Base de données Mono'!D:D,0)),IF(AND(E997="Electricité",M997="Mi-saison"),INDEX('Base de données Mono'!F:F,MATCH(B997,'Base de données Mono'!D:D,0)),IF(AND(E997="Electricité",M997="Eté"),INDEX('Base de données Mono'!G:G,MATCH(B997,'Base de données Mono'!D:D,0)),IF(AND(E997="Gaz",M997="Hiver"),INDEX('Base de données Mono'!J:J,MATCH(B997,'Base de données Mono'!D:D,0)),IF(AND(E997="Gaz",M997="Mi-saison"),INDEX('Base de données Mono'!#REF!,MATCH(B997,'Base de données Mono'!D:D,0)),IF(AND(E997="Gaz",M997="Eté"),INDEX('Base de données Mono'!#REF!,MATCH(B997,'Base de données Mono'!D:D,0)),"-"))))))</f>
        <v>45</v>
      </c>
      <c r="O997" s="123">
        <v>45392</v>
      </c>
      <c r="P997" s="123">
        <v>45395</v>
      </c>
      <c r="Q997" s="34">
        <v>60</v>
      </c>
      <c r="R997" s="33">
        <f t="shared" si="137"/>
        <v>15</v>
      </c>
      <c r="S997" s="34">
        <v>7.7</v>
      </c>
      <c r="T997" s="34">
        <f t="shared" si="134"/>
        <v>3</v>
      </c>
      <c r="U997" s="33">
        <f t="shared" si="135"/>
        <v>346.5</v>
      </c>
      <c r="V997" s="38" t="s">
        <v>827</v>
      </c>
      <c r="W997" s="39">
        <f t="shared" si="136"/>
        <v>0.33333333333333331</v>
      </c>
      <c r="X997" s="40" t="s">
        <v>304</v>
      </c>
      <c r="Y997" s="40" t="s">
        <v>284</v>
      </c>
      <c r="Z997" s="40" t="s">
        <v>305</v>
      </c>
      <c r="AA997" s="33" t="s">
        <v>771</v>
      </c>
      <c r="AB997" s="95"/>
      <c r="AC997" s="95"/>
    </row>
    <row r="998" spans="1:29" ht="14.45" hidden="1" customHeight="1" x14ac:dyDescent="0.25">
      <c r="A998" s="36" t="str">
        <f>INDEX('Base de données Mono'!C:C,MATCH(B998,'Base de données Mono'!D:D,0))</f>
        <v>LYON LA PART DIEU</v>
      </c>
      <c r="B998" t="s">
        <v>21</v>
      </c>
      <c r="C998" s="36" t="str">
        <f>INDEX('Base de données Mono'!B:B,MATCH(B998,'Base de données Mono'!D:D,0))</f>
        <v>SES8</v>
      </c>
      <c r="D998" s="36" t="str">
        <f>INDEX('Base de données Mono'!A:A,MATCH(B998,'Base de données Mono'!D:D,0))</f>
        <v>JG</v>
      </c>
      <c r="E998" s="37" t="s">
        <v>303</v>
      </c>
      <c r="F998" s="41">
        <f t="shared" si="132"/>
        <v>15</v>
      </c>
      <c r="G998" s="41">
        <f t="shared" si="133"/>
        <v>4</v>
      </c>
      <c r="H998">
        <v>8.5</v>
      </c>
      <c r="I998" s="131">
        <f>INDEX('Base de données Mono'!K:K,MATCH(B998,'Base de données Mono'!D:D,0))</f>
        <v>0.1875</v>
      </c>
      <c r="J998" s="131">
        <f>INDEX('Base de données Mono'!L:L,MATCH(B998,'Base de données Mono'!D:D,0))</f>
        <v>0.83333333333333337</v>
      </c>
      <c r="K998" s="131">
        <f>INDEX('Base de données Mono'!M:M,MATCH(B998,'Base de données Mono'!D:D,0))</f>
        <v>0.25</v>
      </c>
      <c r="L998" s="131">
        <f>INDEX('Base de données Mono'!N:N,MATCH(B998,'Base de données Mono'!D:D,0))</f>
        <v>0.5</v>
      </c>
      <c r="M998" s="33" t="s">
        <v>46</v>
      </c>
      <c r="N998" s="33">
        <f>IF(AND(E998="Electricité",M998="Hiver"),INDEX('Base de données Mono'!E:E,MATCH(B998,'Base de données Mono'!D:D,0)),IF(AND(E998="Electricité",M998="Mi-saison"),INDEX('Base de données Mono'!F:F,MATCH(B998,'Base de données Mono'!D:D,0)),IF(AND(E998="Electricité",M998="Eté"),INDEX('Base de données Mono'!G:G,MATCH(B998,'Base de données Mono'!D:D,0)),IF(AND(E998="Gaz",M998="Hiver"),INDEX('Base de données Mono'!J:J,MATCH(B998,'Base de données Mono'!D:D,0)),IF(AND(E998="Gaz",M998="Mi-saison"),INDEX('Base de données Mono'!#REF!,MATCH(B998,'Base de données Mono'!D:D,0)),IF(AND(E998="Gaz",M998="Eté"),INDEX('Base de données Mono'!#REF!,MATCH(B998,'Base de données Mono'!D:D,0)),"-"))))))</f>
        <v>45</v>
      </c>
      <c r="O998" s="123">
        <v>45395</v>
      </c>
      <c r="P998" s="123">
        <v>45396</v>
      </c>
      <c r="Q998" s="34">
        <v>60</v>
      </c>
      <c r="R998" s="33">
        <f t="shared" si="137"/>
        <v>15</v>
      </c>
      <c r="S998" s="34">
        <v>9.1999999999999993</v>
      </c>
      <c r="T998" s="34">
        <f t="shared" si="134"/>
        <v>1</v>
      </c>
      <c r="U998" s="33">
        <f t="shared" si="135"/>
        <v>138</v>
      </c>
      <c r="V998" s="38" t="s">
        <v>827</v>
      </c>
      <c r="W998" s="39">
        <f t="shared" si="136"/>
        <v>0.33333333333333331</v>
      </c>
      <c r="X998" s="40" t="s">
        <v>304</v>
      </c>
      <c r="Y998" s="40" t="s">
        <v>284</v>
      </c>
      <c r="Z998" s="40" t="s">
        <v>305</v>
      </c>
      <c r="AA998" s="33" t="s">
        <v>771</v>
      </c>
      <c r="AB998" s="95"/>
      <c r="AC998" s="95"/>
    </row>
    <row r="999" spans="1:29" ht="14.45" hidden="1" customHeight="1" x14ac:dyDescent="0.25">
      <c r="A999" s="36" t="str">
        <f>INDEX('Base de données Mono'!C:C,MATCH(B999,'Base de données Mono'!D:D,0))</f>
        <v>CHAMBERY LES HALLES</v>
      </c>
      <c r="B999" t="s">
        <v>11</v>
      </c>
      <c r="C999" s="36" t="str">
        <f>INDEX('Base de données Mono'!B:B,MATCH(B999,'Base de données Mono'!D:D,0))</f>
        <v>SES8</v>
      </c>
      <c r="D999" s="36" t="str">
        <f>INDEX('Base de données Mono'!A:A,MATCH(B999,'Base de données Mono'!D:D,0))</f>
        <v>JG</v>
      </c>
      <c r="E999" s="37" t="s">
        <v>303</v>
      </c>
      <c r="F999" s="41">
        <f>IF(O999="","-",IF(AND(X999="Nuit",WEEKDAY(O999,2)=7,O999&lt;&gt;P999),WEEKNUM(O999,2),WEEKNUM(O999,2)-1))+1</f>
        <v>14</v>
      </c>
      <c r="G999" s="41">
        <f>IF(O999="","-",MONTH(O999))</f>
        <v>4</v>
      </c>
      <c r="H999">
        <v>8.25</v>
      </c>
      <c r="I999" s="131">
        <f>INDEX('Base de données Mono'!K:K,MATCH(B999,'Base de données Mono'!D:D,0))</f>
        <v>0.20833333333333334</v>
      </c>
      <c r="J999" s="131">
        <f>INDEX('Base de données Mono'!L:L,MATCH(B999,'Base de données Mono'!D:D,0))</f>
        <v>0.86458333333333337</v>
      </c>
      <c r="K999" s="131">
        <f>INDEX('Base de données Mono'!M:M,MATCH(B999,'Base de données Mono'!D:D,0))</f>
        <v>0.29166666666666669</v>
      </c>
      <c r="L999" s="131">
        <f>INDEX('Base de données Mono'!N:N,MATCH(B999,'Base de données Mono'!D:D,0))</f>
        <v>0.53125</v>
      </c>
      <c r="M999" s="33" t="s">
        <v>46</v>
      </c>
      <c r="N999" s="33">
        <f>IF(AND(E999="Electricité",M999="Hiver"),INDEX('Base de données Mono'!E:E,MATCH(B999,'Base de données Mono'!D:D,0)),IF(AND(E999="Electricité",M999="Mi-saison"),INDEX('Base de données Mono'!F:F,MATCH(B999,'Base de données Mono'!D:D,0)),IF(AND(E999="Electricité",M999="Eté"),INDEX('Base de données Mono'!G:G,MATCH(B999,'Base de données Mono'!D:D,0)),IF(AND(E999="Gaz",M999="Hiver"),INDEX('Base de données Mono'!J:J,MATCH(B999,'Base de données Mono'!D:D,0)),IF(AND(E999="Gaz",M999="Mi-saison"),INDEX('Base de données Mono'!#REF!,MATCH(B999,'Base de données Mono'!D:D,0)),IF(AND(E999="Gaz",M999="Eté"),INDEX('Base de données Mono'!#REF!,MATCH(B999,'Base de données Mono'!D:D,0)),"-"))))))</f>
        <v>40</v>
      </c>
      <c r="O999" s="123">
        <v>45383</v>
      </c>
      <c r="P999" s="123">
        <v>45386</v>
      </c>
      <c r="Q999" s="34">
        <v>50</v>
      </c>
      <c r="R999" s="33">
        <f>IF(Q999="","",Q999-N999)</f>
        <v>10</v>
      </c>
      <c r="S999" s="34">
        <v>8.1999999999999993</v>
      </c>
      <c r="T999" s="34">
        <f>P999-O999</f>
        <v>3</v>
      </c>
      <c r="U999" s="33">
        <f>R999*S999*T999</f>
        <v>246</v>
      </c>
      <c r="V999" s="38" t="s">
        <v>827</v>
      </c>
      <c r="W999" s="39">
        <f>IFERROR(IF(E999="Gaz","-",R999/N999),"-")</f>
        <v>0.25</v>
      </c>
      <c r="X999" s="40" t="s">
        <v>304</v>
      </c>
      <c r="Y999" s="40" t="s">
        <v>284</v>
      </c>
      <c r="Z999" s="40" t="s">
        <v>305</v>
      </c>
      <c r="AA999" s="33" t="s">
        <v>771</v>
      </c>
      <c r="AB999" s="95"/>
      <c r="AC999" s="95"/>
    </row>
    <row r="1000" spans="1:29" ht="14.45" hidden="1" customHeight="1" x14ac:dyDescent="0.25">
      <c r="A1000" s="36" t="str">
        <f>INDEX('Base de données Mono'!C:C,MATCH(B1000,'Base de données Mono'!D:D,0))</f>
        <v>CHAMBERY LES HALLES</v>
      </c>
      <c r="B1000" t="s">
        <v>11</v>
      </c>
      <c r="C1000" s="36" t="str">
        <f>INDEX('Base de données Mono'!B:B,MATCH(B1000,'Base de données Mono'!D:D,0))</f>
        <v>SES8</v>
      </c>
      <c r="D1000" s="36" t="str">
        <f>INDEX('Base de données Mono'!A:A,MATCH(B1000,'Base de données Mono'!D:D,0))</f>
        <v>JG</v>
      </c>
      <c r="E1000" s="37" t="s">
        <v>303</v>
      </c>
      <c r="F1000" s="41">
        <f>IF(O1000="","-",IF(AND(X1000="Nuit",WEEKDAY(O1000,2)=7,O1000&lt;&gt;P1000),WEEKNUM(O1000,2),WEEKNUM(O1000,2)-1))+1</f>
        <v>14</v>
      </c>
      <c r="G1000" s="41">
        <f>IF(O1000="","-",MONTH(O1000))</f>
        <v>4</v>
      </c>
      <c r="H1000">
        <v>8.25</v>
      </c>
      <c r="I1000" s="131">
        <f>INDEX('Base de données Mono'!K:K,MATCH(B1000,'Base de données Mono'!D:D,0))</f>
        <v>0.20833333333333334</v>
      </c>
      <c r="J1000" s="131">
        <f>INDEX('Base de données Mono'!L:L,MATCH(B1000,'Base de données Mono'!D:D,0))</f>
        <v>0.86458333333333337</v>
      </c>
      <c r="K1000" s="131">
        <f>INDEX('Base de données Mono'!M:M,MATCH(B1000,'Base de données Mono'!D:D,0))</f>
        <v>0.29166666666666669</v>
      </c>
      <c r="L1000" s="131">
        <f>INDEX('Base de données Mono'!N:N,MATCH(B1000,'Base de données Mono'!D:D,0))</f>
        <v>0.53125</v>
      </c>
      <c r="M1000" s="33" t="s">
        <v>46</v>
      </c>
      <c r="N1000" s="33">
        <f>IF(AND(E1000="Electricité",M1000="Hiver"),INDEX('Base de données Mono'!E:E,MATCH(B1000,'Base de données Mono'!D:D,0)),IF(AND(E1000="Electricité",M1000="Mi-saison"),INDEX('Base de données Mono'!F:F,MATCH(B1000,'Base de données Mono'!D:D,0)),IF(AND(E1000="Electricité",M1000="Eté"),INDEX('Base de données Mono'!G:G,MATCH(B1000,'Base de données Mono'!D:D,0)),IF(AND(E1000="Gaz",M1000="Hiver"),INDEX('Base de données Mono'!J:J,MATCH(B1000,'Base de données Mono'!D:D,0)),IF(AND(E1000="Gaz",M1000="Mi-saison"),INDEX('Base de données Mono'!#REF!,MATCH(B1000,'Base de données Mono'!D:D,0)),IF(AND(E1000="Gaz",M1000="Eté"),INDEX('Base de données Mono'!#REF!,MATCH(B1000,'Base de données Mono'!D:D,0)),"-"))))))</f>
        <v>40</v>
      </c>
      <c r="O1000" s="123">
        <v>45386</v>
      </c>
      <c r="P1000" s="123">
        <v>45389</v>
      </c>
      <c r="Q1000" s="34">
        <v>45</v>
      </c>
      <c r="R1000" s="33">
        <f>IF(Q1000="","",Q1000-N1000)</f>
        <v>5</v>
      </c>
      <c r="S1000" s="34">
        <v>8.1999999999999993</v>
      </c>
      <c r="T1000" s="34">
        <f>P1000-O1000</f>
        <v>3</v>
      </c>
      <c r="U1000" s="33">
        <f>R1000*S1000*T1000</f>
        <v>123</v>
      </c>
      <c r="V1000" s="38" t="s">
        <v>827</v>
      </c>
      <c r="W1000" s="39">
        <f>IFERROR(IF(E1000="Gaz","-",R1000/N1000),"-")</f>
        <v>0.125</v>
      </c>
      <c r="X1000" s="40" t="s">
        <v>304</v>
      </c>
      <c r="Y1000" s="40" t="s">
        <v>284</v>
      </c>
      <c r="Z1000" s="40" t="s">
        <v>305</v>
      </c>
      <c r="AA1000" s="33" t="s">
        <v>771</v>
      </c>
      <c r="AB1000" s="95"/>
      <c r="AC1000" s="95"/>
    </row>
    <row r="1001" spans="1:29" ht="14.45" hidden="1" customHeight="1" x14ac:dyDescent="0.25">
      <c r="A1001" s="36" t="str">
        <f>INDEX('Base de données Mono'!C:C,MATCH(B1001,'Base de données Mono'!D:D,0))</f>
        <v>CHAMBERY LES HALLES</v>
      </c>
      <c r="B1001" t="s">
        <v>11</v>
      </c>
      <c r="C1001" s="36" t="str">
        <f>INDEX('Base de données Mono'!B:B,MATCH(B1001,'Base de données Mono'!D:D,0))</f>
        <v>SES8</v>
      </c>
      <c r="D1001" s="36" t="str">
        <f>INDEX('Base de données Mono'!A:A,MATCH(B1001,'Base de données Mono'!D:D,0))</f>
        <v>JG</v>
      </c>
      <c r="E1001" s="37" t="s">
        <v>303</v>
      </c>
      <c r="F1001" s="41">
        <f>IF(O1001="","-",IF(AND(X1001="Nuit",WEEKDAY(O1001,2)=7,O1001&lt;&gt;P1001),WEEKNUM(O1001,2),WEEKNUM(O1001,2)-1))+1</f>
        <v>14</v>
      </c>
      <c r="G1001" s="41">
        <f>IF(O1001="","-",MONTH(O1001))</f>
        <v>4</v>
      </c>
      <c r="H1001">
        <v>8.25</v>
      </c>
      <c r="I1001" s="131">
        <f>INDEX('Base de données Mono'!K:K,MATCH(B1001,'Base de données Mono'!D:D,0))</f>
        <v>0.20833333333333334</v>
      </c>
      <c r="J1001" s="131">
        <f>INDEX('Base de données Mono'!L:L,MATCH(B1001,'Base de données Mono'!D:D,0))</f>
        <v>0.86458333333333337</v>
      </c>
      <c r="K1001" s="131">
        <f>INDEX('Base de données Mono'!M:M,MATCH(B1001,'Base de données Mono'!D:D,0))</f>
        <v>0.29166666666666669</v>
      </c>
      <c r="L1001" s="131">
        <f>INDEX('Base de données Mono'!N:N,MATCH(B1001,'Base de données Mono'!D:D,0))</f>
        <v>0.53125</v>
      </c>
      <c r="M1001" s="33" t="s">
        <v>46</v>
      </c>
      <c r="N1001" s="33">
        <f>IF(AND(E1001="Electricité",M1001="Hiver"),INDEX('Base de données Mono'!E:E,MATCH(B1001,'Base de données Mono'!D:D,0)),IF(AND(E1001="Electricité",M1001="Mi-saison"),INDEX('Base de données Mono'!F:F,MATCH(B1001,'Base de données Mono'!D:D,0)),IF(AND(E1001="Electricité",M1001="Eté"),INDEX('Base de données Mono'!G:G,MATCH(B1001,'Base de données Mono'!D:D,0)),IF(AND(E1001="Gaz",M1001="Hiver"),INDEX('Base de données Mono'!J:J,MATCH(B1001,'Base de données Mono'!D:D,0)),IF(AND(E1001="Gaz",M1001="Mi-saison"),INDEX('Base de données Mono'!#REF!,MATCH(B1001,'Base de données Mono'!D:D,0)),IF(AND(E1001="Gaz",M1001="Eté"),INDEX('Base de données Mono'!#REF!,MATCH(B1001,'Base de données Mono'!D:D,0)),"-"))))))</f>
        <v>40</v>
      </c>
      <c r="O1001" s="123">
        <v>45389</v>
      </c>
      <c r="P1001" s="123">
        <v>45389</v>
      </c>
      <c r="Q1001" s="34">
        <v>90</v>
      </c>
      <c r="R1001" s="33">
        <f>IF(Q1001="","",Q1001-N1001)</f>
        <v>50</v>
      </c>
      <c r="S1001" s="34">
        <v>6.2</v>
      </c>
      <c r="T1001" s="34">
        <v>1</v>
      </c>
      <c r="U1001" s="33">
        <f>R1001*S1001*T1001</f>
        <v>310</v>
      </c>
      <c r="V1001" s="38" t="s">
        <v>827</v>
      </c>
      <c r="W1001" s="39">
        <f>IFERROR(IF(E1001="Gaz","-",R1001/N1001),"-")</f>
        <v>1.25</v>
      </c>
      <c r="X1001" s="40" t="s">
        <v>730</v>
      </c>
      <c r="Y1001" s="40" t="s">
        <v>284</v>
      </c>
      <c r="Z1001" s="40" t="s">
        <v>307</v>
      </c>
      <c r="AA1001" s="33" t="s">
        <v>308</v>
      </c>
      <c r="AB1001" s="95"/>
      <c r="AC1001" s="95"/>
    </row>
    <row r="1002" spans="1:29" ht="14.45" hidden="1" customHeight="1" x14ac:dyDescent="0.25">
      <c r="A1002" s="36" t="str">
        <f>INDEX('Base de données Mono'!C:C,MATCH(B1002,'Base de données Mono'!D:D,0))</f>
        <v>CHAMBERY LES HALLES</v>
      </c>
      <c r="B1002" t="s">
        <v>11</v>
      </c>
      <c r="C1002" s="36" t="str">
        <f>INDEX('Base de données Mono'!B:B,MATCH(B1002,'Base de données Mono'!D:D,0))</f>
        <v>SES8</v>
      </c>
      <c r="D1002" s="36" t="str">
        <f>INDEX('Base de données Mono'!A:A,MATCH(B1002,'Base de données Mono'!D:D,0))</f>
        <v>JG</v>
      </c>
      <c r="E1002" s="37" t="s">
        <v>303</v>
      </c>
      <c r="F1002" s="41">
        <f t="shared" si="132"/>
        <v>15</v>
      </c>
      <c r="G1002" s="41">
        <f t="shared" si="133"/>
        <v>4</v>
      </c>
      <c r="H1002">
        <v>8.25</v>
      </c>
      <c r="I1002" s="131">
        <f>INDEX('Base de données Mono'!K:K,MATCH(B1002,'Base de données Mono'!D:D,0))</f>
        <v>0.20833333333333334</v>
      </c>
      <c r="J1002" s="131">
        <f>INDEX('Base de données Mono'!L:L,MATCH(B1002,'Base de données Mono'!D:D,0))</f>
        <v>0.86458333333333337</v>
      </c>
      <c r="K1002" s="131">
        <f>INDEX('Base de données Mono'!M:M,MATCH(B1002,'Base de données Mono'!D:D,0))</f>
        <v>0.29166666666666669</v>
      </c>
      <c r="L1002" s="131">
        <f>INDEX('Base de données Mono'!N:N,MATCH(B1002,'Base de données Mono'!D:D,0))</f>
        <v>0.53125</v>
      </c>
      <c r="M1002" s="33" t="s">
        <v>46</v>
      </c>
      <c r="N1002" s="33">
        <f>IF(AND(E1002="Electricité",M1002="Hiver"),INDEX('Base de données Mono'!E:E,MATCH(B1002,'Base de données Mono'!D:D,0)),IF(AND(E1002="Electricité",M1002="Mi-saison"),INDEX('Base de données Mono'!F:F,MATCH(B1002,'Base de données Mono'!D:D,0)),IF(AND(E1002="Electricité",M1002="Eté"),INDEX('Base de données Mono'!G:G,MATCH(B1002,'Base de données Mono'!D:D,0)),IF(AND(E1002="Gaz",M1002="Hiver"),INDEX('Base de données Mono'!J:J,MATCH(B1002,'Base de données Mono'!D:D,0)),IF(AND(E1002="Gaz",M1002="Mi-saison"),INDEX('Base de données Mono'!#REF!,MATCH(B1002,'Base de données Mono'!D:D,0)),IF(AND(E1002="Gaz",M1002="Eté"),INDEX('Base de données Mono'!#REF!,MATCH(B1002,'Base de données Mono'!D:D,0)),"-"))))))</f>
        <v>40</v>
      </c>
      <c r="O1002" s="123">
        <v>45389</v>
      </c>
      <c r="P1002" s="123">
        <v>45396</v>
      </c>
      <c r="Q1002" s="34">
        <v>45</v>
      </c>
      <c r="R1002" s="33">
        <f t="shared" si="137"/>
        <v>5</v>
      </c>
      <c r="S1002" s="34">
        <v>8.1999999999999993</v>
      </c>
      <c r="T1002" s="34">
        <f t="shared" ref="T1002:T1007" si="138">P1002-O1002</f>
        <v>7</v>
      </c>
      <c r="U1002" s="33">
        <f t="shared" si="135"/>
        <v>287</v>
      </c>
      <c r="V1002" s="38" t="s">
        <v>827</v>
      </c>
      <c r="W1002" s="39">
        <f t="shared" si="136"/>
        <v>0.125</v>
      </c>
      <c r="X1002" s="40" t="s">
        <v>304</v>
      </c>
      <c r="Y1002" s="40" t="s">
        <v>284</v>
      </c>
      <c r="Z1002" s="40" t="s">
        <v>305</v>
      </c>
      <c r="AA1002" s="33" t="s">
        <v>771</v>
      </c>
      <c r="AB1002" s="95"/>
      <c r="AC1002" s="95"/>
    </row>
    <row r="1003" spans="1:29" ht="14.45" hidden="1" customHeight="1" x14ac:dyDescent="0.25">
      <c r="A1003" s="36" t="str">
        <f>INDEX('Base de données Mono'!C:C,MATCH(B1003,'Base de données Mono'!D:D,0))</f>
        <v>NICE VICTOIRE</v>
      </c>
      <c r="B1003" t="s">
        <v>28</v>
      </c>
      <c r="C1003" s="36" t="str">
        <f>INDEX('Base de données Mono'!B:B,MATCH(B1003,'Base de données Mono'!D:D,0))</f>
        <v>SES8</v>
      </c>
      <c r="D1003" s="36" t="str">
        <f>INDEX('Base de données Mono'!A:A,MATCH(B1003,'Base de données Mono'!D:D,0))</f>
        <v>JG</v>
      </c>
      <c r="E1003" s="37" t="s">
        <v>303</v>
      </c>
      <c r="F1003" s="41">
        <f t="shared" ref="F1003:F1019" si="139">IF(O1003="","-",IF(AND(X1003="Nuit",WEEKDAY(O1003,2)=7,O1003&lt;&gt;P1003),WEEKNUM(O1003,2),WEEKNUM(O1003,2)-1))+1</f>
        <v>15</v>
      </c>
      <c r="G1003" s="41">
        <f t="shared" ref="G1003:G1019" si="140">IF(O1003="","-",MONTH(O1003))</f>
        <v>4</v>
      </c>
      <c r="H1003">
        <v>7.33</v>
      </c>
      <c r="I1003" s="131">
        <f>INDEX('Base de données Mono'!K:K,MATCH(B1003,'Base de données Mono'!D:D,0))</f>
        <v>0.20138888888888887</v>
      </c>
      <c r="J1003" s="131">
        <f>INDEX('Base de données Mono'!L:L,MATCH(B1003,'Base de données Mono'!D:D,0))</f>
        <v>0.89583333333333337</v>
      </c>
      <c r="K1003" s="131">
        <f>INDEX('Base de données Mono'!M:M,MATCH(B1003,'Base de données Mono'!D:D,0))</f>
        <v>0.28472222222222221</v>
      </c>
      <c r="L1003" s="131">
        <f>INDEX('Base de données Mono'!N:N,MATCH(B1003,'Base de données Mono'!D:D,0))</f>
        <v>0.85416666666666663</v>
      </c>
      <c r="M1003" s="33" t="s">
        <v>46</v>
      </c>
      <c r="N1003" s="33">
        <f>IF(AND(E1003="Electricité",M1003="Hiver"),INDEX('Base de données Mono'!E:E,MATCH(B1003,'Base de données Mono'!D:D,0)),IF(AND(E1003="Electricité",M1003="Mi-saison"),INDEX('Base de données Mono'!F:F,MATCH(B1003,'Base de données Mono'!D:D,0)),IF(AND(E1003="Electricité",M1003="Eté"),INDEX('Base de données Mono'!G:G,MATCH(B1003,'Base de données Mono'!D:D,0)),IF(AND(E1003="Gaz",M1003="Hiver"),INDEX('Base de données Mono'!J:J,MATCH(B1003,'Base de données Mono'!D:D,0)),IF(AND(E1003="Gaz",M1003="Mi-saison"),INDEX('Base de données Mono'!#REF!,MATCH(B1003,'Base de données Mono'!D:D,0)),IF(AND(E1003="Gaz",M1003="Eté"),INDEX('Base de données Mono'!#REF!,MATCH(B1003,'Base de données Mono'!D:D,0)),"-"))))))</f>
        <v>110</v>
      </c>
      <c r="O1003" s="123">
        <v>45389</v>
      </c>
      <c r="P1003" s="123">
        <v>45395</v>
      </c>
      <c r="Q1003" s="34">
        <v>195</v>
      </c>
      <c r="R1003" s="33">
        <f t="shared" si="137"/>
        <v>85</v>
      </c>
      <c r="S1003" s="34">
        <v>1</v>
      </c>
      <c r="T1003" s="34">
        <f t="shared" si="138"/>
        <v>6</v>
      </c>
      <c r="U1003" s="33">
        <f t="shared" ref="U1003:U1019" si="141">R1003*S1003*T1003</f>
        <v>510</v>
      </c>
      <c r="V1003" s="38" t="s">
        <v>827</v>
      </c>
      <c r="W1003" s="39">
        <f t="shared" ref="W1003:W1019" si="142">IFERROR(IF(E1003="Gaz","-",R1003/N1003),"-")</f>
        <v>0.77272727272727271</v>
      </c>
      <c r="X1003" s="40" t="s">
        <v>304</v>
      </c>
      <c r="Y1003" s="40" t="s">
        <v>284</v>
      </c>
      <c r="Z1003" s="40" t="s">
        <v>307</v>
      </c>
      <c r="AA1003" s="33" t="s">
        <v>414</v>
      </c>
      <c r="AB1003" s="95"/>
      <c r="AC1003" s="95"/>
    </row>
    <row r="1004" spans="1:29" ht="14.45" hidden="1" customHeight="1" x14ac:dyDescent="0.25">
      <c r="A1004" s="36" t="str">
        <f>INDEX('Base de données Mono'!C:C,MATCH(B1004,'Base de données Mono'!D:D,0))</f>
        <v>NICE VICTOIRE</v>
      </c>
      <c r="B1004" t="s">
        <v>28</v>
      </c>
      <c r="C1004" s="36" t="str">
        <f>INDEX('Base de données Mono'!B:B,MATCH(B1004,'Base de données Mono'!D:D,0))</f>
        <v>SES8</v>
      </c>
      <c r="D1004" s="36" t="str">
        <f>INDEX('Base de données Mono'!A:A,MATCH(B1004,'Base de données Mono'!D:D,0))</f>
        <v>JG</v>
      </c>
      <c r="E1004" s="37" t="s">
        <v>303</v>
      </c>
      <c r="F1004" s="41">
        <f t="shared" si="139"/>
        <v>15</v>
      </c>
      <c r="G1004" s="41">
        <f t="shared" si="140"/>
        <v>4</v>
      </c>
      <c r="H1004">
        <v>7.33</v>
      </c>
      <c r="I1004" s="131">
        <f>INDEX('Base de données Mono'!K:K,MATCH(B1004,'Base de données Mono'!D:D,0))</f>
        <v>0.20138888888888887</v>
      </c>
      <c r="J1004" s="131">
        <f>INDEX('Base de données Mono'!L:L,MATCH(B1004,'Base de données Mono'!D:D,0))</f>
        <v>0.89583333333333337</v>
      </c>
      <c r="K1004" s="131">
        <f>INDEX('Base de données Mono'!M:M,MATCH(B1004,'Base de données Mono'!D:D,0))</f>
        <v>0.28472222222222221</v>
      </c>
      <c r="L1004" s="131">
        <f>INDEX('Base de données Mono'!N:N,MATCH(B1004,'Base de données Mono'!D:D,0))</f>
        <v>0.85416666666666663</v>
      </c>
      <c r="M1004" s="33" t="s">
        <v>46</v>
      </c>
      <c r="N1004" s="33">
        <f>IF(AND(E1004="Electricité",M1004="Hiver"),INDEX('Base de données Mono'!E:E,MATCH(B1004,'Base de données Mono'!D:D,0)),IF(AND(E1004="Electricité",M1004="Mi-saison"),INDEX('Base de données Mono'!F:F,MATCH(B1004,'Base de données Mono'!D:D,0)),IF(AND(E1004="Electricité",M1004="Eté"),INDEX('Base de données Mono'!G:G,MATCH(B1004,'Base de données Mono'!D:D,0)),IF(AND(E1004="Gaz",M1004="Hiver"),INDEX('Base de données Mono'!J:J,MATCH(B1004,'Base de données Mono'!D:D,0)),IF(AND(E1004="Gaz",M1004="Mi-saison"),INDEX('Base de données Mono'!#REF!,MATCH(B1004,'Base de données Mono'!D:D,0)),IF(AND(E1004="Gaz",M1004="Eté"),INDEX('Base de données Mono'!#REF!,MATCH(B1004,'Base de données Mono'!D:D,0)),"-"))))))</f>
        <v>110</v>
      </c>
      <c r="O1004" s="123">
        <v>45390</v>
      </c>
      <c r="P1004" s="123">
        <v>45391</v>
      </c>
      <c r="Q1004" s="34">
        <v>130</v>
      </c>
      <c r="R1004" s="33">
        <f t="shared" si="137"/>
        <v>20</v>
      </c>
      <c r="S1004" s="34">
        <v>6.3</v>
      </c>
      <c r="T1004" s="34">
        <f t="shared" si="138"/>
        <v>1</v>
      </c>
      <c r="U1004" s="33">
        <f t="shared" si="141"/>
        <v>126</v>
      </c>
      <c r="V1004" s="38" t="s">
        <v>827</v>
      </c>
      <c r="W1004" s="39">
        <f t="shared" si="142"/>
        <v>0.18181818181818182</v>
      </c>
      <c r="X1004" s="40" t="s">
        <v>304</v>
      </c>
      <c r="Y1004" s="40" t="s">
        <v>284</v>
      </c>
      <c r="Z1004" s="40" t="s">
        <v>305</v>
      </c>
      <c r="AA1004" s="33" t="s">
        <v>771</v>
      </c>
      <c r="AB1004" s="95"/>
      <c r="AC1004" s="95"/>
    </row>
    <row r="1005" spans="1:29" ht="14.45" hidden="1" customHeight="1" x14ac:dyDescent="0.25">
      <c r="A1005" s="36" t="str">
        <f>INDEX('Base de données Mono'!C:C,MATCH(B1005,'Base de données Mono'!D:D,0))</f>
        <v>NICE VICTOIRE</v>
      </c>
      <c r="B1005" t="s">
        <v>28</v>
      </c>
      <c r="C1005" s="36" t="str">
        <f>INDEX('Base de données Mono'!B:B,MATCH(B1005,'Base de données Mono'!D:D,0))</f>
        <v>SES8</v>
      </c>
      <c r="D1005" s="36" t="str">
        <f>INDEX('Base de données Mono'!A:A,MATCH(B1005,'Base de données Mono'!D:D,0))</f>
        <v>JG</v>
      </c>
      <c r="E1005" s="37" t="s">
        <v>303</v>
      </c>
      <c r="F1005" s="41">
        <f t="shared" si="139"/>
        <v>15</v>
      </c>
      <c r="G1005" s="41">
        <f t="shared" si="140"/>
        <v>4</v>
      </c>
      <c r="H1005">
        <v>7.33</v>
      </c>
      <c r="I1005" s="131">
        <f>INDEX('Base de données Mono'!K:K,MATCH(B1005,'Base de données Mono'!D:D,0))</f>
        <v>0.20138888888888887</v>
      </c>
      <c r="J1005" s="131">
        <f>INDEX('Base de données Mono'!L:L,MATCH(B1005,'Base de données Mono'!D:D,0))</f>
        <v>0.89583333333333337</v>
      </c>
      <c r="K1005" s="131">
        <f>INDEX('Base de données Mono'!M:M,MATCH(B1005,'Base de données Mono'!D:D,0))</f>
        <v>0.28472222222222221</v>
      </c>
      <c r="L1005" s="131">
        <f>INDEX('Base de données Mono'!N:N,MATCH(B1005,'Base de données Mono'!D:D,0))</f>
        <v>0.85416666666666663</v>
      </c>
      <c r="M1005" s="33" t="s">
        <v>46</v>
      </c>
      <c r="N1005" s="33">
        <f>IF(AND(E1005="Electricité",M1005="Hiver"),INDEX('Base de données Mono'!E:E,MATCH(B1005,'Base de données Mono'!D:D,0)),IF(AND(E1005="Electricité",M1005="Mi-saison"),INDEX('Base de données Mono'!F:F,MATCH(B1005,'Base de données Mono'!D:D,0)),IF(AND(E1005="Electricité",M1005="Eté"),INDEX('Base de données Mono'!G:G,MATCH(B1005,'Base de données Mono'!D:D,0)),IF(AND(E1005="Gaz",M1005="Hiver"),INDEX('Base de données Mono'!J:J,MATCH(B1005,'Base de données Mono'!D:D,0)),IF(AND(E1005="Gaz",M1005="Mi-saison"),INDEX('Base de données Mono'!#REF!,MATCH(B1005,'Base de données Mono'!D:D,0)),IF(AND(E1005="Gaz",M1005="Eté"),INDEX('Base de données Mono'!#REF!,MATCH(B1005,'Base de données Mono'!D:D,0)),"-"))))))</f>
        <v>110</v>
      </c>
      <c r="O1005" s="123">
        <v>45391</v>
      </c>
      <c r="P1005" s="123">
        <v>45392</v>
      </c>
      <c r="Q1005" s="34">
        <v>130</v>
      </c>
      <c r="R1005" s="33">
        <f t="shared" si="137"/>
        <v>20</v>
      </c>
      <c r="S1005" s="34">
        <v>3.5</v>
      </c>
      <c r="T1005" s="34">
        <f t="shared" si="138"/>
        <v>1</v>
      </c>
      <c r="U1005" s="33">
        <f t="shared" si="141"/>
        <v>70</v>
      </c>
      <c r="V1005" s="38" t="s">
        <v>827</v>
      </c>
      <c r="W1005" s="39">
        <f t="shared" si="142"/>
        <v>0.18181818181818182</v>
      </c>
      <c r="X1005" s="40" t="s">
        <v>304</v>
      </c>
      <c r="Y1005" s="40" t="s">
        <v>284</v>
      </c>
      <c r="Z1005" s="40" t="s">
        <v>305</v>
      </c>
      <c r="AA1005" s="33" t="s">
        <v>771</v>
      </c>
      <c r="AB1005" s="95"/>
      <c r="AC1005" s="95"/>
    </row>
    <row r="1006" spans="1:29" ht="14.45" hidden="1" customHeight="1" x14ac:dyDescent="0.25">
      <c r="A1006" s="36" t="str">
        <f>INDEX('Base de données Mono'!C:C,MATCH(B1006,'Base de données Mono'!D:D,0))</f>
        <v>NICE VICTOIRE</v>
      </c>
      <c r="B1006" t="s">
        <v>28</v>
      </c>
      <c r="C1006" s="36" t="str">
        <f>INDEX('Base de données Mono'!B:B,MATCH(B1006,'Base de données Mono'!D:D,0))</f>
        <v>SES8</v>
      </c>
      <c r="D1006" s="36" t="str">
        <f>INDEX('Base de données Mono'!A:A,MATCH(B1006,'Base de données Mono'!D:D,0))</f>
        <v>JG</v>
      </c>
      <c r="E1006" s="37" t="s">
        <v>303</v>
      </c>
      <c r="F1006" s="41">
        <f t="shared" si="139"/>
        <v>15</v>
      </c>
      <c r="G1006" s="41">
        <f t="shared" si="140"/>
        <v>4</v>
      </c>
      <c r="H1006">
        <v>7.33</v>
      </c>
      <c r="I1006" s="131">
        <f>INDEX('Base de données Mono'!K:K,MATCH(B1006,'Base de données Mono'!D:D,0))</f>
        <v>0.20138888888888887</v>
      </c>
      <c r="J1006" s="131">
        <f>INDEX('Base de données Mono'!L:L,MATCH(B1006,'Base de données Mono'!D:D,0))</f>
        <v>0.89583333333333337</v>
      </c>
      <c r="K1006" s="131">
        <f>INDEX('Base de données Mono'!M:M,MATCH(B1006,'Base de données Mono'!D:D,0))</f>
        <v>0.28472222222222221</v>
      </c>
      <c r="L1006" s="131">
        <f>INDEX('Base de données Mono'!N:N,MATCH(B1006,'Base de données Mono'!D:D,0))</f>
        <v>0.85416666666666663</v>
      </c>
      <c r="M1006" s="33" t="s">
        <v>46</v>
      </c>
      <c r="N1006" s="33">
        <f>IF(AND(E1006="Electricité",M1006="Hiver"),INDEX('Base de données Mono'!E:E,MATCH(B1006,'Base de données Mono'!D:D,0)),IF(AND(E1006="Electricité",M1006="Mi-saison"),INDEX('Base de données Mono'!F:F,MATCH(B1006,'Base de données Mono'!D:D,0)),IF(AND(E1006="Electricité",M1006="Eté"),INDEX('Base de données Mono'!G:G,MATCH(B1006,'Base de données Mono'!D:D,0)),IF(AND(E1006="Gaz",M1006="Hiver"),INDEX('Base de données Mono'!J:J,MATCH(B1006,'Base de données Mono'!D:D,0)),IF(AND(E1006="Gaz",M1006="Mi-saison"),INDEX('Base de données Mono'!#REF!,MATCH(B1006,'Base de données Mono'!D:D,0)),IF(AND(E1006="Gaz",M1006="Eté"),INDEX('Base de données Mono'!#REF!,MATCH(B1006,'Base de données Mono'!D:D,0)),"-"))))))</f>
        <v>110</v>
      </c>
      <c r="O1006" s="123">
        <v>45392</v>
      </c>
      <c r="P1006" s="123">
        <v>45396</v>
      </c>
      <c r="Q1006" s="34">
        <v>120</v>
      </c>
      <c r="R1006" s="33">
        <f t="shared" si="137"/>
        <v>10</v>
      </c>
      <c r="S1006" s="34">
        <v>3</v>
      </c>
      <c r="T1006" s="34">
        <f t="shared" si="138"/>
        <v>4</v>
      </c>
      <c r="U1006" s="33">
        <f t="shared" si="141"/>
        <v>120</v>
      </c>
      <c r="V1006" s="38" t="s">
        <v>827</v>
      </c>
      <c r="W1006" s="39">
        <f t="shared" si="142"/>
        <v>9.0909090909090912E-2</v>
      </c>
      <c r="X1006" s="40" t="s">
        <v>304</v>
      </c>
      <c r="Y1006" s="40" t="s">
        <v>284</v>
      </c>
      <c r="Z1006" s="40" t="s">
        <v>305</v>
      </c>
      <c r="AA1006" s="33" t="s">
        <v>771</v>
      </c>
      <c r="AB1006" s="95"/>
      <c r="AC1006" s="95"/>
    </row>
    <row r="1007" spans="1:29" ht="14.45" hidden="1" customHeight="1" x14ac:dyDescent="0.25">
      <c r="A1007" s="36" t="str">
        <f>INDEX('Base de données Mono'!C:C,MATCH(B1007,'Base de données Mono'!D:D,0))</f>
        <v>COURCELLES</v>
      </c>
      <c r="B1007" t="s">
        <v>112</v>
      </c>
      <c r="C1007" s="36" t="str">
        <f>INDEX('Base de données Mono'!B:B,MATCH(B1007,'Base de données Mono'!D:D,0))</f>
        <v>SES8</v>
      </c>
      <c r="D1007" s="36" t="str">
        <f>INDEX('Base de données Mono'!A:A,MATCH(B1007,'Base de données Mono'!D:D,0))</f>
        <v>AD</v>
      </c>
      <c r="E1007" s="37" t="s">
        <v>303</v>
      </c>
      <c r="F1007" s="41">
        <f t="shared" si="139"/>
        <v>15</v>
      </c>
      <c r="G1007" s="41">
        <f t="shared" si="140"/>
        <v>4</v>
      </c>
      <c r="H1007">
        <v>9.25</v>
      </c>
      <c r="I1007" s="131">
        <f>INDEX('Base de données Mono'!K:K,MATCH(B1007,'Base de données Mono'!D:D,0))</f>
        <v>0.25</v>
      </c>
      <c r="J1007" s="131">
        <f>INDEX('Base de données Mono'!L:L,MATCH(B1007,'Base de données Mono'!D:D,0))</f>
        <v>0.86458333333333337</v>
      </c>
      <c r="K1007" s="131" t="str">
        <f>INDEX('Base de données Mono'!M:M,MATCH(B1007,'Base de données Mono'!D:D,0))</f>
        <v>-</v>
      </c>
      <c r="L1007" s="131" t="str">
        <f>INDEX('Base de données Mono'!N:N,MATCH(B1007,'Base de données Mono'!D:D,0))</f>
        <v>-</v>
      </c>
      <c r="M1007" s="33" t="s">
        <v>46</v>
      </c>
      <c r="N1007" s="33">
        <f>IF(AND(E1007="Electricité",M1007="Hiver"),INDEX('Base de données Mono'!E:E,MATCH(B1007,'Base de données Mono'!D:D,0)),IF(AND(E1007="Electricité",M1007="Mi-saison"),INDEX('Base de données Mono'!F:F,MATCH(B1007,'Base de données Mono'!D:D,0)),IF(AND(E1007="Electricité",M1007="Eté"),INDEX('Base de données Mono'!G:G,MATCH(B1007,'Base de données Mono'!D:D,0)),IF(AND(E1007="Gaz",M1007="Hiver"),INDEX('Base de données Mono'!J:J,MATCH(B1007,'Base de données Mono'!D:D,0)),IF(AND(E1007="Gaz",M1007="Mi-saison"),INDEX('Base de données Mono'!#REF!,MATCH(B1007,'Base de données Mono'!D:D,0)),IF(AND(E1007="Gaz",M1007="Eté"),INDEX('Base de données Mono'!#REF!,MATCH(B1007,'Base de données Mono'!D:D,0)),"-"))))))</f>
        <v>45</v>
      </c>
      <c r="O1007" s="123">
        <v>45390</v>
      </c>
      <c r="P1007" s="123">
        <v>45396</v>
      </c>
      <c r="Q1007" s="34">
        <v>80</v>
      </c>
      <c r="R1007" s="33">
        <f t="shared" si="137"/>
        <v>35</v>
      </c>
      <c r="S1007" s="34">
        <v>1.2</v>
      </c>
      <c r="T1007" s="34">
        <f t="shared" si="138"/>
        <v>6</v>
      </c>
      <c r="U1007" s="33">
        <f t="shared" si="141"/>
        <v>252</v>
      </c>
      <c r="V1007" s="38" t="s">
        <v>827</v>
      </c>
      <c r="W1007" s="39">
        <f t="shared" si="142"/>
        <v>0.77777777777777779</v>
      </c>
      <c r="X1007" s="40" t="s">
        <v>304</v>
      </c>
      <c r="Y1007" s="40" t="s">
        <v>284</v>
      </c>
      <c r="Z1007" s="40" t="s">
        <v>307</v>
      </c>
      <c r="AA1007" s="33" t="s">
        <v>313</v>
      </c>
      <c r="AB1007" s="95"/>
      <c r="AC1007" s="95"/>
    </row>
    <row r="1008" spans="1:29" ht="14.45" hidden="1" customHeight="1" x14ac:dyDescent="0.25">
      <c r="A1008" s="36" t="str">
        <f>INDEX('Base de données Mono'!C:C,MATCH(B1008,'Base de données Mono'!D:D,0))</f>
        <v>NICE GORBELLA</v>
      </c>
      <c r="B1008" t="s">
        <v>196</v>
      </c>
      <c r="C1008" s="36" t="str">
        <f>INDEX('Base de données Mono'!B:B,MATCH(B1008,'Base de données Mono'!D:D,0))</f>
        <v>SES8</v>
      </c>
      <c r="D1008" s="36" t="str">
        <f>INDEX('Base de données Mono'!A:A,MATCH(B1008,'Base de données Mono'!D:D,0))</f>
        <v>JG</v>
      </c>
      <c r="E1008" s="37" t="s">
        <v>303</v>
      </c>
      <c r="F1008" s="41">
        <f t="shared" si="139"/>
        <v>15</v>
      </c>
      <c r="G1008" s="41">
        <f t="shared" si="140"/>
        <v>4</v>
      </c>
      <c r="H1008">
        <v>7.33</v>
      </c>
      <c r="I1008" s="131">
        <f>INDEX('Base de données Mono'!K:K,MATCH(B1008,'Base de données Mono'!D:D,0))</f>
        <v>0.20138888888888887</v>
      </c>
      <c r="J1008" s="131">
        <f>INDEX('Base de données Mono'!L:L,MATCH(B1008,'Base de données Mono'!D:D,0))</f>
        <v>0.89583333333333337</v>
      </c>
      <c r="K1008" s="131">
        <f>INDEX('Base de données Mono'!M:M,MATCH(B1008,'Base de données Mono'!D:D,0))</f>
        <v>0.27777777777777779</v>
      </c>
      <c r="L1008" s="131">
        <f>INDEX('Base de données Mono'!N:N,MATCH(B1008,'Base de données Mono'!D:D,0))</f>
        <v>0.55208333333333337</v>
      </c>
      <c r="M1008" s="33" t="s">
        <v>46</v>
      </c>
      <c r="N1008" s="33">
        <f>IF(AND(E1008="Electricité",M1008="Hiver"),INDEX('Base de données Mono'!E:E,MATCH(B1008,'Base de données Mono'!D:D,0)),IF(AND(E1008="Electricité",M1008="Mi-saison"),INDEX('Base de données Mono'!F:F,MATCH(B1008,'Base de données Mono'!D:D,0)),IF(AND(E1008="Electricité",M1008="Eté"),INDEX('Base de données Mono'!G:G,MATCH(B1008,'Base de données Mono'!D:D,0)),IF(AND(E1008="Gaz",M1008="Hiver"),INDEX('Base de données Mono'!J:J,MATCH(B1008,'Base de données Mono'!D:D,0)),IF(AND(E1008="Gaz",M1008="Mi-saison"),INDEX('Base de données Mono'!#REF!,MATCH(B1008,'Base de données Mono'!D:D,0)),IF(AND(E1008="Gaz",M1008="Eté"),INDEX('Base de données Mono'!#REF!,MATCH(B1008,'Base de données Mono'!D:D,0)),"-"))))))</f>
        <v>20</v>
      </c>
      <c r="O1008" s="123">
        <v>45396</v>
      </c>
      <c r="P1008" s="123">
        <v>45397</v>
      </c>
      <c r="Q1008" s="34">
        <v>60</v>
      </c>
      <c r="R1008" s="33">
        <f t="shared" si="137"/>
        <v>40</v>
      </c>
      <c r="S1008" s="34">
        <v>7.5</v>
      </c>
      <c r="T1008" s="34">
        <v>1</v>
      </c>
      <c r="U1008" s="33">
        <f t="shared" si="141"/>
        <v>300</v>
      </c>
      <c r="V1008" s="38" t="s">
        <v>148</v>
      </c>
      <c r="W1008" s="39">
        <f t="shared" si="142"/>
        <v>2</v>
      </c>
      <c r="X1008" s="40" t="s">
        <v>730</v>
      </c>
      <c r="Y1008" s="40" t="s">
        <v>284</v>
      </c>
      <c r="Z1008" s="40" t="s">
        <v>307</v>
      </c>
      <c r="AA1008" s="33" t="s">
        <v>308</v>
      </c>
      <c r="AB1008" s="95"/>
      <c r="AC1008" s="95"/>
    </row>
    <row r="1009" spans="1:29" ht="14.45" hidden="1" customHeight="1" x14ac:dyDescent="0.25">
      <c r="A1009" s="36" t="str">
        <f>INDEX('Base de données Mono'!C:C,MATCH(B1009,'Base de données Mono'!D:D,0))</f>
        <v>NICE CIMIEZ</v>
      </c>
      <c r="B1009" t="s">
        <v>194</v>
      </c>
      <c r="C1009" s="36" t="str">
        <f>INDEX('Base de données Mono'!B:B,MATCH(B1009,'Base de données Mono'!D:D,0))</f>
        <v>SES8</v>
      </c>
      <c r="D1009" s="36" t="str">
        <f>INDEX('Base de données Mono'!A:A,MATCH(B1009,'Base de données Mono'!D:D,0))</f>
        <v>JG</v>
      </c>
      <c r="E1009" s="37" t="s">
        <v>303</v>
      </c>
      <c r="F1009" s="41">
        <f t="shared" si="139"/>
        <v>15</v>
      </c>
      <c r="G1009" s="41">
        <f t="shared" si="140"/>
        <v>4</v>
      </c>
      <c r="H1009">
        <v>8.67</v>
      </c>
      <c r="I1009" s="131">
        <f>INDEX('Base de données Mono'!K:K,MATCH(B1009,'Base de données Mono'!D:D,0))</f>
        <v>0.23611111111111113</v>
      </c>
      <c r="J1009" s="131">
        <f>INDEX('Base de données Mono'!L:L,MATCH(B1009,'Base de données Mono'!D:D,0))</f>
        <v>0.875</v>
      </c>
      <c r="K1009" s="131">
        <f>INDEX('Base de données Mono'!M:M,MATCH(B1009,'Base de données Mono'!D:D,0))</f>
        <v>0.28472222222222221</v>
      </c>
      <c r="L1009" s="131">
        <f>INDEX('Base de données Mono'!N:N,MATCH(B1009,'Base de données Mono'!D:D,0))</f>
        <v>0.54166666666666663</v>
      </c>
      <c r="M1009" s="33" t="s">
        <v>46</v>
      </c>
      <c r="N1009" s="33">
        <f>IF(AND(E1009="Electricité",M1009="Hiver"),INDEX('Base de données Mono'!E:E,MATCH(B1009,'Base de données Mono'!D:D,0)),IF(AND(E1009="Electricité",M1009="Mi-saison"),INDEX('Base de données Mono'!F:F,MATCH(B1009,'Base de données Mono'!D:D,0)),IF(AND(E1009="Electricité",M1009="Eté"),INDEX('Base de données Mono'!G:G,MATCH(B1009,'Base de données Mono'!D:D,0)),IF(AND(E1009="Gaz",M1009="Hiver"),INDEX('Base de données Mono'!J:J,MATCH(B1009,'Base de données Mono'!D:D,0)),IF(AND(E1009="Gaz",M1009="Mi-saison"),INDEX('Base de données Mono'!#REF!,MATCH(B1009,'Base de données Mono'!D:D,0)),IF(AND(E1009="Gaz",M1009="Eté"),INDEX('Base de données Mono'!#REF!,MATCH(B1009,'Base de données Mono'!D:D,0)),"-"))))))</f>
        <v>85</v>
      </c>
      <c r="O1009" s="123">
        <v>45389</v>
      </c>
      <c r="P1009" s="123">
        <v>45395</v>
      </c>
      <c r="Q1009" s="34">
        <v>95</v>
      </c>
      <c r="R1009" s="33">
        <f t="shared" si="137"/>
        <v>10</v>
      </c>
      <c r="S1009" s="34">
        <v>8</v>
      </c>
      <c r="T1009" s="34">
        <f t="shared" ref="T1009:T1034" si="143">P1009-O1009</f>
        <v>6</v>
      </c>
      <c r="U1009" s="33">
        <f t="shared" si="141"/>
        <v>480</v>
      </c>
      <c r="V1009" s="38" t="s">
        <v>827</v>
      </c>
      <c r="W1009" s="39">
        <f t="shared" si="142"/>
        <v>0.11764705882352941</v>
      </c>
      <c r="X1009" s="40" t="s">
        <v>304</v>
      </c>
      <c r="Y1009" s="40" t="s">
        <v>284</v>
      </c>
      <c r="Z1009" s="40" t="s">
        <v>305</v>
      </c>
      <c r="AA1009" s="33" t="s">
        <v>771</v>
      </c>
      <c r="AB1009" s="95"/>
      <c r="AC1009" s="95"/>
    </row>
    <row r="1010" spans="1:29" ht="14.45" hidden="1" customHeight="1" x14ac:dyDescent="0.25">
      <c r="A1010" s="36" t="str">
        <f>INDEX('Base de données Mono'!C:C,MATCH(B1010,'Base de données Mono'!D:D,0))</f>
        <v>NICE CIMIEZ</v>
      </c>
      <c r="B1010" t="s">
        <v>194</v>
      </c>
      <c r="C1010" s="36" t="str">
        <f>INDEX('Base de données Mono'!B:B,MATCH(B1010,'Base de données Mono'!D:D,0))</f>
        <v>SES8</v>
      </c>
      <c r="D1010" s="36" t="str">
        <f>INDEX('Base de données Mono'!A:A,MATCH(B1010,'Base de données Mono'!D:D,0))</f>
        <v>JG</v>
      </c>
      <c r="E1010" s="37" t="s">
        <v>303</v>
      </c>
      <c r="F1010" s="41">
        <f t="shared" si="139"/>
        <v>15</v>
      </c>
      <c r="G1010" s="41">
        <f t="shared" si="140"/>
        <v>4</v>
      </c>
      <c r="H1010">
        <v>8.67</v>
      </c>
      <c r="I1010" s="131">
        <f>INDEX('Base de données Mono'!K:K,MATCH(B1010,'Base de données Mono'!D:D,0))</f>
        <v>0.23611111111111113</v>
      </c>
      <c r="J1010" s="131">
        <f>INDEX('Base de données Mono'!L:L,MATCH(B1010,'Base de données Mono'!D:D,0))</f>
        <v>0.875</v>
      </c>
      <c r="K1010" s="131">
        <f>INDEX('Base de données Mono'!M:M,MATCH(B1010,'Base de données Mono'!D:D,0))</f>
        <v>0.28472222222222221</v>
      </c>
      <c r="L1010" s="131">
        <f>INDEX('Base de données Mono'!N:N,MATCH(B1010,'Base de données Mono'!D:D,0))</f>
        <v>0.54166666666666663</v>
      </c>
      <c r="M1010" s="33" t="s">
        <v>46</v>
      </c>
      <c r="N1010" s="33">
        <f>IF(AND(E1010="Electricité",M1010="Hiver"),INDEX('Base de données Mono'!E:E,MATCH(B1010,'Base de données Mono'!D:D,0)),IF(AND(E1010="Electricité",M1010="Mi-saison"),INDEX('Base de données Mono'!F:F,MATCH(B1010,'Base de données Mono'!D:D,0)),IF(AND(E1010="Electricité",M1010="Eté"),INDEX('Base de données Mono'!G:G,MATCH(B1010,'Base de données Mono'!D:D,0)),IF(AND(E1010="Gaz",M1010="Hiver"),INDEX('Base de données Mono'!J:J,MATCH(B1010,'Base de données Mono'!D:D,0)),IF(AND(E1010="Gaz",M1010="Mi-saison"),INDEX('Base de données Mono'!#REF!,MATCH(B1010,'Base de données Mono'!D:D,0)),IF(AND(E1010="Gaz",M1010="Eté"),INDEX('Base de données Mono'!#REF!,MATCH(B1010,'Base de données Mono'!D:D,0)),"-"))))))</f>
        <v>85</v>
      </c>
      <c r="O1010" s="123">
        <v>45389</v>
      </c>
      <c r="P1010" s="123">
        <v>45395</v>
      </c>
      <c r="Q1010" s="164">
        <v>130</v>
      </c>
      <c r="R1010" s="33">
        <f t="shared" si="137"/>
        <v>45</v>
      </c>
      <c r="S1010" s="164">
        <v>0.6</v>
      </c>
      <c r="T1010" s="34">
        <f t="shared" si="143"/>
        <v>6</v>
      </c>
      <c r="U1010" s="33">
        <f t="shared" si="141"/>
        <v>162</v>
      </c>
      <c r="V1010" s="38" t="s">
        <v>148</v>
      </c>
      <c r="W1010" s="39">
        <f t="shared" si="142"/>
        <v>0.52941176470588236</v>
      </c>
      <c r="X1010" s="40" t="s">
        <v>304</v>
      </c>
      <c r="Y1010" s="40" t="s">
        <v>284</v>
      </c>
      <c r="Z1010" s="40" t="s">
        <v>307</v>
      </c>
      <c r="AA1010" s="33" t="s">
        <v>414</v>
      </c>
      <c r="AB1010" s="95"/>
      <c r="AC1010" s="95"/>
    </row>
    <row r="1011" spans="1:29" ht="14.45" hidden="1" customHeight="1" x14ac:dyDescent="0.25">
      <c r="A1011" s="36" t="str">
        <f>INDEX('Base de données Mono'!C:C,MATCH(B1011,'Base de données Mono'!D:D,0))</f>
        <v>NICE CIMIEZ</v>
      </c>
      <c r="B1011" t="s">
        <v>194</v>
      </c>
      <c r="C1011" s="36" t="str">
        <f>INDEX('Base de données Mono'!B:B,MATCH(B1011,'Base de données Mono'!D:D,0))</f>
        <v>SES8</v>
      </c>
      <c r="D1011" s="36" t="str">
        <f>INDEX('Base de données Mono'!A:A,MATCH(B1011,'Base de données Mono'!D:D,0))</f>
        <v>JG</v>
      </c>
      <c r="E1011" s="37" t="s">
        <v>303</v>
      </c>
      <c r="F1011" s="41">
        <f t="shared" si="139"/>
        <v>15</v>
      </c>
      <c r="G1011" s="41">
        <f t="shared" si="140"/>
        <v>4</v>
      </c>
      <c r="H1011">
        <v>8.67</v>
      </c>
      <c r="I1011" s="131">
        <f>INDEX('Base de données Mono'!K:K,MATCH(B1011,'Base de données Mono'!D:D,0))</f>
        <v>0.23611111111111113</v>
      </c>
      <c r="J1011" s="131">
        <f>INDEX('Base de données Mono'!L:L,MATCH(B1011,'Base de données Mono'!D:D,0))</f>
        <v>0.875</v>
      </c>
      <c r="K1011" s="131">
        <f>INDEX('Base de données Mono'!M:M,MATCH(B1011,'Base de données Mono'!D:D,0))</f>
        <v>0.28472222222222221</v>
      </c>
      <c r="L1011" s="131">
        <f>INDEX('Base de données Mono'!N:N,MATCH(B1011,'Base de données Mono'!D:D,0))</f>
        <v>0.54166666666666663</v>
      </c>
      <c r="M1011" s="33" t="s">
        <v>46</v>
      </c>
      <c r="N1011" s="33">
        <f>IF(AND(E1011="Electricité",M1011="Hiver"),INDEX('Base de données Mono'!E:E,MATCH(B1011,'Base de données Mono'!D:D,0)),IF(AND(E1011="Electricité",M1011="Mi-saison"),INDEX('Base de données Mono'!F:F,MATCH(B1011,'Base de données Mono'!D:D,0)),IF(AND(E1011="Electricité",M1011="Eté"),INDEX('Base de données Mono'!G:G,MATCH(B1011,'Base de données Mono'!D:D,0)),IF(AND(E1011="Gaz",M1011="Hiver"),INDEX('Base de données Mono'!J:J,MATCH(B1011,'Base de données Mono'!D:D,0)),IF(AND(E1011="Gaz",M1011="Mi-saison"),INDEX('Base de données Mono'!#REF!,MATCH(B1011,'Base de données Mono'!D:D,0)),IF(AND(E1011="Gaz",M1011="Eté"),INDEX('Base de données Mono'!#REF!,MATCH(B1011,'Base de données Mono'!D:D,0)),"-"))))))</f>
        <v>85</v>
      </c>
      <c r="O1011" s="123">
        <v>45395</v>
      </c>
      <c r="P1011" s="123">
        <v>45396</v>
      </c>
      <c r="Q1011" s="34">
        <v>100</v>
      </c>
      <c r="R1011" s="33">
        <f t="shared" si="137"/>
        <v>15</v>
      </c>
      <c r="S1011" s="34">
        <v>9.6</v>
      </c>
      <c r="T1011" s="34">
        <f t="shared" si="143"/>
        <v>1</v>
      </c>
      <c r="U1011" s="33">
        <f t="shared" si="141"/>
        <v>144</v>
      </c>
      <c r="V1011" s="38" t="s">
        <v>827</v>
      </c>
      <c r="W1011" s="39">
        <f t="shared" si="142"/>
        <v>0.17647058823529413</v>
      </c>
      <c r="X1011" s="40" t="s">
        <v>304</v>
      </c>
      <c r="Y1011" s="40" t="s">
        <v>284</v>
      </c>
      <c r="Z1011" s="40" t="s">
        <v>305</v>
      </c>
      <c r="AA1011" s="33" t="s">
        <v>771</v>
      </c>
      <c r="AB1011" s="95"/>
      <c r="AC1011" s="95"/>
    </row>
    <row r="1012" spans="1:29" ht="14.45" hidden="1" customHeight="1" x14ac:dyDescent="0.25">
      <c r="A1012" s="36" t="str">
        <f>INDEX('Base de données Mono'!C:C,MATCH(B1012,'Base de données Mono'!D:D,0))</f>
        <v>CHALON SUR SAONE</v>
      </c>
      <c r="B1012" t="s">
        <v>98</v>
      </c>
      <c r="C1012" s="36" t="str">
        <f>INDEX('Base de données Mono'!B:B,MATCH(B1012,'Base de données Mono'!D:D,0))</f>
        <v>SES8</v>
      </c>
      <c r="D1012" s="36" t="str">
        <f>INDEX('Base de données Mono'!A:A,MATCH(B1012,'Base de données Mono'!D:D,0))</f>
        <v>JG</v>
      </c>
      <c r="E1012" s="37" t="s">
        <v>303</v>
      </c>
      <c r="F1012" s="41">
        <f t="shared" si="139"/>
        <v>15</v>
      </c>
      <c r="G1012" s="41">
        <f t="shared" si="140"/>
        <v>4</v>
      </c>
      <c r="H1012">
        <v>10</v>
      </c>
      <c r="I1012" s="131">
        <f>INDEX('Base de données Mono'!K:K,MATCH(B1012,'Base de données Mono'!D:D,0))</f>
        <v>0.25</v>
      </c>
      <c r="J1012" s="131">
        <f>INDEX('Base de données Mono'!L:L,MATCH(B1012,'Base de données Mono'!D:D,0))</f>
        <v>0.83333333333333304</v>
      </c>
      <c r="K1012" s="131" t="str">
        <f>INDEX('Base de données Mono'!M:M,MATCH(B1012,'Base de données Mono'!D:D,0))</f>
        <v>-</v>
      </c>
      <c r="L1012" s="131" t="str">
        <f>INDEX('Base de données Mono'!N:N,MATCH(B1012,'Base de données Mono'!D:D,0))</f>
        <v>-</v>
      </c>
      <c r="M1012" s="33" t="s">
        <v>46</v>
      </c>
      <c r="N1012" s="33">
        <f>IF(AND(E1012="Electricité",M1012="Hiver"),INDEX('Base de données Mono'!E:E,MATCH(B1012,'Base de données Mono'!D:D,0)),IF(AND(E1012="Electricité",M1012="Mi-saison"),INDEX('Base de données Mono'!F:F,MATCH(B1012,'Base de données Mono'!D:D,0)),IF(AND(E1012="Electricité",M1012="Eté"),INDEX('Base de données Mono'!G:G,MATCH(B1012,'Base de données Mono'!D:D,0)),IF(AND(E1012="Gaz",M1012="Hiver"),INDEX('Base de données Mono'!J:J,MATCH(B1012,'Base de données Mono'!D:D,0)),IF(AND(E1012="Gaz",M1012="Mi-saison"),INDEX('Base de données Mono'!#REF!,MATCH(B1012,'Base de données Mono'!D:D,0)),IF(AND(E1012="Gaz",M1012="Eté"),INDEX('Base de données Mono'!#REF!,MATCH(B1012,'Base de données Mono'!D:D,0)),"-"))))))</f>
        <v>45</v>
      </c>
      <c r="O1012" s="123">
        <v>45389</v>
      </c>
      <c r="P1012" s="123">
        <v>45395</v>
      </c>
      <c r="Q1012" s="34">
        <v>50</v>
      </c>
      <c r="R1012" s="33">
        <f t="shared" si="137"/>
        <v>5</v>
      </c>
      <c r="S1012" s="34">
        <v>2</v>
      </c>
      <c r="T1012" s="34">
        <f t="shared" si="143"/>
        <v>6</v>
      </c>
      <c r="U1012" s="33">
        <f t="shared" si="141"/>
        <v>60</v>
      </c>
      <c r="V1012" s="38" t="s">
        <v>827</v>
      </c>
      <c r="W1012" s="39">
        <f t="shared" si="142"/>
        <v>0.1111111111111111</v>
      </c>
      <c r="X1012" s="40" t="s">
        <v>304</v>
      </c>
      <c r="Y1012" s="40" t="s">
        <v>284</v>
      </c>
      <c r="Z1012" s="40" t="s">
        <v>305</v>
      </c>
      <c r="AA1012" s="33" t="s">
        <v>771</v>
      </c>
      <c r="AB1012" s="95"/>
      <c r="AC1012" s="95"/>
    </row>
    <row r="1013" spans="1:29" ht="14.45" hidden="1" customHeight="1" x14ac:dyDescent="0.25">
      <c r="A1013" s="36" t="str">
        <f>INDEX('Base de données Mono'!C:C,MATCH(B1013,'Base de données Mono'!D:D,0))</f>
        <v>DIJON</v>
      </c>
      <c r="B1013" t="s">
        <v>119</v>
      </c>
      <c r="C1013" s="36" t="str">
        <f>INDEX('Base de données Mono'!B:B,MATCH(B1013,'Base de données Mono'!D:D,0))</f>
        <v>SES8</v>
      </c>
      <c r="D1013" s="36" t="str">
        <f>INDEX('Base de données Mono'!A:A,MATCH(B1013,'Base de données Mono'!D:D,0))</f>
        <v>JG</v>
      </c>
      <c r="E1013" s="37" t="s">
        <v>303</v>
      </c>
      <c r="F1013" s="41">
        <f t="shared" si="139"/>
        <v>15</v>
      </c>
      <c r="G1013" s="41">
        <f t="shared" si="140"/>
        <v>4</v>
      </c>
      <c r="H1013">
        <v>8.83</v>
      </c>
      <c r="I1013" s="131">
        <f>INDEX('Base de données Mono'!K:K,MATCH(B1013,'Base de données Mono'!D:D,0))</f>
        <v>0.24305555555555555</v>
      </c>
      <c r="J1013" s="131">
        <f>INDEX('Base de données Mono'!L:L,MATCH(B1013,'Base de données Mono'!D:D,0))</f>
        <v>0.875</v>
      </c>
      <c r="K1013" s="131">
        <f>INDEX('Base de données Mono'!M:M,MATCH(B1013,'Base de données Mono'!D:D,0))</f>
        <v>0.3125</v>
      </c>
      <c r="L1013" s="131">
        <f>INDEX('Base de données Mono'!N:N,MATCH(B1013,'Base de données Mono'!D:D,0))</f>
        <v>0.54166666666666663</v>
      </c>
      <c r="M1013" s="33" t="s">
        <v>46</v>
      </c>
      <c r="N1013" s="33">
        <f>IF(AND(E1013="Electricité",M1013="Hiver"),INDEX('Base de données Mono'!E:E,MATCH(B1013,'Base de données Mono'!D:D,0)),IF(AND(E1013="Electricité",M1013="Mi-saison"),INDEX('Base de données Mono'!F:F,MATCH(B1013,'Base de données Mono'!D:D,0)),IF(AND(E1013="Electricité",M1013="Eté"),INDEX('Base de données Mono'!G:G,MATCH(B1013,'Base de données Mono'!D:D,0)),IF(AND(E1013="Gaz",M1013="Hiver"),INDEX('Base de données Mono'!J:J,MATCH(B1013,'Base de données Mono'!D:D,0)),IF(AND(E1013="Gaz",M1013="Mi-saison"),INDEX('Base de données Mono'!#REF!,MATCH(B1013,'Base de données Mono'!D:D,0)),IF(AND(E1013="Gaz",M1013="Eté"),INDEX('Base de données Mono'!#REF!,MATCH(B1013,'Base de données Mono'!D:D,0)),"-"))))))</f>
        <v>55</v>
      </c>
      <c r="O1013" s="123">
        <v>45389</v>
      </c>
      <c r="P1013" s="123">
        <v>45395</v>
      </c>
      <c r="Q1013" s="34">
        <v>70</v>
      </c>
      <c r="R1013" s="33">
        <f t="shared" si="137"/>
        <v>15</v>
      </c>
      <c r="S1013" s="34">
        <v>8.8000000000000007</v>
      </c>
      <c r="T1013" s="34">
        <f t="shared" si="143"/>
        <v>6</v>
      </c>
      <c r="U1013" s="33">
        <f t="shared" si="141"/>
        <v>792</v>
      </c>
      <c r="V1013" s="38" t="s">
        <v>827</v>
      </c>
      <c r="W1013" s="39">
        <f t="shared" si="142"/>
        <v>0.27272727272727271</v>
      </c>
      <c r="X1013" s="40" t="s">
        <v>304</v>
      </c>
      <c r="Y1013" s="40" t="s">
        <v>284</v>
      </c>
      <c r="Z1013" s="40" t="s">
        <v>305</v>
      </c>
      <c r="AA1013" s="33" t="s">
        <v>771</v>
      </c>
      <c r="AB1013" s="95"/>
      <c r="AC1013" s="95"/>
    </row>
    <row r="1014" spans="1:29" ht="14.45" hidden="1" customHeight="1" x14ac:dyDescent="0.25">
      <c r="A1014" s="36" t="str">
        <f>INDEX('Base de données Mono'!C:C,MATCH(B1014,'Base de données Mono'!D:D,0))</f>
        <v>DIJON</v>
      </c>
      <c r="B1014" t="s">
        <v>119</v>
      </c>
      <c r="C1014" s="36" t="str">
        <f>INDEX('Base de données Mono'!B:B,MATCH(B1014,'Base de données Mono'!D:D,0))</f>
        <v>SES8</v>
      </c>
      <c r="D1014" s="36" t="str">
        <f>INDEX('Base de données Mono'!A:A,MATCH(B1014,'Base de données Mono'!D:D,0))</f>
        <v>JG</v>
      </c>
      <c r="E1014" s="37" t="s">
        <v>303</v>
      </c>
      <c r="F1014" s="41">
        <f t="shared" si="139"/>
        <v>15</v>
      </c>
      <c r="G1014" s="41">
        <f t="shared" si="140"/>
        <v>4</v>
      </c>
      <c r="H1014">
        <v>8.83</v>
      </c>
      <c r="I1014" s="131">
        <f>INDEX('Base de données Mono'!K:K,MATCH(B1014,'Base de données Mono'!D:D,0))</f>
        <v>0.24305555555555555</v>
      </c>
      <c r="J1014" s="131">
        <f>INDEX('Base de données Mono'!L:L,MATCH(B1014,'Base de données Mono'!D:D,0))</f>
        <v>0.875</v>
      </c>
      <c r="K1014" s="131">
        <f>INDEX('Base de données Mono'!M:M,MATCH(B1014,'Base de données Mono'!D:D,0))</f>
        <v>0.3125</v>
      </c>
      <c r="L1014" s="131">
        <f>INDEX('Base de données Mono'!N:N,MATCH(B1014,'Base de données Mono'!D:D,0))</f>
        <v>0.54166666666666663</v>
      </c>
      <c r="M1014" s="33" t="s">
        <v>46</v>
      </c>
      <c r="N1014" s="33">
        <f>IF(AND(E1014="Electricité",M1014="Hiver"),INDEX('Base de données Mono'!E:E,MATCH(B1014,'Base de données Mono'!D:D,0)),IF(AND(E1014="Electricité",M1014="Mi-saison"),INDEX('Base de données Mono'!F:F,MATCH(B1014,'Base de données Mono'!D:D,0)),IF(AND(E1014="Electricité",M1014="Eté"),INDEX('Base de données Mono'!G:G,MATCH(B1014,'Base de données Mono'!D:D,0)),IF(AND(E1014="Gaz",M1014="Hiver"),INDEX('Base de données Mono'!J:J,MATCH(B1014,'Base de données Mono'!D:D,0)),IF(AND(E1014="Gaz",M1014="Mi-saison"),INDEX('Base de données Mono'!#REF!,MATCH(B1014,'Base de données Mono'!D:D,0)),IF(AND(E1014="Gaz",M1014="Eté"),INDEX('Base de données Mono'!#REF!,MATCH(B1014,'Base de données Mono'!D:D,0)),"-"))))))</f>
        <v>55</v>
      </c>
      <c r="O1014" s="123">
        <v>45395</v>
      </c>
      <c r="P1014" s="123">
        <v>45396</v>
      </c>
      <c r="Q1014" s="34">
        <v>70</v>
      </c>
      <c r="R1014" s="33">
        <f t="shared" si="137"/>
        <v>15</v>
      </c>
      <c r="S1014" s="34">
        <v>10.3</v>
      </c>
      <c r="T1014" s="34">
        <f t="shared" si="143"/>
        <v>1</v>
      </c>
      <c r="U1014" s="33">
        <f t="shared" si="141"/>
        <v>154.5</v>
      </c>
      <c r="V1014" s="38" t="s">
        <v>827</v>
      </c>
      <c r="W1014" s="39">
        <f t="shared" si="142"/>
        <v>0.27272727272727271</v>
      </c>
      <c r="X1014" s="40" t="s">
        <v>304</v>
      </c>
      <c r="Y1014" s="40" t="s">
        <v>284</v>
      </c>
      <c r="Z1014" s="40" t="s">
        <v>305</v>
      </c>
      <c r="AA1014" s="33" t="s">
        <v>771</v>
      </c>
      <c r="AB1014" s="95"/>
      <c r="AC1014" s="95"/>
    </row>
    <row r="1015" spans="1:29" ht="14.45" hidden="1" customHeight="1" x14ac:dyDescent="0.25">
      <c r="A1015" s="36" t="str">
        <f>INDEX('Base de données Mono'!C:C,MATCH(B1015,'Base de données Mono'!D:D,0))</f>
        <v>LYON VALMY</v>
      </c>
      <c r="B1015" t="s">
        <v>22</v>
      </c>
      <c r="C1015" s="36" t="str">
        <f>INDEX('Base de données Mono'!B:B,MATCH(B1015,'Base de données Mono'!D:D,0))</f>
        <v>SES8</v>
      </c>
      <c r="D1015" s="36" t="str">
        <f>INDEX('Base de données Mono'!A:A,MATCH(B1015,'Base de données Mono'!D:D,0))</f>
        <v>JG</v>
      </c>
      <c r="E1015" s="37" t="s">
        <v>303</v>
      </c>
      <c r="F1015" s="41">
        <f t="shared" si="139"/>
        <v>15</v>
      </c>
      <c r="G1015" s="41">
        <f t="shared" si="140"/>
        <v>4</v>
      </c>
      <c r="H1015">
        <v>7.75</v>
      </c>
      <c r="I1015" s="131">
        <f>INDEX('Base de données Mono'!K:K,MATCH(B1015,'Base de données Mono'!D:D,0))</f>
        <v>0.20833333333333334</v>
      </c>
      <c r="J1015" s="131">
        <f>INDEX('Base de données Mono'!L:L,MATCH(B1015,'Base de données Mono'!D:D,0))</f>
        <v>0.88541666666666663</v>
      </c>
      <c r="K1015" s="131">
        <f>INDEX('Base de données Mono'!M:M,MATCH(B1015,'Base de données Mono'!D:D,0))</f>
        <v>0.31944444444444448</v>
      </c>
      <c r="L1015" s="131">
        <f>INDEX('Base de données Mono'!N:N,MATCH(B1015,'Base de données Mono'!D:D,0))</f>
        <v>0.55208333333333337</v>
      </c>
      <c r="M1015" s="33" t="s">
        <v>46</v>
      </c>
      <c r="N1015" s="33">
        <f>IF(AND(E1015="Electricité",M1015="Hiver"),INDEX('Base de données Mono'!E:E,MATCH(B1015,'Base de données Mono'!D:D,0)),IF(AND(E1015="Electricité",M1015="Mi-saison"),INDEX('Base de données Mono'!F:F,MATCH(B1015,'Base de données Mono'!D:D,0)),IF(AND(E1015="Electricité",M1015="Eté"),INDEX('Base de données Mono'!G:G,MATCH(B1015,'Base de données Mono'!D:D,0)),IF(AND(E1015="Gaz",M1015="Hiver"),INDEX('Base de données Mono'!J:J,MATCH(B1015,'Base de données Mono'!D:D,0)),IF(AND(E1015="Gaz",M1015="Mi-saison"),INDEX('Base de données Mono'!#REF!,MATCH(B1015,'Base de données Mono'!D:D,0)),IF(AND(E1015="Gaz",M1015="Eté"),INDEX('Base de données Mono'!#REF!,MATCH(B1015,'Base de données Mono'!D:D,0)),"-"))))))</f>
        <v>50</v>
      </c>
      <c r="O1015" s="123">
        <v>45389</v>
      </c>
      <c r="P1015" s="123">
        <v>45391</v>
      </c>
      <c r="Q1015" s="34">
        <v>65</v>
      </c>
      <c r="R1015" s="33">
        <f t="shared" ref="R1015:R1025" si="144">IF(Q1015="","",Q1015-N1015)</f>
        <v>15</v>
      </c>
      <c r="S1015" s="34">
        <v>7.7</v>
      </c>
      <c r="T1015" s="34">
        <f t="shared" si="143"/>
        <v>2</v>
      </c>
      <c r="U1015" s="33">
        <f t="shared" si="141"/>
        <v>231</v>
      </c>
      <c r="V1015" s="38" t="s">
        <v>827</v>
      </c>
      <c r="W1015" s="39">
        <f t="shared" si="142"/>
        <v>0.3</v>
      </c>
      <c r="X1015" s="40" t="s">
        <v>304</v>
      </c>
      <c r="Y1015" s="40" t="s">
        <v>284</v>
      </c>
      <c r="Z1015" s="40" t="s">
        <v>305</v>
      </c>
      <c r="AA1015" s="33" t="s">
        <v>771</v>
      </c>
      <c r="AB1015" s="95"/>
      <c r="AC1015" s="95"/>
    </row>
    <row r="1016" spans="1:29" ht="14.45" hidden="1" customHeight="1" x14ac:dyDescent="0.25">
      <c r="A1016" s="36" t="str">
        <f>INDEX('Base de données Mono'!C:C,MATCH(B1016,'Base de données Mono'!D:D,0))</f>
        <v>LYON VALMY</v>
      </c>
      <c r="B1016" t="s">
        <v>22</v>
      </c>
      <c r="C1016" s="36" t="str">
        <f>INDEX('Base de données Mono'!B:B,MATCH(B1016,'Base de données Mono'!D:D,0))</f>
        <v>SES8</v>
      </c>
      <c r="D1016" s="36" t="str">
        <f>INDEX('Base de données Mono'!A:A,MATCH(B1016,'Base de données Mono'!D:D,0))</f>
        <v>JG</v>
      </c>
      <c r="E1016" s="37" t="s">
        <v>303</v>
      </c>
      <c r="F1016" s="41">
        <f t="shared" si="139"/>
        <v>15</v>
      </c>
      <c r="G1016" s="41">
        <f t="shared" si="140"/>
        <v>4</v>
      </c>
      <c r="H1016">
        <v>7.75</v>
      </c>
      <c r="I1016" s="131">
        <f>INDEX('Base de données Mono'!K:K,MATCH(B1016,'Base de données Mono'!D:D,0))</f>
        <v>0.20833333333333334</v>
      </c>
      <c r="J1016" s="131">
        <f>INDEX('Base de données Mono'!L:L,MATCH(B1016,'Base de données Mono'!D:D,0))</f>
        <v>0.88541666666666663</v>
      </c>
      <c r="K1016" s="131">
        <f>INDEX('Base de données Mono'!M:M,MATCH(B1016,'Base de données Mono'!D:D,0))</f>
        <v>0.31944444444444448</v>
      </c>
      <c r="L1016" s="131">
        <f>INDEX('Base de données Mono'!N:N,MATCH(B1016,'Base de données Mono'!D:D,0))</f>
        <v>0.55208333333333337</v>
      </c>
      <c r="M1016" s="33" t="s">
        <v>46</v>
      </c>
      <c r="N1016" s="33">
        <f>IF(AND(E1016="Electricité",M1016="Hiver"),INDEX('Base de données Mono'!E:E,MATCH(B1016,'Base de données Mono'!D:D,0)),IF(AND(E1016="Electricité",M1016="Mi-saison"),INDEX('Base de données Mono'!F:F,MATCH(B1016,'Base de données Mono'!D:D,0)),IF(AND(E1016="Electricité",M1016="Eté"),INDEX('Base de données Mono'!G:G,MATCH(B1016,'Base de données Mono'!D:D,0)),IF(AND(E1016="Gaz",M1016="Hiver"),INDEX('Base de données Mono'!J:J,MATCH(B1016,'Base de données Mono'!D:D,0)),IF(AND(E1016="Gaz",M1016="Mi-saison"),INDEX('Base de données Mono'!#REF!,MATCH(B1016,'Base de données Mono'!D:D,0)),IF(AND(E1016="Gaz",M1016="Eté"),INDEX('Base de données Mono'!#REF!,MATCH(B1016,'Base de données Mono'!D:D,0)),"-"))))))</f>
        <v>50</v>
      </c>
      <c r="O1016" s="123">
        <v>45391</v>
      </c>
      <c r="P1016" s="123">
        <v>45395</v>
      </c>
      <c r="Q1016" s="34">
        <v>60</v>
      </c>
      <c r="R1016" s="33">
        <f t="shared" si="144"/>
        <v>10</v>
      </c>
      <c r="S1016" s="34">
        <v>7.7</v>
      </c>
      <c r="T1016" s="34">
        <f t="shared" si="143"/>
        <v>4</v>
      </c>
      <c r="U1016" s="33">
        <f t="shared" si="141"/>
        <v>308</v>
      </c>
      <c r="V1016" s="38" t="s">
        <v>827</v>
      </c>
      <c r="W1016" s="39">
        <f t="shared" si="142"/>
        <v>0.2</v>
      </c>
      <c r="X1016" s="40" t="s">
        <v>304</v>
      </c>
      <c r="Y1016" s="40" t="s">
        <v>284</v>
      </c>
      <c r="Z1016" s="40" t="s">
        <v>305</v>
      </c>
      <c r="AA1016" s="33" t="s">
        <v>771</v>
      </c>
      <c r="AB1016" s="95"/>
      <c r="AC1016" s="95"/>
    </row>
    <row r="1017" spans="1:29" ht="14.45" hidden="1" customHeight="1" x14ac:dyDescent="0.25">
      <c r="A1017" s="36" t="str">
        <f>INDEX('Base de données Mono'!C:C,MATCH(B1017,'Base de données Mono'!D:D,0))</f>
        <v>LYON VALMY</v>
      </c>
      <c r="B1017" t="s">
        <v>22</v>
      </c>
      <c r="C1017" s="36" t="str">
        <f>INDEX('Base de données Mono'!B:B,MATCH(B1017,'Base de données Mono'!D:D,0))</f>
        <v>SES8</v>
      </c>
      <c r="D1017" s="36" t="str">
        <f>INDEX('Base de données Mono'!A:A,MATCH(B1017,'Base de données Mono'!D:D,0))</f>
        <v>JG</v>
      </c>
      <c r="E1017" s="37" t="s">
        <v>303</v>
      </c>
      <c r="F1017" s="41">
        <f t="shared" si="139"/>
        <v>15</v>
      </c>
      <c r="G1017" s="41">
        <f t="shared" si="140"/>
        <v>4</v>
      </c>
      <c r="H1017">
        <v>7.75</v>
      </c>
      <c r="I1017" s="131">
        <f>INDEX('Base de données Mono'!K:K,MATCH(B1017,'Base de données Mono'!D:D,0))</f>
        <v>0.20833333333333334</v>
      </c>
      <c r="J1017" s="131">
        <f>INDEX('Base de données Mono'!L:L,MATCH(B1017,'Base de données Mono'!D:D,0))</f>
        <v>0.88541666666666663</v>
      </c>
      <c r="K1017" s="131">
        <f>INDEX('Base de données Mono'!M:M,MATCH(B1017,'Base de données Mono'!D:D,0))</f>
        <v>0.31944444444444448</v>
      </c>
      <c r="L1017" s="131">
        <f>INDEX('Base de données Mono'!N:N,MATCH(B1017,'Base de données Mono'!D:D,0))</f>
        <v>0.55208333333333337</v>
      </c>
      <c r="M1017" s="33" t="s">
        <v>46</v>
      </c>
      <c r="N1017" s="33">
        <f>IF(AND(E1017="Electricité",M1017="Hiver"),INDEX('Base de données Mono'!E:E,MATCH(B1017,'Base de données Mono'!D:D,0)),IF(AND(E1017="Electricité",M1017="Mi-saison"),INDEX('Base de données Mono'!F:F,MATCH(B1017,'Base de données Mono'!D:D,0)),IF(AND(E1017="Electricité",M1017="Eté"),INDEX('Base de données Mono'!G:G,MATCH(B1017,'Base de données Mono'!D:D,0)),IF(AND(E1017="Gaz",M1017="Hiver"),INDEX('Base de données Mono'!J:J,MATCH(B1017,'Base de données Mono'!D:D,0)),IF(AND(E1017="Gaz",M1017="Mi-saison"),INDEX('Base de données Mono'!#REF!,MATCH(B1017,'Base de données Mono'!D:D,0)),IF(AND(E1017="Gaz",M1017="Eté"),INDEX('Base de données Mono'!#REF!,MATCH(B1017,'Base de données Mono'!D:D,0)),"-"))))))</f>
        <v>50</v>
      </c>
      <c r="O1017" s="123">
        <v>45395</v>
      </c>
      <c r="P1017" s="123">
        <v>45396</v>
      </c>
      <c r="Q1017" s="34">
        <v>65</v>
      </c>
      <c r="R1017" s="33">
        <f t="shared" si="144"/>
        <v>15</v>
      </c>
      <c r="S1017" s="34">
        <v>7.7</v>
      </c>
      <c r="T1017" s="34">
        <f t="shared" si="143"/>
        <v>1</v>
      </c>
      <c r="U1017" s="33">
        <f t="shared" si="141"/>
        <v>115.5</v>
      </c>
      <c r="V1017" s="38" t="s">
        <v>827</v>
      </c>
      <c r="W1017" s="39">
        <f t="shared" si="142"/>
        <v>0.3</v>
      </c>
      <c r="X1017" s="40" t="s">
        <v>304</v>
      </c>
      <c r="Y1017" s="40" t="s">
        <v>284</v>
      </c>
      <c r="Z1017" s="40" t="s">
        <v>305</v>
      </c>
      <c r="AA1017" s="33" t="s">
        <v>771</v>
      </c>
      <c r="AB1017" s="95"/>
      <c r="AC1017" s="95"/>
    </row>
    <row r="1018" spans="1:29" ht="14.45" hidden="1" customHeight="1" x14ac:dyDescent="0.25">
      <c r="A1018" s="36" t="str">
        <f>INDEX('Base de données Mono'!C:C,MATCH(B1018,'Base de données Mono'!D:D,0))</f>
        <v>LYON GBL</v>
      </c>
      <c r="B1018" t="s">
        <v>167</v>
      </c>
      <c r="C1018" s="36" t="str">
        <f>INDEX('Base de données Mono'!B:B,MATCH(B1018,'Base de données Mono'!D:D,0))</f>
        <v>SES8</v>
      </c>
      <c r="D1018" s="36" t="str">
        <f>INDEX('Base de données Mono'!A:A,MATCH(B1018,'Base de données Mono'!D:D,0))</f>
        <v>JG</v>
      </c>
      <c r="E1018" s="37" t="s">
        <v>303</v>
      </c>
      <c r="F1018" s="41">
        <f t="shared" si="139"/>
        <v>15</v>
      </c>
      <c r="G1018" s="41">
        <f t="shared" si="140"/>
        <v>4</v>
      </c>
      <c r="H1018">
        <v>7.25</v>
      </c>
      <c r="I1018" s="131">
        <f>INDEX('Base de données Mono'!K:K,MATCH(B1018,'Base de données Mono'!D:D,0))</f>
        <v>0.19791666666666666</v>
      </c>
      <c r="J1018" s="131">
        <f>INDEX('Base de données Mono'!L:L,MATCH(B1018,'Base de données Mono'!D:D,0))</f>
        <v>0.89583333333333337</v>
      </c>
      <c r="K1018" s="131">
        <f>INDEX('Base de données Mono'!M:M,MATCH(B1018,'Base de données Mono'!D:D,0))</f>
        <v>0.27083333333333331</v>
      </c>
      <c r="L1018" s="131">
        <f>INDEX('Base de données Mono'!N:N,MATCH(B1018,'Base de données Mono'!D:D,0))</f>
        <v>0.54166666666666663</v>
      </c>
      <c r="M1018" s="33" t="s">
        <v>46</v>
      </c>
      <c r="N1018" s="33">
        <f>IF(AND(E1018="Electricité",M1018="Hiver"),INDEX('Base de données Mono'!E:E,MATCH(B1018,'Base de données Mono'!D:D,0)),IF(AND(E1018="Electricité",M1018="Mi-saison"),INDEX('Base de données Mono'!F:F,MATCH(B1018,'Base de données Mono'!D:D,0)),IF(AND(E1018="Electricité",M1018="Eté"),INDEX('Base de données Mono'!G:G,MATCH(B1018,'Base de données Mono'!D:D,0)),IF(AND(E1018="Gaz",M1018="Hiver"),INDEX('Base de données Mono'!J:J,MATCH(B1018,'Base de données Mono'!D:D,0)),IF(AND(E1018="Gaz",M1018="Mi-saison"),INDEX('Base de données Mono'!#REF!,MATCH(B1018,'Base de données Mono'!D:D,0)),IF(AND(E1018="Gaz",M1018="Eté"),INDEX('Base de données Mono'!#REF!,MATCH(B1018,'Base de données Mono'!D:D,0)),"-"))))))</f>
        <v>120</v>
      </c>
      <c r="O1018" s="123">
        <v>45389</v>
      </c>
      <c r="P1018" s="123">
        <v>45390</v>
      </c>
      <c r="Q1018" s="34">
        <v>155</v>
      </c>
      <c r="R1018" s="33">
        <f t="shared" si="144"/>
        <v>35</v>
      </c>
      <c r="S1018" s="34">
        <v>4.7</v>
      </c>
      <c r="T1018" s="34">
        <f t="shared" si="143"/>
        <v>1</v>
      </c>
      <c r="U1018" s="33">
        <f t="shared" si="141"/>
        <v>164.5</v>
      </c>
      <c r="V1018" s="38" t="s">
        <v>827</v>
      </c>
      <c r="W1018" s="39">
        <f t="shared" si="142"/>
        <v>0.29166666666666669</v>
      </c>
      <c r="X1018" s="40" t="s">
        <v>304</v>
      </c>
      <c r="Y1018" s="40" t="s">
        <v>284</v>
      </c>
      <c r="Z1018" s="40" t="s">
        <v>305</v>
      </c>
      <c r="AA1018" s="33" t="s">
        <v>771</v>
      </c>
      <c r="AB1018" s="95"/>
      <c r="AC1018" s="95"/>
    </row>
    <row r="1019" spans="1:29" ht="14.45" hidden="1" customHeight="1" x14ac:dyDescent="0.25">
      <c r="A1019" s="36" t="str">
        <f>INDEX('Base de données Mono'!C:C,MATCH(B1019,'Base de données Mono'!D:D,0))</f>
        <v>LYON GBL</v>
      </c>
      <c r="B1019" t="s">
        <v>167</v>
      </c>
      <c r="C1019" s="36" t="str">
        <f>INDEX('Base de données Mono'!B:B,MATCH(B1019,'Base de données Mono'!D:D,0))</f>
        <v>SES8</v>
      </c>
      <c r="D1019" s="36" t="str">
        <f>INDEX('Base de données Mono'!A:A,MATCH(B1019,'Base de données Mono'!D:D,0))</f>
        <v>JG</v>
      </c>
      <c r="E1019" s="37" t="s">
        <v>303</v>
      </c>
      <c r="F1019" s="41">
        <f t="shared" si="139"/>
        <v>15</v>
      </c>
      <c r="G1019" s="41">
        <f t="shared" si="140"/>
        <v>4</v>
      </c>
      <c r="H1019">
        <v>7.25</v>
      </c>
      <c r="I1019" s="131">
        <f>INDEX('Base de données Mono'!K:K,MATCH(B1019,'Base de données Mono'!D:D,0))</f>
        <v>0.19791666666666666</v>
      </c>
      <c r="J1019" s="131">
        <f>INDEX('Base de données Mono'!L:L,MATCH(B1019,'Base de données Mono'!D:D,0))</f>
        <v>0.89583333333333337</v>
      </c>
      <c r="K1019" s="131">
        <f>INDEX('Base de données Mono'!M:M,MATCH(B1019,'Base de données Mono'!D:D,0))</f>
        <v>0.27083333333333331</v>
      </c>
      <c r="L1019" s="131">
        <f>INDEX('Base de données Mono'!N:N,MATCH(B1019,'Base de données Mono'!D:D,0))</f>
        <v>0.54166666666666663</v>
      </c>
      <c r="M1019" s="33" t="s">
        <v>46</v>
      </c>
      <c r="N1019" s="33">
        <f>IF(AND(E1019="Electricité",M1019="Hiver"),INDEX('Base de données Mono'!E:E,MATCH(B1019,'Base de données Mono'!D:D,0)),IF(AND(E1019="Electricité",M1019="Mi-saison"),INDEX('Base de données Mono'!F:F,MATCH(B1019,'Base de données Mono'!D:D,0)),IF(AND(E1019="Electricité",M1019="Eté"),INDEX('Base de données Mono'!G:G,MATCH(B1019,'Base de données Mono'!D:D,0)),IF(AND(E1019="Gaz",M1019="Hiver"),INDEX('Base de données Mono'!J:J,MATCH(B1019,'Base de données Mono'!D:D,0)),IF(AND(E1019="Gaz",M1019="Mi-saison"),INDEX('Base de données Mono'!#REF!,MATCH(B1019,'Base de données Mono'!D:D,0)),IF(AND(E1019="Gaz",M1019="Eté"),INDEX('Base de données Mono'!#REF!,MATCH(B1019,'Base de données Mono'!D:D,0)),"-"))))))</f>
        <v>120</v>
      </c>
      <c r="O1019" s="123">
        <v>45390</v>
      </c>
      <c r="P1019" s="123">
        <v>45395</v>
      </c>
      <c r="Q1019" s="34">
        <v>180</v>
      </c>
      <c r="R1019" s="33">
        <f t="shared" si="144"/>
        <v>60</v>
      </c>
      <c r="S1019" s="34">
        <v>7.2</v>
      </c>
      <c r="T1019" s="34">
        <f t="shared" si="143"/>
        <v>5</v>
      </c>
      <c r="U1019" s="33">
        <f t="shared" si="141"/>
        <v>2160</v>
      </c>
      <c r="V1019" s="38" t="s">
        <v>827</v>
      </c>
      <c r="W1019" s="39">
        <f t="shared" si="142"/>
        <v>0.5</v>
      </c>
      <c r="X1019" s="40" t="s">
        <v>304</v>
      </c>
      <c r="Y1019" s="40" t="s">
        <v>283</v>
      </c>
      <c r="Z1019" s="40" t="s">
        <v>749</v>
      </c>
      <c r="AA1019" s="33" t="s">
        <v>749</v>
      </c>
      <c r="AB1019" s="95"/>
      <c r="AC1019" s="95"/>
    </row>
    <row r="1020" spans="1:29" ht="14.45" hidden="1" customHeight="1" x14ac:dyDescent="0.25">
      <c r="A1020" s="36" t="str">
        <f>INDEX('Base de données Mono'!C:C,MATCH(B1020,'Base de données Mono'!D:D,0))</f>
        <v>LILLE LES TANNEURS</v>
      </c>
      <c r="B1020" t="s">
        <v>160</v>
      </c>
      <c r="C1020" s="36" t="str">
        <f>INDEX('Base de données Mono'!B:B,MATCH(B1020,'Base de données Mono'!D:D,0))</f>
        <v>SES8</v>
      </c>
      <c r="D1020" s="36" t="str">
        <f>INDEX('Base de données Mono'!A:A,MATCH(B1020,'Base de données Mono'!D:D,0))</f>
        <v>JG</v>
      </c>
      <c r="E1020" s="37" t="s">
        <v>303</v>
      </c>
      <c r="F1020" s="41">
        <f t="shared" ref="F1020:F1025" si="145">IF(O1020="","-",IF(AND(X1020="Nuit",WEEKDAY(O1020,2)=7,O1020&lt;&gt;P1020),WEEKNUM(O1020,2),WEEKNUM(O1020,2)-1))+1</f>
        <v>15</v>
      </c>
      <c r="G1020" s="41">
        <f t="shared" ref="G1020:G1025" si="146">IF(O1020="","-",MONTH(O1020))</f>
        <v>4</v>
      </c>
      <c r="H1020">
        <v>8</v>
      </c>
      <c r="I1020" s="131">
        <f>INDEX('Base de données Mono'!K:K,MATCH(B1020,'Base de données Mono'!D:D,0))</f>
        <v>0.16666666666666666</v>
      </c>
      <c r="J1020" s="131">
        <f>INDEX('Base de données Mono'!L:L,MATCH(B1020,'Base de données Mono'!D:D,0))</f>
        <v>0.83333333333333337</v>
      </c>
      <c r="K1020" s="131">
        <f>INDEX('Base de données Mono'!M:M,MATCH(B1020,'Base de données Mono'!D:D,0))</f>
        <v>0.29166666666666669</v>
      </c>
      <c r="L1020" s="131">
        <f>INDEX('Base de données Mono'!N:N,MATCH(B1020,'Base de données Mono'!D:D,0))</f>
        <v>0.79166666666666663</v>
      </c>
      <c r="M1020" s="33" t="s">
        <v>46</v>
      </c>
      <c r="N1020" s="33">
        <f>IF(AND(E1020="Electricité",M1020="Hiver"),INDEX('Base de données Mono'!E:E,MATCH(B1020,'Base de données Mono'!D:D,0)),IF(AND(E1020="Electricité",M1020="Mi-saison"),INDEX('Base de données Mono'!F:F,MATCH(B1020,'Base de données Mono'!D:D,0)),IF(AND(E1020="Electricité",M1020="Eté"),INDEX('Base de données Mono'!G:G,MATCH(B1020,'Base de données Mono'!D:D,0)),IF(AND(E1020="Gaz",M1020="Hiver"),INDEX('Base de données Mono'!J:J,MATCH(B1020,'Base de données Mono'!D:D,0)),IF(AND(E1020="Gaz",M1020="Mi-saison"),INDEX('Base de données Mono'!#REF!,MATCH(B1020,'Base de données Mono'!D:D,0)),IF(AND(E1020="Gaz",M1020="Eté"),INDEX('Base de données Mono'!#REF!,MATCH(B1020,'Base de données Mono'!D:D,0)),"-"))))))</f>
        <v>50</v>
      </c>
      <c r="O1020" s="123">
        <v>45389</v>
      </c>
      <c r="P1020" s="123">
        <v>45390</v>
      </c>
      <c r="Q1020" s="34">
        <v>60</v>
      </c>
      <c r="R1020" s="33">
        <f t="shared" si="144"/>
        <v>10</v>
      </c>
      <c r="S1020" s="34">
        <v>8</v>
      </c>
      <c r="T1020" s="34">
        <f t="shared" si="143"/>
        <v>1</v>
      </c>
      <c r="U1020" s="33">
        <f t="shared" ref="U1020:U1025" si="147">R1020*S1020*T1020</f>
        <v>80</v>
      </c>
      <c r="V1020" s="38" t="s">
        <v>827</v>
      </c>
      <c r="W1020" s="39">
        <f t="shared" ref="W1020:W1025" si="148">IFERROR(IF(E1020="Gaz","-",R1020/N1020),"-")</f>
        <v>0.2</v>
      </c>
      <c r="X1020" s="40" t="s">
        <v>304</v>
      </c>
      <c r="Y1020" s="40" t="s">
        <v>284</v>
      </c>
      <c r="Z1020" s="40" t="s">
        <v>305</v>
      </c>
      <c r="AA1020" s="33" t="s">
        <v>771</v>
      </c>
      <c r="AB1020" s="95"/>
      <c r="AC1020" s="95"/>
    </row>
    <row r="1021" spans="1:29" ht="14.45" hidden="1" customHeight="1" x14ac:dyDescent="0.25">
      <c r="A1021" s="36" t="str">
        <f>INDEX('Base de données Mono'!C:C,MATCH(B1021,'Base de données Mono'!D:D,0))</f>
        <v>LILLE LES TANNEURS</v>
      </c>
      <c r="B1021" t="s">
        <v>160</v>
      </c>
      <c r="C1021" s="36" t="str">
        <f>INDEX('Base de données Mono'!B:B,MATCH(B1021,'Base de données Mono'!D:D,0))</f>
        <v>SES8</v>
      </c>
      <c r="D1021" s="36" t="str">
        <f>INDEX('Base de données Mono'!A:A,MATCH(B1021,'Base de données Mono'!D:D,0))</f>
        <v>JG</v>
      </c>
      <c r="E1021" s="37" t="s">
        <v>303</v>
      </c>
      <c r="F1021" s="41">
        <f>IF(O1021="","-",IF(AND(X1021="Nuit",WEEKDAY(O1021,2)=7,O1021&lt;&gt;P1021),WEEKNUM(O1021,2),WEEKNUM(O1021,2)-1))+1</f>
        <v>15</v>
      </c>
      <c r="G1021" s="41">
        <f>IF(O1021="","-",MONTH(O1021))</f>
        <v>4</v>
      </c>
      <c r="H1021">
        <v>8</v>
      </c>
      <c r="I1021" s="131">
        <f>INDEX('Base de données Mono'!K:K,MATCH(B1021,'Base de données Mono'!D:D,0))</f>
        <v>0.16666666666666666</v>
      </c>
      <c r="J1021" s="131">
        <f>INDEX('Base de données Mono'!L:L,MATCH(B1021,'Base de données Mono'!D:D,0))</f>
        <v>0.83333333333333337</v>
      </c>
      <c r="K1021" s="131">
        <f>INDEX('Base de données Mono'!M:M,MATCH(B1021,'Base de données Mono'!D:D,0))</f>
        <v>0.29166666666666669</v>
      </c>
      <c r="L1021" s="131">
        <f>INDEX('Base de données Mono'!N:N,MATCH(B1021,'Base de données Mono'!D:D,0))</f>
        <v>0.79166666666666663</v>
      </c>
      <c r="M1021" s="33" t="s">
        <v>46</v>
      </c>
      <c r="N1021" s="33">
        <f>IF(AND(E1021="Electricité",M1021="Hiver"),INDEX('Base de données Mono'!E:E,MATCH(B1021,'Base de données Mono'!D:D,0)),IF(AND(E1021="Electricité",M1021="Mi-saison"),INDEX('Base de données Mono'!F:F,MATCH(B1021,'Base de données Mono'!D:D,0)),IF(AND(E1021="Electricité",M1021="Eté"),INDEX('Base de données Mono'!G:G,MATCH(B1021,'Base de données Mono'!D:D,0)),IF(AND(E1021="Gaz",M1021="Hiver"),INDEX('Base de données Mono'!J:J,MATCH(B1021,'Base de données Mono'!D:D,0)),IF(AND(E1021="Gaz",M1021="Mi-saison"),INDEX('Base de données Mono'!#REF!,MATCH(B1021,'Base de données Mono'!D:D,0)),IF(AND(E1021="Gaz",M1021="Eté"),INDEX('Base de données Mono'!#REF!,MATCH(B1021,'Base de données Mono'!D:D,0)),"-"))))))</f>
        <v>50</v>
      </c>
      <c r="O1021" s="123">
        <v>45390</v>
      </c>
      <c r="P1021" s="123">
        <v>45391</v>
      </c>
      <c r="Q1021" s="34">
        <v>100</v>
      </c>
      <c r="R1021" s="33">
        <f>IF(Q1021="","",Q1021-N1021)</f>
        <v>50</v>
      </c>
      <c r="S1021" s="34">
        <v>4.5</v>
      </c>
      <c r="T1021" s="34">
        <f t="shared" si="143"/>
        <v>1</v>
      </c>
      <c r="U1021" s="33">
        <f>R1021*S1021*T1021</f>
        <v>225</v>
      </c>
      <c r="V1021" s="38" t="s">
        <v>827</v>
      </c>
      <c r="W1021" s="39">
        <f>IFERROR(IF(E1021="Gaz","-",R1021/N1021),"-")</f>
        <v>1</v>
      </c>
      <c r="X1021" s="40" t="s">
        <v>304</v>
      </c>
      <c r="Y1021" s="40" t="s">
        <v>284</v>
      </c>
      <c r="Z1021" s="40" t="s">
        <v>311</v>
      </c>
      <c r="AA1021" s="33" t="s">
        <v>775</v>
      </c>
      <c r="AB1021" s="95"/>
      <c r="AC1021" s="95"/>
    </row>
    <row r="1022" spans="1:29" ht="14.45" hidden="1" customHeight="1" x14ac:dyDescent="0.25">
      <c r="A1022" s="36" t="str">
        <f>INDEX('Base de données Mono'!C:C,MATCH(B1022,'Base de données Mono'!D:D,0))</f>
        <v>LILLE LES TANNEURS</v>
      </c>
      <c r="B1022" t="s">
        <v>160</v>
      </c>
      <c r="C1022" s="36" t="str">
        <f>INDEX('Base de données Mono'!B:B,MATCH(B1022,'Base de données Mono'!D:D,0))</f>
        <v>SES8</v>
      </c>
      <c r="D1022" s="36" t="str">
        <f>INDEX('Base de données Mono'!A:A,MATCH(B1022,'Base de données Mono'!D:D,0))</f>
        <v>JG</v>
      </c>
      <c r="E1022" s="37" t="s">
        <v>303</v>
      </c>
      <c r="F1022" s="41">
        <f t="shared" si="145"/>
        <v>15</v>
      </c>
      <c r="G1022" s="41">
        <f t="shared" si="146"/>
        <v>4</v>
      </c>
      <c r="H1022">
        <v>8</v>
      </c>
      <c r="I1022" s="131">
        <f>INDEX('Base de données Mono'!K:K,MATCH(B1022,'Base de données Mono'!D:D,0))</f>
        <v>0.16666666666666666</v>
      </c>
      <c r="J1022" s="131">
        <f>INDEX('Base de données Mono'!L:L,MATCH(B1022,'Base de données Mono'!D:D,0))</f>
        <v>0.83333333333333337</v>
      </c>
      <c r="K1022" s="131">
        <f>INDEX('Base de données Mono'!M:M,MATCH(B1022,'Base de données Mono'!D:D,0))</f>
        <v>0.29166666666666669</v>
      </c>
      <c r="L1022" s="131">
        <f>INDEX('Base de données Mono'!N:N,MATCH(B1022,'Base de données Mono'!D:D,0))</f>
        <v>0.79166666666666663</v>
      </c>
      <c r="M1022" s="33" t="s">
        <v>46</v>
      </c>
      <c r="N1022" s="33">
        <f>IF(AND(E1022="Electricité",M1022="Hiver"),INDEX('Base de données Mono'!E:E,MATCH(B1022,'Base de données Mono'!D:D,0)),IF(AND(E1022="Electricité",M1022="Mi-saison"),INDEX('Base de données Mono'!F:F,MATCH(B1022,'Base de données Mono'!D:D,0)),IF(AND(E1022="Electricité",M1022="Eté"),INDEX('Base de données Mono'!G:G,MATCH(B1022,'Base de données Mono'!D:D,0)),IF(AND(E1022="Gaz",M1022="Hiver"),INDEX('Base de données Mono'!J:J,MATCH(B1022,'Base de données Mono'!D:D,0)),IF(AND(E1022="Gaz",M1022="Mi-saison"),INDEX('Base de données Mono'!#REF!,MATCH(B1022,'Base de données Mono'!D:D,0)),IF(AND(E1022="Gaz",M1022="Eté"),INDEX('Base de données Mono'!#REF!,MATCH(B1022,'Base de données Mono'!D:D,0)),"-"))))))</f>
        <v>50</v>
      </c>
      <c r="O1022" s="123">
        <v>45390</v>
      </c>
      <c r="P1022" s="123">
        <v>45391</v>
      </c>
      <c r="Q1022" s="34">
        <v>60</v>
      </c>
      <c r="R1022" s="33">
        <f t="shared" si="144"/>
        <v>10</v>
      </c>
      <c r="S1022" s="34">
        <v>3.5</v>
      </c>
      <c r="T1022" s="34">
        <f t="shared" si="143"/>
        <v>1</v>
      </c>
      <c r="U1022" s="33">
        <f t="shared" si="147"/>
        <v>35</v>
      </c>
      <c r="V1022" s="38" t="s">
        <v>827</v>
      </c>
      <c r="W1022" s="39">
        <f t="shared" si="148"/>
        <v>0.2</v>
      </c>
      <c r="X1022" s="40" t="s">
        <v>304</v>
      </c>
      <c r="Y1022" s="40" t="s">
        <v>284</v>
      </c>
      <c r="Z1022" s="40" t="s">
        <v>305</v>
      </c>
      <c r="AA1022" s="33" t="s">
        <v>771</v>
      </c>
      <c r="AB1022" s="95"/>
      <c r="AC1022" s="95"/>
    </row>
    <row r="1023" spans="1:29" ht="14.45" hidden="1" customHeight="1" x14ac:dyDescent="0.25">
      <c r="A1023" s="36" t="str">
        <f>INDEX('Base de données Mono'!C:C,MATCH(B1023,'Base de données Mono'!D:D,0))</f>
        <v>LILLE LES TANNEURS</v>
      </c>
      <c r="B1023" t="s">
        <v>160</v>
      </c>
      <c r="C1023" s="36" t="str">
        <f>INDEX('Base de données Mono'!B:B,MATCH(B1023,'Base de données Mono'!D:D,0))</f>
        <v>SES8</v>
      </c>
      <c r="D1023" s="36" t="str">
        <f>INDEX('Base de données Mono'!A:A,MATCH(B1023,'Base de données Mono'!D:D,0))</f>
        <v>JG</v>
      </c>
      <c r="E1023" s="37" t="s">
        <v>303</v>
      </c>
      <c r="F1023" s="41">
        <f t="shared" si="145"/>
        <v>15</v>
      </c>
      <c r="G1023" s="41">
        <f t="shared" si="146"/>
        <v>4</v>
      </c>
      <c r="H1023">
        <v>8</v>
      </c>
      <c r="I1023" s="131">
        <f>INDEX('Base de données Mono'!K:K,MATCH(B1023,'Base de données Mono'!D:D,0))</f>
        <v>0.16666666666666666</v>
      </c>
      <c r="J1023" s="131">
        <f>INDEX('Base de données Mono'!L:L,MATCH(B1023,'Base de données Mono'!D:D,0))</f>
        <v>0.83333333333333337</v>
      </c>
      <c r="K1023" s="131">
        <f>INDEX('Base de données Mono'!M:M,MATCH(B1023,'Base de données Mono'!D:D,0))</f>
        <v>0.29166666666666669</v>
      </c>
      <c r="L1023" s="131">
        <f>INDEX('Base de données Mono'!N:N,MATCH(B1023,'Base de données Mono'!D:D,0))</f>
        <v>0.79166666666666663</v>
      </c>
      <c r="M1023" s="33" t="s">
        <v>46</v>
      </c>
      <c r="N1023" s="33">
        <f>IF(AND(E1023="Electricité",M1023="Hiver"),INDEX('Base de données Mono'!E:E,MATCH(B1023,'Base de données Mono'!D:D,0)),IF(AND(E1023="Electricité",M1023="Mi-saison"),INDEX('Base de données Mono'!F:F,MATCH(B1023,'Base de données Mono'!D:D,0)),IF(AND(E1023="Electricité",M1023="Eté"),INDEX('Base de données Mono'!G:G,MATCH(B1023,'Base de données Mono'!D:D,0)),IF(AND(E1023="Gaz",M1023="Hiver"),INDEX('Base de données Mono'!J:J,MATCH(B1023,'Base de données Mono'!D:D,0)),IF(AND(E1023="Gaz",M1023="Mi-saison"),INDEX('Base de données Mono'!#REF!,MATCH(B1023,'Base de données Mono'!D:D,0)),IF(AND(E1023="Gaz",M1023="Eté"),INDEX('Base de données Mono'!#REF!,MATCH(B1023,'Base de données Mono'!D:D,0)),"-"))))))</f>
        <v>50</v>
      </c>
      <c r="O1023" s="123">
        <v>45391</v>
      </c>
      <c r="P1023" s="123">
        <v>45394</v>
      </c>
      <c r="Q1023" s="34">
        <v>55</v>
      </c>
      <c r="R1023" s="33">
        <f t="shared" si="144"/>
        <v>5</v>
      </c>
      <c r="S1023" s="34">
        <v>8</v>
      </c>
      <c r="T1023" s="34">
        <f t="shared" si="143"/>
        <v>3</v>
      </c>
      <c r="U1023" s="33">
        <f t="shared" si="147"/>
        <v>120</v>
      </c>
      <c r="V1023" s="38" t="s">
        <v>827</v>
      </c>
      <c r="W1023" s="39">
        <f t="shared" si="148"/>
        <v>0.1</v>
      </c>
      <c r="X1023" s="40" t="s">
        <v>304</v>
      </c>
      <c r="Y1023" s="40" t="s">
        <v>284</v>
      </c>
      <c r="Z1023" s="40" t="s">
        <v>305</v>
      </c>
      <c r="AA1023" s="33" t="s">
        <v>771</v>
      </c>
      <c r="AB1023" s="95"/>
      <c r="AC1023" s="95"/>
    </row>
    <row r="1024" spans="1:29" ht="14.45" hidden="1" customHeight="1" x14ac:dyDescent="0.25">
      <c r="A1024" s="36" t="str">
        <f>INDEX('Base de données Mono'!C:C,MATCH(B1024,'Base de données Mono'!D:D,0))</f>
        <v>LILLE LES TANNEURS</v>
      </c>
      <c r="B1024" t="s">
        <v>160</v>
      </c>
      <c r="C1024" s="36" t="str">
        <f>INDEX('Base de données Mono'!B:B,MATCH(B1024,'Base de données Mono'!D:D,0))</f>
        <v>SES8</v>
      </c>
      <c r="D1024" s="36" t="str">
        <f>INDEX('Base de données Mono'!A:A,MATCH(B1024,'Base de données Mono'!D:D,0))</f>
        <v>JG</v>
      </c>
      <c r="E1024" s="37" t="s">
        <v>303</v>
      </c>
      <c r="F1024" s="41">
        <f>IF(O1024="","-",IF(AND(X1024="Nuit",WEEKDAY(O1024,2)=7,O1024&lt;&gt;P1024),WEEKNUM(O1024,2),WEEKNUM(O1024,2)-1))+1</f>
        <v>15</v>
      </c>
      <c r="G1024" s="41">
        <f>IF(O1024="","-",MONTH(O1024))</f>
        <v>4</v>
      </c>
      <c r="H1024">
        <v>8</v>
      </c>
      <c r="I1024" s="131">
        <f>INDEX('Base de données Mono'!K:K,MATCH(B1024,'Base de données Mono'!D:D,0))</f>
        <v>0.16666666666666666</v>
      </c>
      <c r="J1024" s="131">
        <f>INDEX('Base de données Mono'!L:L,MATCH(B1024,'Base de données Mono'!D:D,0))</f>
        <v>0.83333333333333337</v>
      </c>
      <c r="K1024" s="131">
        <f>INDEX('Base de données Mono'!M:M,MATCH(B1024,'Base de données Mono'!D:D,0))</f>
        <v>0.29166666666666669</v>
      </c>
      <c r="L1024" s="131">
        <f>INDEX('Base de données Mono'!N:N,MATCH(B1024,'Base de données Mono'!D:D,0))</f>
        <v>0.79166666666666663</v>
      </c>
      <c r="M1024" s="33" t="s">
        <v>46</v>
      </c>
      <c r="N1024" s="33">
        <f>IF(AND(E1024="Electricité",M1024="Hiver"),INDEX('Base de données Mono'!E:E,MATCH(B1024,'Base de données Mono'!D:D,0)),IF(AND(E1024="Electricité",M1024="Mi-saison"),INDEX('Base de données Mono'!F:F,MATCH(B1024,'Base de données Mono'!D:D,0)),IF(AND(E1024="Electricité",M1024="Eté"),INDEX('Base de données Mono'!G:G,MATCH(B1024,'Base de données Mono'!D:D,0)),IF(AND(E1024="Gaz",M1024="Hiver"),INDEX('Base de données Mono'!J:J,MATCH(B1024,'Base de données Mono'!D:D,0)),IF(AND(E1024="Gaz",M1024="Mi-saison"),INDEX('Base de données Mono'!#REF!,MATCH(B1024,'Base de données Mono'!D:D,0)),IF(AND(E1024="Gaz",M1024="Eté"),INDEX('Base de données Mono'!#REF!,MATCH(B1024,'Base de données Mono'!D:D,0)),"-"))))))</f>
        <v>50</v>
      </c>
      <c r="O1024" s="123">
        <v>45394</v>
      </c>
      <c r="P1024" s="123">
        <v>45395</v>
      </c>
      <c r="Q1024" s="34">
        <v>100</v>
      </c>
      <c r="R1024" s="33">
        <f>IF(Q1024="","",Q1024-N1024)</f>
        <v>50</v>
      </c>
      <c r="S1024" s="34">
        <v>8</v>
      </c>
      <c r="T1024" s="34">
        <f t="shared" si="143"/>
        <v>1</v>
      </c>
      <c r="U1024" s="33">
        <f>R1024*S1024*T1024</f>
        <v>400</v>
      </c>
      <c r="V1024" s="38" t="s">
        <v>827</v>
      </c>
      <c r="W1024" s="39">
        <f>IFERROR(IF(E1024="Gaz","-",R1024/N1024),"-")</f>
        <v>1</v>
      </c>
      <c r="X1024" s="40" t="s">
        <v>304</v>
      </c>
      <c r="Y1024" s="40" t="s">
        <v>284</v>
      </c>
      <c r="Z1024" s="40" t="s">
        <v>311</v>
      </c>
      <c r="AA1024" s="33" t="s">
        <v>775</v>
      </c>
      <c r="AB1024" s="95"/>
      <c r="AC1024" s="95"/>
    </row>
    <row r="1025" spans="1:29" ht="14.45" hidden="1" customHeight="1" x14ac:dyDescent="0.25">
      <c r="A1025" s="36" t="str">
        <f>INDEX('Base de données Mono'!C:C,MATCH(B1025,'Base de données Mono'!D:D,0))</f>
        <v>LILLE LES TANNEURS</v>
      </c>
      <c r="B1025" t="s">
        <v>160</v>
      </c>
      <c r="C1025" s="36" t="str">
        <f>INDEX('Base de données Mono'!B:B,MATCH(B1025,'Base de données Mono'!D:D,0))</f>
        <v>SES8</v>
      </c>
      <c r="D1025" s="36" t="str">
        <f>INDEX('Base de données Mono'!A:A,MATCH(B1025,'Base de données Mono'!D:D,0))</f>
        <v>JG</v>
      </c>
      <c r="E1025" s="37" t="s">
        <v>303</v>
      </c>
      <c r="F1025" s="41">
        <f t="shared" si="145"/>
        <v>15</v>
      </c>
      <c r="G1025" s="41">
        <f t="shared" si="146"/>
        <v>4</v>
      </c>
      <c r="H1025">
        <v>8</v>
      </c>
      <c r="I1025" s="131">
        <f>INDEX('Base de données Mono'!K:K,MATCH(B1025,'Base de données Mono'!D:D,0))</f>
        <v>0.16666666666666666</v>
      </c>
      <c r="J1025" s="131">
        <f>INDEX('Base de données Mono'!L:L,MATCH(B1025,'Base de données Mono'!D:D,0))</f>
        <v>0.83333333333333337</v>
      </c>
      <c r="K1025" s="131">
        <f>INDEX('Base de données Mono'!M:M,MATCH(B1025,'Base de données Mono'!D:D,0))</f>
        <v>0.29166666666666669</v>
      </c>
      <c r="L1025" s="131">
        <f>INDEX('Base de données Mono'!N:N,MATCH(B1025,'Base de données Mono'!D:D,0))</f>
        <v>0.79166666666666663</v>
      </c>
      <c r="M1025" s="33" t="s">
        <v>46</v>
      </c>
      <c r="N1025" s="33">
        <f>IF(AND(E1025="Electricité",M1025="Hiver"),INDEX('Base de données Mono'!E:E,MATCH(B1025,'Base de données Mono'!D:D,0)),IF(AND(E1025="Electricité",M1025="Mi-saison"),INDEX('Base de données Mono'!F:F,MATCH(B1025,'Base de données Mono'!D:D,0)),IF(AND(E1025="Electricité",M1025="Eté"),INDEX('Base de données Mono'!G:G,MATCH(B1025,'Base de données Mono'!D:D,0)),IF(AND(E1025="Gaz",M1025="Hiver"),INDEX('Base de données Mono'!J:J,MATCH(B1025,'Base de données Mono'!D:D,0)),IF(AND(E1025="Gaz",M1025="Mi-saison"),INDEX('Base de données Mono'!#REF!,MATCH(B1025,'Base de données Mono'!D:D,0)),IF(AND(E1025="Gaz",M1025="Eté"),INDEX('Base de données Mono'!#REF!,MATCH(B1025,'Base de données Mono'!D:D,0)),"-"))))))</f>
        <v>50</v>
      </c>
      <c r="O1025" s="123">
        <v>45395</v>
      </c>
      <c r="P1025" s="123">
        <v>45396</v>
      </c>
      <c r="Q1025" s="34">
        <v>100</v>
      </c>
      <c r="R1025" s="33">
        <f t="shared" si="144"/>
        <v>50</v>
      </c>
      <c r="S1025" s="34">
        <v>11</v>
      </c>
      <c r="T1025" s="34">
        <f t="shared" si="143"/>
        <v>1</v>
      </c>
      <c r="U1025" s="33">
        <f t="shared" si="147"/>
        <v>550</v>
      </c>
      <c r="V1025" s="38" t="s">
        <v>827</v>
      </c>
      <c r="W1025" s="39">
        <f t="shared" si="148"/>
        <v>1</v>
      </c>
      <c r="X1025" s="40" t="s">
        <v>304</v>
      </c>
      <c r="Y1025" s="40" t="s">
        <v>284</v>
      </c>
      <c r="Z1025" s="40" t="s">
        <v>311</v>
      </c>
      <c r="AA1025" s="33" t="s">
        <v>775</v>
      </c>
      <c r="AB1025" s="95"/>
      <c r="AC1025" s="95"/>
    </row>
    <row r="1026" spans="1:29" ht="14.45" hidden="1" customHeight="1" x14ac:dyDescent="0.25">
      <c r="A1026" s="36" t="str">
        <f>INDEX('Base de données Mono'!C:C,MATCH(B1026,'Base de données Mono'!D:D,0))</f>
        <v>DAUMESNIL</v>
      </c>
      <c r="B1026" t="s">
        <v>15</v>
      </c>
      <c r="C1026" s="36" t="str">
        <f>INDEX('Base de données Mono'!B:B,MATCH(B1026,'Base de données Mono'!D:D,0))</f>
        <v>SES8</v>
      </c>
      <c r="D1026" s="36" t="str">
        <f>INDEX('Base de données Mono'!A:A,MATCH(B1026,'Base de données Mono'!D:D,0))</f>
        <v>JG</v>
      </c>
      <c r="E1026" s="37" t="s">
        <v>303</v>
      </c>
      <c r="F1026" s="41">
        <f t="shared" ref="F1026:F1033" si="149">IF(O1026="","-",IF(AND(X1026="Nuit",WEEKDAY(O1026,2)=7,O1026&lt;&gt;P1026),WEEKNUM(O1026,2),WEEKNUM(O1026,2)-1))+1</f>
        <v>15</v>
      </c>
      <c r="G1026" s="41">
        <f t="shared" ref="G1026:G1033" si="150">IF(O1026="","-",MONTH(O1026))</f>
        <v>4</v>
      </c>
      <c r="H1026">
        <v>7.75</v>
      </c>
      <c r="I1026" s="131">
        <f>INDEX('Base de données Mono'!K:K,MATCH(B1026,'Base de données Mono'!D:D,0))</f>
        <v>0.24305555555555555</v>
      </c>
      <c r="J1026" s="131">
        <f>INDEX('Base de données Mono'!L:L,MATCH(B1026,'Base de données Mono'!D:D,0))</f>
        <v>0.92013888888888884</v>
      </c>
      <c r="K1026" s="131">
        <f>INDEX('Base de données Mono'!M:M,MATCH(B1026,'Base de données Mono'!D:D,0))</f>
        <v>0.28472222222222221</v>
      </c>
      <c r="L1026" s="131">
        <f>INDEX('Base de données Mono'!N:N,MATCH(B1026,'Base de données Mono'!D:D,0))</f>
        <v>0.54166666666666663</v>
      </c>
      <c r="M1026" s="33" t="s">
        <v>46</v>
      </c>
      <c r="N1026" s="33">
        <f>IF(AND(E1026="Electricité",M1026="Hiver"),INDEX('Base de données Mono'!E:E,MATCH(B1026,'Base de données Mono'!D:D,0)),IF(AND(E1026="Electricité",M1026="Mi-saison"),INDEX('Base de données Mono'!F:F,MATCH(B1026,'Base de données Mono'!D:D,0)),IF(AND(E1026="Electricité",M1026="Eté"),INDEX('Base de données Mono'!G:G,MATCH(B1026,'Base de données Mono'!D:D,0)),IF(AND(E1026="Gaz",M1026="Hiver"),INDEX('Base de données Mono'!J:J,MATCH(B1026,'Base de données Mono'!D:D,0)),IF(AND(E1026="Gaz",M1026="Mi-saison"),INDEX('Base de données Mono'!#REF!,MATCH(B1026,'Base de données Mono'!D:D,0)),IF(AND(E1026="Gaz",M1026="Eté"),INDEX('Base de données Mono'!#REF!,MATCH(B1026,'Base de données Mono'!D:D,0)),"-"))))))</f>
        <v>15</v>
      </c>
      <c r="O1026" s="123">
        <v>45389</v>
      </c>
      <c r="P1026" s="123">
        <v>45391</v>
      </c>
      <c r="Q1026" s="34">
        <v>50</v>
      </c>
      <c r="R1026" s="33">
        <f t="shared" ref="R1026:R1037" si="151">IF(Q1026="","",Q1026-N1026)</f>
        <v>35</v>
      </c>
      <c r="S1026" s="34">
        <v>7.7</v>
      </c>
      <c r="T1026" s="34">
        <f t="shared" si="143"/>
        <v>2</v>
      </c>
      <c r="U1026" s="33">
        <f t="shared" ref="U1026:U1033" si="152">R1026*S1026*T1026</f>
        <v>539</v>
      </c>
      <c r="V1026" s="38" t="s">
        <v>827</v>
      </c>
      <c r="W1026" s="39">
        <f t="shared" ref="W1026:W1033" si="153">IFERROR(IF(E1026="Gaz","-",R1026/N1026),"-")</f>
        <v>2.3333333333333335</v>
      </c>
      <c r="X1026" s="40" t="s">
        <v>304</v>
      </c>
      <c r="Y1026" s="40" t="s">
        <v>284</v>
      </c>
      <c r="Z1026" s="40" t="s">
        <v>305</v>
      </c>
      <c r="AA1026" s="33" t="s">
        <v>771</v>
      </c>
      <c r="AB1026" s="95"/>
      <c r="AC1026" s="95"/>
    </row>
    <row r="1027" spans="1:29" ht="14.45" hidden="1" customHeight="1" x14ac:dyDescent="0.25">
      <c r="A1027" s="36" t="str">
        <f>INDEX('Base de données Mono'!C:C,MATCH(B1027,'Base de données Mono'!D:D,0))</f>
        <v>DAUMESNIL</v>
      </c>
      <c r="B1027" t="s">
        <v>15</v>
      </c>
      <c r="C1027" s="36" t="str">
        <f>INDEX('Base de données Mono'!B:B,MATCH(B1027,'Base de données Mono'!D:D,0))</f>
        <v>SES8</v>
      </c>
      <c r="D1027" s="36" t="str">
        <f>INDEX('Base de données Mono'!A:A,MATCH(B1027,'Base de données Mono'!D:D,0))</f>
        <v>JG</v>
      </c>
      <c r="E1027" s="37" t="s">
        <v>303</v>
      </c>
      <c r="F1027" s="41">
        <f t="shared" si="149"/>
        <v>15</v>
      </c>
      <c r="G1027" s="41">
        <f t="shared" si="150"/>
        <v>4</v>
      </c>
      <c r="H1027">
        <v>7.75</v>
      </c>
      <c r="I1027" s="131">
        <f>INDEX('Base de données Mono'!K:K,MATCH(B1027,'Base de données Mono'!D:D,0))</f>
        <v>0.24305555555555555</v>
      </c>
      <c r="J1027" s="131">
        <f>INDEX('Base de données Mono'!L:L,MATCH(B1027,'Base de données Mono'!D:D,0))</f>
        <v>0.92013888888888884</v>
      </c>
      <c r="K1027" s="131">
        <f>INDEX('Base de données Mono'!M:M,MATCH(B1027,'Base de données Mono'!D:D,0))</f>
        <v>0.28472222222222221</v>
      </c>
      <c r="L1027" s="131">
        <f>INDEX('Base de données Mono'!N:N,MATCH(B1027,'Base de données Mono'!D:D,0))</f>
        <v>0.54166666666666663</v>
      </c>
      <c r="M1027" s="33" t="s">
        <v>46</v>
      </c>
      <c r="N1027" s="33">
        <f>IF(AND(E1027="Electricité",M1027="Hiver"),INDEX('Base de données Mono'!E:E,MATCH(B1027,'Base de données Mono'!D:D,0)),IF(AND(E1027="Electricité",M1027="Mi-saison"),INDEX('Base de données Mono'!F:F,MATCH(B1027,'Base de données Mono'!D:D,0)),IF(AND(E1027="Electricité",M1027="Eté"),INDEX('Base de données Mono'!G:G,MATCH(B1027,'Base de données Mono'!D:D,0)),IF(AND(E1027="Gaz",M1027="Hiver"),INDEX('Base de données Mono'!J:J,MATCH(B1027,'Base de données Mono'!D:D,0)),IF(AND(E1027="Gaz",M1027="Mi-saison"),INDEX('Base de données Mono'!#REF!,MATCH(B1027,'Base de données Mono'!D:D,0)),IF(AND(E1027="Gaz",M1027="Eté"),INDEX('Base de données Mono'!#REF!,MATCH(B1027,'Base de données Mono'!D:D,0)),"-"))))))</f>
        <v>15</v>
      </c>
      <c r="O1027" s="123">
        <v>45391</v>
      </c>
      <c r="P1027" s="123">
        <v>45393</v>
      </c>
      <c r="Q1027" s="34">
        <v>60</v>
      </c>
      <c r="R1027" s="33">
        <f t="shared" si="151"/>
        <v>45</v>
      </c>
      <c r="S1027" s="34">
        <v>7.7</v>
      </c>
      <c r="T1027" s="34">
        <f t="shared" si="143"/>
        <v>2</v>
      </c>
      <c r="U1027" s="33">
        <f t="shared" si="152"/>
        <v>693</v>
      </c>
      <c r="V1027" s="38" t="s">
        <v>827</v>
      </c>
      <c r="W1027" s="39">
        <f t="shared" si="153"/>
        <v>3</v>
      </c>
      <c r="X1027" s="40" t="s">
        <v>304</v>
      </c>
      <c r="Y1027" s="40" t="s">
        <v>284</v>
      </c>
      <c r="Z1027" s="40" t="s">
        <v>305</v>
      </c>
      <c r="AA1027" s="33" t="s">
        <v>771</v>
      </c>
      <c r="AB1027" s="95"/>
      <c r="AC1027" s="95"/>
    </row>
    <row r="1028" spans="1:29" ht="14.45" hidden="1" customHeight="1" x14ac:dyDescent="0.25">
      <c r="A1028" s="36" t="str">
        <f>INDEX('Base de données Mono'!C:C,MATCH(B1028,'Base de données Mono'!D:D,0))</f>
        <v>DAUMESNIL</v>
      </c>
      <c r="B1028" t="s">
        <v>15</v>
      </c>
      <c r="C1028" s="36" t="str">
        <f>INDEX('Base de données Mono'!B:B,MATCH(B1028,'Base de données Mono'!D:D,0))</f>
        <v>SES8</v>
      </c>
      <c r="D1028" s="36" t="str">
        <f>INDEX('Base de données Mono'!A:A,MATCH(B1028,'Base de données Mono'!D:D,0))</f>
        <v>JG</v>
      </c>
      <c r="E1028" s="37" t="s">
        <v>303</v>
      </c>
      <c r="F1028" s="41">
        <f t="shared" si="149"/>
        <v>15</v>
      </c>
      <c r="G1028" s="41">
        <f t="shared" si="150"/>
        <v>4</v>
      </c>
      <c r="H1028">
        <v>7.75</v>
      </c>
      <c r="I1028" s="131">
        <f>INDEX('Base de données Mono'!K:K,MATCH(B1028,'Base de données Mono'!D:D,0))</f>
        <v>0.24305555555555555</v>
      </c>
      <c r="J1028" s="131">
        <f>INDEX('Base de données Mono'!L:L,MATCH(B1028,'Base de données Mono'!D:D,0))</f>
        <v>0.92013888888888884</v>
      </c>
      <c r="K1028" s="131">
        <f>INDEX('Base de données Mono'!M:M,MATCH(B1028,'Base de données Mono'!D:D,0))</f>
        <v>0.28472222222222221</v>
      </c>
      <c r="L1028" s="131">
        <f>INDEX('Base de données Mono'!N:N,MATCH(B1028,'Base de données Mono'!D:D,0))</f>
        <v>0.54166666666666663</v>
      </c>
      <c r="M1028" s="33" t="s">
        <v>46</v>
      </c>
      <c r="N1028" s="33">
        <f>IF(AND(E1028="Electricité",M1028="Hiver"),INDEX('Base de données Mono'!E:E,MATCH(B1028,'Base de données Mono'!D:D,0)),IF(AND(E1028="Electricité",M1028="Mi-saison"),INDEX('Base de données Mono'!F:F,MATCH(B1028,'Base de données Mono'!D:D,0)),IF(AND(E1028="Electricité",M1028="Eté"),INDEX('Base de données Mono'!G:G,MATCH(B1028,'Base de données Mono'!D:D,0)),IF(AND(E1028="Gaz",M1028="Hiver"),INDEX('Base de données Mono'!J:J,MATCH(B1028,'Base de données Mono'!D:D,0)),IF(AND(E1028="Gaz",M1028="Mi-saison"),INDEX('Base de données Mono'!#REF!,MATCH(B1028,'Base de données Mono'!D:D,0)),IF(AND(E1028="Gaz",M1028="Eté"),INDEX('Base de données Mono'!#REF!,MATCH(B1028,'Base de données Mono'!D:D,0)),"-"))))))</f>
        <v>15</v>
      </c>
      <c r="O1028" s="123">
        <v>45393</v>
      </c>
      <c r="P1028" s="123">
        <v>45395</v>
      </c>
      <c r="Q1028" s="34">
        <v>50</v>
      </c>
      <c r="R1028" s="33">
        <f t="shared" si="151"/>
        <v>35</v>
      </c>
      <c r="S1028" s="34">
        <v>7.7</v>
      </c>
      <c r="T1028" s="34">
        <f t="shared" si="143"/>
        <v>2</v>
      </c>
      <c r="U1028" s="33">
        <f t="shared" si="152"/>
        <v>539</v>
      </c>
      <c r="V1028" s="38" t="s">
        <v>827</v>
      </c>
      <c r="W1028" s="39">
        <f t="shared" si="153"/>
        <v>2.3333333333333335</v>
      </c>
      <c r="X1028" s="40" t="s">
        <v>304</v>
      </c>
      <c r="Y1028" s="40" t="s">
        <v>284</v>
      </c>
      <c r="Z1028" s="40" t="s">
        <v>305</v>
      </c>
      <c r="AA1028" s="33" t="s">
        <v>771</v>
      </c>
      <c r="AB1028" s="95"/>
      <c r="AC1028" s="95"/>
    </row>
    <row r="1029" spans="1:29" ht="14.45" hidden="1" customHeight="1" x14ac:dyDescent="0.25">
      <c r="A1029" s="36" t="str">
        <f>INDEX('Base de données Mono'!C:C,MATCH(B1029,'Base de données Mono'!D:D,0))</f>
        <v>DAUMESNIL</v>
      </c>
      <c r="B1029" t="s">
        <v>15</v>
      </c>
      <c r="C1029" s="36" t="str">
        <f>INDEX('Base de données Mono'!B:B,MATCH(B1029,'Base de données Mono'!D:D,0))</f>
        <v>SES8</v>
      </c>
      <c r="D1029" s="36" t="str">
        <f>INDEX('Base de données Mono'!A:A,MATCH(B1029,'Base de données Mono'!D:D,0))</f>
        <v>JG</v>
      </c>
      <c r="E1029" s="37" t="s">
        <v>303</v>
      </c>
      <c r="F1029" s="41">
        <f t="shared" si="149"/>
        <v>15</v>
      </c>
      <c r="G1029" s="41">
        <f t="shared" si="150"/>
        <v>4</v>
      </c>
      <c r="H1029">
        <v>7.75</v>
      </c>
      <c r="I1029" s="131">
        <f>INDEX('Base de données Mono'!K:K,MATCH(B1029,'Base de données Mono'!D:D,0))</f>
        <v>0.24305555555555555</v>
      </c>
      <c r="J1029" s="131">
        <f>INDEX('Base de données Mono'!L:L,MATCH(B1029,'Base de données Mono'!D:D,0))</f>
        <v>0.92013888888888884</v>
      </c>
      <c r="K1029" s="131">
        <f>INDEX('Base de données Mono'!M:M,MATCH(B1029,'Base de données Mono'!D:D,0))</f>
        <v>0.28472222222222221</v>
      </c>
      <c r="L1029" s="131">
        <f>INDEX('Base de données Mono'!N:N,MATCH(B1029,'Base de données Mono'!D:D,0))</f>
        <v>0.54166666666666663</v>
      </c>
      <c r="M1029" s="33" t="s">
        <v>46</v>
      </c>
      <c r="N1029" s="33">
        <f>IF(AND(E1029="Electricité",M1029="Hiver"),INDEX('Base de données Mono'!E:E,MATCH(B1029,'Base de données Mono'!D:D,0)),IF(AND(E1029="Electricité",M1029="Mi-saison"),INDEX('Base de données Mono'!F:F,MATCH(B1029,'Base de données Mono'!D:D,0)),IF(AND(E1029="Electricité",M1029="Eté"),INDEX('Base de données Mono'!G:G,MATCH(B1029,'Base de données Mono'!D:D,0)),IF(AND(E1029="Gaz",M1029="Hiver"),INDEX('Base de données Mono'!J:J,MATCH(B1029,'Base de données Mono'!D:D,0)),IF(AND(E1029="Gaz",M1029="Mi-saison"),INDEX('Base de données Mono'!#REF!,MATCH(B1029,'Base de données Mono'!D:D,0)),IF(AND(E1029="Gaz",M1029="Eté"),INDEX('Base de données Mono'!#REF!,MATCH(B1029,'Base de données Mono'!D:D,0)),"-"))))))</f>
        <v>15</v>
      </c>
      <c r="O1029" s="123">
        <v>45395</v>
      </c>
      <c r="P1029" s="123">
        <v>45396</v>
      </c>
      <c r="Q1029" s="34">
        <v>55</v>
      </c>
      <c r="R1029" s="33">
        <f t="shared" si="151"/>
        <v>40</v>
      </c>
      <c r="S1029" s="34">
        <v>8.6999999999999993</v>
      </c>
      <c r="T1029" s="34">
        <f t="shared" si="143"/>
        <v>1</v>
      </c>
      <c r="U1029" s="33">
        <f t="shared" si="152"/>
        <v>348</v>
      </c>
      <c r="V1029" s="38" t="s">
        <v>827</v>
      </c>
      <c r="W1029" s="39">
        <f t="shared" si="153"/>
        <v>2.6666666666666665</v>
      </c>
      <c r="X1029" s="40" t="s">
        <v>304</v>
      </c>
      <c r="Y1029" s="40" t="s">
        <v>284</v>
      </c>
      <c r="Z1029" s="40" t="s">
        <v>305</v>
      </c>
      <c r="AA1029" s="33" t="s">
        <v>771</v>
      </c>
      <c r="AB1029" s="95"/>
      <c r="AC1029" s="95"/>
    </row>
    <row r="1030" spans="1:29" ht="14.45" hidden="1" customHeight="1" x14ac:dyDescent="0.25">
      <c r="A1030" s="36" t="str">
        <f>INDEX('Base de données Mono'!C:C,MATCH(B1030,'Base de données Mono'!D:D,0))</f>
        <v>SETE</v>
      </c>
      <c r="B1030" t="s">
        <v>34</v>
      </c>
      <c r="C1030" s="36" t="str">
        <f>INDEX('Base de données Mono'!B:B,MATCH(B1030,'Base de données Mono'!D:D,0))</f>
        <v>SES8</v>
      </c>
      <c r="D1030" s="36" t="str">
        <f>INDEX('Base de données Mono'!A:A,MATCH(B1030,'Base de données Mono'!D:D,0))</f>
        <v>AD</v>
      </c>
      <c r="E1030" s="37" t="s">
        <v>303</v>
      </c>
      <c r="F1030" s="41">
        <f t="shared" si="149"/>
        <v>15</v>
      </c>
      <c r="G1030" s="41">
        <f t="shared" si="150"/>
        <v>4</v>
      </c>
      <c r="H1030">
        <v>9.17</v>
      </c>
      <c r="I1030" s="131">
        <f>INDEX('Base de données Mono'!K:K,MATCH(B1030,'Base de données Mono'!D:D,0))</f>
        <v>0.23611111111111113</v>
      </c>
      <c r="J1030" s="131">
        <f>INDEX('Base de données Mono'!L:L,MATCH(B1030,'Base de données Mono'!D:D,0))</f>
        <v>0.85416666666666663</v>
      </c>
      <c r="K1030" s="131">
        <f>INDEX('Base de données Mono'!M:M,MATCH(B1030,'Base de données Mono'!D:D,0))</f>
        <v>0.29166666666666669</v>
      </c>
      <c r="L1030" s="131">
        <f>INDEX('Base de données Mono'!N:N,MATCH(B1030,'Base de données Mono'!D:D,0))</f>
        <v>0.54166666666666663</v>
      </c>
      <c r="M1030" s="33" t="s">
        <v>46</v>
      </c>
      <c r="N1030" s="33">
        <f>IF(AND(E1030="Electricité",M1030="Hiver"),INDEX('Base de données Mono'!E:E,MATCH(B1030,'Base de données Mono'!D:D,0)),IF(AND(E1030="Electricité",M1030="Mi-saison"),INDEX('Base de données Mono'!F:F,MATCH(B1030,'Base de données Mono'!D:D,0)),IF(AND(E1030="Electricité",M1030="Eté"),INDEX('Base de données Mono'!G:G,MATCH(B1030,'Base de données Mono'!D:D,0)),IF(AND(E1030="Gaz",M1030="Hiver"),INDEX('Base de données Mono'!J:J,MATCH(B1030,'Base de données Mono'!D:D,0)),IF(AND(E1030="Gaz",M1030="Mi-saison"),INDEX('Base de données Mono'!#REF!,MATCH(B1030,'Base de données Mono'!D:D,0)),IF(AND(E1030="Gaz",M1030="Eté"),INDEX('Base de données Mono'!#REF!,MATCH(B1030,'Base de données Mono'!D:D,0)),"-"))))))</f>
        <v>45</v>
      </c>
      <c r="O1030" s="123">
        <v>45389</v>
      </c>
      <c r="P1030" s="123">
        <v>45391</v>
      </c>
      <c r="Q1030" s="34">
        <v>50</v>
      </c>
      <c r="R1030" s="33">
        <f t="shared" si="151"/>
        <v>5</v>
      </c>
      <c r="S1030" s="34">
        <v>9.1</v>
      </c>
      <c r="T1030" s="34">
        <f t="shared" si="143"/>
        <v>2</v>
      </c>
      <c r="U1030" s="33">
        <f t="shared" si="152"/>
        <v>91</v>
      </c>
      <c r="V1030" s="38" t="s">
        <v>827</v>
      </c>
      <c r="W1030" s="39">
        <f t="shared" si="153"/>
        <v>0.1111111111111111</v>
      </c>
      <c r="X1030" s="40" t="s">
        <v>304</v>
      </c>
      <c r="Y1030" s="40" t="s">
        <v>284</v>
      </c>
      <c r="Z1030" s="40" t="s">
        <v>305</v>
      </c>
      <c r="AA1030" s="33" t="s">
        <v>771</v>
      </c>
      <c r="AB1030" s="95"/>
      <c r="AC1030" s="95"/>
    </row>
    <row r="1031" spans="1:29" ht="14.45" hidden="1" customHeight="1" x14ac:dyDescent="0.25">
      <c r="A1031" s="36" t="str">
        <f>INDEX('Base de données Mono'!C:C,MATCH(B1031,'Base de données Mono'!D:D,0))</f>
        <v>SETE</v>
      </c>
      <c r="B1031" t="s">
        <v>34</v>
      </c>
      <c r="C1031" s="36" t="str">
        <f>INDEX('Base de données Mono'!B:B,MATCH(B1031,'Base de données Mono'!D:D,0))</f>
        <v>SES8</v>
      </c>
      <c r="D1031" s="36" t="str">
        <f>INDEX('Base de données Mono'!A:A,MATCH(B1031,'Base de données Mono'!D:D,0))</f>
        <v>AD</v>
      </c>
      <c r="E1031" s="37" t="s">
        <v>303</v>
      </c>
      <c r="F1031" s="41">
        <f t="shared" si="149"/>
        <v>15</v>
      </c>
      <c r="G1031" s="41">
        <f t="shared" si="150"/>
        <v>4</v>
      </c>
      <c r="H1031">
        <v>9.17</v>
      </c>
      <c r="I1031" s="131">
        <f>INDEX('Base de données Mono'!K:K,MATCH(B1031,'Base de données Mono'!D:D,0))</f>
        <v>0.23611111111111113</v>
      </c>
      <c r="J1031" s="131">
        <f>INDEX('Base de données Mono'!L:L,MATCH(B1031,'Base de données Mono'!D:D,0))</f>
        <v>0.85416666666666663</v>
      </c>
      <c r="K1031" s="131">
        <f>INDEX('Base de données Mono'!M:M,MATCH(B1031,'Base de données Mono'!D:D,0))</f>
        <v>0.29166666666666669</v>
      </c>
      <c r="L1031" s="131">
        <f>INDEX('Base de données Mono'!N:N,MATCH(B1031,'Base de données Mono'!D:D,0))</f>
        <v>0.54166666666666663</v>
      </c>
      <c r="M1031" s="33" t="s">
        <v>46</v>
      </c>
      <c r="N1031" s="33">
        <f>IF(AND(E1031="Electricité",M1031="Hiver"),INDEX('Base de données Mono'!E:E,MATCH(B1031,'Base de données Mono'!D:D,0)),IF(AND(E1031="Electricité",M1031="Mi-saison"),INDEX('Base de données Mono'!F:F,MATCH(B1031,'Base de données Mono'!D:D,0)),IF(AND(E1031="Electricité",M1031="Eté"),INDEX('Base de données Mono'!G:G,MATCH(B1031,'Base de données Mono'!D:D,0)),IF(AND(E1031="Gaz",M1031="Hiver"),INDEX('Base de données Mono'!J:J,MATCH(B1031,'Base de données Mono'!D:D,0)),IF(AND(E1031="Gaz",M1031="Mi-saison"),INDEX('Base de données Mono'!#REF!,MATCH(B1031,'Base de données Mono'!D:D,0)),IF(AND(E1031="Gaz",M1031="Eté"),INDEX('Base de données Mono'!#REF!,MATCH(B1031,'Base de données Mono'!D:D,0)),"-"))))))</f>
        <v>45</v>
      </c>
      <c r="O1031" s="123">
        <v>45391</v>
      </c>
      <c r="P1031" s="123">
        <v>45394</v>
      </c>
      <c r="Q1031" s="34">
        <v>90</v>
      </c>
      <c r="R1031" s="33">
        <f t="shared" si="151"/>
        <v>45</v>
      </c>
      <c r="S1031" s="34">
        <v>9.1</v>
      </c>
      <c r="T1031" s="34">
        <f t="shared" si="143"/>
        <v>3</v>
      </c>
      <c r="U1031" s="33">
        <f t="shared" si="152"/>
        <v>1228.5</v>
      </c>
      <c r="V1031" s="38" t="s">
        <v>827</v>
      </c>
      <c r="W1031" s="39">
        <f t="shared" si="153"/>
        <v>1</v>
      </c>
      <c r="X1031" s="40" t="s">
        <v>304</v>
      </c>
      <c r="Y1031" s="40" t="s">
        <v>284</v>
      </c>
      <c r="Z1031" s="40" t="s">
        <v>311</v>
      </c>
      <c r="AA1031" s="33" t="s">
        <v>775</v>
      </c>
      <c r="AB1031" s="95"/>
      <c r="AC1031" s="95"/>
    </row>
    <row r="1032" spans="1:29" ht="14.45" hidden="1" customHeight="1" x14ac:dyDescent="0.25">
      <c r="A1032" s="36" t="str">
        <f>INDEX('Base de données Mono'!C:C,MATCH(B1032,'Base de données Mono'!D:D,0))</f>
        <v>SETE</v>
      </c>
      <c r="B1032" t="s">
        <v>34</v>
      </c>
      <c r="C1032" s="36" t="str">
        <f>INDEX('Base de données Mono'!B:B,MATCH(B1032,'Base de données Mono'!D:D,0))</f>
        <v>SES8</v>
      </c>
      <c r="D1032" s="36" t="str">
        <f>INDEX('Base de données Mono'!A:A,MATCH(B1032,'Base de données Mono'!D:D,0))</f>
        <v>AD</v>
      </c>
      <c r="E1032" s="37" t="s">
        <v>303</v>
      </c>
      <c r="F1032" s="41">
        <f t="shared" si="149"/>
        <v>15</v>
      </c>
      <c r="G1032" s="41">
        <f t="shared" si="150"/>
        <v>4</v>
      </c>
      <c r="H1032">
        <v>9.17</v>
      </c>
      <c r="I1032" s="131">
        <f>INDEX('Base de données Mono'!K:K,MATCH(B1032,'Base de données Mono'!D:D,0))</f>
        <v>0.23611111111111113</v>
      </c>
      <c r="J1032" s="131">
        <f>INDEX('Base de données Mono'!L:L,MATCH(B1032,'Base de données Mono'!D:D,0))</f>
        <v>0.85416666666666663</v>
      </c>
      <c r="K1032" s="131">
        <f>INDEX('Base de données Mono'!M:M,MATCH(B1032,'Base de données Mono'!D:D,0))</f>
        <v>0.29166666666666669</v>
      </c>
      <c r="L1032" s="131">
        <f>INDEX('Base de données Mono'!N:N,MATCH(B1032,'Base de données Mono'!D:D,0))</f>
        <v>0.54166666666666663</v>
      </c>
      <c r="M1032" s="33" t="s">
        <v>46</v>
      </c>
      <c r="N1032" s="33">
        <f>IF(AND(E1032="Electricité",M1032="Hiver"),INDEX('Base de données Mono'!E:E,MATCH(B1032,'Base de données Mono'!D:D,0)),IF(AND(E1032="Electricité",M1032="Mi-saison"),INDEX('Base de données Mono'!F:F,MATCH(B1032,'Base de données Mono'!D:D,0)),IF(AND(E1032="Electricité",M1032="Eté"),INDEX('Base de données Mono'!G:G,MATCH(B1032,'Base de données Mono'!D:D,0)),IF(AND(E1032="Gaz",M1032="Hiver"),INDEX('Base de données Mono'!J:J,MATCH(B1032,'Base de données Mono'!D:D,0)),IF(AND(E1032="Gaz",M1032="Mi-saison"),INDEX('Base de données Mono'!#REF!,MATCH(B1032,'Base de données Mono'!D:D,0)),IF(AND(E1032="Gaz",M1032="Eté"),INDEX('Base de données Mono'!#REF!,MATCH(B1032,'Base de données Mono'!D:D,0)),"-"))))))</f>
        <v>45</v>
      </c>
      <c r="O1032" s="123">
        <v>45394</v>
      </c>
      <c r="P1032" s="123">
        <v>45396</v>
      </c>
      <c r="Q1032" s="34">
        <v>50</v>
      </c>
      <c r="R1032" s="33">
        <f t="shared" si="151"/>
        <v>5</v>
      </c>
      <c r="S1032" s="34">
        <v>9.1</v>
      </c>
      <c r="T1032" s="34">
        <f t="shared" si="143"/>
        <v>2</v>
      </c>
      <c r="U1032" s="33">
        <f t="shared" si="152"/>
        <v>91</v>
      </c>
      <c r="V1032" s="38" t="s">
        <v>827</v>
      </c>
      <c r="W1032" s="39">
        <f t="shared" si="153"/>
        <v>0.1111111111111111</v>
      </c>
      <c r="X1032" s="40" t="s">
        <v>304</v>
      </c>
      <c r="Y1032" s="40" t="s">
        <v>284</v>
      </c>
      <c r="Z1032" s="40" t="s">
        <v>305</v>
      </c>
      <c r="AA1032" s="33" t="s">
        <v>771</v>
      </c>
      <c r="AB1032" s="95"/>
      <c r="AC1032" s="95"/>
    </row>
    <row r="1033" spans="1:29" ht="14.45" hidden="1" customHeight="1" x14ac:dyDescent="0.25">
      <c r="A1033" s="36" t="str">
        <f>INDEX('Base de données Mono'!C:C,MATCH(B1033,'Base de données Mono'!D:D,0))</f>
        <v>SETE</v>
      </c>
      <c r="B1033" t="s">
        <v>34</v>
      </c>
      <c r="C1033" s="36" t="str">
        <f>INDEX('Base de données Mono'!B:B,MATCH(B1033,'Base de données Mono'!D:D,0))</f>
        <v>SES8</v>
      </c>
      <c r="D1033" s="36" t="str">
        <f>INDEX('Base de données Mono'!A:A,MATCH(B1033,'Base de données Mono'!D:D,0))</f>
        <v>AD</v>
      </c>
      <c r="E1033" s="37" t="s">
        <v>303</v>
      </c>
      <c r="F1033" s="41">
        <f t="shared" si="149"/>
        <v>15</v>
      </c>
      <c r="G1033" s="41">
        <f t="shared" si="150"/>
        <v>4</v>
      </c>
      <c r="H1033">
        <v>9.17</v>
      </c>
      <c r="I1033" s="131">
        <f>INDEX('Base de données Mono'!K:K,MATCH(B1033,'Base de données Mono'!D:D,0))</f>
        <v>0.23611111111111113</v>
      </c>
      <c r="J1033" s="131">
        <f>INDEX('Base de données Mono'!L:L,MATCH(B1033,'Base de données Mono'!D:D,0))</f>
        <v>0.85416666666666663</v>
      </c>
      <c r="K1033" s="131">
        <f>INDEX('Base de données Mono'!M:M,MATCH(B1033,'Base de données Mono'!D:D,0))</f>
        <v>0.29166666666666669</v>
      </c>
      <c r="L1033" s="131">
        <f>INDEX('Base de données Mono'!N:N,MATCH(B1033,'Base de données Mono'!D:D,0))</f>
        <v>0.54166666666666663</v>
      </c>
      <c r="M1033" s="33" t="s">
        <v>46</v>
      </c>
      <c r="N1033" s="33">
        <f>IF(AND(E1033="Electricité",M1033="Hiver"),INDEX('Base de données Mono'!E:E,MATCH(B1033,'Base de données Mono'!D:D,0)),IF(AND(E1033="Electricité",M1033="Mi-saison"),INDEX('Base de données Mono'!F:F,MATCH(B1033,'Base de données Mono'!D:D,0)),IF(AND(E1033="Electricité",M1033="Eté"),INDEX('Base de données Mono'!G:G,MATCH(B1033,'Base de données Mono'!D:D,0)),IF(AND(E1033="Gaz",M1033="Hiver"),INDEX('Base de données Mono'!J:J,MATCH(B1033,'Base de données Mono'!D:D,0)),IF(AND(E1033="Gaz",M1033="Mi-saison"),INDEX('Base de données Mono'!#REF!,MATCH(B1033,'Base de données Mono'!D:D,0)),IF(AND(E1033="Gaz",M1033="Eté"),INDEX('Base de données Mono'!#REF!,MATCH(B1033,'Base de données Mono'!D:D,0)),"-"))))))</f>
        <v>45</v>
      </c>
      <c r="O1033" s="123">
        <v>45395</v>
      </c>
      <c r="P1033" s="123">
        <v>45396</v>
      </c>
      <c r="Q1033" s="34">
        <v>65</v>
      </c>
      <c r="R1033" s="33">
        <f t="shared" si="151"/>
        <v>20</v>
      </c>
      <c r="S1033" s="34">
        <v>1</v>
      </c>
      <c r="T1033" s="34">
        <f t="shared" si="143"/>
        <v>1</v>
      </c>
      <c r="U1033" s="33">
        <f t="shared" si="152"/>
        <v>20</v>
      </c>
      <c r="V1033" s="38" t="s">
        <v>827</v>
      </c>
      <c r="W1033" s="39">
        <f t="shared" si="153"/>
        <v>0.44444444444444442</v>
      </c>
      <c r="X1033" s="40" t="s">
        <v>304</v>
      </c>
      <c r="Y1033" s="40" t="s">
        <v>283</v>
      </c>
      <c r="Z1033" s="40" t="s">
        <v>749</v>
      </c>
      <c r="AA1033" s="33" t="s">
        <v>749</v>
      </c>
      <c r="AB1033" s="95"/>
      <c r="AC1033" s="95" t="s">
        <v>843</v>
      </c>
    </row>
    <row r="1034" spans="1:29" ht="14.45" hidden="1" customHeight="1" x14ac:dyDescent="0.25">
      <c r="A1034" s="36" t="str">
        <f>INDEX('Base de données Mono'!C:C,MATCH(B1034,'Base de données Mono'!D:D,0))</f>
        <v>VINCENNES</v>
      </c>
      <c r="B1034" t="s">
        <v>277</v>
      </c>
      <c r="C1034" s="36" t="str">
        <f>INDEX('Base de données Mono'!B:B,MATCH(B1034,'Base de données Mono'!D:D,0))</f>
        <v>SES8</v>
      </c>
      <c r="D1034" s="36" t="str">
        <f>INDEX('Base de données Mono'!A:A,MATCH(B1034,'Base de données Mono'!D:D,0))</f>
        <v>JG</v>
      </c>
      <c r="E1034" s="37" t="s">
        <v>303</v>
      </c>
      <c r="F1034" s="41">
        <f t="shared" ref="F1034:F1039" si="154">IF(O1034="","-",IF(AND(X1034="Nuit",WEEKDAY(O1034,2)=7,O1034&lt;&gt;P1034),WEEKNUM(O1034,2),WEEKNUM(O1034,2)-1))+1</f>
        <v>15</v>
      </c>
      <c r="G1034" s="41">
        <f t="shared" ref="G1034:G1039" si="155">IF(O1034="","-",MONTH(O1034))</f>
        <v>4</v>
      </c>
      <c r="H1034">
        <v>7.83</v>
      </c>
      <c r="I1034" s="131">
        <f>INDEX('Base de données Mono'!K:K,MATCH(B1034,'Base de données Mono'!D:D,0))</f>
        <v>0.24305555555555555</v>
      </c>
      <c r="J1034" s="131">
        <f>INDEX('Base de données Mono'!L:L,MATCH(B1034,'Base de données Mono'!D:D,0))</f>
        <v>0.91666666666666663</v>
      </c>
      <c r="K1034" s="131">
        <f>INDEX('Base de données Mono'!M:M,MATCH(B1034,'Base de données Mono'!D:D,0))</f>
        <v>0.28472222222222221</v>
      </c>
      <c r="L1034" s="131">
        <f>INDEX('Base de données Mono'!N:N,MATCH(B1034,'Base de données Mono'!D:D,0))</f>
        <v>0.56944444444444442</v>
      </c>
      <c r="M1034" s="33" t="s">
        <v>46</v>
      </c>
      <c r="N1034" s="33">
        <f>IF(AND(E1034="Electricité",M1034="Hiver"),INDEX('Base de données Mono'!E:E,MATCH(B1034,'Base de données Mono'!D:D,0)),IF(AND(E1034="Electricité",M1034="Mi-saison"),INDEX('Base de données Mono'!F:F,MATCH(B1034,'Base de données Mono'!D:D,0)),IF(AND(E1034="Electricité",M1034="Eté"),INDEX('Base de données Mono'!G:G,MATCH(B1034,'Base de données Mono'!D:D,0)),IF(AND(E1034="Gaz",M1034="Hiver"),INDEX('Base de données Mono'!J:J,MATCH(B1034,'Base de données Mono'!D:D,0)),IF(AND(E1034="Gaz",M1034="Mi-saison"),INDEX('Base de données Mono'!#REF!,MATCH(B1034,'Base de données Mono'!D:D,0)),IF(AND(E1034="Gaz",M1034="Eté"),INDEX('Base de données Mono'!#REF!,MATCH(B1034,'Base de données Mono'!D:D,0)),"-"))))))</f>
        <v>45</v>
      </c>
      <c r="O1034" s="123">
        <v>45390</v>
      </c>
      <c r="P1034" s="123">
        <v>45396</v>
      </c>
      <c r="Q1034" s="34">
        <v>70</v>
      </c>
      <c r="R1034" s="33">
        <f t="shared" si="151"/>
        <v>25</v>
      </c>
      <c r="S1034" s="34">
        <v>1.6</v>
      </c>
      <c r="T1034" s="34">
        <f t="shared" si="143"/>
        <v>6</v>
      </c>
      <c r="U1034" s="33">
        <f t="shared" ref="U1034:U1040" si="156">R1034*S1034*T1034</f>
        <v>240</v>
      </c>
      <c r="V1034" s="38" t="s">
        <v>827</v>
      </c>
      <c r="W1034" s="39">
        <f t="shared" ref="W1034:W1040" si="157">IFERROR(IF(E1034="Gaz","-",R1034/N1034),"-")</f>
        <v>0.55555555555555558</v>
      </c>
      <c r="X1034" s="40" t="s">
        <v>304</v>
      </c>
      <c r="Y1034" s="40" t="s">
        <v>283</v>
      </c>
      <c r="Z1034" s="40" t="s">
        <v>749</v>
      </c>
      <c r="AA1034" s="33" t="s">
        <v>749</v>
      </c>
      <c r="AB1034" s="95"/>
      <c r="AC1034" s="95"/>
    </row>
    <row r="1035" spans="1:29" ht="14.45" hidden="1" customHeight="1" x14ac:dyDescent="0.25">
      <c r="A1035" s="36" t="str">
        <f>INDEX('Base de données Mono'!C:C,MATCH(B1035,'Base de données Mono'!D:D,0))</f>
        <v>VINCENNES</v>
      </c>
      <c r="B1035" t="s">
        <v>277</v>
      </c>
      <c r="C1035" s="36" t="str">
        <f>INDEX('Base de données Mono'!B:B,MATCH(B1035,'Base de données Mono'!D:D,0))</f>
        <v>SES8</v>
      </c>
      <c r="D1035" s="36" t="str">
        <f>INDEX('Base de données Mono'!A:A,MATCH(B1035,'Base de données Mono'!D:D,0))</f>
        <v>JG</v>
      </c>
      <c r="E1035" s="37" t="s">
        <v>303</v>
      </c>
      <c r="F1035" s="41">
        <f t="shared" si="154"/>
        <v>15</v>
      </c>
      <c r="G1035" s="41">
        <f t="shared" si="155"/>
        <v>4</v>
      </c>
      <c r="H1035">
        <v>7.83</v>
      </c>
      <c r="I1035" s="131">
        <f>INDEX('Base de données Mono'!K:K,MATCH(B1035,'Base de données Mono'!D:D,0))</f>
        <v>0.24305555555555555</v>
      </c>
      <c r="J1035" s="131">
        <f>INDEX('Base de données Mono'!L:L,MATCH(B1035,'Base de données Mono'!D:D,0))</f>
        <v>0.91666666666666663</v>
      </c>
      <c r="K1035" s="131">
        <f>INDEX('Base de données Mono'!M:M,MATCH(B1035,'Base de données Mono'!D:D,0))</f>
        <v>0.28472222222222221</v>
      </c>
      <c r="L1035" s="131">
        <f>INDEX('Base de données Mono'!N:N,MATCH(B1035,'Base de données Mono'!D:D,0))</f>
        <v>0.56944444444444442</v>
      </c>
      <c r="M1035" s="33" t="s">
        <v>46</v>
      </c>
      <c r="N1035" s="33">
        <f>IF(AND(E1035="Electricité",M1035="Hiver"),INDEX('Base de données Mono'!E:E,MATCH(B1035,'Base de données Mono'!D:D,0)),IF(AND(E1035="Electricité",M1035="Mi-saison"),INDEX('Base de données Mono'!F:F,MATCH(B1035,'Base de données Mono'!D:D,0)),IF(AND(E1035="Electricité",M1035="Eté"),INDEX('Base de données Mono'!G:G,MATCH(B1035,'Base de données Mono'!D:D,0)),IF(AND(E1035="Gaz",M1035="Hiver"),INDEX('Base de données Mono'!J:J,MATCH(B1035,'Base de données Mono'!D:D,0)),IF(AND(E1035="Gaz",M1035="Mi-saison"),INDEX('Base de données Mono'!#REF!,MATCH(B1035,'Base de données Mono'!D:D,0)),IF(AND(E1035="Gaz",M1035="Eté"),INDEX('Base de données Mono'!#REF!,MATCH(B1035,'Base de données Mono'!D:D,0)),"-"))))))</f>
        <v>45</v>
      </c>
      <c r="O1035" s="123">
        <v>45396</v>
      </c>
      <c r="P1035" s="123">
        <v>45396</v>
      </c>
      <c r="Q1035" s="34">
        <v>75</v>
      </c>
      <c r="R1035" s="33">
        <f t="shared" si="151"/>
        <v>30</v>
      </c>
      <c r="S1035" s="34">
        <v>6</v>
      </c>
      <c r="T1035" s="34">
        <v>1</v>
      </c>
      <c r="U1035" s="33">
        <f>R1035*S1035*T1035</f>
        <v>180</v>
      </c>
      <c r="V1035" s="38" t="s">
        <v>148</v>
      </c>
      <c r="W1035" s="39">
        <f>IFERROR(IF(E1035="Gaz","-",R1035/N1035),"-")</f>
        <v>0.66666666666666663</v>
      </c>
      <c r="X1035" s="40" t="s">
        <v>730</v>
      </c>
      <c r="Y1035" s="40" t="s">
        <v>284</v>
      </c>
      <c r="Z1035" s="95" t="s">
        <v>307</v>
      </c>
      <c r="AA1035" s="95" t="s">
        <v>308</v>
      </c>
      <c r="AB1035" s="95"/>
      <c r="AC1035" s="95"/>
    </row>
    <row r="1036" spans="1:29" ht="14.45" hidden="1" customHeight="1" x14ac:dyDescent="0.25">
      <c r="A1036" s="36" t="str">
        <f>INDEX('Base de données Mono'!C:C,MATCH(B1036,'Base de données Mono'!D:D,0))</f>
        <v>LE VESINET</v>
      </c>
      <c r="B1036" t="s">
        <v>19</v>
      </c>
      <c r="C1036" s="36" t="str">
        <f>INDEX('Base de données Mono'!B:B,MATCH(B1036,'Base de données Mono'!D:D,0))</f>
        <v>SES8</v>
      </c>
      <c r="D1036" s="36" t="str">
        <f>INDEX('Base de données Mono'!A:A,MATCH(B1036,'Base de données Mono'!D:D,0))</f>
        <v>AD</v>
      </c>
      <c r="E1036" s="37" t="s">
        <v>303</v>
      </c>
      <c r="F1036" s="41">
        <f>IF(O1036="","-",IF(AND(X1036="Nuit",WEEKDAY(O1036,2)=7,O1036&lt;&gt;P1036),WEEKNUM(O1036,2),WEEKNUM(O1036,2)-1))+1</f>
        <v>15</v>
      </c>
      <c r="G1036" s="41">
        <f>IF(O1036="","-",MONTH(O1036))</f>
        <v>4</v>
      </c>
      <c r="H1036">
        <v>8.33</v>
      </c>
      <c r="I1036" s="131">
        <f>INDEX('Base de données Mono'!K:K,MATCH(B1036,'Base de données Mono'!D:D,0))</f>
        <v>0.24305555555555555</v>
      </c>
      <c r="J1036" s="131">
        <f>INDEX('Base de données Mono'!L:L,MATCH(B1036,'Base de données Mono'!D:D,0))</f>
        <v>0.89583333333333337</v>
      </c>
      <c r="K1036" s="131">
        <f>INDEX('Base de données Mono'!M:M,MATCH(B1036,'Base de données Mono'!D:D,0))</f>
        <v>0.29166666666666669</v>
      </c>
      <c r="L1036" s="131">
        <f>INDEX('Base de données Mono'!N:N,MATCH(B1036,'Base de données Mono'!D:D,0))</f>
        <v>0.5625</v>
      </c>
      <c r="M1036" s="33" t="s">
        <v>46</v>
      </c>
      <c r="N1036" s="33">
        <f>IF(AND(E1036="Electricité",M1036="Hiver"),INDEX('Base de données Mono'!E:E,MATCH(B1036,'Base de données Mono'!D:D,0)),IF(AND(E1036="Electricité",M1036="Mi-saison"),INDEX('Base de données Mono'!F:F,MATCH(B1036,'Base de données Mono'!D:D,0)),IF(AND(E1036="Electricité",M1036="Eté"),INDEX('Base de données Mono'!G:G,MATCH(B1036,'Base de données Mono'!D:D,0)),IF(AND(E1036="Gaz",M1036="Hiver"),INDEX('Base de données Mono'!J:J,MATCH(B1036,'Base de données Mono'!D:D,0)),IF(AND(E1036="Gaz",M1036="Mi-saison"),INDEX('Base de données Mono'!#REF!,MATCH(B1036,'Base de données Mono'!D:D,0)),IF(AND(E1036="Gaz",M1036="Eté"),INDEX('Base de données Mono'!#REF!,MATCH(B1036,'Base de données Mono'!D:D,0)),"-"))))))</f>
        <v>45</v>
      </c>
      <c r="O1036" s="123">
        <v>45389</v>
      </c>
      <c r="P1036" s="123">
        <v>45395</v>
      </c>
      <c r="Q1036" s="34">
        <v>80</v>
      </c>
      <c r="R1036" s="33">
        <f t="shared" si="151"/>
        <v>35</v>
      </c>
      <c r="S1036" s="34">
        <v>0.3</v>
      </c>
      <c r="T1036" s="34">
        <f t="shared" ref="T1036:T1043" si="158">P1036-O1036</f>
        <v>6</v>
      </c>
      <c r="U1036" s="33">
        <f>R1036*S1036*T1036</f>
        <v>63</v>
      </c>
      <c r="V1036" s="38" t="s">
        <v>827</v>
      </c>
      <c r="W1036" s="39">
        <f>IFERROR(IF(E1036="Gaz","-",R1036/N1036),"-")</f>
        <v>0.77777777777777779</v>
      </c>
      <c r="X1036" s="40" t="s">
        <v>304</v>
      </c>
      <c r="Y1036" s="40" t="s">
        <v>284</v>
      </c>
      <c r="Z1036" s="40" t="s">
        <v>307</v>
      </c>
      <c r="AA1036" s="33" t="s">
        <v>414</v>
      </c>
      <c r="AB1036" s="95"/>
      <c r="AC1036" s="95"/>
    </row>
    <row r="1037" spans="1:29" ht="14.45" hidden="1" customHeight="1" x14ac:dyDescent="0.25">
      <c r="A1037" s="36" t="str">
        <f>INDEX('Base de données Mono'!C:C,MATCH(B1037,'Base de données Mono'!D:D,0))</f>
        <v>LE VESINET</v>
      </c>
      <c r="B1037" t="s">
        <v>19</v>
      </c>
      <c r="C1037" s="36" t="str">
        <f>INDEX('Base de données Mono'!B:B,MATCH(B1037,'Base de données Mono'!D:D,0))</f>
        <v>SES8</v>
      </c>
      <c r="D1037" s="36" t="str">
        <f>INDEX('Base de données Mono'!A:A,MATCH(B1037,'Base de données Mono'!D:D,0))</f>
        <v>AD</v>
      </c>
      <c r="E1037" s="37" t="s">
        <v>303</v>
      </c>
      <c r="F1037" s="41">
        <f>IF(O1037="","-",IF(AND(X1037="Nuit",WEEKDAY(O1037,2)=7,O1037&lt;&gt;P1037),WEEKNUM(O1037,2),WEEKNUM(O1037,2)-1))+1</f>
        <v>15</v>
      </c>
      <c r="G1037" s="41">
        <f>IF(O1037="","-",MONTH(O1037))</f>
        <v>4</v>
      </c>
      <c r="H1037">
        <v>8.33</v>
      </c>
      <c r="I1037" s="131">
        <f>INDEX('Base de données Mono'!K:K,MATCH(B1037,'Base de données Mono'!D:D,0))</f>
        <v>0.24305555555555555</v>
      </c>
      <c r="J1037" s="131">
        <f>INDEX('Base de données Mono'!L:L,MATCH(B1037,'Base de données Mono'!D:D,0))</f>
        <v>0.89583333333333337</v>
      </c>
      <c r="K1037" s="131">
        <f>INDEX('Base de données Mono'!M:M,MATCH(B1037,'Base de données Mono'!D:D,0))</f>
        <v>0.29166666666666669</v>
      </c>
      <c r="L1037" s="131">
        <f>INDEX('Base de données Mono'!N:N,MATCH(B1037,'Base de données Mono'!D:D,0))</f>
        <v>0.5625</v>
      </c>
      <c r="M1037" s="33" t="s">
        <v>46</v>
      </c>
      <c r="N1037" s="33">
        <f>IF(AND(E1037="Electricité",M1037="Hiver"),INDEX('Base de données Mono'!E:E,MATCH(B1037,'Base de données Mono'!D:D,0)),IF(AND(E1037="Electricité",M1037="Mi-saison"),INDEX('Base de données Mono'!F:F,MATCH(B1037,'Base de données Mono'!D:D,0)),IF(AND(E1037="Electricité",M1037="Eté"),INDEX('Base de données Mono'!G:G,MATCH(B1037,'Base de données Mono'!D:D,0)),IF(AND(E1037="Gaz",M1037="Hiver"),INDEX('Base de données Mono'!J:J,MATCH(B1037,'Base de données Mono'!D:D,0)),IF(AND(E1037="Gaz",M1037="Mi-saison"),INDEX('Base de données Mono'!#REF!,MATCH(B1037,'Base de données Mono'!D:D,0)),IF(AND(E1037="Gaz",M1037="Eté"),INDEX('Base de données Mono'!#REF!,MATCH(B1037,'Base de données Mono'!D:D,0)),"-"))))))</f>
        <v>45</v>
      </c>
      <c r="O1037" s="123">
        <v>45389</v>
      </c>
      <c r="P1037" s="123">
        <v>45395</v>
      </c>
      <c r="Q1037" s="34">
        <v>50</v>
      </c>
      <c r="R1037" s="33">
        <f t="shared" si="151"/>
        <v>5</v>
      </c>
      <c r="S1037" s="34">
        <v>8</v>
      </c>
      <c r="T1037" s="34">
        <f t="shared" si="158"/>
        <v>6</v>
      </c>
      <c r="U1037" s="33">
        <f>R1037*S1037*T1037</f>
        <v>240</v>
      </c>
      <c r="V1037" s="38" t="s">
        <v>827</v>
      </c>
      <c r="W1037" s="39">
        <f>IFERROR(IF(E1037="Gaz","-",R1037/N1037),"-")</f>
        <v>0.1111111111111111</v>
      </c>
      <c r="X1037" s="40" t="s">
        <v>304</v>
      </c>
      <c r="Y1037" s="40" t="s">
        <v>284</v>
      </c>
      <c r="Z1037" s="40" t="s">
        <v>305</v>
      </c>
      <c r="AA1037" s="33" t="s">
        <v>771</v>
      </c>
      <c r="AB1037" s="95"/>
      <c r="AC1037" s="95"/>
    </row>
    <row r="1038" spans="1:29" ht="14.45" hidden="1" customHeight="1" x14ac:dyDescent="0.25">
      <c r="A1038" s="36" t="str">
        <f>INDEX('Base de données Mono'!C:C,MATCH(B1038,'Base de données Mono'!D:D,0))</f>
        <v>LE VESINET</v>
      </c>
      <c r="B1038" t="s">
        <v>19</v>
      </c>
      <c r="C1038" s="36" t="str">
        <f>INDEX('Base de données Mono'!B:B,MATCH(B1038,'Base de données Mono'!D:D,0))</f>
        <v>SES8</v>
      </c>
      <c r="D1038" s="36" t="str">
        <f>INDEX('Base de données Mono'!A:A,MATCH(B1038,'Base de données Mono'!D:D,0))</f>
        <v>AD</v>
      </c>
      <c r="E1038" s="37" t="s">
        <v>303</v>
      </c>
      <c r="F1038" s="41">
        <f t="shared" si="154"/>
        <v>15</v>
      </c>
      <c r="G1038" s="41">
        <f t="shared" si="155"/>
        <v>4</v>
      </c>
      <c r="H1038">
        <v>8.33</v>
      </c>
      <c r="I1038" s="131">
        <f>INDEX('Base de données Mono'!K:K,MATCH(B1038,'Base de données Mono'!D:D,0))</f>
        <v>0.24305555555555555</v>
      </c>
      <c r="J1038" s="131">
        <f>INDEX('Base de données Mono'!L:L,MATCH(B1038,'Base de données Mono'!D:D,0))</f>
        <v>0.89583333333333337</v>
      </c>
      <c r="K1038" s="131">
        <f>INDEX('Base de données Mono'!M:M,MATCH(B1038,'Base de données Mono'!D:D,0))</f>
        <v>0.29166666666666669</v>
      </c>
      <c r="L1038" s="131">
        <f>INDEX('Base de données Mono'!N:N,MATCH(B1038,'Base de données Mono'!D:D,0))</f>
        <v>0.5625</v>
      </c>
      <c r="M1038" s="33" t="s">
        <v>46</v>
      </c>
      <c r="N1038" s="33">
        <f>IF(AND(E1038="Electricité",M1038="Hiver"),INDEX('Base de données Mono'!E:E,MATCH(B1038,'Base de données Mono'!D:D,0)),IF(AND(E1038="Electricité",M1038="Mi-saison"),INDEX('Base de données Mono'!F:F,MATCH(B1038,'Base de données Mono'!D:D,0)),IF(AND(E1038="Electricité",M1038="Eté"),INDEX('Base de données Mono'!G:G,MATCH(B1038,'Base de données Mono'!D:D,0)),IF(AND(E1038="Gaz",M1038="Hiver"),INDEX('Base de données Mono'!J:J,MATCH(B1038,'Base de données Mono'!D:D,0)),IF(AND(E1038="Gaz",M1038="Mi-saison"),INDEX('Base de données Mono'!#REF!,MATCH(B1038,'Base de données Mono'!D:D,0)),IF(AND(E1038="Gaz",M1038="Eté"),INDEX('Base de données Mono'!#REF!,MATCH(B1038,'Base de données Mono'!D:D,0)),"-"))))))</f>
        <v>45</v>
      </c>
      <c r="O1038" s="123">
        <v>45395</v>
      </c>
      <c r="P1038" s="123">
        <v>45396</v>
      </c>
      <c r="Q1038" s="34">
        <v>50</v>
      </c>
      <c r="R1038" s="33">
        <f t="shared" ref="R1038:R1043" si="159">IF(Q1038="","",Q1038-N1038)</f>
        <v>5</v>
      </c>
      <c r="S1038" s="34">
        <v>9.3000000000000007</v>
      </c>
      <c r="T1038" s="34">
        <f t="shared" si="158"/>
        <v>1</v>
      </c>
      <c r="U1038" s="33">
        <f t="shared" si="156"/>
        <v>46.5</v>
      </c>
      <c r="V1038" s="38" t="s">
        <v>827</v>
      </c>
      <c r="W1038" s="39">
        <f t="shared" si="157"/>
        <v>0.1111111111111111</v>
      </c>
      <c r="X1038" s="40" t="s">
        <v>304</v>
      </c>
      <c r="Y1038" s="40" t="s">
        <v>284</v>
      </c>
      <c r="Z1038" s="40" t="s">
        <v>305</v>
      </c>
      <c r="AA1038" s="33" t="s">
        <v>771</v>
      </c>
      <c r="AB1038" s="95"/>
      <c r="AC1038" s="95"/>
    </row>
    <row r="1039" spans="1:29" ht="14.45" hidden="1" customHeight="1" x14ac:dyDescent="0.25">
      <c r="A1039" s="36" t="str">
        <f>INDEX('Base de données Mono'!C:C,MATCH(B1039,'Base de données Mono'!D:D,0))</f>
        <v>ALESIA ALI</v>
      </c>
      <c r="B1039" t="s">
        <v>56</v>
      </c>
      <c r="C1039" s="36" t="str">
        <f>INDEX('Base de données Mono'!B:B,MATCH(B1039,'Base de données Mono'!D:D,0))</f>
        <v>SES8</v>
      </c>
      <c r="D1039" s="36" t="str">
        <f>INDEX('Base de données Mono'!A:A,MATCH(B1039,'Base de données Mono'!D:D,0))</f>
        <v>AD</v>
      </c>
      <c r="E1039" s="37" t="s">
        <v>303</v>
      </c>
      <c r="F1039" s="41">
        <f t="shared" si="154"/>
        <v>15</v>
      </c>
      <c r="G1039" s="41">
        <f t="shared" si="155"/>
        <v>4</v>
      </c>
      <c r="H1039">
        <v>9</v>
      </c>
      <c r="I1039" s="131">
        <f>INDEX('Base de données Mono'!K:K,MATCH(B1039,'Base de données Mono'!D:D,0))</f>
        <v>0.20833333333333334</v>
      </c>
      <c r="J1039" s="131">
        <f>INDEX('Base de données Mono'!L:L,MATCH(B1039,'Base de données Mono'!D:D,0))</f>
        <v>0.83333333333333337</v>
      </c>
      <c r="K1039" s="131">
        <f>INDEX('Base de données Mono'!M:M,MATCH(B1039,'Base de données Mono'!D:D,0))</f>
        <v>0.25</v>
      </c>
      <c r="L1039" s="131">
        <f>INDEX('Base de données Mono'!N:N,MATCH(B1039,'Base de données Mono'!D:D,0))</f>
        <v>0.54166666666666663</v>
      </c>
      <c r="M1039" s="33" t="s">
        <v>46</v>
      </c>
      <c r="N1039" s="33">
        <f>IF(AND(E1039="Electricité",M1039="Hiver"),INDEX('Base de données Mono'!E:E,MATCH(B1039,'Base de données Mono'!D:D,0)),IF(AND(E1039="Electricité",M1039="Mi-saison"),INDEX('Base de données Mono'!F:F,MATCH(B1039,'Base de données Mono'!D:D,0)),IF(AND(E1039="Electricité",M1039="Eté"),INDEX('Base de données Mono'!G:G,MATCH(B1039,'Base de données Mono'!D:D,0)),IF(AND(E1039="Gaz",M1039="Hiver"),INDEX('Base de données Mono'!J:J,MATCH(B1039,'Base de données Mono'!D:D,0)),IF(AND(E1039="Gaz",M1039="Mi-saison"),INDEX('Base de données Mono'!#REF!,MATCH(B1039,'Base de données Mono'!D:D,0)),IF(AND(E1039="Gaz",M1039="Eté"),INDEX('Base de données Mono'!#REF!,MATCH(B1039,'Base de données Mono'!D:D,0)),"-"))))))</f>
        <v>55</v>
      </c>
      <c r="O1039" s="123">
        <v>45389</v>
      </c>
      <c r="P1039" s="123">
        <v>45396</v>
      </c>
      <c r="Q1039" s="34">
        <v>60</v>
      </c>
      <c r="R1039" s="33">
        <f t="shared" si="159"/>
        <v>5</v>
      </c>
      <c r="S1039" s="34">
        <v>4</v>
      </c>
      <c r="T1039" s="34">
        <f t="shared" si="158"/>
        <v>7</v>
      </c>
      <c r="U1039" s="33">
        <f t="shared" si="156"/>
        <v>140</v>
      </c>
      <c r="V1039" s="38" t="s">
        <v>827</v>
      </c>
      <c r="W1039" s="39">
        <f t="shared" si="157"/>
        <v>9.0909090909090912E-2</v>
      </c>
      <c r="X1039" s="40" t="s">
        <v>304</v>
      </c>
      <c r="Y1039" s="40" t="s">
        <v>284</v>
      </c>
      <c r="Z1039" s="40" t="s">
        <v>305</v>
      </c>
      <c r="AA1039" s="33" t="s">
        <v>771</v>
      </c>
      <c r="AB1039" s="95"/>
      <c r="AC1039" s="95"/>
    </row>
    <row r="1040" spans="1:29" ht="14.45" hidden="1" customHeight="1" x14ac:dyDescent="0.25">
      <c r="A1040" s="36" t="str">
        <f>INDEX('Base de données Mono'!C:C,MATCH(B1040,'Base de données Mono'!D:D,0))</f>
        <v>ALESIA ALI</v>
      </c>
      <c r="B1040" t="s">
        <v>56</v>
      </c>
      <c r="C1040" s="36" t="str">
        <f>INDEX('Base de données Mono'!B:B,MATCH(B1040,'Base de données Mono'!D:D,0))</f>
        <v>SES8</v>
      </c>
      <c r="D1040" s="36" t="str">
        <f>INDEX('Base de données Mono'!A:A,MATCH(B1040,'Base de données Mono'!D:D,0))</f>
        <v>AD</v>
      </c>
      <c r="E1040" s="37" t="s">
        <v>303</v>
      </c>
      <c r="F1040" s="41">
        <f t="shared" ref="F1040:F1053" si="160">IF(O1040="","-",IF(AND(X1040="Nuit",WEEKDAY(O1040,2)=7,O1040&lt;&gt;P1040),WEEKNUM(O1040,2),WEEKNUM(O1040,2)-1))+1</f>
        <v>15</v>
      </c>
      <c r="G1040" s="41">
        <f t="shared" ref="G1040:G1053" si="161">IF(O1040="","-",MONTH(O1040))</f>
        <v>4</v>
      </c>
      <c r="H1040">
        <v>9</v>
      </c>
      <c r="I1040" s="131">
        <f>INDEX('Base de données Mono'!K:K,MATCH(B1040,'Base de données Mono'!D:D,0))</f>
        <v>0.20833333333333334</v>
      </c>
      <c r="J1040" s="131">
        <f>INDEX('Base de données Mono'!L:L,MATCH(B1040,'Base de données Mono'!D:D,0))</f>
        <v>0.83333333333333337</v>
      </c>
      <c r="K1040" s="131">
        <f>INDEX('Base de données Mono'!M:M,MATCH(B1040,'Base de données Mono'!D:D,0))</f>
        <v>0.25</v>
      </c>
      <c r="L1040" s="131">
        <f>INDEX('Base de données Mono'!N:N,MATCH(B1040,'Base de données Mono'!D:D,0))</f>
        <v>0.54166666666666663</v>
      </c>
      <c r="M1040" s="33" t="s">
        <v>46</v>
      </c>
      <c r="N1040" s="33">
        <f>IF(AND(E1040="Electricité",M1040="Hiver"),INDEX('Base de données Mono'!E:E,MATCH(B1040,'Base de données Mono'!D:D,0)),IF(AND(E1040="Electricité",M1040="Mi-saison"),INDEX('Base de données Mono'!F:F,MATCH(B1040,'Base de données Mono'!D:D,0)),IF(AND(E1040="Electricité",M1040="Eté"),INDEX('Base de données Mono'!G:G,MATCH(B1040,'Base de données Mono'!D:D,0)),IF(AND(E1040="Gaz",M1040="Hiver"),INDEX('Base de données Mono'!J:J,MATCH(B1040,'Base de données Mono'!D:D,0)),IF(AND(E1040="Gaz",M1040="Mi-saison"),INDEX('Base de données Mono'!#REF!,MATCH(B1040,'Base de données Mono'!D:D,0)),IF(AND(E1040="Gaz",M1040="Eté"),INDEX('Base de données Mono'!#REF!,MATCH(B1040,'Base de données Mono'!D:D,0)),"-"))))))</f>
        <v>55</v>
      </c>
      <c r="O1040" s="123">
        <v>45390</v>
      </c>
      <c r="P1040" s="123">
        <v>45396</v>
      </c>
      <c r="Q1040" s="34">
        <v>80</v>
      </c>
      <c r="R1040" s="33">
        <f t="shared" si="159"/>
        <v>25</v>
      </c>
      <c r="S1040" s="164">
        <v>1.7</v>
      </c>
      <c r="T1040" s="34">
        <f t="shared" si="158"/>
        <v>6</v>
      </c>
      <c r="U1040" s="33">
        <f t="shared" si="156"/>
        <v>255</v>
      </c>
      <c r="V1040" s="38" t="s">
        <v>148</v>
      </c>
      <c r="W1040" s="39">
        <f t="shared" si="157"/>
        <v>0.45454545454545453</v>
      </c>
      <c r="X1040" s="40" t="s">
        <v>304</v>
      </c>
      <c r="Y1040" s="40" t="s">
        <v>284</v>
      </c>
      <c r="Z1040" s="40" t="s">
        <v>307</v>
      </c>
      <c r="AA1040" s="33" t="s">
        <v>313</v>
      </c>
      <c r="AB1040" s="95"/>
      <c r="AC1040" s="95"/>
    </row>
    <row r="1041" spans="1:29" ht="14.45" hidden="1" customHeight="1" x14ac:dyDescent="0.25">
      <c r="A1041" s="36" t="str">
        <f>INDEX('Base de données Mono'!C:C,MATCH(B1041,'Base de données Mono'!D:D,0))</f>
        <v>LE COURBE</v>
      </c>
      <c r="B1041" t="s">
        <v>20</v>
      </c>
      <c r="C1041" s="36" t="str">
        <f>INDEX('Base de données Mono'!B:B,MATCH(B1041,'Base de données Mono'!D:D,0))</f>
        <v>SES8</v>
      </c>
      <c r="D1041" s="36" t="str">
        <f>INDEX('Base de données Mono'!A:A,MATCH(B1041,'Base de données Mono'!D:D,0))</f>
        <v>AD</v>
      </c>
      <c r="E1041" s="37" t="s">
        <v>303</v>
      </c>
      <c r="F1041" s="41">
        <f t="shared" si="160"/>
        <v>15</v>
      </c>
      <c r="G1041" s="41">
        <f t="shared" si="161"/>
        <v>4</v>
      </c>
      <c r="H1041">
        <v>8.83</v>
      </c>
      <c r="I1041" s="131">
        <f>INDEX('Base de données Mono'!K:K,MATCH(B1041,'Base de données Mono'!D:D,0))</f>
        <v>0.24305555555555555</v>
      </c>
      <c r="J1041" s="131">
        <f>INDEX('Base de données Mono'!L:L,MATCH(B1041,'Base de données Mono'!D:D,0))</f>
        <v>0.875</v>
      </c>
      <c r="K1041" s="131" t="str">
        <f>INDEX('Base de données Mono'!M:M,MATCH(B1041,'Base de données Mono'!D:D,0))</f>
        <v>-</v>
      </c>
      <c r="L1041" s="131" t="str">
        <f>INDEX('Base de données Mono'!N:N,MATCH(B1041,'Base de données Mono'!D:D,0))</f>
        <v>-</v>
      </c>
      <c r="M1041" s="33" t="s">
        <v>46</v>
      </c>
      <c r="N1041" s="33">
        <f>IF(AND(E1041="Electricité",M1041="Hiver"),INDEX('Base de données Mono'!E:E,MATCH(B1041,'Base de données Mono'!D:D,0)),IF(AND(E1041="Electricité",M1041="Mi-saison"),INDEX('Base de données Mono'!F:F,MATCH(B1041,'Base de données Mono'!D:D,0)),IF(AND(E1041="Electricité",M1041="Eté"),INDEX('Base de données Mono'!G:G,MATCH(B1041,'Base de données Mono'!D:D,0)),IF(AND(E1041="Gaz",M1041="Hiver"),INDEX('Base de données Mono'!J:J,MATCH(B1041,'Base de données Mono'!D:D,0)),IF(AND(E1041="Gaz",M1041="Mi-saison"),INDEX('Base de données Mono'!#REF!,MATCH(B1041,'Base de données Mono'!D:D,0)),IF(AND(E1041="Gaz",M1041="Eté"),INDEX('Base de données Mono'!#REF!,MATCH(B1041,'Base de données Mono'!D:D,0)),"-"))))))</f>
        <v>75</v>
      </c>
      <c r="O1041" s="123">
        <v>45389</v>
      </c>
      <c r="P1041" s="123">
        <v>45395</v>
      </c>
      <c r="Q1041" s="34">
        <v>95</v>
      </c>
      <c r="R1041" s="33">
        <f t="shared" si="159"/>
        <v>20</v>
      </c>
      <c r="S1041" s="34">
        <v>0.5</v>
      </c>
      <c r="T1041" s="34">
        <f t="shared" si="158"/>
        <v>6</v>
      </c>
      <c r="U1041" s="33">
        <f>R1041*S1041*T1041</f>
        <v>60</v>
      </c>
      <c r="V1041" s="38" t="s">
        <v>827</v>
      </c>
      <c r="W1041" s="39">
        <f>IFERROR(IF(E1041="Gaz","-",R1041/N1041),"-")</f>
        <v>0.26666666666666666</v>
      </c>
      <c r="X1041" s="40" t="s">
        <v>304</v>
      </c>
      <c r="Y1041" s="40" t="s">
        <v>284</v>
      </c>
      <c r="Z1041" s="40" t="s">
        <v>307</v>
      </c>
      <c r="AA1041" s="33" t="s">
        <v>414</v>
      </c>
      <c r="AB1041" s="95"/>
      <c r="AC1041" s="95"/>
    </row>
    <row r="1042" spans="1:29" ht="14.45" hidden="1" customHeight="1" x14ac:dyDescent="0.25">
      <c r="A1042" s="36" t="str">
        <f>INDEX('Base de données Mono'!C:C,MATCH(B1042,'Base de données Mono'!D:D,0))</f>
        <v>LE COURBE</v>
      </c>
      <c r="B1042" t="s">
        <v>20</v>
      </c>
      <c r="C1042" s="36" t="str">
        <f>INDEX('Base de données Mono'!B:B,MATCH(B1042,'Base de données Mono'!D:D,0))</f>
        <v>SES8</v>
      </c>
      <c r="D1042" s="36" t="str">
        <f>INDEX('Base de données Mono'!A:A,MATCH(B1042,'Base de données Mono'!D:D,0))</f>
        <v>AD</v>
      </c>
      <c r="E1042" s="37" t="s">
        <v>303</v>
      </c>
      <c r="F1042" s="41">
        <f t="shared" si="160"/>
        <v>15</v>
      </c>
      <c r="G1042" s="41">
        <f t="shared" si="161"/>
        <v>4</v>
      </c>
      <c r="H1042">
        <v>8.83</v>
      </c>
      <c r="I1042" s="131">
        <f>INDEX('Base de données Mono'!K:K,MATCH(B1042,'Base de données Mono'!D:D,0))</f>
        <v>0.24305555555555555</v>
      </c>
      <c r="J1042" s="131">
        <f>INDEX('Base de données Mono'!L:L,MATCH(B1042,'Base de données Mono'!D:D,0))</f>
        <v>0.875</v>
      </c>
      <c r="K1042" s="131" t="str">
        <f>INDEX('Base de données Mono'!M:M,MATCH(B1042,'Base de données Mono'!D:D,0))</f>
        <v>-</v>
      </c>
      <c r="L1042" s="131" t="str">
        <f>INDEX('Base de données Mono'!N:N,MATCH(B1042,'Base de données Mono'!D:D,0))</f>
        <v>-</v>
      </c>
      <c r="M1042" s="33" t="s">
        <v>46</v>
      </c>
      <c r="N1042" s="33">
        <f>IF(AND(E1042="Electricité",M1042="Hiver"),INDEX('Base de données Mono'!E:E,MATCH(B1042,'Base de données Mono'!D:D,0)),IF(AND(E1042="Electricité",M1042="Mi-saison"),INDEX('Base de données Mono'!F:F,MATCH(B1042,'Base de données Mono'!D:D,0)),IF(AND(E1042="Electricité",M1042="Eté"),INDEX('Base de données Mono'!G:G,MATCH(B1042,'Base de données Mono'!D:D,0)),IF(AND(E1042="Gaz",M1042="Hiver"),INDEX('Base de données Mono'!J:J,MATCH(B1042,'Base de données Mono'!D:D,0)),IF(AND(E1042="Gaz",M1042="Mi-saison"),INDEX('Base de données Mono'!#REF!,MATCH(B1042,'Base de données Mono'!D:D,0)),IF(AND(E1042="Gaz",M1042="Eté"),INDEX('Base de données Mono'!#REF!,MATCH(B1042,'Base de données Mono'!D:D,0)),"-"))))))</f>
        <v>75</v>
      </c>
      <c r="O1042" s="123">
        <v>45390</v>
      </c>
      <c r="P1042" s="123">
        <v>45395</v>
      </c>
      <c r="Q1042" s="34">
        <v>110</v>
      </c>
      <c r="R1042" s="33">
        <f>IF(Q1042="","",Q1042-N1042)</f>
        <v>35</v>
      </c>
      <c r="S1042" s="34">
        <v>1</v>
      </c>
      <c r="T1042" s="34">
        <f t="shared" si="158"/>
        <v>5</v>
      </c>
      <c r="U1042" s="33">
        <f>R1042*S1042*T1042</f>
        <v>175</v>
      </c>
      <c r="V1042" s="38" t="s">
        <v>827</v>
      </c>
      <c r="W1042" s="39">
        <f>IFERROR(IF(E1042="Gaz","-",R1042/N1042),"-")</f>
        <v>0.46666666666666667</v>
      </c>
      <c r="X1042" s="40" t="s">
        <v>304</v>
      </c>
      <c r="Y1042" s="40" t="s">
        <v>284</v>
      </c>
      <c r="Z1042" s="40" t="s">
        <v>307</v>
      </c>
      <c r="AA1042" s="33" t="s">
        <v>313</v>
      </c>
      <c r="AB1042" s="95"/>
      <c r="AC1042" s="95"/>
    </row>
    <row r="1043" spans="1:29" ht="14.45" hidden="1" customHeight="1" x14ac:dyDescent="0.25">
      <c r="A1043" s="36" t="str">
        <f>INDEX('Base de données Mono'!C:C,MATCH(B1043,'Base de données Mono'!D:D,0))</f>
        <v>LE COURBE</v>
      </c>
      <c r="B1043" t="s">
        <v>20</v>
      </c>
      <c r="C1043" s="36" t="str">
        <f>INDEX('Base de données Mono'!B:B,MATCH(B1043,'Base de données Mono'!D:D,0))</f>
        <v>SES8</v>
      </c>
      <c r="D1043" s="36" t="str">
        <f>INDEX('Base de données Mono'!A:A,MATCH(B1043,'Base de données Mono'!D:D,0))</f>
        <v>AD</v>
      </c>
      <c r="E1043" s="37" t="s">
        <v>303</v>
      </c>
      <c r="F1043" s="41">
        <f t="shared" si="160"/>
        <v>15</v>
      </c>
      <c r="G1043" s="41">
        <f t="shared" si="161"/>
        <v>4</v>
      </c>
      <c r="H1043">
        <v>8.83</v>
      </c>
      <c r="I1043" s="131">
        <f>INDEX('Base de données Mono'!K:K,MATCH(B1043,'Base de données Mono'!D:D,0))</f>
        <v>0.24305555555555555</v>
      </c>
      <c r="J1043" s="131">
        <f>INDEX('Base de données Mono'!L:L,MATCH(B1043,'Base de données Mono'!D:D,0))</f>
        <v>0.875</v>
      </c>
      <c r="K1043" s="131" t="str">
        <f>INDEX('Base de données Mono'!M:M,MATCH(B1043,'Base de données Mono'!D:D,0))</f>
        <v>-</v>
      </c>
      <c r="L1043" s="131" t="str">
        <f>INDEX('Base de données Mono'!N:N,MATCH(B1043,'Base de données Mono'!D:D,0))</f>
        <v>-</v>
      </c>
      <c r="M1043" s="33" t="s">
        <v>46</v>
      </c>
      <c r="N1043" s="33">
        <f>IF(AND(E1043="Electricité",M1043="Hiver"),INDEX('Base de données Mono'!E:E,MATCH(B1043,'Base de données Mono'!D:D,0)),IF(AND(E1043="Electricité",M1043="Mi-saison"),INDEX('Base de données Mono'!F:F,MATCH(B1043,'Base de données Mono'!D:D,0)),IF(AND(E1043="Electricité",M1043="Eté"),INDEX('Base de données Mono'!G:G,MATCH(B1043,'Base de données Mono'!D:D,0)),IF(AND(E1043="Gaz",M1043="Hiver"),INDEX('Base de données Mono'!J:J,MATCH(B1043,'Base de données Mono'!D:D,0)),IF(AND(E1043="Gaz",M1043="Mi-saison"),INDEX('Base de données Mono'!#REF!,MATCH(B1043,'Base de données Mono'!D:D,0)),IF(AND(E1043="Gaz",M1043="Eté"),INDEX('Base de données Mono'!#REF!,MATCH(B1043,'Base de données Mono'!D:D,0)),"-"))))))</f>
        <v>75</v>
      </c>
      <c r="O1043" s="123">
        <v>45395</v>
      </c>
      <c r="P1043" s="123">
        <v>45396</v>
      </c>
      <c r="Q1043" s="34">
        <v>100</v>
      </c>
      <c r="R1043" s="33">
        <f t="shared" si="159"/>
        <v>25</v>
      </c>
      <c r="S1043" s="34">
        <v>8.8000000000000007</v>
      </c>
      <c r="T1043" s="34">
        <f t="shared" si="158"/>
        <v>1</v>
      </c>
      <c r="U1043" s="33">
        <f>R1043*S1043*T1043</f>
        <v>220.00000000000003</v>
      </c>
      <c r="V1043" s="38" t="s">
        <v>827</v>
      </c>
      <c r="W1043" s="39">
        <f>IFERROR(IF(E1043="Gaz","-",R1043/N1043),"-")</f>
        <v>0.33333333333333331</v>
      </c>
      <c r="X1043" s="40" t="s">
        <v>304</v>
      </c>
      <c r="Y1043" s="40" t="s">
        <v>283</v>
      </c>
      <c r="Z1043" s="40" t="s">
        <v>749</v>
      </c>
      <c r="AA1043" s="33" t="s">
        <v>749</v>
      </c>
      <c r="AB1043" s="95"/>
      <c r="AC1043" s="95" t="s">
        <v>837</v>
      </c>
    </row>
    <row r="1044" spans="1:29" ht="14.45" hidden="1" customHeight="1" x14ac:dyDescent="0.25">
      <c r="A1044" s="36" t="str">
        <f>INDEX('Base de données Mono'!C:C,MATCH(B1044,'Base de données Mono'!D:D,0))</f>
        <v>AUXERRE</v>
      </c>
      <c r="B1044" t="s">
        <v>399</v>
      </c>
      <c r="C1044" s="36" t="str">
        <f>INDEX('Base de données Mono'!B:B,MATCH(B1044,'Base de données Mono'!D:D,0))</f>
        <v>SES8</v>
      </c>
      <c r="D1044" s="36" t="str">
        <f>INDEX('Base de données Mono'!A:A,MATCH(B1044,'Base de données Mono'!D:D,0))</f>
        <v>JG</v>
      </c>
      <c r="E1044" s="37" t="s">
        <v>303</v>
      </c>
      <c r="F1044" s="41">
        <f t="shared" si="160"/>
        <v>14</v>
      </c>
      <c r="G1044" s="41">
        <f t="shared" si="161"/>
        <v>4</v>
      </c>
      <c r="H1044">
        <v>9</v>
      </c>
      <c r="I1044" s="131">
        <f>INDEX('Base de données Mono'!K:K,MATCH(B1044,'Base de données Mono'!D:D,0))</f>
        <v>0.1875</v>
      </c>
      <c r="J1044" s="131">
        <f>INDEX('Base de données Mono'!L:L,MATCH(B1044,'Base de données Mono'!D:D,0))</f>
        <v>0.8125</v>
      </c>
      <c r="K1044" s="131">
        <f>INDEX('Base de données Mono'!M:M,MATCH(B1044,'Base de données Mono'!D:D,0))</f>
        <v>0.25</v>
      </c>
      <c r="L1044" s="131">
        <f>INDEX('Base de données Mono'!N:N,MATCH(B1044,'Base de données Mono'!D:D,0))</f>
        <v>0.52083333333333337</v>
      </c>
      <c r="M1044" s="33" t="s">
        <v>46</v>
      </c>
      <c r="N1044" s="33">
        <f>IF(AND(E1044="Electricité",M1044="Hiver"),INDEX('Base de données Mono'!E:E,MATCH(B1044,'Base de données Mono'!D:D,0)),IF(AND(E1044="Electricité",M1044="Mi-saison"),INDEX('Base de données Mono'!F:F,MATCH(B1044,'Base de données Mono'!D:D,0)),IF(AND(E1044="Electricité",M1044="Eté"),INDEX('Base de données Mono'!G:G,MATCH(B1044,'Base de données Mono'!D:D,0)),IF(AND(E1044="Gaz",M1044="Hiver"),INDEX('Base de données Mono'!J:J,MATCH(B1044,'Base de données Mono'!D:D,0)),IF(AND(E1044="Gaz",M1044="Mi-saison"),INDEX('Base de données Mono'!#REF!,MATCH(B1044,'Base de données Mono'!D:D,0)),IF(AND(E1044="Gaz",M1044="Eté"),INDEX('Base de données Mono'!#REF!,MATCH(B1044,'Base de données Mono'!D:D,0)),"-"))))))</f>
        <v>60</v>
      </c>
      <c r="O1044" s="123">
        <v>45384</v>
      </c>
      <c r="P1044" s="123">
        <v>45389</v>
      </c>
      <c r="Q1044" s="34">
        <v>100</v>
      </c>
      <c r="R1044" s="33">
        <f t="shared" ref="R1044:R1050" si="162">IF(Q1044="","",Q1044-N1044)</f>
        <v>40</v>
      </c>
      <c r="S1044" s="34">
        <v>0.5</v>
      </c>
      <c r="T1044" s="34">
        <f>P1044-O1044</f>
        <v>5</v>
      </c>
      <c r="U1044" s="33">
        <f t="shared" ref="U1044:U1050" si="163">R1044*S1044*T1044</f>
        <v>100</v>
      </c>
      <c r="V1044" s="38" t="s">
        <v>148</v>
      </c>
      <c r="W1044" s="39">
        <f t="shared" ref="W1044:W1050" si="164">IFERROR(IF(E1044="Gaz","-",R1044/N1044),"-")</f>
        <v>0.66666666666666663</v>
      </c>
      <c r="X1044" s="40" t="s">
        <v>304</v>
      </c>
      <c r="Y1044" s="40" t="s">
        <v>284</v>
      </c>
      <c r="Z1044" s="40" t="s">
        <v>307</v>
      </c>
      <c r="AA1044" s="33" t="s">
        <v>313</v>
      </c>
      <c r="AB1044" s="95"/>
      <c r="AC1044" s="95"/>
    </row>
    <row r="1045" spans="1:29" ht="14.45" hidden="1" customHeight="1" x14ac:dyDescent="0.25">
      <c r="A1045" s="36" t="str">
        <f>INDEX('Base de données Mono'!C:C,MATCH(B1045,'Base de données Mono'!D:D,0))</f>
        <v>AUXERRE</v>
      </c>
      <c r="B1045" t="s">
        <v>399</v>
      </c>
      <c r="C1045" s="36" t="str">
        <f>INDEX('Base de données Mono'!B:B,MATCH(B1045,'Base de données Mono'!D:D,0))</f>
        <v>SES8</v>
      </c>
      <c r="D1045" s="36" t="str">
        <f>INDEX('Base de données Mono'!A:A,MATCH(B1045,'Base de données Mono'!D:D,0))</f>
        <v>JG</v>
      </c>
      <c r="E1045" s="37" t="s">
        <v>303</v>
      </c>
      <c r="F1045" s="41">
        <f t="shared" si="160"/>
        <v>15</v>
      </c>
      <c r="G1045" s="41">
        <f t="shared" si="161"/>
        <v>4</v>
      </c>
      <c r="H1045">
        <v>9</v>
      </c>
      <c r="I1045" s="131">
        <f>INDEX('Base de données Mono'!K:K,MATCH(B1045,'Base de données Mono'!D:D,0))</f>
        <v>0.1875</v>
      </c>
      <c r="J1045" s="131">
        <f>INDEX('Base de données Mono'!L:L,MATCH(B1045,'Base de données Mono'!D:D,0))</f>
        <v>0.8125</v>
      </c>
      <c r="K1045" s="131">
        <f>INDEX('Base de données Mono'!M:M,MATCH(B1045,'Base de données Mono'!D:D,0))</f>
        <v>0.25</v>
      </c>
      <c r="L1045" s="131">
        <f>INDEX('Base de données Mono'!N:N,MATCH(B1045,'Base de données Mono'!D:D,0))</f>
        <v>0.52083333333333337</v>
      </c>
      <c r="M1045" s="33" t="s">
        <v>46</v>
      </c>
      <c r="N1045" s="33">
        <f>IF(AND(E1045="Electricité",M1045="Hiver"),INDEX('Base de données Mono'!E:E,MATCH(B1045,'Base de données Mono'!D:D,0)),IF(AND(E1045="Electricité",M1045="Mi-saison"),INDEX('Base de données Mono'!F:F,MATCH(B1045,'Base de données Mono'!D:D,0)),IF(AND(E1045="Electricité",M1045="Eté"),INDEX('Base de données Mono'!G:G,MATCH(B1045,'Base de données Mono'!D:D,0)),IF(AND(E1045="Gaz",M1045="Hiver"),INDEX('Base de données Mono'!J:J,MATCH(B1045,'Base de données Mono'!D:D,0)),IF(AND(E1045="Gaz",M1045="Mi-saison"),INDEX('Base de données Mono'!#REF!,MATCH(B1045,'Base de données Mono'!D:D,0)),IF(AND(E1045="Gaz",M1045="Eté"),INDEX('Base de données Mono'!#REF!,MATCH(B1045,'Base de données Mono'!D:D,0)),"-"))))))</f>
        <v>60</v>
      </c>
      <c r="O1045" s="123">
        <v>45390</v>
      </c>
      <c r="P1045" s="123">
        <v>45391</v>
      </c>
      <c r="Q1045" s="34">
        <v>95</v>
      </c>
      <c r="R1045" s="33">
        <f>IF(Q1045="","",Q1045-N1045)</f>
        <v>35</v>
      </c>
      <c r="S1045" s="34">
        <v>9</v>
      </c>
      <c r="T1045" s="34">
        <f>P1045-O1045</f>
        <v>1</v>
      </c>
      <c r="U1045" s="33">
        <f>R1045*S1045*T1045</f>
        <v>315</v>
      </c>
      <c r="V1045" s="38" t="s">
        <v>148</v>
      </c>
      <c r="W1045" s="39">
        <f>IFERROR(IF(E1045="Gaz","-",R1045/N1045),"-")</f>
        <v>0.58333333333333337</v>
      </c>
      <c r="X1045" s="40" t="s">
        <v>304</v>
      </c>
      <c r="Y1045" s="40" t="s">
        <v>284</v>
      </c>
      <c r="Z1045" s="164" t="s">
        <v>311</v>
      </c>
      <c r="AA1045" s="164" t="s">
        <v>775</v>
      </c>
      <c r="AB1045" s="95"/>
      <c r="AC1045" s="95"/>
    </row>
    <row r="1046" spans="1:29" ht="14.45" hidden="1" customHeight="1" x14ac:dyDescent="0.25">
      <c r="A1046" s="36" t="str">
        <f>INDEX('Base de données Mono'!C:C,MATCH(B1046,'Base de données Mono'!D:D,0))</f>
        <v>AUXERRE</v>
      </c>
      <c r="B1046" t="s">
        <v>399</v>
      </c>
      <c r="C1046" s="36" t="str">
        <f>INDEX('Base de données Mono'!B:B,MATCH(B1046,'Base de données Mono'!D:D,0))</f>
        <v>SES8</v>
      </c>
      <c r="D1046" s="36" t="str">
        <f>INDEX('Base de données Mono'!A:A,MATCH(B1046,'Base de données Mono'!D:D,0))</f>
        <v>JG</v>
      </c>
      <c r="E1046" s="37" t="s">
        <v>303</v>
      </c>
      <c r="F1046" s="41">
        <f t="shared" si="160"/>
        <v>15</v>
      </c>
      <c r="G1046" s="41">
        <f t="shared" si="161"/>
        <v>4</v>
      </c>
      <c r="H1046">
        <v>9</v>
      </c>
      <c r="I1046" s="131">
        <f>INDEX('Base de données Mono'!K:K,MATCH(B1046,'Base de données Mono'!D:D,0))</f>
        <v>0.1875</v>
      </c>
      <c r="J1046" s="131">
        <f>INDEX('Base de données Mono'!L:L,MATCH(B1046,'Base de données Mono'!D:D,0))</f>
        <v>0.8125</v>
      </c>
      <c r="K1046" s="131">
        <f>INDEX('Base de données Mono'!M:M,MATCH(B1046,'Base de données Mono'!D:D,0))</f>
        <v>0.25</v>
      </c>
      <c r="L1046" s="131">
        <f>INDEX('Base de données Mono'!N:N,MATCH(B1046,'Base de données Mono'!D:D,0))</f>
        <v>0.52083333333333337</v>
      </c>
      <c r="M1046" s="33" t="s">
        <v>46</v>
      </c>
      <c r="N1046" s="33">
        <f>IF(AND(E1046="Electricité",M1046="Hiver"),INDEX('Base de données Mono'!E:E,MATCH(B1046,'Base de données Mono'!D:D,0)),IF(AND(E1046="Electricité",M1046="Mi-saison"),INDEX('Base de données Mono'!F:F,MATCH(B1046,'Base de données Mono'!D:D,0)),IF(AND(E1046="Electricité",M1046="Eté"),INDEX('Base de données Mono'!G:G,MATCH(B1046,'Base de données Mono'!D:D,0)),IF(AND(E1046="Gaz",M1046="Hiver"),INDEX('Base de données Mono'!J:J,MATCH(B1046,'Base de données Mono'!D:D,0)),IF(AND(E1046="Gaz",M1046="Mi-saison"),INDEX('Base de données Mono'!#REF!,MATCH(B1046,'Base de données Mono'!D:D,0)),IF(AND(E1046="Gaz",M1046="Eté"),INDEX('Base de données Mono'!#REF!,MATCH(B1046,'Base de données Mono'!D:D,0)),"-"))))))</f>
        <v>60</v>
      </c>
      <c r="O1046" s="123">
        <v>45391</v>
      </c>
      <c r="P1046" s="123">
        <v>45396</v>
      </c>
      <c r="Q1046" s="34">
        <v>100</v>
      </c>
      <c r="R1046" s="33">
        <f t="shared" si="162"/>
        <v>40</v>
      </c>
      <c r="S1046" s="34">
        <v>0.5</v>
      </c>
      <c r="T1046" s="34">
        <f>P1046-O1046</f>
        <v>5</v>
      </c>
      <c r="U1046" s="33">
        <f t="shared" si="163"/>
        <v>100</v>
      </c>
      <c r="V1046" s="38" t="s">
        <v>148</v>
      </c>
      <c r="W1046" s="39">
        <f t="shared" si="164"/>
        <v>0.66666666666666663</v>
      </c>
      <c r="X1046" s="40" t="s">
        <v>304</v>
      </c>
      <c r="Y1046" s="40" t="s">
        <v>284</v>
      </c>
      <c r="Z1046" s="40" t="s">
        <v>307</v>
      </c>
      <c r="AA1046" s="33" t="s">
        <v>313</v>
      </c>
      <c r="AB1046" s="95"/>
      <c r="AC1046" s="95"/>
    </row>
    <row r="1047" spans="1:29" ht="14.45" hidden="1" customHeight="1" x14ac:dyDescent="0.25">
      <c r="A1047" s="36" t="str">
        <f>INDEX('Base de données Mono'!C:C,MATCH(B1047,'Base de données Mono'!D:D,0))</f>
        <v>COMMERCE</v>
      </c>
      <c r="B1047" t="s">
        <v>110</v>
      </c>
      <c r="C1047" s="36" t="str">
        <f>INDEX('Base de données Mono'!B:B,MATCH(B1047,'Base de données Mono'!D:D,0))</f>
        <v>SES8</v>
      </c>
      <c r="D1047" s="36" t="str">
        <f>INDEX('Base de données Mono'!A:A,MATCH(B1047,'Base de données Mono'!D:D,0))</f>
        <v>AD</v>
      </c>
      <c r="E1047" s="37" t="s">
        <v>303</v>
      </c>
      <c r="F1047" s="41">
        <f t="shared" si="160"/>
        <v>14</v>
      </c>
      <c r="G1047" s="41">
        <f t="shared" si="161"/>
        <v>4</v>
      </c>
      <c r="H1047">
        <v>7.5</v>
      </c>
      <c r="I1047" s="131">
        <f>INDEX('Base de données Mono'!K:K,MATCH(B1047,'Base de données Mono'!D:D,0))</f>
        <v>0.20833333333333334</v>
      </c>
      <c r="J1047" s="131">
        <f>INDEX('Base de données Mono'!L:L,MATCH(B1047,'Base de données Mono'!D:D,0))</f>
        <v>0.89583333333333337</v>
      </c>
      <c r="K1047" s="131">
        <f>INDEX('Base de données Mono'!M:M,MATCH(B1047,'Base de données Mono'!D:D,0))</f>
        <v>0.27083333333333331</v>
      </c>
      <c r="L1047" s="131">
        <f>INDEX('Base de données Mono'!N:N,MATCH(B1047,'Base de données Mono'!D:D,0))</f>
        <v>0.55902777777777779</v>
      </c>
      <c r="M1047" s="33" t="s">
        <v>46</v>
      </c>
      <c r="N1047" s="33">
        <f>IF(AND(E1047="Electricité",M1047="Hiver"),INDEX('Base de données Mono'!E:E,MATCH(B1047,'Base de données Mono'!D:D,0)),IF(AND(E1047="Electricité",M1047="Mi-saison"),INDEX('Base de données Mono'!F:F,MATCH(B1047,'Base de données Mono'!D:D,0)),IF(AND(E1047="Electricité",M1047="Eté"),INDEX('Base de données Mono'!G:G,MATCH(B1047,'Base de données Mono'!D:D,0)),IF(AND(E1047="Gaz",M1047="Hiver"),INDEX('Base de données Mono'!J:J,MATCH(B1047,'Base de données Mono'!D:D,0)),IF(AND(E1047="Gaz",M1047="Mi-saison"),INDEX('Base de données Mono'!#REF!,MATCH(B1047,'Base de données Mono'!D:D,0)),IF(AND(E1047="Gaz",M1047="Eté"),INDEX('Base de données Mono'!#REF!,MATCH(B1047,'Base de données Mono'!D:D,0)),"-"))))))</f>
        <v>80</v>
      </c>
      <c r="O1047" s="123">
        <v>45389</v>
      </c>
      <c r="P1047" s="123">
        <v>45389</v>
      </c>
      <c r="Q1047" s="34">
        <v>125</v>
      </c>
      <c r="R1047" s="33">
        <f t="shared" si="162"/>
        <v>45</v>
      </c>
      <c r="S1047" s="34">
        <v>6.5</v>
      </c>
      <c r="T1047" s="34">
        <v>1</v>
      </c>
      <c r="U1047" s="33">
        <f t="shared" si="163"/>
        <v>292.5</v>
      </c>
      <c r="V1047" s="38" t="s">
        <v>148</v>
      </c>
      <c r="W1047" s="39">
        <f t="shared" si="164"/>
        <v>0.5625</v>
      </c>
      <c r="X1047" s="40" t="s">
        <v>730</v>
      </c>
      <c r="Y1047" s="40" t="s">
        <v>284</v>
      </c>
      <c r="Z1047" s="40" t="s">
        <v>307</v>
      </c>
      <c r="AA1047" s="33" t="s">
        <v>308</v>
      </c>
      <c r="AB1047" s="95"/>
      <c r="AC1047" s="95"/>
    </row>
    <row r="1048" spans="1:29" ht="14.45" hidden="1" customHeight="1" x14ac:dyDescent="0.25">
      <c r="A1048" s="36" t="str">
        <f>INDEX('Base de données Mono'!C:C,MATCH(B1048,'Base de données Mono'!D:D,0))</f>
        <v>COMMERCE</v>
      </c>
      <c r="B1048" t="s">
        <v>110</v>
      </c>
      <c r="C1048" s="36" t="str">
        <f>INDEX('Base de données Mono'!B:B,MATCH(B1048,'Base de données Mono'!D:D,0))</f>
        <v>SES8</v>
      </c>
      <c r="D1048" s="36" t="str">
        <f>INDEX('Base de données Mono'!A:A,MATCH(B1048,'Base de données Mono'!D:D,0))</f>
        <v>AD</v>
      </c>
      <c r="E1048" s="37" t="s">
        <v>303</v>
      </c>
      <c r="F1048" s="41">
        <f t="shared" si="160"/>
        <v>15</v>
      </c>
      <c r="G1048" s="41">
        <f t="shared" si="161"/>
        <v>4</v>
      </c>
      <c r="H1048">
        <v>7.5</v>
      </c>
      <c r="I1048" s="131">
        <f>INDEX('Base de données Mono'!K:K,MATCH(B1048,'Base de données Mono'!D:D,0))</f>
        <v>0.20833333333333334</v>
      </c>
      <c r="J1048" s="131">
        <f>INDEX('Base de données Mono'!L:L,MATCH(B1048,'Base de données Mono'!D:D,0))</f>
        <v>0.89583333333333337</v>
      </c>
      <c r="K1048" s="131">
        <f>INDEX('Base de données Mono'!M:M,MATCH(B1048,'Base de données Mono'!D:D,0))</f>
        <v>0.27083333333333331</v>
      </c>
      <c r="L1048" s="131">
        <f>INDEX('Base de données Mono'!N:N,MATCH(B1048,'Base de données Mono'!D:D,0))</f>
        <v>0.55902777777777779</v>
      </c>
      <c r="M1048" s="33" t="s">
        <v>46</v>
      </c>
      <c r="N1048" s="33">
        <f>IF(AND(E1048="Electricité",M1048="Hiver"),INDEX('Base de données Mono'!E:E,MATCH(B1048,'Base de données Mono'!D:D,0)),IF(AND(E1048="Electricité",M1048="Mi-saison"),INDEX('Base de données Mono'!F:F,MATCH(B1048,'Base de données Mono'!D:D,0)),IF(AND(E1048="Electricité",M1048="Eté"),INDEX('Base de données Mono'!G:G,MATCH(B1048,'Base de données Mono'!D:D,0)),IF(AND(E1048="Gaz",M1048="Hiver"),INDEX('Base de données Mono'!J:J,MATCH(B1048,'Base de données Mono'!D:D,0)),IF(AND(E1048="Gaz",M1048="Mi-saison"),INDEX('Base de données Mono'!#REF!,MATCH(B1048,'Base de données Mono'!D:D,0)),IF(AND(E1048="Gaz",M1048="Eté"),INDEX('Base de données Mono'!#REF!,MATCH(B1048,'Base de données Mono'!D:D,0)),"-"))))))</f>
        <v>80</v>
      </c>
      <c r="O1048" s="123">
        <v>45389</v>
      </c>
      <c r="P1048" s="123">
        <v>45395</v>
      </c>
      <c r="Q1048" s="34">
        <v>125</v>
      </c>
      <c r="R1048" s="33">
        <f>IF(Q1048="","",Q1048-N1048)</f>
        <v>45</v>
      </c>
      <c r="S1048" s="34">
        <v>0.5</v>
      </c>
      <c r="T1048" s="34">
        <f t="shared" ref="T1048:T1053" si="165">P1048-O1048</f>
        <v>6</v>
      </c>
      <c r="U1048" s="33">
        <f>R1048*S1048*T1048</f>
        <v>135</v>
      </c>
      <c r="V1048" s="38" t="s">
        <v>827</v>
      </c>
      <c r="W1048" s="39">
        <f>IFERROR(IF(E1048="Gaz","-",R1048/N1048),"-")</f>
        <v>0.5625</v>
      </c>
      <c r="X1048" s="40" t="s">
        <v>304</v>
      </c>
      <c r="Y1048" s="40" t="s">
        <v>284</v>
      </c>
      <c r="Z1048" s="40" t="s">
        <v>307</v>
      </c>
      <c r="AA1048" s="33" t="s">
        <v>313</v>
      </c>
      <c r="AB1048" s="95"/>
      <c r="AC1048" s="95"/>
    </row>
    <row r="1049" spans="1:29" ht="14.45" hidden="1" customHeight="1" x14ac:dyDescent="0.25">
      <c r="A1049" s="36" t="str">
        <f>INDEX('Base de données Mono'!C:C,MATCH(B1049,'Base de données Mono'!D:D,0))</f>
        <v>COMMERCE</v>
      </c>
      <c r="B1049" t="s">
        <v>110</v>
      </c>
      <c r="C1049" s="36" t="str">
        <f>INDEX('Base de données Mono'!B:B,MATCH(B1049,'Base de données Mono'!D:D,0))</f>
        <v>SES8</v>
      </c>
      <c r="D1049" s="36" t="str">
        <f>INDEX('Base de données Mono'!A:A,MATCH(B1049,'Base de données Mono'!D:D,0))</f>
        <v>AD</v>
      </c>
      <c r="E1049" s="37" t="s">
        <v>303</v>
      </c>
      <c r="F1049" s="41">
        <f t="shared" si="160"/>
        <v>15</v>
      </c>
      <c r="G1049" s="41">
        <f t="shared" si="161"/>
        <v>4</v>
      </c>
      <c r="H1049">
        <v>7.5</v>
      </c>
      <c r="I1049" s="131">
        <f>INDEX('Base de données Mono'!K:K,MATCH(B1049,'Base de données Mono'!D:D,0))</f>
        <v>0.20833333333333334</v>
      </c>
      <c r="J1049" s="131">
        <f>INDEX('Base de données Mono'!L:L,MATCH(B1049,'Base de données Mono'!D:D,0))</f>
        <v>0.89583333333333337</v>
      </c>
      <c r="K1049" s="131">
        <f>INDEX('Base de données Mono'!M:M,MATCH(B1049,'Base de données Mono'!D:D,0))</f>
        <v>0.27083333333333331</v>
      </c>
      <c r="L1049" s="131">
        <f>INDEX('Base de données Mono'!N:N,MATCH(B1049,'Base de données Mono'!D:D,0))</f>
        <v>0.55902777777777779</v>
      </c>
      <c r="M1049" s="33" t="s">
        <v>46</v>
      </c>
      <c r="N1049" s="33">
        <f>IF(AND(E1049="Electricité",M1049="Hiver"),INDEX('Base de données Mono'!E:E,MATCH(B1049,'Base de données Mono'!D:D,0)),IF(AND(E1049="Electricité",M1049="Mi-saison"),INDEX('Base de données Mono'!F:F,MATCH(B1049,'Base de données Mono'!D:D,0)),IF(AND(E1049="Electricité",M1049="Eté"),INDEX('Base de données Mono'!G:G,MATCH(B1049,'Base de données Mono'!D:D,0)),IF(AND(E1049="Gaz",M1049="Hiver"),INDEX('Base de données Mono'!J:J,MATCH(B1049,'Base de données Mono'!D:D,0)),IF(AND(E1049="Gaz",M1049="Mi-saison"),INDEX('Base de données Mono'!#REF!,MATCH(B1049,'Base de données Mono'!D:D,0)),IF(AND(E1049="Gaz",M1049="Eté"),INDEX('Base de données Mono'!#REF!,MATCH(B1049,'Base de données Mono'!D:D,0)),"-"))))))</f>
        <v>80</v>
      </c>
      <c r="O1049" s="123">
        <v>45395</v>
      </c>
      <c r="P1049" s="123">
        <v>45396</v>
      </c>
      <c r="Q1049" s="34">
        <v>160</v>
      </c>
      <c r="R1049" s="33">
        <f>IF(Q1049="","",Q1049-N1049)</f>
        <v>80</v>
      </c>
      <c r="S1049" s="34">
        <v>0.5</v>
      </c>
      <c r="T1049" s="34">
        <f t="shared" si="165"/>
        <v>1</v>
      </c>
      <c r="U1049" s="33">
        <f>R1049*S1049*T1049</f>
        <v>40</v>
      </c>
      <c r="V1049" s="38" t="s">
        <v>827</v>
      </c>
      <c r="W1049" s="39">
        <f>IFERROR(IF(E1049="Gaz","-",R1049/N1049),"-")</f>
        <v>1</v>
      </c>
      <c r="X1049" s="40" t="s">
        <v>304</v>
      </c>
      <c r="Y1049" s="40" t="s">
        <v>284</v>
      </c>
      <c r="Z1049" s="40" t="s">
        <v>307</v>
      </c>
      <c r="AA1049" s="33" t="s">
        <v>313</v>
      </c>
      <c r="AB1049" s="95"/>
      <c r="AC1049" s="95"/>
    </row>
    <row r="1050" spans="1:29" ht="14.45" hidden="1" customHeight="1" x14ac:dyDescent="0.25">
      <c r="A1050" s="36" t="str">
        <f>INDEX('Base de données Mono'!C:C,MATCH(B1050,'Base de données Mono'!D:D,0))</f>
        <v>COMMERCE</v>
      </c>
      <c r="B1050" t="s">
        <v>110</v>
      </c>
      <c r="C1050" s="36" t="str">
        <f>INDEX('Base de données Mono'!B:B,MATCH(B1050,'Base de données Mono'!D:D,0))</f>
        <v>SES8</v>
      </c>
      <c r="D1050" s="36" t="str">
        <f>INDEX('Base de données Mono'!A:A,MATCH(B1050,'Base de données Mono'!D:D,0))</f>
        <v>AD</v>
      </c>
      <c r="E1050" s="37" t="s">
        <v>303</v>
      </c>
      <c r="F1050" s="41">
        <f t="shared" si="160"/>
        <v>15</v>
      </c>
      <c r="G1050" s="41">
        <f t="shared" si="161"/>
        <v>4</v>
      </c>
      <c r="H1050">
        <v>7.5</v>
      </c>
      <c r="I1050" s="131">
        <f>INDEX('Base de données Mono'!K:K,MATCH(B1050,'Base de données Mono'!D:D,0))</f>
        <v>0.20833333333333334</v>
      </c>
      <c r="J1050" s="131">
        <f>INDEX('Base de données Mono'!L:L,MATCH(B1050,'Base de données Mono'!D:D,0))</f>
        <v>0.89583333333333337</v>
      </c>
      <c r="K1050" s="131">
        <f>INDEX('Base de données Mono'!M:M,MATCH(B1050,'Base de données Mono'!D:D,0))</f>
        <v>0.27083333333333331</v>
      </c>
      <c r="L1050" s="131">
        <f>INDEX('Base de données Mono'!N:N,MATCH(B1050,'Base de données Mono'!D:D,0))</f>
        <v>0.55902777777777779</v>
      </c>
      <c r="M1050" s="33" t="s">
        <v>46</v>
      </c>
      <c r="N1050" s="33">
        <f>IF(AND(E1050="Electricité",M1050="Hiver"),INDEX('Base de données Mono'!E:E,MATCH(B1050,'Base de données Mono'!D:D,0)),IF(AND(E1050="Electricité",M1050="Mi-saison"),INDEX('Base de données Mono'!F:F,MATCH(B1050,'Base de données Mono'!D:D,0)),IF(AND(E1050="Electricité",M1050="Eté"),INDEX('Base de données Mono'!G:G,MATCH(B1050,'Base de données Mono'!D:D,0)),IF(AND(E1050="Gaz",M1050="Hiver"),INDEX('Base de données Mono'!J:J,MATCH(B1050,'Base de données Mono'!D:D,0)),IF(AND(E1050="Gaz",M1050="Mi-saison"),INDEX('Base de données Mono'!#REF!,MATCH(B1050,'Base de données Mono'!D:D,0)),IF(AND(E1050="Gaz",M1050="Eté"),INDEX('Base de données Mono'!#REF!,MATCH(B1050,'Base de données Mono'!D:D,0)),"-"))))))</f>
        <v>80</v>
      </c>
      <c r="O1050" s="123">
        <v>45395</v>
      </c>
      <c r="P1050" s="123">
        <v>45396</v>
      </c>
      <c r="Q1050" s="34">
        <v>90</v>
      </c>
      <c r="R1050" s="33">
        <f t="shared" si="162"/>
        <v>10</v>
      </c>
      <c r="S1050" s="34">
        <v>1</v>
      </c>
      <c r="T1050" s="34">
        <f t="shared" si="165"/>
        <v>1</v>
      </c>
      <c r="U1050" s="33">
        <f t="shared" si="163"/>
        <v>10</v>
      </c>
      <c r="V1050" s="38" t="s">
        <v>827</v>
      </c>
      <c r="W1050" s="39">
        <f t="shared" si="164"/>
        <v>0.125</v>
      </c>
      <c r="X1050" s="40" t="s">
        <v>304</v>
      </c>
      <c r="Y1050" s="40" t="s">
        <v>284</v>
      </c>
      <c r="Z1050" s="40" t="s">
        <v>305</v>
      </c>
      <c r="AA1050" s="33" t="s">
        <v>771</v>
      </c>
      <c r="AB1050" s="95"/>
      <c r="AC1050" s="95"/>
    </row>
    <row r="1051" spans="1:29" ht="14.45" hidden="1" customHeight="1" x14ac:dyDescent="0.25">
      <c r="A1051" s="36" t="str">
        <f>INDEX('Base de données Mono'!C:C,MATCH(B1051,'Base de données Mono'!D:D,0))</f>
        <v>VERSAILLES</v>
      </c>
      <c r="B1051" t="s">
        <v>38</v>
      </c>
      <c r="C1051" s="36" t="str">
        <f>INDEX('Base de données Mono'!B:B,MATCH(B1051,'Base de données Mono'!D:D,0))</f>
        <v>SES8</v>
      </c>
      <c r="D1051" s="36" t="str">
        <f>INDEX('Base de données Mono'!A:A,MATCH(B1051,'Base de données Mono'!D:D,0))</f>
        <v>AD</v>
      </c>
      <c r="E1051" s="37" t="s">
        <v>303</v>
      </c>
      <c r="F1051" s="41">
        <f t="shared" si="160"/>
        <v>15</v>
      </c>
      <c r="G1051" s="41">
        <f t="shared" si="161"/>
        <v>4</v>
      </c>
      <c r="H1051">
        <v>8</v>
      </c>
      <c r="I1051" s="131">
        <f>INDEX('Base de données Mono'!K:K,MATCH(B1051,'Base de données Mono'!D:D,0))</f>
        <v>0.1875</v>
      </c>
      <c r="J1051" s="131">
        <f>INDEX('Base de données Mono'!L:L,MATCH(B1051,'Base de données Mono'!D:D,0))</f>
        <v>0.85416666666666663</v>
      </c>
      <c r="K1051" s="131" t="str">
        <f>INDEX('Base de données Mono'!M:M,MATCH(B1051,'Base de données Mono'!D:D,0))</f>
        <v>-</v>
      </c>
      <c r="L1051" s="131" t="str">
        <f>INDEX('Base de données Mono'!N:N,MATCH(B1051,'Base de données Mono'!D:D,0))</f>
        <v>-</v>
      </c>
      <c r="M1051" s="33" t="s">
        <v>46</v>
      </c>
      <c r="N1051" s="33">
        <f>IF(AND(E1051="Electricité",M1051="Hiver"),INDEX('Base de données Mono'!E:E,MATCH(B1051,'Base de données Mono'!D:D,0)),IF(AND(E1051="Electricité",M1051="Mi-saison"),INDEX('Base de données Mono'!F:F,MATCH(B1051,'Base de données Mono'!D:D,0)),IF(AND(E1051="Electricité",M1051="Eté"),INDEX('Base de données Mono'!G:G,MATCH(B1051,'Base de données Mono'!D:D,0)),IF(AND(E1051="Gaz",M1051="Hiver"),INDEX('Base de données Mono'!J:J,MATCH(B1051,'Base de données Mono'!D:D,0)),IF(AND(E1051="Gaz",M1051="Mi-saison"),INDEX('Base de données Mono'!#REF!,MATCH(B1051,'Base de données Mono'!D:D,0)),IF(AND(E1051="Gaz",M1051="Eté"),INDEX('Base de données Mono'!#REF!,MATCH(B1051,'Base de données Mono'!D:D,0)),"-"))))))</f>
        <v>75</v>
      </c>
      <c r="O1051" s="123">
        <v>45389</v>
      </c>
      <c r="P1051" s="123">
        <v>45390</v>
      </c>
      <c r="Q1051" s="34">
        <v>85</v>
      </c>
      <c r="R1051" s="33">
        <f>IF(Q1051="","",Q1051-N1051)</f>
        <v>10</v>
      </c>
      <c r="S1051" s="34">
        <v>8</v>
      </c>
      <c r="T1051" s="34">
        <f t="shared" si="165"/>
        <v>1</v>
      </c>
      <c r="U1051" s="33">
        <f>R1051*S1051*T1051</f>
        <v>80</v>
      </c>
      <c r="V1051" s="38" t="s">
        <v>827</v>
      </c>
      <c r="W1051" s="39">
        <f>IFERROR(IF(E1051="Gaz","-",R1051/N1051),"-")</f>
        <v>0.13333333333333333</v>
      </c>
      <c r="X1051" s="40" t="s">
        <v>304</v>
      </c>
      <c r="Y1051" s="40" t="s">
        <v>284</v>
      </c>
      <c r="Z1051" s="40" t="s">
        <v>305</v>
      </c>
      <c r="AA1051" s="33" t="s">
        <v>771</v>
      </c>
      <c r="AB1051" s="95"/>
      <c r="AC1051" s="95"/>
    </row>
    <row r="1052" spans="1:29" ht="14.45" hidden="1" customHeight="1" x14ac:dyDescent="0.25">
      <c r="A1052" s="36" t="str">
        <f>INDEX('Base de données Mono'!C:C,MATCH(B1052,'Base de données Mono'!D:D,0))</f>
        <v>VERSAILLES</v>
      </c>
      <c r="B1052" t="s">
        <v>38</v>
      </c>
      <c r="C1052" s="36" t="str">
        <f>INDEX('Base de données Mono'!B:B,MATCH(B1052,'Base de données Mono'!D:D,0))</f>
        <v>SES8</v>
      </c>
      <c r="D1052" s="36" t="str">
        <f>INDEX('Base de données Mono'!A:A,MATCH(B1052,'Base de données Mono'!D:D,0))</f>
        <v>AD</v>
      </c>
      <c r="E1052" s="37" t="s">
        <v>303</v>
      </c>
      <c r="F1052" s="41">
        <f t="shared" si="160"/>
        <v>15</v>
      </c>
      <c r="G1052" s="41">
        <f t="shared" si="161"/>
        <v>4</v>
      </c>
      <c r="H1052">
        <v>8</v>
      </c>
      <c r="I1052" s="131">
        <f>INDEX('Base de données Mono'!K:K,MATCH(B1052,'Base de données Mono'!D:D,0))</f>
        <v>0.1875</v>
      </c>
      <c r="J1052" s="131">
        <f>INDEX('Base de données Mono'!L:L,MATCH(B1052,'Base de données Mono'!D:D,0))</f>
        <v>0.85416666666666663</v>
      </c>
      <c r="K1052" s="131" t="str">
        <f>INDEX('Base de données Mono'!M:M,MATCH(B1052,'Base de données Mono'!D:D,0))</f>
        <v>-</v>
      </c>
      <c r="L1052" s="131" t="str">
        <f>INDEX('Base de données Mono'!N:N,MATCH(B1052,'Base de données Mono'!D:D,0))</f>
        <v>-</v>
      </c>
      <c r="M1052" s="33" t="s">
        <v>46</v>
      </c>
      <c r="N1052" s="33">
        <f>IF(AND(E1052="Electricité",M1052="Hiver"),INDEX('Base de données Mono'!E:E,MATCH(B1052,'Base de données Mono'!D:D,0)),IF(AND(E1052="Electricité",M1052="Mi-saison"),INDEX('Base de données Mono'!F:F,MATCH(B1052,'Base de données Mono'!D:D,0)),IF(AND(E1052="Electricité",M1052="Eté"),INDEX('Base de données Mono'!G:G,MATCH(B1052,'Base de données Mono'!D:D,0)),IF(AND(E1052="Gaz",M1052="Hiver"),INDEX('Base de données Mono'!J:J,MATCH(B1052,'Base de données Mono'!D:D,0)),IF(AND(E1052="Gaz",M1052="Mi-saison"),INDEX('Base de données Mono'!#REF!,MATCH(B1052,'Base de données Mono'!D:D,0)),IF(AND(E1052="Gaz",M1052="Eté"),INDEX('Base de données Mono'!#REF!,MATCH(B1052,'Base de données Mono'!D:D,0)),"-"))))))</f>
        <v>75</v>
      </c>
      <c r="O1052" s="123">
        <v>45390</v>
      </c>
      <c r="P1052" s="123">
        <v>45396</v>
      </c>
      <c r="Q1052" s="34">
        <v>130</v>
      </c>
      <c r="R1052" s="33">
        <f>IF(Q1052="","",Q1052-N1052)</f>
        <v>55</v>
      </c>
      <c r="S1052" s="34">
        <v>0.5</v>
      </c>
      <c r="T1052" s="34">
        <f t="shared" si="165"/>
        <v>6</v>
      </c>
      <c r="U1052" s="33">
        <f>R1052*S1052*T1052</f>
        <v>165</v>
      </c>
      <c r="V1052" s="38" t="s">
        <v>827</v>
      </c>
      <c r="W1052" s="39">
        <f>IFERROR(IF(E1052="Gaz","-",R1052/N1052),"-")</f>
        <v>0.73333333333333328</v>
      </c>
      <c r="X1052" s="40" t="s">
        <v>304</v>
      </c>
      <c r="Y1052" s="40" t="s">
        <v>284</v>
      </c>
      <c r="Z1052" s="40" t="s">
        <v>307</v>
      </c>
      <c r="AA1052" s="33" t="s">
        <v>313</v>
      </c>
      <c r="AB1052" s="95"/>
      <c r="AC1052" s="95"/>
    </row>
    <row r="1053" spans="1:29" ht="14.45" hidden="1" customHeight="1" x14ac:dyDescent="0.25">
      <c r="A1053" s="36" t="str">
        <f>INDEX('Base de données Mono'!C:C,MATCH(B1053,'Base de données Mono'!D:D,0))</f>
        <v>VERSAILLES</v>
      </c>
      <c r="B1053" t="s">
        <v>38</v>
      </c>
      <c r="C1053" s="36" t="str">
        <f>INDEX('Base de données Mono'!B:B,MATCH(B1053,'Base de données Mono'!D:D,0))</f>
        <v>SES8</v>
      </c>
      <c r="D1053" s="36" t="str">
        <f>INDEX('Base de données Mono'!A:A,MATCH(B1053,'Base de données Mono'!D:D,0))</f>
        <v>AD</v>
      </c>
      <c r="E1053" s="37" t="s">
        <v>303</v>
      </c>
      <c r="F1053" s="41">
        <f t="shared" si="160"/>
        <v>15</v>
      </c>
      <c r="G1053" s="41">
        <f t="shared" si="161"/>
        <v>4</v>
      </c>
      <c r="H1053">
        <v>8</v>
      </c>
      <c r="I1053" s="131">
        <f>INDEX('Base de données Mono'!K:K,MATCH(B1053,'Base de données Mono'!D:D,0))</f>
        <v>0.1875</v>
      </c>
      <c r="J1053" s="131">
        <f>INDEX('Base de données Mono'!L:L,MATCH(B1053,'Base de données Mono'!D:D,0))</f>
        <v>0.85416666666666663</v>
      </c>
      <c r="K1053" s="131" t="str">
        <f>INDEX('Base de données Mono'!M:M,MATCH(B1053,'Base de données Mono'!D:D,0))</f>
        <v>-</v>
      </c>
      <c r="L1053" s="131" t="str">
        <f>INDEX('Base de données Mono'!N:N,MATCH(B1053,'Base de données Mono'!D:D,0))</f>
        <v>-</v>
      </c>
      <c r="M1053" s="33" t="s">
        <v>46</v>
      </c>
      <c r="N1053" s="33">
        <f>IF(AND(E1053="Electricité",M1053="Hiver"),INDEX('Base de données Mono'!E:E,MATCH(B1053,'Base de données Mono'!D:D,0)),IF(AND(E1053="Electricité",M1053="Mi-saison"),INDEX('Base de données Mono'!F:F,MATCH(B1053,'Base de données Mono'!D:D,0)),IF(AND(E1053="Electricité",M1053="Eté"),INDEX('Base de données Mono'!G:G,MATCH(B1053,'Base de données Mono'!D:D,0)),IF(AND(E1053="Gaz",M1053="Hiver"),INDEX('Base de données Mono'!J:J,MATCH(B1053,'Base de données Mono'!D:D,0)),IF(AND(E1053="Gaz",M1053="Mi-saison"),INDEX('Base de données Mono'!#REF!,MATCH(B1053,'Base de données Mono'!D:D,0)),IF(AND(E1053="Gaz",M1053="Eté"),INDEX('Base de données Mono'!#REF!,MATCH(B1053,'Base de données Mono'!D:D,0)),"-"))))))</f>
        <v>75</v>
      </c>
      <c r="O1053" s="123">
        <v>45390</v>
      </c>
      <c r="P1053" s="123">
        <v>45396</v>
      </c>
      <c r="Q1053" s="34">
        <v>85</v>
      </c>
      <c r="R1053" s="33">
        <f>IF(Q1053="","",Q1053-N1053)</f>
        <v>10</v>
      </c>
      <c r="S1053" s="34">
        <v>7.5</v>
      </c>
      <c r="T1053" s="34">
        <f t="shared" si="165"/>
        <v>6</v>
      </c>
      <c r="U1053" s="33">
        <f>R1053*S1053*T1053</f>
        <v>450</v>
      </c>
      <c r="V1053" s="38" t="s">
        <v>827</v>
      </c>
      <c r="W1053" s="39">
        <f>IFERROR(IF(E1053="Gaz","-",R1053/N1053),"-")</f>
        <v>0.13333333333333333</v>
      </c>
      <c r="X1053" s="40" t="s">
        <v>304</v>
      </c>
      <c r="Y1053" s="40" t="s">
        <v>284</v>
      </c>
      <c r="Z1053" s="40" t="s">
        <v>305</v>
      </c>
      <c r="AA1053" s="33" t="s">
        <v>771</v>
      </c>
      <c r="AB1053" s="95"/>
      <c r="AC1053" s="95"/>
    </row>
    <row r="1054" spans="1:29" ht="14.45" hidden="1" customHeight="1" x14ac:dyDescent="0.25">
      <c r="A1054" s="36" t="str">
        <f>INDEX('Base de données Mono'!C:C,MATCH(B1054,'Base de données Mono'!D:D,0))</f>
        <v>MOZART</v>
      </c>
      <c r="B1054" t="s">
        <v>27</v>
      </c>
      <c r="C1054" s="36" t="str">
        <f>INDEX('Base de données Mono'!B:B,MATCH(B1054,'Base de données Mono'!D:D,0))</f>
        <v>SES8</v>
      </c>
      <c r="D1054" s="36" t="str">
        <f>INDEX('Base de données Mono'!A:A,MATCH(B1054,'Base de données Mono'!D:D,0))</f>
        <v>AD</v>
      </c>
      <c r="E1054" s="37" t="s">
        <v>303</v>
      </c>
      <c r="F1054" s="41">
        <f t="shared" ref="F1054:F1076" si="166">IF(O1054="","-",IF(AND(X1054="Nuit",WEEKDAY(O1054,2)=7,O1054&lt;&gt;P1054),WEEKNUM(O1054,2),WEEKNUM(O1054,2)-1))+1</f>
        <v>15</v>
      </c>
      <c r="G1054" s="41">
        <f t="shared" ref="G1054:G1076" si="167">IF(O1054="","-",MONTH(O1054))</f>
        <v>4</v>
      </c>
      <c r="I1054" s="131">
        <f>INDEX('Base de données Mono'!K:K,MATCH(B1054,'Base de données Mono'!D:D,0))</f>
        <v>0.23611111111111113</v>
      </c>
      <c r="J1054" s="131">
        <f>INDEX('Base de données Mono'!L:L,MATCH(B1054,'Base de données Mono'!D:D,0))</f>
        <v>0.92708333333333337</v>
      </c>
      <c r="K1054" s="131">
        <f>INDEX('Base de données Mono'!M:M,MATCH(B1054,'Base de données Mono'!D:D,0))</f>
        <v>0.23611111111111113</v>
      </c>
      <c r="L1054" s="131">
        <f>INDEX('Base de données Mono'!N:N,MATCH(B1054,'Base de données Mono'!D:D,0))</f>
        <v>0.54166666666666663</v>
      </c>
      <c r="M1054" s="33" t="s">
        <v>46</v>
      </c>
      <c r="N1054" s="33">
        <f>IF(AND(E1054="Electricité",M1054="Hiver"),INDEX('Base de données Mono'!E:E,MATCH(B1054,'Base de données Mono'!D:D,0)),IF(AND(E1054="Electricité",M1054="Mi-saison"),INDEX('Base de données Mono'!F:F,MATCH(B1054,'Base de données Mono'!D:D,0)),IF(AND(E1054="Electricité",M1054="Eté"),INDEX('Base de données Mono'!G:G,MATCH(B1054,'Base de données Mono'!D:D,0)),IF(AND(E1054="Gaz",M1054="Hiver"),INDEX('Base de données Mono'!J:J,MATCH(B1054,'Base de données Mono'!D:D,0)),IF(AND(E1054="Gaz",M1054="Mi-saison"),INDEX('Base de données Mono'!#REF!,MATCH(B1054,'Base de données Mono'!D:D,0)),IF(AND(E1054="Gaz",M1054="Eté"),INDEX('Base de données Mono'!#REF!,MATCH(B1054,'Base de données Mono'!D:D,0)),"-"))))))</f>
        <v>35</v>
      </c>
      <c r="O1054" s="123">
        <v>45396</v>
      </c>
      <c r="P1054" s="123">
        <v>45396</v>
      </c>
      <c r="Q1054" s="34">
        <v>95</v>
      </c>
      <c r="R1054" s="33">
        <f t="shared" ref="R1054:R1075" si="168">IF(Q1054="","",Q1054-N1054)</f>
        <v>60</v>
      </c>
      <c r="S1054" s="34">
        <v>6.8</v>
      </c>
      <c r="T1054" s="34">
        <v>1</v>
      </c>
      <c r="U1054" s="33">
        <f t="shared" ref="U1054:U1076" si="169">R1054*S1054*T1054</f>
        <v>408</v>
      </c>
      <c r="V1054" s="38" t="s">
        <v>827</v>
      </c>
      <c r="W1054" s="39">
        <f t="shared" ref="W1054:W1076" si="170">IFERROR(IF(E1054="Gaz","-",R1054/N1054),"-")</f>
        <v>1.7142857142857142</v>
      </c>
      <c r="X1054" s="40" t="s">
        <v>730</v>
      </c>
      <c r="Y1054" s="40" t="s">
        <v>284</v>
      </c>
      <c r="Z1054" s="40" t="s">
        <v>307</v>
      </c>
      <c r="AA1054" s="33" t="s">
        <v>308</v>
      </c>
      <c r="AB1054" s="95"/>
      <c r="AC1054" s="95"/>
    </row>
    <row r="1055" spans="1:29" ht="14.45" hidden="1" customHeight="1" x14ac:dyDescent="0.25">
      <c r="A1055" s="36" t="str">
        <f>INDEX('Base de données Mono'!C:C,MATCH(B1055,'Base de données Mono'!D:D,0))</f>
        <v>MOZART</v>
      </c>
      <c r="B1055" t="s">
        <v>27</v>
      </c>
      <c r="C1055" s="36" t="str">
        <f>INDEX('Base de données Mono'!B:B,MATCH(B1055,'Base de données Mono'!D:D,0))</f>
        <v>SES8</v>
      </c>
      <c r="D1055" s="36" t="str">
        <f>INDEX('Base de données Mono'!A:A,MATCH(B1055,'Base de données Mono'!D:D,0))</f>
        <v>AD</v>
      </c>
      <c r="E1055" s="37" t="s">
        <v>303</v>
      </c>
      <c r="F1055" s="41">
        <f t="shared" si="166"/>
        <v>15</v>
      </c>
      <c r="G1055" s="41">
        <f t="shared" si="167"/>
        <v>4</v>
      </c>
      <c r="I1055" s="131">
        <f>INDEX('Base de données Mono'!K:K,MATCH(B1055,'Base de données Mono'!D:D,0))</f>
        <v>0.23611111111111113</v>
      </c>
      <c r="J1055" s="131">
        <f>INDEX('Base de données Mono'!L:L,MATCH(B1055,'Base de données Mono'!D:D,0))</f>
        <v>0.92708333333333337</v>
      </c>
      <c r="K1055" s="131">
        <f>INDEX('Base de données Mono'!M:M,MATCH(B1055,'Base de données Mono'!D:D,0))</f>
        <v>0.23611111111111113</v>
      </c>
      <c r="L1055" s="131">
        <f>INDEX('Base de données Mono'!N:N,MATCH(B1055,'Base de données Mono'!D:D,0))</f>
        <v>0.54166666666666663</v>
      </c>
      <c r="M1055" s="33" t="s">
        <v>46</v>
      </c>
      <c r="N1055" s="33">
        <f>IF(AND(E1055="Electricité",M1055="Hiver"),INDEX('Base de données Mono'!E:E,MATCH(B1055,'Base de données Mono'!D:D,0)),IF(AND(E1055="Electricité",M1055="Mi-saison"),INDEX('Base de données Mono'!F:F,MATCH(B1055,'Base de données Mono'!D:D,0)),IF(AND(E1055="Electricité",M1055="Eté"),INDEX('Base de données Mono'!G:G,MATCH(B1055,'Base de données Mono'!D:D,0)),IF(AND(E1055="Gaz",M1055="Hiver"),INDEX('Base de données Mono'!J:J,MATCH(B1055,'Base de données Mono'!D:D,0)),IF(AND(E1055="Gaz",M1055="Mi-saison"),INDEX('Base de données Mono'!#REF!,MATCH(B1055,'Base de données Mono'!D:D,0)),IF(AND(E1055="Gaz",M1055="Eté"),INDEX('Base de données Mono'!#REF!,MATCH(B1055,'Base de données Mono'!D:D,0)),"-"))))))</f>
        <v>35</v>
      </c>
      <c r="O1055" s="123">
        <v>45396</v>
      </c>
      <c r="P1055" s="123">
        <v>45396</v>
      </c>
      <c r="Q1055" s="34">
        <v>40</v>
      </c>
      <c r="R1055" s="33">
        <f t="shared" si="168"/>
        <v>5</v>
      </c>
      <c r="S1055" s="34">
        <v>2.2000000000000002</v>
      </c>
      <c r="T1055" s="34">
        <v>1</v>
      </c>
      <c r="U1055" s="33">
        <f t="shared" si="169"/>
        <v>11</v>
      </c>
      <c r="V1055" s="38" t="s">
        <v>827</v>
      </c>
      <c r="W1055" s="39">
        <f t="shared" si="170"/>
        <v>0.14285714285714285</v>
      </c>
      <c r="X1055" s="40" t="s">
        <v>730</v>
      </c>
      <c r="Y1055" s="40" t="s">
        <v>284</v>
      </c>
      <c r="Z1055" s="40" t="s">
        <v>305</v>
      </c>
      <c r="AA1055" s="33" t="s">
        <v>771</v>
      </c>
      <c r="AB1055" s="95"/>
      <c r="AC1055" s="95"/>
    </row>
    <row r="1056" spans="1:29" ht="14.45" hidden="1" customHeight="1" x14ac:dyDescent="0.25">
      <c r="A1056" s="36" t="str">
        <f>INDEX('Base de données Mono'!C:C,MATCH(B1056,'Base de données Mono'!D:D,0))</f>
        <v>VIENNE PYRAMIDE</v>
      </c>
      <c r="B1056" t="s">
        <v>271</v>
      </c>
      <c r="C1056" s="36" t="str">
        <f>INDEX('Base de données Mono'!B:B,MATCH(B1056,'Base de données Mono'!D:D,0))</f>
        <v>Franchisés</v>
      </c>
      <c r="D1056" s="36" t="str">
        <f>INDEX('Base de données Mono'!A:A,MATCH(B1056,'Base de données Mono'!D:D,0))</f>
        <v>AD</v>
      </c>
      <c r="E1056" s="37" t="s">
        <v>303</v>
      </c>
      <c r="F1056" s="41">
        <f t="shared" si="166"/>
        <v>15</v>
      </c>
      <c r="G1056" s="41">
        <f t="shared" si="167"/>
        <v>4</v>
      </c>
      <c r="I1056" s="131">
        <f>INDEX('Base de données Mono'!K:K,MATCH(B1056,'Base de données Mono'!D:D,0))</f>
        <v>0.24305555555555555</v>
      </c>
      <c r="J1056" s="131">
        <f>INDEX('Base de données Mono'!L:L,MATCH(B1056,'Base de données Mono'!D:D,0))</f>
        <v>0.83333333333333337</v>
      </c>
      <c r="K1056" s="131">
        <f>INDEX('Base de données Mono'!M:M,MATCH(B1056,'Base de données Mono'!D:D,0))</f>
        <v>0.29166666666666669</v>
      </c>
      <c r="L1056" s="131">
        <f>INDEX('Base de données Mono'!N:N,MATCH(B1056,'Base de données Mono'!D:D,0))</f>
        <v>0.54166666666666663</v>
      </c>
      <c r="M1056" s="33" t="s">
        <v>46</v>
      </c>
      <c r="N1056" s="33">
        <f>IF(AND(E1056="Electricité",M1056="Hiver"),INDEX('Base de données Mono'!E:E,MATCH(B1056,'Base de données Mono'!D:D,0)),IF(AND(E1056="Electricité",M1056="Mi-saison"),INDEX('Base de données Mono'!F:F,MATCH(B1056,'Base de données Mono'!D:D,0)),IF(AND(E1056="Electricité",M1056="Eté"),INDEX('Base de données Mono'!G:G,MATCH(B1056,'Base de données Mono'!D:D,0)),IF(AND(E1056="Gaz",M1056="Hiver"),INDEX('Base de données Mono'!J:J,MATCH(B1056,'Base de données Mono'!D:D,0)),IF(AND(E1056="Gaz",M1056="Mi-saison"),INDEX('Base de données Mono'!#REF!,MATCH(B1056,'Base de données Mono'!D:D,0)),IF(AND(E1056="Gaz",M1056="Eté"),INDEX('Base de données Mono'!#REF!,MATCH(B1056,'Base de données Mono'!D:D,0)),"-"))))))</f>
        <v>45</v>
      </c>
      <c r="O1056" s="123">
        <v>45396</v>
      </c>
      <c r="P1056" s="123">
        <v>45396</v>
      </c>
      <c r="Q1056" s="34">
        <v>55</v>
      </c>
      <c r="R1056" s="33">
        <f t="shared" si="168"/>
        <v>10</v>
      </c>
      <c r="S1056" s="34">
        <v>7</v>
      </c>
      <c r="T1056" s="34">
        <v>1</v>
      </c>
      <c r="U1056" s="33">
        <f t="shared" si="169"/>
        <v>70</v>
      </c>
      <c r="V1056" s="38" t="s">
        <v>827</v>
      </c>
      <c r="W1056" s="39">
        <f t="shared" si="170"/>
        <v>0.22222222222222221</v>
      </c>
      <c r="X1056" s="40" t="s">
        <v>730</v>
      </c>
      <c r="Y1056" s="40" t="s">
        <v>284</v>
      </c>
      <c r="Z1056" s="40" t="s">
        <v>305</v>
      </c>
      <c r="AA1056" s="33" t="s">
        <v>771</v>
      </c>
      <c r="AB1056" s="95"/>
      <c r="AC1056" s="95"/>
    </row>
    <row r="1057" spans="1:29" ht="14.45" hidden="1" customHeight="1" x14ac:dyDescent="0.25">
      <c r="A1057" s="36" t="str">
        <f>INDEX('Base de données Mono'!C:C,MATCH(B1057,'Base de données Mono'!D:D,0))</f>
        <v>FONTENAY SOUS BOIS</v>
      </c>
      <c r="B1057" t="s">
        <v>131</v>
      </c>
      <c r="C1057" s="36" t="str">
        <f>INDEX('Base de données Mono'!B:B,MATCH(B1057,'Base de données Mono'!D:D,0))</f>
        <v>SES8</v>
      </c>
      <c r="D1057" s="36" t="str">
        <f>INDEX('Base de données Mono'!A:A,MATCH(B1057,'Base de données Mono'!D:D,0))</f>
        <v>JG</v>
      </c>
      <c r="E1057" s="37" t="s">
        <v>303</v>
      </c>
      <c r="F1057" s="41">
        <f t="shared" si="166"/>
        <v>15</v>
      </c>
      <c r="G1057" s="41">
        <f t="shared" si="167"/>
        <v>4</v>
      </c>
      <c r="I1057" s="131">
        <f>INDEX('Base de données Mono'!K:K,MATCH(B1057,'Base de données Mono'!D:D,0))</f>
        <v>0.24305555555555555</v>
      </c>
      <c r="J1057" s="131">
        <f>INDEX('Base de données Mono'!L:L,MATCH(B1057,'Base de données Mono'!D:D,0))</f>
        <v>0.89583333333333337</v>
      </c>
      <c r="K1057" s="131">
        <f>INDEX('Base de données Mono'!M:M,MATCH(B1057,'Base de données Mono'!D:D,0))</f>
        <v>0.27083333333333331</v>
      </c>
      <c r="L1057" s="131">
        <f>INDEX('Base de données Mono'!N:N,MATCH(B1057,'Base de données Mono'!D:D,0))</f>
        <v>0.5625</v>
      </c>
      <c r="M1057" s="33" t="s">
        <v>46</v>
      </c>
      <c r="N1057" s="33">
        <f>IF(AND(E1057="Electricité",M1057="Hiver"),INDEX('Base de données Mono'!E:E,MATCH(B1057,'Base de données Mono'!D:D,0)),IF(AND(E1057="Electricité",M1057="Mi-saison"),INDEX('Base de données Mono'!F:F,MATCH(B1057,'Base de données Mono'!D:D,0)),IF(AND(E1057="Electricité",M1057="Eté"),INDEX('Base de données Mono'!G:G,MATCH(B1057,'Base de données Mono'!D:D,0)),IF(AND(E1057="Gaz",M1057="Hiver"),INDEX('Base de données Mono'!J:J,MATCH(B1057,'Base de données Mono'!D:D,0)),IF(AND(E1057="Gaz",M1057="Mi-saison"),INDEX('Base de données Mono'!#REF!,MATCH(B1057,'Base de données Mono'!D:D,0)),IF(AND(E1057="Gaz",M1057="Eté"),INDEX('Base de données Mono'!#REF!,MATCH(B1057,'Base de données Mono'!D:D,0)),"-"))))))</f>
        <v>55</v>
      </c>
      <c r="O1057" s="123">
        <v>45396</v>
      </c>
      <c r="P1057" s="123">
        <v>45396</v>
      </c>
      <c r="Q1057" s="34">
        <v>110</v>
      </c>
      <c r="R1057" s="33">
        <f t="shared" si="168"/>
        <v>55</v>
      </c>
      <c r="S1057" s="34">
        <v>6</v>
      </c>
      <c r="T1057" s="34">
        <v>1</v>
      </c>
      <c r="U1057" s="33">
        <f t="shared" si="169"/>
        <v>330</v>
      </c>
      <c r="V1057" s="38" t="s">
        <v>827</v>
      </c>
      <c r="W1057" s="39">
        <f t="shared" si="170"/>
        <v>1</v>
      </c>
      <c r="X1057" s="40" t="s">
        <v>730</v>
      </c>
      <c r="Y1057" s="40" t="s">
        <v>284</v>
      </c>
      <c r="Z1057" s="40" t="s">
        <v>307</v>
      </c>
      <c r="AA1057" s="33" t="s">
        <v>308</v>
      </c>
      <c r="AB1057" s="95"/>
      <c r="AC1057" s="95"/>
    </row>
    <row r="1058" spans="1:29" ht="14.45" hidden="1" customHeight="1" x14ac:dyDescent="0.25">
      <c r="A1058" s="36" t="str">
        <f>INDEX('Base de données Mono'!C:C,MATCH(B1058,'Base de données Mono'!D:D,0))</f>
        <v>FONTENAY SOUS BOIS</v>
      </c>
      <c r="B1058" t="s">
        <v>131</v>
      </c>
      <c r="C1058" s="36" t="str">
        <f>INDEX('Base de données Mono'!B:B,MATCH(B1058,'Base de données Mono'!D:D,0))</f>
        <v>SES8</v>
      </c>
      <c r="D1058" s="36" t="str">
        <f>INDEX('Base de données Mono'!A:A,MATCH(B1058,'Base de données Mono'!D:D,0))</f>
        <v>JG</v>
      </c>
      <c r="E1058" s="37" t="s">
        <v>303</v>
      </c>
      <c r="F1058" s="41">
        <f t="shared" si="166"/>
        <v>15</v>
      </c>
      <c r="G1058" s="41">
        <f t="shared" si="167"/>
        <v>4</v>
      </c>
      <c r="I1058" s="131">
        <f>INDEX('Base de données Mono'!K:K,MATCH(B1058,'Base de données Mono'!D:D,0))</f>
        <v>0.24305555555555555</v>
      </c>
      <c r="J1058" s="131">
        <f>INDEX('Base de données Mono'!L:L,MATCH(B1058,'Base de données Mono'!D:D,0))</f>
        <v>0.89583333333333337</v>
      </c>
      <c r="K1058" s="131">
        <f>INDEX('Base de données Mono'!M:M,MATCH(B1058,'Base de données Mono'!D:D,0))</f>
        <v>0.27083333333333331</v>
      </c>
      <c r="L1058" s="131">
        <f>INDEX('Base de données Mono'!N:N,MATCH(B1058,'Base de données Mono'!D:D,0))</f>
        <v>0.5625</v>
      </c>
      <c r="M1058" s="33" t="s">
        <v>46</v>
      </c>
      <c r="N1058" s="33">
        <f>IF(AND(E1058="Electricité",M1058="Hiver"),INDEX('Base de données Mono'!E:E,MATCH(B1058,'Base de données Mono'!D:D,0)),IF(AND(E1058="Electricité",M1058="Mi-saison"),INDEX('Base de données Mono'!F:F,MATCH(B1058,'Base de données Mono'!D:D,0)),IF(AND(E1058="Electricité",M1058="Eté"),INDEX('Base de données Mono'!G:G,MATCH(B1058,'Base de données Mono'!D:D,0)),IF(AND(E1058="Gaz",M1058="Hiver"),INDEX('Base de données Mono'!J:J,MATCH(B1058,'Base de données Mono'!D:D,0)),IF(AND(E1058="Gaz",M1058="Mi-saison"),INDEX('Base de données Mono'!#REF!,MATCH(B1058,'Base de données Mono'!D:D,0)),IF(AND(E1058="Gaz",M1058="Eté"),INDEX('Base de données Mono'!#REF!,MATCH(B1058,'Base de données Mono'!D:D,0)),"-"))))))</f>
        <v>55</v>
      </c>
      <c r="O1058" s="123">
        <v>45396</v>
      </c>
      <c r="P1058" s="123">
        <v>45396</v>
      </c>
      <c r="Q1058" s="34">
        <v>65</v>
      </c>
      <c r="R1058" s="33">
        <f t="shared" si="168"/>
        <v>10</v>
      </c>
      <c r="S1058" s="34">
        <v>2</v>
      </c>
      <c r="T1058" s="34">
        <v>1</v>
      </c>
      <c r="U1058" s="33">
        <f t="shared" si="169"/>
        <v>20</v>
      </c>
      <c r="V1058" s="38" t="s">
        <v>827</v>
      </c>
      <c r="W1058" s="39">
        <f t="shared" si="170"/>
        <v>0.18181818181818182</v>
      </c>
      <c r="X1058" s="40" t="s">
        <v>730</v>
      </c>
      <c r="Y1058" s="40" t="s">
        <v>284</v>
      </c>
      <c r="Z1058" s="40" t="s">
        <v>305</v>
      </c>
      <c r="AA1058" s="33" t="s">
        <v>771</v>
      </c>
      <c r="AB1058" s="95"/>
      <c r="AC1058" s="95"/>
    </row>
    <row r="1059" spans="1:29" ht="14.45" hidden="1" customHeight="1" x14ac:dyDescent="0.25">
      <c r="A1059" s="36" t="str">
        <f>INDEX('Base de données Mono'!C:C,MATCH(B1059,'Base de données Mono'!D:D,0))</f>
        <v>GRASSE</v>
      </c>
      <c r="B1059" t="s">
        <v>16</v>
      </c>
      <c r="C1059" s="36" t="str">
        <f>INDEX('Base de données Mono'!B:B,MATCH(B1059,'Base de données Mono'!D:D,0))</f>
        <v>SES8</v>
      </c>
      <c r="D1059" s="36" t="str">
        <f>INDEX('Base de données Mono'!A:A,MATCH(B1059,'Base de données Mono'!D:D,0))</f>
        <v>JG</v>
      </c>
      <c r="E1059" s="37" t="s">
        <v>303</v>
      </c>
      <c r="F1059" s="41">
        <f t="shared" si="166"/>
        <v>15</v>
      </c>
      <c r="G1059" s="41">
        <f t="shared" si="167"/>
        <v>4</v>
      </c>
      <c r="I1059" s="131">
        <f>INDEX('Base de données Mono'!K:K,MATCH(B1059,'Base de données Mono'!D:D,0))</f>
        <v>0.20833333333333334</v>
      </c>
      <c r="J1059" s="131">
        <f>INDEX('Base de données Mono'!L:L,MATCH(B1059,'Base de données Mono'!D:D,0))</f>
        <v>0.83333333333333337</v>
      </c>
      <c r="K1059" s="131" t="str">
        <f>INDEX('Base de données Mono'!M:M,MATCH(B1059,'Base de données Mono'!D:D,0))</f>
        <v>-</v>
      </c>
      <c r="L1059" s="131" t="str">
        <f>INDEX('Base de données Mono'!N:N,MATCH(B1059,'Base de données Mono'!D:D,0))</f>
        <v>-</v>
      </c>
      <c r="M1059" s="33" t="s">
        <v>46</v>
      </c>
      <c r="N1059" s="33">
        <f>IF(AND(E1059="Electricité",M1059="Hiver"),INDEX('Base de données Mono'!E:E,MATCH(B1059,'Base de données Mono'!D:D,0)),IF(AND(E1059="Electricité",M1059="Mi-saison"),INDEX('Base de données Mono'!F:F,MATCH(B1059,'Base de données Mono'!D:D,0)),IF(AND(E1059="Electricité",M1059="Eté"),INDEX('Base de données Mono'!G:G,MATCH(B1059,'Base de données Mono'!D:D,0)),IF(AND(E1059="Gaz",M1059="Hiver"),INDEX('Base de données Mono'!J:J,MATCH(B1059,'Base de données Mono'!D:D,0)),IF(AND(E1059="Gaz",M1059="Mi-saison"),INDEX('Base de données Mono'!#REF!,MATCH(B1059,'Base de données Mono'!D:D,0)),IF(AND(E1059="Gaz",M1059="Eté"),INDEX('Base de données Mono'!#REF!,MATCH(B1059,'Base de données Mono'!D:D,0)),"-"))))))</f>
        <v>55</v>
      </c>
      <c r="O1059" s="123">
        <v>45396</v>
      </c>
      <c r="P1059" s="123">
        <v>45396</v>
      </c>
      <c r="Q1059" s="34">
        <v>95</v>
      </c>
      <c r="R1059" s="33">
        <f t="shared" si="168"/>
        <v>40</v>
      </c>
      <c r="S1059" s="34">
        <v>7.5</v>
      </c>
      <c r="T1059" s="34">
        <v>1</v>
      </c>
      <c r="U1059" s="33">
        <f t="shared" si="169"/>
        <v>300</v>
      </c>
      <c r="V1059" s="38" t="s">
        <v>827</v>
      </c>
      <c r="W1059" s="39">
        <f t="shared" si="170"/>
        <v>0.72727272727272729</v>
      </c>
      <c r="X1059" s="40" t="s">
        <v>730</v>
      </c>
      <c r="Y1059" s="40" t="s">
        <v>283</v>
      </c>
      <c r="Z1059" s="40"/>
      <c r="AA1059" s="33"/>
      <c r="AB1059" s="95"/>
      <c r="AC1059" s="95"/>
    </row>
    <row r="1060" spans="1:29" ht="14.45" hidden="1" customHeight="1" x14ac:dyDescent="0.25">
      <c r="A1060" s="36" t="str">
        <f>INDEX('Base de données Mono'!C:C,MATCH(B1060,'Base de données Mono'!D:D,0))</f>
        <v>GRASSE</v>
      </c>
      <c r="B1060" t="s">
        <v>16</v>
      </c>
      <c r="C1060" s="36" t="str">
        <f>INDEX('Base de données Mono'!B:B,MATCH(B1060,'Base de données Mono'!D:D,0))</f>
        <v>SES8</v>
      </c>
      <c r="D1060" s="36" t="str">
        <f>INDEX('Base de données Mono'!A:A,MATCH(B1060,'Base de données Mono'!D:D,0))</f>
        <v>JG</v>
      </c>
      <c r="E1060" s="37" t="s">
        <v>303</v>
      </c>
      <c r="F1060" s="41">
        <f t="shared" si="166"/>
        <v>15</v>
      </c>
      <c r="G1060" s="41">
        <f t="shared" si="167"/>
        <v>4</v>
      </c>
      <c r="I1060" s="131">
        <f>INDEX('Base de données Mono'!K:K,MATCH(B1060,'Base de données Mono'!D:D,0))</f>
        <v>0.20833333333333334</v>
      </c>
      <c r="J1060" s="131">
        <f>INDEX('Base de données Mono'!L:L,MATCH(B1060,'Base de données Mono'!D:D,0))</f>
        <v>0.83333333333333337</v>
      </c>
      <c r="K1060" s="131" t="str">
        <f>INDEX('Base de données Mono'!M:M,MATCH(B1060,'Base de données Mono'!D:D,0))</f>
        <v>-</v>
      </c>
      <c r="L1060" s="131" t="str">
        <f>INDEX('Base de données Mono'!N:N,MATCH(B1060,'Base de données Mono'!D:D,0))</f>
        <v>-</v>
      </c>
      <c r="M1060" s="33" t="s">
        <v>46</v>
      </c>
      <c r="N1060" s="33">
        <f>IF(AND(E1060="Electricité",M1060="Hiver"),INDEX('Base de données Mono'!E:E,MATCH(B1060,'Base de données Mono'!D:D,0)),IF(AND(E1060="Electricité",M1060="Mi-saison"),INDEX('Base de données Mono'!F:F,MATCH(B1060,'Base de données Mono'!D:D,0)),IF(AND(E1060="Electricité",M1060="Eté"),INDEX('Base de données Mono'!G:G,MATCH(B1060,'Base de données Mono'!D:D,0)),IF(AND(E1060="Gaz",M1060="Hiver"),INDEX('Base de données Mono'!J:J,MATCH(B1060,'Base de données Mono'!D:D,0)),IF(AND(E1060="Gaz",M1060="Mi-saison"),INDEX('Base de données Mono'!#REF!,MATCH(B1060,'Base de données Mono'!D:D,0)),IF(AND(E1060="Gaz",M1060="Eté"),INDEX('Base de données Mono'!#REF!,MATCH(B1060,'Base de données Mono'!D:D,0)),"-"))))))</f>
        <v>55</v>
      </c>
      <c r="O1060" s="123">
        <v>45396</v>
      </c>
      <c r="P1060" s="123">
        <v>45396</v>
      </c>
      <c r="Q1060" s="34">
        <v>60</v>
      </c>
      <c r="R1060" s="33">
        <f t="shared" si="168"/>
        <v>5</v>
      </c>
      <c r="S1060" s="34">
        <v>7.5</v>
      </c>
      <c r="T1060" s="34">
        <v>1</v>
      </c>
      <c r="U1060" s="33">
        <f t="shared" si="169"/>
        <v>37.5</v>
      </c>
      <c r="V1060" s="38" t="s">
        <v>827</v>
      </c>
      <c r="W1060" s="39">
        <f t="shared" si="170"/>
        <v>9.0909090909090912E-2</v>
      </c>
      <c r="X1060" s="40" t="s">
        <v>730</v>
      </c>
      <c r="Y1060" s="40" t="s">
        <v>284</v>
      </c>
      <c r="Z1060" s="40" t="s">
        <v>305</v>
      </c>
      <c r="AA1060" s="33" t="s">
        <v>771</v>
      </c>
      <c r="AB1060" s="95"/>
      <c r="AC1060" s="95"/>
    </row>
    <row r="1061" spans="1:29" ht="14.45" hidden="1" customHeight="1" x14ac:dyDescent="0.25">
      <c r="A1061" s="36" t="str">
        <f>INDEX('Base de données Mono'!C:C,MATCH(B1061,'Base de données Mono'!D:D,0))</f>
        <v>TOURS NATIONALE</v>
      </c>
      <c r="B1061" t="s">
        <v>37</v>
      </c>
      <c r="C1061" s="36" t="str">
        <f>INDEX('Base de données Mono'!B:B,MATCH(B1061,'Base de données Mono'!D:D,0))</f>
        <v>SES8</v>
      </c>
      <c r="D1061" s="36" t="str">
        <f>INDEX('Base de données Mono'!A:A,MATCH(B1061,'Base de données Mono'!D:D,0))</f>
        <v>AD</v>
      </c>
      <c r="E1061" s="37" t="s">
        <v>303</v>
      </c>
      <c r="F1061" s="41">
        <f t="shared" si="166"/>
        <v>15</v>
      </c>
      <c r="G1061" s="41">
        <f t="shared" si="167"/>
        <v>4</v>
      </c>
      <c r="I1061" s="131">
        <f>INDEX('Base de données Mono'!K:K,MATCH(B1061,'Base de données Mono'!D:D,0))</f>
        <v>0.22916666666666666</v>
      </c>
      <c r="J1061" s="131">
        <f>INDEX('Base de données Mono'!L:L,MATCH(B1061,'Base de données Mono'!D:D,0))</f>
        <v>0.88541666666666663</v>
      </c>
      <c r="K1061" s="131">
        <f>INDEX('Base de données Mono'!M:M,MATCH(B1061,'Base de données Mono'!D:D,0))</f>
        <v>0.31944444444444448</v>
      </c>
      <c r="L1061" s="131">
        <f>INDEX('Base de données Mono'!N:N,MATCH(B1061,'Base de données Mono'!D:D,0))</f>
        <v>0.55208333333333337</v>
      </c>
      <c r="M1061" s="33" t="s">
        <v>46</v>
      </c>
      <c r="N1061" s="33">
        <f>IF(AND(E1061="Electricité",M1061="Hiver"),INDEX('Base de données Mono'!E:E,MATCH(B1061,'Base de données Mono'!D:D,0)),IF(AND(E1061="Electricité",M1061="Mi-saison"),INDEX('Base de données Mono'!F:F,MATCH(B1061,'Base de données Mono'!D:D,0)),IF(AND(E1061="Electricité",M1061="Eté"),INDEX('Base de données Mono'!G:G,MATCH(B1061,'Base de données Mono'!D:D,0)),IF(AND(E1061="Gaz",M1061="Hiver"),INDEX('Base de données Mono'!J:J,MATCH(B1061,'Base de données Mono'!D:D,0)),IF(AND(E1061="Gaz",M1061="Mi-saison"),INDEX('Base de données Mono'!#REF!,MATCH(B1061,'Base de données Mono'!D:D,0)),IF(AND(E1061="Gaz",M1061="Eté"),INDEX('Base de données Mono'!#REF!,MATCH(B1061,'Base de données Mono'!D:D,0)),"-"))))))</f>
        <v>50</v>
      </c>
      <c r="O1061" s="123">
        <v>45396</v>
      </c>
      <c r="P1061" s="123">
        <v>45396</v>
      </c>
      <c r="Q1061" s="34">
        <v>95</v>
      </c>
      <c r="R1061" s="33">
        <f t="shared" si="168"/>
        <v>45</v>
      </c>
      <c r="S1061" s="34">
        <v>5.5</v>
      </c>
      <c r="T1061" s="34">
        <v>1</v>
      </c>
      <c r="U1061" s="33">
        <f t="shared" si="169"/>
        <v>247.5</v>
      </c>
      <c r="V1061" s="38" t="s">
        <v>827</v>
      </c>
      <c r="W1061" s="39">
        <f t="shared" si="170"/>
        <v>0.9</v>
      </c>
      <c r="X1061" s="40" t="s">
        <v>730</v>
      </c>
      <c r="Y1061" s="40" t="s">
        <v>284</v>
      </c>
      <c r="Z1061" s="40" t="s">
        <v>307</v>
      </c>
      <c r="AA1061" s="33" t="s">
        <v>308</v>
      </c>
      <c r="AB1061" s="95"/>
      <c r="AC1061" s="95"/>
    </row>
    <row r="1062" spans="1:29" ht="14.45" hidden="1" customHeight="1" x14ac:dyDescent="0.25">
      <c r="A1062" s="36" t="str">
        <f>INDEX('Base de données Mono'!C:C,MATCH(B1062,'Base de données Mono'!D:D,0))</f>
        <v>TOURS NATIONALE</v>
      </c>
      <c r="B1062" t="s">
        <v>37</v>
      </c>
      <c r="C1062" s="36" t="str">
        <f>INDEX('Base de données Mono'!B:B,MATCH(B1062,'Base de données Mono'!D:D,0))</f>
        <v>SES8</v>
      </c>
      <c r="D1062" s="36" t="str">
        <f>INDEX('Base de données Mono'!A:A,MATCH(B1062,'Base de données Mono'!D:D,0))</f>
        <v>AD</v>
      </c>
      <c r="E1062" s="37" t="s">
        <v>303</v>
      </c>
      <c r="F1062" s="41">
        <f t="shared" si="166"/>
        <v>15</v>
      </c>
      <c r="G1062" s="41">
        <f t="shared" si="167"/>
        <v>4</v>
      </c>
      <c r="I1062" s="131">
        <f>INDEX('Base de données Mono'!K:K,MATCH(B1062,'Base de données Mono'!D:D,0))</f>
        <v>0.22916666666666666</v>
      </c>
      <c r="J1062" s="131">
        <f>INDEX('Base de données Mono'!L:L,MATCH(B1062,'Base de données Mono'!D:D,0))</f>
        <v>0.88541666666666663</v>
      </c>
      <c r="K1062" s="131">
        <f>INDEX('Base de données Mono'!M:M,MATCH(B1062,'Base de données Mono'!D:D,0))</f>
        <v>0.31944444444444448</v>
      </c>
      <c r="L1062" s="131">
        <f>INDEX('Base de données Mono'!N:N,MATCH(B1062,'Base de données Mono'!D:D,0))</f>
        <v>0.55208333333333337</v>
      </c>
      <c r="M1062" s="33" t="s">
        <v>46</v>
      </c>
      <c r="N1062" s="33">
        <f>IF(AND(E1062="Electricité",M1062="Hiver"),INDEX('Base de données Mono'!E:E,MATCH(B1062,'Base de données Mono'!D:D,0)),IF(AND(E1062="Electricité",M1062="Mi-saison"),INDEX('Base de données Mono'!F:F,MATCH(B1062,'Base de données Mono'!D:D,0)),IF(AND(E1062="Electricité",M1062="Eté"),INDEX('Base de données Mono'!G:G,MATCH(B1062,'Base de données Mono'!D:D,0)),IF(AND(E1062="Gaz",M1062="Hiver"),INDEX('Base de données Mono'!J:J,MATCH(B1062,'Base de données Mono'!D:D,0)),IF(AND(E1062="Gaz",M1062="Mi-saison"),INDEX('Base de données Mono'!#REF!,MATCH(B1062,'Base de données Mono'!D:D,0)),IF(AND(E1062="Gaz",M1062="Eté"),INDEX('Base de données Mono'!#REF!,MATCH(B1062,'Base de données Mono'!D:D,0)),"-"))))))</f>
        <v>50</v>
      </c>
      <c r="O1062" s="123">
        <v>45396</v>
      </c>
      <c r="P1062" s="123">
        <v>45396</v>
      </c>
      <c r="Q1062" s="34">
        <v>65</v>
      </c>
      <c r="R1062" s="33">
        <f t="shared" si="168"/>
        <v>15</v>
      </c>
      <c r="S1062" s="34">
        <v>2.5</v>
      </c>
      <c r="T1062" s="34">
        <v>1</v>
      </c>
      <c r="U1062" s="33">
        <f t="shared" si="169"/>
        <v>37.5</v>
      </c>
      <c r="V1062" s="38" t="s">
        <v>827</v>
      </c>
      <c r="W1062" s="39">
        <f t="shared" si="170"/>
        <v>0.3</v>
      </c>
      <c r="X1062" s="40" t="s">
        <v>730</v>
      </c>
      <c r="Y1062" s="40" t="s">
        <v>284</v>
      </c>
      <c r="Z1062" s="40" t="s">
        <v>305</v>
      </c>
      <c r="AA1062" s="33" t="s">
        <v>771</v>
      </c>
      <c r="AB1062" s="95"/>
      <c r="AC1062" s="95"/>
    </row>
    <row r="1063" spans="1:29" ht="14.45" hidden="1" customHeight="1" x14ac:dyDescent="0.25">
      <c r="A1063" s="36" t="str">
        <f>INDEX('Base de données Mono'!C:C,MATCH(B1063,'Base de données Mono'!D:D,0))</f>
        <v>ISSY GAMBETTA</v>
      </c>
      <c r="B1063" t="s">
        <v>17</v>
      </c>
      <c r="C1063" s="36" t="str">
        <f>INDEX('Base de données Mono'!B:B,MATCH(B1063,'Base de données Mono'!D:D,0))</f>
        <v>SES8</v>
      </c>
      <c r="D1063" s="36" t="str">
        <f>INDEX('Base de données Mono'!A:A,MATCH(B1063,'Base de données Mono'!D:D,0))</f>
        <v>AD</v>
      </c>
      <c r="E1063" s="37" t="s">
        <v>303</v>
      </c>
      <c r="F1063" s="41">
        <f t="shared" si="166"/>
        <v>15</v>
      </c>
      <c r="G1063" s="41">
        <f t="shared" si="167"/>
        <v>4</v>
      </c>
      <c r="I1063" s="131">
        <f>INDEX('Base de données Mono'!K:K,MATCH(B1063,'Base de données Mono'!D:D,0))</f>
        <v>0.25</v>
      </c>
      <c r="J1063" s="131">
        <f>INDEX('Base de données Mono'!L:L,MATCH(B1063,'Base de données Mono'!D:D,0))</f>
        <v>0.90625</v>
      </c>
      <c r="K1063" s="131">
        <f>INDEX('Base de données Mono'!M:M,MATCH(B1063,'Base de données Mono'!D:D,0))</f>
        <v>0.3263888888888889</v>
      </c>
      <c r="L1063" s="131">
        <f>INDEX('Base de données Mono'!N:N,MATCH(B1063,'Base de données Mono'!D:D,0))</f>
        <v>0.54166666666666663</v>
      </c>
      <c r="M1063" s="33" t="s">
        <v>46</v>
      </c>
      <c r="N1063" s="33">
        <f>IF(AND(E1063="Electricité",M1063="Hiver"),INDEX('Base de données Mono'!E:E,MATCH(B1063,'Base de données Mono'!D:D,0)),IF(AND(E1063="Electricité",M1063="Mi-saison"),INDEX('Base de données Mono'!F:F,MATCH(B1063,'Base de données Mono'!D:D,0)),IF(AND(E1063="Electricité",M1063="Eté"),INDEX('Base de données Mono'!G:G,MATCH(B1063,'Base de données Mono'!D:D,0)),IF(AND(E1063="Gaz",M1063="Hiver"),INDEX('Base de données Mono'!J:J,MATCH(B1063,'Base de données Mono'!D:D,0)),IF(AND(E1063="Gaz",M1063="Mi-saison"),INDEX('Base de données Mono'!#REF!,MATCH(B1063,'Base de données Mono'!D:D,0)),IF(AND(E1063="Gaz",M1063="Eté"),INDEX('Base de données Mono'!#REF!,MATCH(B1063,'Base de données Mono'!D:D,0)),"-"))))))</f>
        <v>35</v>
      </c>
      <c r="O1063" s="123">
        <v>45396</v>
      </c>
      <c r="P1063" s="123">
        <v>45396</v>
      </c>
      <c r="Q1063" s="34">
        <v>50</v>
      </c>
      <c r="R1063" s="33">
        <f t="shared" si="168"/>
        <v>15</v>
      </c>
      <c r="S1063" s="34">
        <v>7</v>
      </c>
      <c r="T1063" s="34">
        <v>1</v>
      </c>
      <c r="U1063" s="33">
        <f t="shared" si="169"/>
        <v>105</v>
      </c>
      <c r="V1063" s="38" t="s">
        <v>827</v>
      </c>
      <c r="W1063" s="39">
        <f t="shared" si="170"/>
        <v>0.42857142857142855</v>
      </c>
      <c r="X1063" s="40" t="s">
        <v>730</v>
      </c>
      <c r="Y1063" s="40" t="s">
        <v>284</v>
      </c>
      <c r="Z1063" s="40" t="s">
        <v>307</v>
      </c>
      <c r="AA1063" s="33" t="s">
        <v>308</v>
      </c>
      <c r="AB1063" s="95"/>
      <c r="AC1063" s="95"/>
    </row>
    <row r="1064" spans="1:29" ht="14.45" hidden="1" customHeight="1" x14ac:dyDescent="0.25">
      <c r="A1064" s="36" t="str">
        <f>INDEX('Base de données Mono'!C:C,MATCH(B1064,'Base de données Mono'!D:D,0))</f>
        <v>ANGERS LES HALLES</v>
      </c>
      <c r="B1064" t="s">
        <v>4</v>
      </c>
      <c r="C1064" s="36" t="str">
        <f>INDEX('Base de données Mono'!B:B,MATCH(B1064,'Base de données Mono'!D:D,0))</f>
        <v>SES8</v>
      </c>
      <c r="D1064" s="36" t="str">
        <f>INDEX('Base de données Mono'!A:A,MATCH(B1064,'Base de données Mono'!D:D,0))</f>
        <v>AD</v>
      </c>
      <c r="E1064" s="37" t="s">
        <v>303</v>
      </c>
      <c r="F1064" s="41">
        <f t="shared" si="166"/>
        <v>15</v>
      </c>
      <c r="G1064" s="41">
        <f t="shared" si="167"/>
        <v>4</v>
      </c>
      <c r="I1064" s="131">
        <f>INDEX('Base de données Mono'!K:K,MATCH(B1064,'Base de données Mono'!D:D,0))</f>
        <v>0.20833333333333334</v>
      </c>
      <c r="J1064" s="131">
        <f>INDEX('Base de données Mono'!L:L,MATCH(B1064,'Base de données Mono'!D:D,0))</f>
        <v>0.875</v>
      </c>
      <c r="K1064" s="131" t="str">
        <f>INDEX('Base de données Mono'!M:M,MATCH(B1064,'Base de données Mono'!D:D,0))</f>
        <v>-</v>
      </c>
      <c r="L1064" s="131" t="str">
        <f>INDEX('Base de données Mono'!N:N,MATCH(B1064,'Base de données Mono'!D:D,0))</f>
        <v>-</v>
      </c>
      <c r="M1064" s="33" t="s">
        <v>46</v>
      </c>
      <c r="N1064" s="33">
        <f>IF(AND(E1064="Electricité",M1064="Hiver"),INDEX('Base de données Mono'!E:E,MATCH(B1064,'Base de données Mono'!D:D,0)),IF(AND(E1064="Electricité",M1064="Mi-saison"),INDEX('Base de données Mono'!F:F,MATCH(B1064,'Base de données Mono'!D:D,0)),IF(AND(E1064="Electricité",M1064="Eté"),INDEX('Base de données Mono'!G:G,MATCH(B1064,'Base de données Mono'!D:D,0)),IF(AND(E1064="Gaz",M1064="Hiver"),INDEX('Base de données Mono'!J:J,MATCH(B1064,'Base de données Mono'!D:D,0)),IF(AND(E1064="Gaz",M1064="Mi-saison"),INDEX('Base de données Mono'!#REF!,MATCH(B1064,'Base de données Mono'!D:D,0)),IF(AND(E1064="Gaz",M1064="Eté"),INDEX('Base de données Mono'!#REF!,MATCH(B1064,'Base de données Mono'!D:D,0)),"-"))))))</f>
        <v>60</v>
      </c>
      <c r="O1064" s="123">
        <v>45396</v>
      </c>
      <c r="P1064" s="123">
        <v>45396</v>
      </c>
      <c r="Q1064" s="34">
        <v>110</v>
      </c>
      <c r="R1064" s="33">
        <f t="shared" si="168"/>
        <v>50</v>
      </c>
      <c r="S1064" s="34">
        <v>6</v>
      </c>
      <c r="T1064" s="34">
        <v>1</v>
      </c>
      <c r="U1064" s="33">
        <f t="shared" si="169"/>
        <v>300</v>
      </c>
      <c r="V1064" s="38" t="s">
        <v>827</v>
      </c>
      <c r="W1064" s="39">
        <f t="shared" si="170"/>
        <v>0.83333333333333337</v>
      </c>
      <c r="X1064" s="40" t="s">
        <v>730</v>
      </c>
      <c r="Y1064" s="40" t="s">
        <v>284</v>
      </c>
      <c r="Z1064" s="40" t="s">
        <v>307</v>
      </c>
      <c r="AA1064" s="33" t="s">
        <v>308</v>
      </c>
      <c r="AB1064" s="95"/>
      <c r="AC1064" s="95"/>
    </row>
    <row r="1065" spans="1:29" ht="14.45" hidden="1" customHeight="1" x14ac:dyDescent="0.25">
      <c r="A1065" s="36" t="str">
        <f>INDEX('Base de données Mono'!C:C,MATCH(B1065,'Base de données Mono'!D:D,0))</f>
        <v>ANGERS LES HALLES</v>
      </c>
      <c r="B1065" t="s">
        <v>4</v>
      </c>
      <c r="C1065" s="36" t="str">
        <f>INDEX('Base de données Mono'!B:B,MATCH(B1065,'Base de données Mono'!D:D,0))</f>
        <v>SES8</v>
      </c>
      <c r="D1065" s="36" t="str">
        <f>INDEX('Base de données Mono'!A:A,MATCH(B1065,'Base de données Mono'!D:D,0))</f>
        <v>AD</v>
      </c>
      <c r="E1065" s="37" t="s">
        <v>303</v>
      </c>
      <c r="F1065" s="41">
        <f t="shared" si="166"/>
        <v>15</v>
      </c>
      <c r="G1065" s="41">
        <f t="shared" si="167"/>
        <v>4</v>
      </c>
      <c r="I1065" s="131">
        <f>INDEX('Base de données Mono'!K:K,MATCH(B1065,'Base de données Mono'!D:D,0))</f>
        <v>0.20833333333333334</v>
      </c>
      <c r="J1065" s="131">
        <f>INDEX('Base de données Mono'!L:L,MATCH(B1065,'Base de données Mono'!D:D,0))</f>
        <v>0.875</v>
      </c>
      <c r="K1065" s="131" t="str">
        <f>INDEX('Base de données Mono'!M:M,MATCH(B1065,'Base de données Mono'!D:D,0))</f>
        <v>-</v>
      </c>
      <c r="L1065" s="131" t="str">
        <f>INDEX('Base de données Mono'!N:N,MATCH(B1065,'Base de données Mono'!D:D,0))</f>
        <v>-</v>
      </c>
      <c r="M1065" s="33" t="s">
        <v>46</v>
      </c>
      <c r="N1065" s="33">
        <f>IF(AND(E1065="Electricité",M1065="Hiver"),INDEX('Base de données Mono'!E:E,MATCH(B1065,'Base de données Mono'!D:D,0)),IF(AND(E1065="Electricité",M1065="Mi-saison"),INDEX('Base de données Mono'!F:F,MATCH(B1065,'Base de données Mono'!D:D,0)),IF(AND(E1065="Electricité",M1065="Eté"),INDEX('Base de données Mono'!G:G,MATCH(B1065,'Base de données Mono'!D:D,0)),IF(AND(E1065="Gaz",M1065="Hiver"),INDEX('Base de données Mono'!J:J,MATCH(B1065,'Base de données Mono'!D:D,0)),IF(AND(E1065="Gaz",M1065="Mi-saison"),INDEX('Base de données Mono'!#REF!,MATCH(B1065,'Base de données Mono'!D:D,0)),IF(AND(E1065="Gaz",M1065="Eté"),INDEX('Base de données Mono'!#REF!,MATCH(B1065,'Base de données Mono'!D:D,0)),"-"))))))</f>
        <v>60</v>
      </c>
      <c r="O1065" s="123">
        <v>45396</v>
      </c>
      <c r="P1065" s="123">
        <v>45396</v>
      </c>
      <c r="Q1065" s="34">
        <v>70</v>
      </c>
      <c r="R1065" s="33">
        <f t="shared" si="168"/>
        <v>10</v>
      </c>
      <c r="S1065" s="34">
        <v>10</v>
      </c>
      <c r="T1065" s="34">
        <v>1</v>
      </c>
      <c r="U1065" s="33">
        <f t="shared" si="169"/>
        <v>100</v>
      </c>
      <c r="V1065" s="38" t="s">
        <v>827</v>
      </c>
      <c r="W1065" s="39">
        <f t="shared" si="170"/>
        <v>0.16666666666666666</v>
      </c>
      <c r="X1065" s="40" t="s">
        <v>730</v>
      </c>
      <c r="Y1065" s="40" t="s">
        <v>284</v>
      </c>
      <c r="Z1065" s="40" t="s">
        <v>305</v>
      </c>
      <c r="AA1065" s="33" t="s">
        <v>771</v>
      </c>
      <c r="AB1065" s="95"/>
      <c r="AC1065" s="95"/>
    </row>
    <row r="1066" spans="1:29" ht="14.45" hidden="1" customHeight="1" x14ac:dyDescent="0.25">
      <c r="A1066" s="36" t="str">
        <f>INDEX('Base de données Mono'!C:C,MATCH(B1066,'Base de données Mono'!D:D,0))</f>
        <v>NANCY ST SEBASTIEN</v>
      </c>
      <c r="B1066" t="s">
        <v>186</v>
      </c>
      <c r="C1066" s="36" t="str">
        <f>INDEX('Base de données Mono'!B:B,MATCH(B1066,'Base de données Mono'!D:D,0))</f>
        <v>SES8</v>
      </c>
      <c r="D1066" s="36" t="str">
        <f>INDEX('Base de données Mono'!A:A,MATCH(B1066,'Base de données Mono'!D:D,0))</f>
        <v>JG</v>
      </c>
      <c r="E1066" s="37" t="s">
        <v>303</v>
      </c>
      <c r="F1066" s="41">
        <f t="shared" si="166"/>
        <v>15</v>
      </c>
      <c r="G1066" s="41">
        <f t="shared" si="167"/>
        <v>4</v>
      </c>
      <c r="I1066" s="131">
        <f>INDEX('Base de données Mono'!K:K,MATCH(B1066,'Base de données Mono'!D:D,0))</f>
        <v>0.23611111111111113</v>
      </c>
      <c r="J1066" s="131">
        <f>INDEX('Base de données Mono'!L:L,MATCH(B1066,'Base de données Mono'!D:D,0))</f>
        <v>0.86458333333333337</v>
      </c>
      <c r="K1066" s="131" t="str">
        <f>INDEX('Base de données Mono'!M:M,MATCH(B1066,'Base de données Mono'!D:D,0))</f>
        <v>-</v>
      </c>
      <c r="L1066" s="131" t="str">
        <f>INDEX('Base de données Mono'!N:N,MATCH(B1066,'Base de données Mono'!D:D,0))</f>
        <v>-</v>
      </c>
      <c r="M1066" s="33" t="s">
        <v>46</v>
      </c>
      <c r="N1066" s="33">
        <f>IF(AND(E1066="Electricité",M1066="Hiver"),INDEX('Base de données Mono'!E:E,MATCH(B1066,'Base de données Mono'!D:D,0)),IF(AND(E1066="Electricité",M1066="Mi-saison"),INDEX('Base de données Mono'!F:F,MATCH(B1066,'Base de données Mono'!D:D,0)),IF(AND(E1066="Electricité",M1066="Eté"),INDEX('Base de données Mono'!G:G,MATCH(B1066,'Base de données Mono'!D:D,0)),IF(AND(E1066="Gaz",M1066="Hiver"),INDEX('Base de données Mono'!J:J,MATCH(B1066,'Base de données Mono'!D:D,0)),IF(AND(E1066="Gaz",M1066="Mi-saison"),INDEX('Base de données Mono'!#REF!,MATCH(B1066,'Base de données Mono'!D:D,0)),IF(AND(E1066="Gaz",M1066="Eté"),INDEX('Base de données Mono'!#REF!,MATCH(B1066,'Base de données Mono'!D:D,0)),"-"))))))</f>
        <v>85</v>
      </c>
      <c r="O1066" s="123">
        <v>45396</v>
      </c>
      <c r="P1066" s="123">
        <v>45396</v>
      </c>
      <c r="Q1066" s="34">
        <v>105</v>
      </c>
      <c r="R1066" s="33">
        <f t="shared" si="168"/>
        <v>20</v>
      </c>
      <c r="S1066" s="34">
        <v>15</v>
      </c>
      <c r="T1066" s="34">
        <v>1</v>
      </c>
      <c r="U1066" s="33">
        <f t="shared" si="169"/>
        <v>300</v>
      </c>
      <c r="V1066" s="38" t="s">
        <v>827</v>
      </c>
      <c r="W1066" s="39">
        <f t="shared" si="170"/>
        <v>0.23529411764705882</v>
      </c>
      <c r="X1066" s="40" t="s">
        <v>730</v>
      </c>
      <c r="Y1066" s="40" t="s">
        <v>284</v>
      </c>
      <c r="Z1066" s="40" t="s">
        <v>305</v>
      </c>
      <c r="AA1066" s="33" t="s">
        <v>771</v>
      </c>
      <c r="AB1066" s="95"/>
      <c r="AC1066" s="95"/>
    </row>
    <row r="1067" spans="1:29" ht="14.45" hidden="1" customHeight="1" x14ac:dyDescent="0.25">
      <c r="A1067" s="36" t="str">
        <f>INDEX('Base de données Mono'!C:C,MATCH(B1067,'Base de données Mono'!D:D,0))</f>
        <v>TOLBIAC</v>
      </c>
      <c r="B1067" t="s">
        <v>253</v>
      </c>
      <c r="C1067" s="36" t="str">
        <f>INDEX('Base de données Mono'!B:B,MATCH(B1067,'Base de données Mono'!D:D,0))</f>
        <v>SES8</v>
      </c>
      <c r="D1067" s="36" t="str">
        <f>INDEX('Base de données Mono'!A:A,MATCH(B1067,'Base de données Mono'!D:D,0))</f>
        <v>JG</v>
      </c>
      <c r="E1067" s="37" t="s">
        <v>303</v>
      </c>
      <c r="F1067" s="41">
        <f t="shared" si="166"/>
        <v>15</v>
      </c>
      <c r="G1067" s="41">
        <f t="shared" si="167"/>
        <v>4</v>
      </c>
      <c r="I1067" s="131">
        <f>INDEX('Base de données Mono'!K:K,MATCH(B1067,'Base de données Mono'!D:D,0))</f>
        <v>0.24305555555555555</v>
      </c>
      <c r="J1067" s="131">
        <f>INDEX('Base de données Mono'!L:L,MATCH(B1067,'Base de données Mono'!D:D,0))</f>
        <v>0.92708333333333337</v>
      </c>
      <c r="K1067" s="131" t="str">
        <f>INDEX('Base de données Mono'!M:M,MATCH(B1067,'Base de données Mono'!D:D,0))</f>
        <v>-</v>
      </c>
      <c r="L1067" s="131" t="str">
        <f>INDEX('Base de données Mono'!N:N,MATCH(B1067,'Base de données Mono'!D:D,0))</f>
        <v>-</v>
      </c>
      <c r="M1067" s="33" t="s">
        <v>46</v>
      </c>
      <c r="N1067" s="33">
        <f>IF(AND(E1067="Electricité",M1067="Hiver"),INDEX('Base de données Mono'!E:E,MATCH(B1067,'Base de données Mono'!D:D,0)),IF(AND(E1067="Electricité",M1067="Mi-saison"),INDEX('Base de données Mono'!F:F,MATCH(B1067,'Base de données Mono'!D:D,0)),IF(AND(E1067="Electricité",M1067="Eté"),INDEX('Base de données Mono'!G:G,MATCH(B1067,'Base de données Mono'!D:D,0)),IF(AND(E1067="Gaz",M1067="Hiver"),INDEX('Base de données Mono'!J:J,MATCH(B1067,'Base de données Mono'!D:D,0)),IF(AND(E1067="Gaz",M1067="Mi-saison"),INDEX('Base de données Mono'!#REF!,MATCH(B1067,'Base de données Mono'!D:D,0)),IF(AND(E1067="Gaz",M1067="Eté"),INDEX('Base de données Mono'!#REF!,MATCH(B1067,'Base de données Mono'!D:D,0)),"-"))))))</f>
        <v>55</v>
      </c>
      <c r="O1067" s="123">
        <v>45396</v>
      </c>
      <c r="P1067" s="123">
        <v>45396</v>
      </c>
      <c r="Q1067" s="34">
        <v>70</v>
      </c>
      <c r="R1067" s="33">
        <f t="shared" si="168"/>
        <v>15</v>
      </c>
      <c r="S1067" s="34">
        <v>2</v>
      </c>
      <c r="T1067" s="34">
        <v>1</v>
      </c>
      <c r="U1067" s="33">
        <f t="shared" si="169"/>
        <v>30</v>
      </c>
      <c r="V1067" s="38" t="s">
        <v>827</v>
      </c>
      <c r="W1067" s="39">
        <f t="shared" si="170"/>
        <v>0.27272727272727271</v>
      </c>
      <c r="X1067" s="40" t="s">
        <v>730</v>
      </c>
      <c r="Y1067" s="40" t="s">
        <v>284</v>
      </c>
      <c r="Z1067" s="40" t="s">
        <v>305</v>
      </c>
      <c r="AA1067" s="33" t="s">
        <v>771</v>
      </c>
      <c r="AB1067" s="95"/>
      <c r="AC1067" s="95"/>
    </row>
    <row r="1068" spans="1:29" ht="14.45" hidden="1" customHeight="1" x14ac:dyDescent="0.25">
      <c r="A1068" s="36" t="str">
        <f>INDEX('Base de données Mono'!C:C,MATCH(B1068,'Base de données Mono'!D:D,0))</f>
        <v>TOLBIAC</v>
      </c>
      <c r="B1068" t="s">
        <v>253</v>
      </c>
      <c r="C1068" s="36" t="str">
        <f>INDEX('Base de données Mono'!B:B,MATCH(B1068,'Base de données Mono'!D:D,0))</f>
        <v>SES8</v>
      </c>
      <c r="D1068" s="36" t="str">
        <f>INDEX('Base de données Mono'!A:A,MATCH(B1068,'Base de données Mono'!D:D,0))</f>
        <v>JG</v>
      </c>
      <c r="E1068" s="37" t="s">
        <v>303</v>
      </c>
      <c r="F1068" s="41">
        <f t="shared" si="166"/>
        <v>15</v>
      </c>
      <c r="G1068" s="41">
        <f t="shared" si="167"/>
        <v>4</v>
      </c>
      <c r="I1068" s="131">
        <f>INDEX('Base de données Mono'!K:K,MATCH(B1068,'Base de données Mono'!D:D,0))</f>
        <v>0.24305555555555555</v>
      </c>
      <c r="J1068" s="131">
        <f>INDEX('Base de données Mono'!L:L,MATCH(B1068,'Base de données Mono'!D:D,0))</f>
        <v>0.92708333333333337</v>
      </c>
      <c r="K1068" s="131" t="str">
        <f>INDEX('Base de données Mono'!M:M,MATCH(B1068,'Base de données Mono'!D:D,0))</f>
        <v>-</v>
      </c>
      <c r="L1068" s="131" t="str">
        <f>INDEX('Base de données Mono'!N:N,MATCH(B1068,'Base de données Mono'!D:D,0))</f>
        <v>-</v>
      </c>
      <c r="M1068" s="33" t="s">
        <v>46</v>
      </c>
      <c r="N1068" s="33">
        <f>IF(AND(E1068="Electricité",M1068="Hiver"),INDEX('Base de données Mono'!E:E,MATCH(B1068,'Base de données Mono'!D:D,0)),IF(AND(E1068="Electricité",M1068="Mi-saison"),INDEX('Base de données Mono'!F:F,MATCH(B1068,'Base de données Mono'!D:D,0)),IF(AND(E1068="Electricité",M1068="Eté"),INDEX('Base de données Mono'!G:G,MATCH(B1068,'Base de données Mono'!D:D,0)),IF(AND(E1068="Gaz",M1068="Hiver"),INDEX('Base de données Mono'!J:J,MATCH(B1068,'Base de données Mono'!D:D,0)),IF(AND(E1068="Gaz",M1068="Mi-saison"),INDEX('Base de données Mono'!#REF!,MATCH(B1068,'Base de données Mono'!D:D,0)),IF(AND(E1068="Gaz",M1068="Eté"),INDEX('Base de données Mono'!#REF!,MATCH(B1068,'Base de données Mono'!D:D,0)),"-"))))))</f>
        <v>55</v>
      </c>
      <c r="O1068" s="123">
        <v>45396</v>
      </c>
      <c r="P1068" s="123">
        <v>45396</v>
      </c>
      <c r="Q1068" s="34">
        <v>100</v>
      </c>
      <c r="R1068" s="33">
        <f t="shared" si="168"/>
        <v>45</v>
      </c>
      <c r="S1068" s="34">
        <v>15</v>
      </c>
      <c r="T1068" s="34">
        <v>1</v>
      </c>
      <c r="U1068" s="33">
        <f t="shared" si="169"/>
        <v>675</v>
      </c>
      <c r="V1068" s="38" t="s">
        <v>827</v>
      </c>
      <c r="W1068" s="39">
        <f t="shared" si="170"/>
        <v>0.81818181818181823</v>
      </c>
      <c r="X1068" s="40" t="s">
        <v>730</v>
      </c>
      <c r="Y1068" s="40" t="s">
        <v>284</v>
      </c>
      <c r="Z1068" s="40" t="s">
        <v>307</v>
      </c>
      <c r="AA1068" s="33" t="s">
        <v>308</v>
      </c>
      <c r="AB1068" s="95"/>
      <c r="AC1068" s="95"/>
    </row>
    <row r="1069" spans="1:29" ht="14.45" hidden="1" customHeight="1" x14ac:dyDescent="0.25">
      <c r="A1069" s="36" t="str">
        <f>INDEX('Base de données Mono'!C:C,MATCH(B1069,'Base de données Mono'!D:D,0))</f>
        <v>BORDEAUX ST CHRISTOLY</v>
      </c>
      <c r="B1069" t="s">
        <v>6</v>
      </c>
      <c r="C1069" s="36" t="str">
        <f>INDEX('Base de données Mono'!B:B,MATCH(B1069,'Base de données Mono'!D:D,0))</f>
        <v>SES8</v>
      </c>
      <c r="D1069" s="36" t="str">
        <f>INDEX('Base de données Mono'!A:A,MATCH(B1069,'Base de données Mono'!D:D,0))</f>
        <v>AD</v>
      </c>
      <c r="E1069" s="37" t="s">
        <v>303</v>
      </c>
      <c r="F1069" s="41">
        <f t="shared" si="166"/>
        <v>15</v>
      </c>
      <c r="G1069" s="41">
        <f t="shared" si="167"/>
        <v>4</v>
      </c>
      <c r="I1069" s="131">
        <f>INDEX('Base de données Mono'!K:K,MATCH(B1069,'Base de données Mono'!D:D,0))</f>
        <v>0.16666666666666666</v>
      </c>
      <c r="J1069" s="131">
        <f>INDEX('Base de données Mono'!L:L,MATCH(B1069,'Base de données Mono'!D:D,0))</f>
        <v>0.875</v>
      </c>
      <c r="K1069" s="131">
        <f>INDEX('Base de données Mono'!M:M,MATCH(B1069,'Base de données Mono'!D:D,0))</f>
        <v>0.20833333333333334</v>
      </c>
      <c r="L1069" s="131">
        <f>INDEX('Base de données Mono'!N:N,MATCH(B1069,'Base de données Mono'!D:D,0))</f>
        <v>0.54166666666666696</v>
      </c>
      <c r="M1069" s="33" t="s">
        <v>46</v>
      </c>
      <c r="N1069" s="33">
        <f>IF(AND(E1069="Electricité",M1069="Hiver"),INDEX('Base de données Mono'!E:E,MATCH(B1069,'Base de données Mono'!D:D,0)),IF(AND(E1069="Electricité",M1069="Mi-saison"),INDEX('Base de données Mono'!F:F,MATCH(B1069,'Base de données Mono'!D:D,0)),IF(AND(E1069="Electricité",M1069="Eté"),INDEX('Base de données Mono'!G:G,MATCH(B1069,'Base de données Mono'!D:D,0)),IF(AND(E1069="Gaz",M1069="Hiver"),INDEX('Base de données Mono'!J:J,MATCH(B1069,'Base de données Mono'!D:D,0)),IF(AND(E1069="Gaz",M1069="Mi-saison"),INDEX('Base de données Mono'!#REF!,MATCH(B1069,'Base de données Mono'!D:D,0)),IF(AND(E1069="Gaz",M1069="Eté"),INDEX('Base de données Mono'!#REF!,MATCH(B1069,'Base de données Mono'!D:D,0)),"-"))))))</f>
        <v>75</v>
      </c>
      <c r="O1069" s="123">
        <v>45396</v>
      </c>
      <c r="P1069" s="123">
        <v>45396</v>
      </c>
      <c r="Q1069" s="34">
        <v>145</v>
      </c>
      <c r="R1069" s="33">
        <f t="shared" si="168"/>
        <v>70</v>
      </c>
      <c r="S1069" s="34">
        <v>7</v>
      </c>
      <c r="T1069" s="34">
        <v>1</v>
      </c>
      <c r="U1069" s="33">
        <f t="shared" si="169"/>
        <v>490</v>
      </c>
      <c r="V1069" s="38" t="s">
        <v>827</v>
      </c>
      <c r="W1069" s="39">
        <f t="shared" si="170"/>
        <v>0.93333333333333335</v>
      </c>
      <c r="X1069" s="40" t="s">
        <v>730</v>
      </c>
      <c r="Y1069" s="40" t="s">
        <v>284</v>
      </c>
      <c r="Z1069" s="40" t="s">
        <v>307</v>
      </c>
      <c r="AA1069" s="33" t="s">
        <v>308</v>
      </c>
      <c r="AB1069" s="95"/>
      <c r="AC1069" s="95"/>
    </row>
    <row r="1070" spans="1:29" ht="14.45" hidden="1" customHeight="1" x14ac:dyDescent="0.25">
      <c r="A1070" s="36" t="str">
        <f>INDEX('Base de données Mono'!C:C,MATCH(B1070,'Base de données Mono'!D:D,0))</f>
        <v>BORDEAUX ST CHRISTOLY</v>
      </c>
      <c r="B1070" t="s">
        <v>6</v>
      </c>
      <c r="C1070" s="36" t="str">
        <f>INDEX('Base de données Mono'!B:B,MATCH(B1070,'Base de données Mono'!D:D,0))</f>
        <v>SES8</v>
      </c>
      <c r="D1070" s="36" t="str">
        <f>INDEX('Base de données Mono'!A:A,MATCH(B1070,'Base de données Mono'!D:D,0))</f>
        <v>AD</v>
      </c>
      <c r="E1070" s="37" t="s">
        <v>303</v>
      </c>
      <c r="F1070" s="41">
        <f t="shared" si="166"/>
        <v>15</v>
      </c>
      <c r="G1070" s="41">
        <f t="shared" si="167"/>
        <v>4</v>
      </c>
      <c r="I1070" s="131">
        <f>INDEX('Base de données Mono'!K:K,MATCH(B1070,'Base de données Mono'!D:D,0))</f>
        <v>0.16666666666666666</v>
      </c>
      <c r="J1070" s="131">
        <f>INDEX('Base de données Mono'!L:L,MATCH(B1070,'Base de données Mono'!D:D,0))</f>
        <v>0.875</v>
      </c>
      <c r="K1070" s="131">
        <f>INDEX('Base de données Mono'!M:M,MATCH(B1070,'Base de données Mono'!D:D,0))</f>
        <v>0.20833333333333334</v>
      </c>
      <c r="L1070" s="131">
        <f>INDEX('Base de données Mono'!N:N,MATCH(B1070,'Base de données Mono'!D:D,0))</f>
        <v>0.54166666666666696</v>
      </c>
      <c r="M1070" s="33" t="s">
        <v>46</v>
      </c>
      <c r="N1070" s="33">
        <f>IF(AND(E1070="Electricité",M1070="Hiver"),INDEX('Base de données Mono'!E:E,MATCH(B1070,'Base de données Mono'!D:D,0)),IF(AND(E1070="Electricité",M1070="Mi-saison"),INDEX('Base de données Mono'!F:F,MATCH(B1070,'Base de données Mono'!D:D,0)),IF(AND(E1070="Electricité",M1070="Eté"),INDEX('Base de données Mono'!G:G,MATCH(B1070,'Base de données Mono'!D:D,0)),IF(AND(E1070="Gaz",M1070="Hiver"),INDEX('Base de données Mono'!J:J,MATCH(B1070,'Base de données Mono'!D:D,0)),IF(AND(E1070="Gaz",M1070="Mi-saison"),INDEX('Base de données Mono'!#REF!,MATCH(B1070,'Base de données Mono'!D:D,0)),IF(AND(E1070="Gaz",M1070="Eté"),INDEX('Base de données Mono'!#REF!,MATCH(B1070,'Base de données Mono'!D:D,0)),"-"))))))</f>
        <v>75</v>
      </c>
      <c r="O1070" s="123">
        <v>45396</v>
      </c>
      <c r="P1070" s="123">
        <v>45396</v>
      </c>
      <c r="Q1070" s="34">
        <v>105</v>
      </c>
      <c r="R1070" s="33">
        <f t="shared" si="168"/>
        <v>30</v>
      </c>
      <c r="S1070" s="34">
        <v>2</v>
      </c>
      <c r="T1070" s="34">
        <v>1</v>
      </c>
      <c r="U1070" s="33">
        <f t="shared" si="169"/>
        <v>60</v>
      </c>
      <c r="V1070" s="38" t="s">
        <v>827</v>
      </c>
      <c r="W1070" s="39">
        <f t="shared" si="170"/>
        <v>0.4</v>
      </c>
      <c r="X1070" s="40" t="s">
        <v>730</v>
      </c>
      <c r="Y1070" s="40" t="s">
        <v>284</v>
      </c>
      <c r="Z1070" s="40" t="s">
        <v>305</v>
      </c>
      <c r="AA1070" s="33" t="s">
        <v>771</v>
      </c>
      <c r="AB1070" s="95"/>
      <c r="AC1070" s="95"/>
    </row>
    <row r="1071" spans="1:29" ht="14.45" hidden="1" customHeight="1" x14ac:dyDescent="0.25">
      <c r="A1071" s="36" t="str">
        <f>INDEX('Base de données Mono'!C:C,MATCH(B1071,'Base de données Mono'!D:D,0))</f>
        <v>REIMS</v>
      </c>
      <c r="B1071" t="s">
        <v>218</v>
      </c>
      <c r="C1071" s="36" t="str">
        <f>INDEX('Base de données Mono'!B:B,MATCH(B1071,'Base de données Mono'!D:D,0))</f>
        <v>SES8</v>
      </c>
      <c r="D1071" s="36" t="str">
        <f>INDEX('Base de données Mono'!A:A,MATCH(B1071,'Base de données Mono'!D:D,0))</f>
        <v>JG</v>
      </c>
      <c r="E1071" s="37" t="s">
        <v>303</v>
      </c>
      <c r="F1071" s="41">
        <f t="shared" si="166"/>
        <v>15</v>
      </c>
      <c r="G1071" s="41">
        <f t="shared" si="167"/>
        <v>4</v>
      </c>
      <c r="I1071" s="131">
        <f>INDEX('Base de données Mono'!K:K,MATCH(B1071,'Base de données Mono'!D:D,0))</f>
        <v>0.22916666666666666</v>
      </c>
      <c r="J1071" s="131">
        <f>INDEX('Base de données Mono'!L:L,MATCH(B1071,'Base de données Mono'!D:D,0))</f>
        <v>0.85416666666666663</v>
      </c>
      <c r="K1071" s="131">
        <f>INDEX('Base de données Mono'!M:M,MATCH(B1071,'Base de données Mono'!D:D,0))</f>
        <v>0.3125</v>
      </c>
      <c r="L1071" s="131">
        <f>INDEX('Base de données Mono'!N:N,MATCH(B1071,'Base de données Mono'!D:D,0))</f>
        <v>0.5625</v>
      </c>
      <c r="M1071" s="33" t="s">
        <v>46</v>
      </c>
      <c r="N1071" s="33">
        <f>IF(AND(E1071="Electricité",M1071="Hiver"),INDEX('Base de données Mono'!E:E,MATCH(B1071,'Base de données Mono'!D:D,0)),IF(AND(E1071="Electricité",M1071="Mi-saison"),INDEX('Base de données Mono'!F:F,MATCH(B1071,'Base de données Mono'!D:D,0)),IF(AND(E1071="Electricité",M1071="Eté"),INDEX('Base de données Mono'!G:G,MATCH(B1071,'Base de données Mono'!D:D,0)),IF(AND(E1071="Gaz",M1071="Hiver"),INDEX('Base de données Mono'!J:J,MATCH(B1071,'Base de données Mono'!D:D,0)),IF(AND(E1071="Gaz",M1071="Mi-saison"),INDEX('Base de données Mono'!#REF!,MATCH(B1071,'Base de données Mono'!D:D,0)),IF(AND(E1071="Gaz",M1071="Eté"),INDEX('Base de données Mono'!#REF!,MATCH(B1071,'Base de données Mono'!D:D,0)),"-"))))))</f>
        <v>40</v>
      </c>
      <c r="O1071" s="123">
        <v>45396</v>
      </c>
      <c r="P1071" s="123">
        <v>45396</v>
      </c>
      <c r="Q1071" s="34">
        <v>80</v>
      </c>
      <c r="R1071" s="33">
        <f t="shared" si="168"/>
        <v>40</v>
      </c>
      <c r="S1071" s="34">
        <v>5.5</v>
      </c>
      <c r="T1071" s="34">
        <v>1</v>
      </c>
      <c r="U1071" s="33">
        <f t="shared" si="169"/>
        <v>220</v>
      </c>
      <c r="V1071" s="38" t="s">
        <v>827</v>
      </c>
      <c r="W1071" s="39">
        <f t="shared" si="170"/>
        <v>1</v>
      </c>
      <c r="X1071" s="40" t="s">
        <v>730</v>
      </c>
      <c r="Y1071" s="40" t="s">
        <v>284</v>
      </c>
      <c r="Z1071" s="40" t="s">
        <v>307</v>
      </c>
      <c r="AA1071" s="33" t="s">
        <v>308</v>
      </c>
      <c r="AB1071" s="95"/>
      <c r="AC1071" s="95"/>
    </row>
    <row r="1072" spans="1:29" ht="14.45" hidden="1" customHeight="1" x14ac:dyDescent="0.25">
      <c r="A1072" s="36" t="str">
        <f>INDEX('Base de données Mono'!C:C,MATCH(B1072,'Base de données Mono'!D:D,0))</f>
        <v>REPUBLIQUE</v>
      </c>
      <c r="B1072" t="s">
        <v>221</v>
      </c>
      <c r="C1072" s="36" t="str">
        <f>INDEX('Base de données Mono'!B:B,MATCH(B1072,'Base de données Mono'!D:D,0))</f>
        <v>SES8</v>
      </c>
      <c r="D1072" s="36" t="str">
        <f>INDEX('Base de données Mono'!A:A,MATCH(B1072,'Base de données Mono'!D:D,0))</f>
        <v>JG</v>
      </c>
      <c r="E1072" s="37" t="s">
        <v>303</v>
      </c>
      <c r="F1072" s="41">
        <f t="shared" si="166"/>
        <v>15</v>
      </c>
      <c r="G1072" s="41">
        <f t="shared" si="167"/>
        <v>4</v>
      </c>
      <c r="I1072" s="131">
        <f>INDEX('Base de données Mono'!K:K,MATCH(B1072,'Base de données Mono'!D:D,0))</f>
        <v>0.24305555555555555</v>
      </c>
      <c r="J1072" s="131">
        <f>INDEX('Base de données Mono'!L:L,MATCH(B1072,'Base de données Mono'!D:D,0))</f>
        <v>0.94791666666666663</v>
      </c>
      <c r="K1072" s="131">
        <f>INDEX('Base de données Mono'!M:M,MATCH(B1072,'Base de données Mono'!D:D,0))</f>
        <v>0.25</v>
      </c>
      <c r="L1072" s="131">
        <f>INDEX('Base de données Mono'!N:N,MATCH(B1072,'Base de données Mono'!D:D,0))</f>
        <v>0.54166666666666663</v>
      </c>
      <c r="M1072" s="33" t="s">
        <v>46</v>
      </c>
      <c r="N1072" s="33">
        <f>IF(AND(E1072="Electricité",M1072="Hiver"),INDEX('Base de données Mono'!E:E,MATCH(B1072,'Base de données Mono'!D:D,0)),IF(AND(E1072="Electricité",M1072="Mi-saison"),INDEX('Base de données Mono'!F:F,MATCH(B1072,'Base de données Mono'!D:D,0)),IF(AND(E1072="Electricité",M1072="Eté"),INDEX('Base de données Mono'!G:G,MATCH(B1072,'Base de données Mono'!D:D,0)),IF(AND(E1072="Gaz",M1072="Hiver"),INDEX('Base de données Mono'!J:J,MATCH(B1072,'Base de données Mono'!D:D,0)),IF(AND(E1072="Gaz",M1072="Mi-saison"),INDEX('Base de données Mono'!#REF!,MATCH(B1072,'Base de données Mono'!D:D,0)),IF(AND(E1072="Gaz",M1072="Eté"),INDEX('Base de données Mono'!#REF!,MATCH(B1072,'Base de données Mono'!D:D,0)),"-"))))))</f>
        <v>75</v>
      </c>
      <c r="O1072" s="123">
        <v>45396</v>
      </c>
      <c r="P1072" s="123">
        <v>45396</v>
      </c>
      <c r="Q1072" s="34">
        <v>135</v>
      </c>
      <c r="R1072" s="33">
        <f t="shared" si="168"/>
        <v>60</v>
      </c>
      <c r="S1072" s="34">
        <v>7</v>
      </c>
      <c r="T1072" s="34">
        <v>1</v>
      </c>
      <c r="U1072" s="33">
        <f t="shared" si="169"/>
        <v>420</v>
      </c>
      <c r="V1072" s="38" t="s">
        <v>827</v>
      </c>
      <c r="W1072" s="39">
        <f t="shared" si="170"/>
        <v>0.8</v>
      </c>
      <c r="X1072" s="40" t="s">
        <v>730</v>
      </c>
      <c r="Y1072" s="40" t="s">
        <v>284</v>
      </c>
      <c r="Z1072" s="40" t="s">
        <v>307</v>
      </c>
      <c r="AA1072" s="33" t="s">
        <v>308</v>
      </c>
      <c r="AB1072" s="95"/>
      <c r="AC1072" s="95"/>
    </row>
    <row r="1073" spans="1:29" ht="14.45" hidden="1" customHeight="1" x14ac:dyDescent="0.25">
      <c r="A1073" s="36" t="str">
        <f>INDEX('Base de données Mono'!C:C,MATCH(B1073,'Base de données Mono'!D:D,0))</f>
        <v>ST GERMAIN</v>
      </c>
      <c r="B1073" t="s">
        <v>35</v>
      </c>
      <c r="C1073" s="36" t="str">
        <f>INDEX('Base de données Mono'!B:B,MATCH(B1073,'Base de données Mono'!D:D,0))</f>
        <v>SES8</v>
      </c>
      <c r="D1073" s="36" t="str">
        <f>INDEX('Base de données Mono'!A:A,MATCH(B1073,'Base de données Mono'!D:D,0))</f>
        <v>AD</v>
      </c>
      <c r="E1073" s="37" t="s">
        <v>303</v>
      </c>
      <c r="F1073" s="41">
        <f t="shared" si="166"/>
        <v>14</v>
      </c>
      <c r="G1073" s="41">
        <f t="shared" si="167"/>
        <v>4</v>
      </c>
      <c r="I1073" s="131">
        <f>INDEX('Base de données Mono'!K:K,MATCH(B1073,'Base de données Mono'!D:D,0))</f>
        <v>0.24305555555555555</v>
      </c>
      <c r="J1073" s="131">
        <f>INDEX('Base de données Mono'!L:L,MATCH(B1073,'Base de données Mono'!D:D,0))</f>
        <v>0.90625</v>
      </c>
      <c r="K1073" s="131">
        <f>INDEX('Base de données Mono'!M:M,MATCH(B1073,'Base de données Mono'!D:D,0))</f>
        <v>0.28125</v>
      </c>
      <c r="L1073" s="131">
        <f>INDEX('Base de données Mono'!N:N,MATCH(B1073,'Base de données Mono'!D:D,0))</f>
        <v>0.5625</v>
      </c>
      <c r="M1073" s="33" t="s">
        <v>46</v>
      </c>
      <c r="N1073" s="33">
        <f>IF(AND(E1073="Electricité",M1073="Hiver"),INDEX('Base de données Mono'!E:E,MATCH(B1073,'Base de données Mono'!D:D,0)),IF(AND(E1073="Electricité",M1073="Mi-saison"),INDEX('Base de données Mono'!F:F,MATCH(B1073,'Base de données Mono'!D:D,0)),IF(AND(E1073="Electricité",M1073="Eté"),INDEX('Base de données Mono'!G:G,MATCH(B1073,'Base de données Mono'!D:D,0)),IF(AND(E1073="Gaz",M1073="Hiver"),INDEX('Base de données Mono'!J:J,MATCH(B1073,'Base de données Mono'!D:D,0)),IF(AND(E1073="Gaz",M1073="Mi-saison"),INDEX('Base de données Mono'!#REF!,MATCH(B1073,'Base de données Mono'!D:D,0)),IF(AND(E1073="Gaz",M1073="Eté"),INDEX('Base de données Mono'!#REF!,MATCH(B1073,'Base de données Mono'!D:D,0)),"-"))))))</f>
        <v>115</v>
      </c>
      <c r="O1073" s="123">
        <v>45389</v>
      </c>
      <c r="P1073" s="123">
        <v>45389</v>
      </c>
      <c r="Q1073" s="34">
        <v>155</v>
      </c>
      <c r="R1073" s="33">
        <f t="shared" si="168"/>
        <v>40</v>
      </c>
      <c r="S1073" s="34">
        <v>6.5</v>
      </c>
      <c r="T1073" s="34">
        <v>1</v>
      </c>
      <c r="U1073" s="33">
        <f t="shared" si="169"/>
        <v>260</v>
      </c>
      <c r="V1073" s="38" t="s">
        <v>827</v>
      </c>
      <c r="W1073" s="39">
        <f t="shared" si="170"/>
        <v>0.34782608695652173</v>
      </c>
      <c r="X1073" s="40" t="s">
        <v>730</v>
      </c>
      <c r="Y1073" s="40" t="s">
        <v>284</v>
      </c>
      <c r="Z1073" s="40" t="s">
        <v>307</v>
      </c>
      <c r="AA1073" s="33" t="s">
        <v>308</v>
      </c>
      <c r="AB1073" s="95"/>
      <c r="AC1073" s="95"/>
    </row>
    <row r="1074" spans="1:29" ht="14.45" hidden="1" customHeight="1" x14ac:dyDescent="0.25">
      <c r="A1074" s="36" t="str">
        <f>INDEX('Base de données Mono'!C:C,MATCH(B1074,'Base de données Mono'!D:D,0))</f>
        <v>ST GERMAIN</v>
      </c>
      <c r="B1074" t="s">
        <v>35</v>
      </c>
      <c r="C1074" s="36" t="str">
        <f>INDEX('Base de données Mono'!B:B,MATCH(B1074,'Base de données Mono'!D:D,0))</f>
        <v>SES8</v>
      </c>
      <c r="D1074" s="36" t="str">
        <f>INDEX('Base de données Mono'!A:A,MATCH(B1074,'Base de données Mono'!D:D,0))</f>
        <v>AD</v>
      </c>
      <c r="E1074" s="37" t="s">
        <v>303</v>
      </c>
      <c r="F1074" s="41">
        <f t="shared" si="166"/>
        <v>15</v>
      </c>
      <c r="G1074" s="41">
        <f t="shared" si="167"/>
        <v>4</v>
      </c>
      <c r="I1074" s="131">
        <f>INDEX('Base de données Mono'!K:K,MATCH(B1074,'Base de données Mono'!D:D,0))</f>
        <v>0.24305555555555555</v>
      </c>
      <c r="J1074" s="131">
        <f>INDEX('Base de données Mono'!L:L,MATCH(B1074,'Base de données Mono'!D:D,0))</f>
        <v>0.90625</v>
      </c>
      <c r="K1074" s="131">
        <f>INDEX('Base de données Mono'!M:M,MATCH(B1074,'Base de données Mono'!D:D,0))</f>
        <v>0.28125</v>
      </c>
      <c r="L1074" s="131">
        <f>INDEX('Base de données Mono'!N:N,MATCH(B1074,'Base de données Mono'!D:D,0))</f>
        <v>0.5625</v>
      </c>
      <c r="M1074" s="33" t="s">
        <v>46</v>
      </c>
      <c r="N1074" s="33">
        <f>IF(AND(E1074="Electricité",M1074="Hiver"),INDEX('Base de données Mono'!E:E,MATCH(B1074,'Base de données Mono'!D:D,0)),IF(AND(E1074="Electricité",M1074="Mi-saison"),INDEX('Base de données Mono'!F:F,MATCH(B1074,'Base de données Mono'!D:D,0)),IF(AND(E1074="Electricité",M1074="Eté"),INDEX('Base de données Mono'!G:G,MATCH(B1074,'Base de données Mono'!D:D,0)),IF(AND(E1074="Gaz",M1074="Hiver"),INDEX('Base de données Mono'!J:J,MATCH(B1074,'Base de données Mono'!D:D,0)),IF(AND(E1074="Gaz",M1074="Mi-saison"),INDEX('Base de données Mono'!#REF!,MATCH(B1074,'Base de données Mono'!D:D,0)),IF(AND(E1074="Gaz",M1074="Eté"),INDEX('Base de données Mono'!#REF!,MATCH(B1074,'Base de données Mono'!D:D,0)),"-"))))))</f>
        <v>115</v>
      </c>
      <c r="O1074" s="123">
        <v>45396</v>
      </c>
      <c r="P1074" s="123">
        <v>45396</v>
      </c>
      <c r="Q1074" s="34">
        <v>155</v>
      </c>
      <c r="R1074" s="33">
        <f t="shared" si="168"/>
        <v>40</v>
      </c>
      <c r="S1074" s="34">
        <v>6.5</v>
      </c>
      <c r="T1074" s="34">
        <v>1</v>
      </c>
      <c r="U1074" s="33">
        <f t="shared" si="169"/>
        <v>260</v>
      </c>
      <c r="V1074" s="38" t="s">
        <v>827</v>
      </c>
      <c r="W1074" s="39">
        <f t="shared" si="170"/>
        <v>0.34782608695652173</v>
      </c>
      <c r="X1074" s="40" t="s">
        <v>730</v>
      </c>
      <c r="Y1074" s="40" t="s">
        <v>284</v>
      </c>
      <c r="Z1074" s="40" t="s">
        <v>307</v>
      </c>
      <c r="AA1074" s="33" t="s">
        <v>308</v>
      </c>
      <c r="AB1074" s="95"/>
      <c r="AC1074" s="95"/>
    </row>
    <row r="1075" spans="1:29" ht="14.45" hidden="1" customHeight="1" x14ac:dyDescent="0.25">
      <c r="A1075" s="36" t="str">
        <f>INDEX('Base de données Mono'!C:C,MATCH(B1075,'Base de données Mono'!D:D,0))</f>
        <v>MULHOUSE</v>
      </c>
      <c r="B1075" t="s">
        <v>184</v>
      </c>
      <c r="C1075" s="36" t="str">
        <f>INDEX('Base de données Mono'!B:B,MATCH(B1075,'Base de données Mono'!D:D,0))</f>
        <v>SES8</v>
      </c>
      <c r="D1075" s="36" t="str">
        <f>INDEX('Base de données Mono'!A:A,MATCH(B1075,'Base de données Mono'!D:D,0))</f>
        <v>JG</v>
      </c>
      <c r="E1075" s="37" t="s">
        <v>303</v>
      </c>
      <c r="F1075" s="41">
        <f t="shared" si="166"/>
        <v>15</v>
      </c>
      <c r="G1075" s="41">
        <f t="shared" si="167"/>
        <v>4</v>
      </c>
      <c r="I1075" s="131">
        <f>INDEX('Base de données Mono'!K:K,MATCH(B1075,'Base de données Mono'!D:D,0))</f>
        <v>0.24305555555555555</v>
      </c>
      <c r="J1075" s="131">
        <f>INDEX('Base de données Mono'!L:L,MATCH(B1075,'Base de données Mono'!D:D,0))</f>
        <v>0.84375</v>
      </c>
      <c r="K1075" s="131" t="str">
        <f>INDEX('Base de données Mono'!M:M,MATCH(B1075,'Base de données Mono'!D:D,0))</f>
        <v>-</v>
      </c>
      <c r="L1075" s="131" t="str">
        <f>INDEX('Base de données Mono'!N:N,MATCH(B1075,'Base de données Mono'!D:D,0))</f>
        <v>-</v>
      </c>
      <c r="M1075" s="33" t="s">
        <v>46</v>
      </c>
      <c r="N1075" s="33">
        <f>IF(AND(E1075="Electricité",M1075="Hiver"),INDEX('Base de données Mono'!E:E,MATCH(B1075,'Base de données Mono'!D:D,0)),IF(AND(E1075="Electricité",M1075="Mi-saison"),INDEX('Base de données Mono'!F:F,MATCH(B1075,'Base de données Mono'!D:D,0)),IF(AND(E1075="Electricité",M1075="Eté"),INDEX('Base de données Mono'!G:G,MATCH(B1075,'Base de données Mono'!D:D,0)),IF(AND(E1075="Gaz",M1075="Hiver"),INDEX('Base de données Mono'!J:J,MATCH(B1075,'Base de données Mono'!D:D,0)),IF(AND(E1075="Gaz",M1075="Mi-saison"),INDEX('Base de données Mono'!#REF!,MATCH(B1075,'Base de données Mono'!D:D,0)),IF(AND(E1075="Gaz",M1075="Eté"),INDEX('Base de données Mono'!#REF!,MATCH(B1075,'Base de données Mono'!D:D,0)),"-"))))))</f>
        <v>45</v>
      </c>
      <c r="O1075" s="123">
        <v>45396</v>
      </c>
      <c r="P1075" s="123">
        <v>45396</v>
      </c>
      <c r="Q1075" s="34">
        <v>75</v>
      </c>
      <c r="R1075" s="33">
        <f t="shared" si="168"/>
        <v>30</v>
      </c>
      <c r="S1075" s="34">
        <v>10</v>
      </c>
      <c r="T1075" s="34">
        <v>1</v>
      </c>
      <c r="U1075" s="33">
        <f t="shared" si="169"/>
        <v>300</v>
      </c>
      <c r="V1075" s="38" t="s">
        <v>827</v>
      </c>
      <c r="W1075" s="39">
        <f t="shared" si="170"/>
        <v>0.66666666666666663</v>
      </c>
      <c r="X1075" s="40" t="s">
        <v>730</v>
      </c>
      <c r="Y1075" s="40" t="s">
        <v>284</v>
      </c>
      <c r="Z1075" s="40" t="s">
        <v>307</v>
      </c>
      <c r="AA1075" s="33" t="s">
        <v>308</v>
      </c>
      <c r="AB1075" s="95"/>
      <c r="AC1075" s="95"/>
    </row>
    <row r="1076" spans="1:29" ht="14.45" hidden="1" customHeight="1" x14ac:dyDescent="0.25">
      <c r="A1076" s="36" t="str">
        <f>INDEX('Base de données Mono'!C:C,MATCH(B1076,'Base de données Mono'!D:D,0))</f>
        <v>MULHOUSE</v>
      </c>
      <c r="B1076" t="s">
        <v>184</v>
      </c>
      <c r="C1076" s="36" t="str">
        <f>INDEX('Base de données Mono'!B:B,MATCH(B1076,'Base de données Mono'!D:D,0))</f>
        <v>SES8</v>
      </c>
      <c r="D1076" s="36" t="str">
        <f>INDEX('Base de données Mono'!A:A,MATCH(B1076,'Base de données Mono'!D:D,0))</f>
        <v>JG</v>
      </c>
      <c r="E1076" s="37" t="s">
        <v>303</v>
      </c>
      <c r="F1076" s="41">
        <f t="shared" si="166"/>
        <v>15</v>
      </c>
      <c r="G1076" s="41">
        <f t="shared" si="167"/>
        <v>4</v>
      </c>
      <c r="I1076" s="131">
        <f>INDEX('Base de données Mono'!K:K,MATCH(B1076,'Base de données Mono'!D:D,0))</f>
        <v>0.24305555555555555</v>
      </c>
      <c r="J1076" s="131">
        <f>INDEX('Base de données Mono'!L:L,MATCH(B1076,'Base de données Mono'!D:D,0))</f>
        <v>0.84375</v>
      </c>
      <c r="K1076" s="131" t="str">
        <f>INDEX('Base de données Mono'!M:M,MATCH(B1076,'Base de données Mono'!D:D,0))</f>
        <v>-</v>
      </c>
      <c r="L1076" s="131" t="str">
        <f>INDEX('Base de données Mono'!N:N,MATCH(B1076,'Base de données Mono'!D:D,0))</f>
        <v>-</v>
      </c>
      <c r="M1076" s="33" t="s">
        <v>46</v>
      </c>
      <c r="N1076" s="33">
        <f>IF(AND(E1076="Electricité",M1076="Hiver"),INDEX('Base de données Mono'!E:E,MATCH(B1076,'Base de données Mono'!D:D,0)),IF(AND(E1076="Electricité",M1076="Mi-saison"),INDEX('Base de données Mono'!F:F,MATCH(B1076,'Base de données Mono'!D:D,0)),IF(AND(E1076="Electricité",M1076="Eté"),INDEX('Base de données Mono'!G:G,MATCH(B1076,'Base de données Mono'!D:D,0)),IF(AND(E1076="Gaz",M1076="Hiver"),INDEX('Base de données Mono'!J:J,MATCH(B1076,'Base de données Mono'!D:D,0)),IF(AND(E1076="Gaz",M1076="Mi-saison"),INDEX('Base de données Mono'!#REF!,MATCH(B1076,'Base de données Mono'!D:D,0)),IF(AND(E1076="Gaz",M1076="Eté"),INDEX('Base de données Mono'!#REF!,MATCH(B1076,'Base de données Mono'!D:D,0)),"-"))))))</f>
        <v>45</v>
      </c>
      <c r="O1076" s="123">
        <v>45396</v>
      </c>
      <c r="P1076" s="123">
        <v>45396</v>
      </c>
      <c r="Q1076" s="34">
        <v>55</v>
      </c>
      <c r="R1076" s="33">
        <f t="shared" ref="R1076:R1103" si="171">IF(Q1076="","",Q1076-N1076)</f>
        <v>10</v>
      </c>
      <c r="S1076" s="34">
        <v>4.3</v>
      </c>
      <c r="T1076" s="34">
        <v>1</v>
      </c>
      <c r="U1076" s="33">
        <f t="shared" si="169"/>
        <v>43</v>
      </c>
      <c r="V1076" s="38" t="s">
        <v>827</v>
      </c>
      <c r="W1076" s="39">
        <f t="shared" si="170"/>
        <v>0.22222222222222221</v>
      </c>
      <c r="X1076" s="40" t="s">
        <v>730</v>
      </c>
      <c r="Y1076" s="40" t="s">
        <v>284</v>
      </c>
      <c r="Z1076" s="40" t="s">
        <v>305</v>
      </c>
      <c r="AA1076" s="33" t="s">
        <v>771</v>
      </c>
      <c r="AB1076" s="95"/>
      <c r="AC1076" s="95"/>
    </row>
    <row r="1077" spans="1:29" ht="14.45" hidden="1" customHeight="1" x14ac:dyDescent="0.25">
      <c r="A1077" s="36" t="str">
        <f>INDEX('Base de données Mono'!C:C,MATCH(B1077,'Base de données Mono'!D:D,0))</f>
        <v>CROIX ROUSSE</v>
      </c>
      <c r="B1077" t="s">
        <v>116</v>
      </c>
      <c r="C1077" s="36" t="str">
        <f>INDEX('Base de données Mono'!B:B,MATCH(B1077,'Base de données Mono'!D:D,0))</f>
        <v>SES8</v>
      </c>
      <c r="D1077" s="36" t="str">
        <f>INDEX('Base de données Mono'!A:A,MATCH(B1077,'Base de données Mono'!D:D,0))</f>
        <v>JG</v>
      </c>
      <c r="E1077" s="37" t="s">
        <v>303</v>
      </c>
      <c r="F1077" s="41">
        <f t="shared" ref="F1077:F1105" si="172">IF(O1077="","-",IF(AND(X1077="Nuit",WEEKDAY(O1077,2)=7,O1077&lt;&gt;P1077),WEEKNUM(O1077,2),WEEKNUM(O1077,2)-1))+1</f>
        <v>15</v>
      </c>
      <c r="G1077" s="41">
        <f t="shared" ref="G1077:G1105" si="173">IF(O1077="","-",MONTH(O1077))</f>
        <v>4</v>
      </c>
      <c r="I1077" s="131">
        <f>INDEX('Base de données Mono'!K:K,MATCH(B1077,'Base de données Mono'!D:D,0))</f>
        <v>0.20486111111111113</v>
      </c>
      <c r="J1077" s="131">
        <f>INDEX('Base de données Mono'!L:L,MATCH(B1077,'Base de données Mono'!D:D,0))</f>
        <v>0.89583333333333337</v>
      </c>
      <c r="K1077" s="131">
        <f>INDEX('Base de données Mono'!M:M,MATCH(B1077,'Base de données Mono'!D:D,0))</f>
        <v>0.29166666666666669</v>
      </c>
      <c r="L1077" s="131">
        <f>INDEX('Base de données Mono'!N:N,MATCH(B1077,'Base de données Mono'!D:D,0))</f>
        <v>0.5625</v>
      </c>
      <c r="M1077" s="33" t="s">
        <v>46</v>
      </c>
      <c r="N1077" s="33">
        <f>IF(AND(E1077="Electricité",M1077="Hiver"),INDEX('Base de données Mono'!E:E,MATCH(B1077,'Base de données Mono'!D:D,0)),IF(AND(E1077="Electricité",M1077="Mi-saison"),INDEX('Base de données Mono'!F:F,MATCH(B1077,'Base de données Mono'!D:D,0)),IF(AND(E1077="Electricité",M1077="Eté"),INDEX('Base de données Mono'!G:G,MATCH(B1077,'Base de données Mono'!D:D,0)),IF(AND(E1077="Gaz",M1077="Hiver"),INDEX('Base de données Mono'!J:J,MATCH(B1077,'Base de données Mono'!D:D,0)),IF(AND(E1077="Gaz",M1077="Mi-saison"),INDEX('Base de données Mono'!#REF!,MATCH(B1077,'Base de données Mono'!D:D,0)),IF(AND(E1077="Gaz",M1077="Eté"),INDEX('Base de données Mono'!#REF!,MATCH(B1077,'Base de données Mono'!D:D,0)),"-"))))))</f>
        <v>80</v>
      </c>
      <c r="O1077" s="123">
        <v>45396</v>
      </c>
      <c r="P1077" s="123">
        <v>45396</v>
      </c>
      <c r="Q1077" s="34">
        <v>175</v>
      </c>
      <c r="R1077" s="33">
        <f t="shared" si="171"/>
        <v>95</v>
      </c>
      <c r="S1077" s="34">
        <v>7</v>
      </c>
      <c r="T1077" s="34">
        <v>1</v>
      </c>
      <c r="U1077" s="33">
        <f t="shared" ref="U1077:U1105" si="174">R1077*S1077*T1077</f>
        <v>665</v>
      </c>
      <c r="V1077" s="38" t="s">
        <v>827</v>
      </c>
      <c r="W1077" s="39">
        <f t="shared" ref="W1077:W1105" si="175">IFERROR(IF(E1077="Gaz","-",R1077/N1077),"-")</f>
        <v>1.1875</v>
      </c>
      <c r="X1077" s="40" t="s">
        <v>730</v>
      </c>
      <c r="Y1077" s="40" t="s">
        <v>284</v>
      </c>
      <c r="Z1077" s="40" t="s">
        <v>307</v>
      </c>
      <c r="AA1077" s="33" t="s">
        <v>308</v>
      </c>
      <c r="AB1077" s="95"/>
      <c r="AC1077" s="95"/>
    </row>
    <row r="1078" spans="1:29" ht="14.45" hidden="1" customHeight="1" x14ac:dyDescent="0.25">
      <c r="A1078" s="36" t="str">
        <f>INDEX('Base de données Mono'!C:C,MATCH(B1078,'Base de données Mono'!D:D,0))</f>
        <v>MONTPELLIER COMEDIE</v>
      </c>
      <c r="B1078" t="s">
        <v>179</v>
      </c>
      <c r="C1078" s="36" t="str">
        <f>INDEX('Base de données Mono'!B:B,MATCH(B1078,'Base de données Mono'!D:D,0))</f>
        <v>SES8</v>
      </c>
      <c r="D1078" s="36" t="str">
        <f>INDEX('Base de données Mono'!A:A,MATCH(B1078,'Base de données Mono'!D:D,0))</f>
        <v>AD</v>
      </c>
      <c r="E1078" s="37" t="s">
        <v>303</v>
      </c>
      <c r="F1078" s="41">
        <f t="shared" si="172"/>
        <v>15</v>
      </c>
      <c r="G1078" s="41">
        <f t="shared" si="173"/>
        <v>4</v>
      </c>
      <c r="I1078" s="131">
        <f>INDEX('Base de données Mono'!K:K,MATCH(B1078,'Base de données Mono'!D:D,0))</f>
        <v>0.1875</v>
      </c>
      <c r="J1078" s="131">
        <f>INDEX('Base de données Mono'!L:L,MATCH(B1078,'Base de données Mono'!D:D,0))</f>
        <v>0.91666666666666663</v>
      </c>
      <c r="K1078" s="131">
        <f>INDEX('Base de données Mono'!M:M,MATCH(B1078,'Base de données Mono'!D:D,0))</f>
        <v>0.29166666666666669</v>
      </c>
      <c r="L1078" s="131">
        <f>INDEX('Base de données Mono'!N:N,MATCH(B1078,'Base de données Mono'!D:D,0))</f>
        <v>0.54166666666666663</v>
      </c>
      <c r="M1078" s="33" t="s">
        <v>46</v>
      </c>
      <c r="N1078" s="33">
        <f>IF(AND(E1078="Electricité",M1078="Hiver"),INDEX('Base de données Mono'!E:E,MATCH(B1078,'Base de données Mono'!D:D,0)),IF(AND(E1078="Electricité",M1078="Mi-saison"),INDEX('Base de données Mono'!F:F,MATCH(B1078,'Base de données Mono'!D:D,0)),IF(AND(E1078="Electricité",M1078="Eté"),INDEX('Base de données Mono'!G:G,MATCH(B1078,'Base de données Mono'!D:D,0)),IF(AND(E1078="Gaz",M1078="Hiver"),INDEX('Base de données Mono'!J:J,MATCH(B1078,'Base de données Mono'!D:D,0)),IF(AND(E1078="Gaz",M1078="Mi-saison"),INDEX('Base de données Mono'!#REF!,MATCH(B1078,'Base de données Mono'!D:D,0)),IF(AND(E1078="Gaz",M1078="Eté"),INDEX('Base de données Mono'!#REF!,MATCH(B1078,'Base de données Mono'!D:D,0)),"-"))))))</f>
        <v>60</v>
      </c>
      <c r="O1078" s="123">
        <v>45396</v>
      </c>
      <c r="P1078" s="123">
        <v>45396</v>
      </c>
      <c r="Q1078" s="34">
        <v>110</v>
      </c>
      <c r="R1078" s="33">
        <f t="shared" si="171"/>
        <v>50</v>
      </c>
      <c r="S1078" s="34">
        <v>7.5</v>
      </c>
      <c r="T1078" s="34">
        <v>1</v>
      </c>
      <c r="U1078" s="33">
        <f t="shared" si="174"/>
        <v>375</v>
      </c>
      <c r="V1078" s="38" t="s">
        <v>827</v>
      </c>
      <c r="W1078" s="39">
        <f t="shared" si="175"/>
        <v>0.83333333333333337</v>
      </c>
      <c r="X1078" s="40" t="s">
        <v>730</v>
      </c>
      <c r="Y1078" s="40" t="s">
        <v>284</v>
      </c>
      <c r="Z1078" s="40" t="s">
        <v>307</v>
      </c>
      <c r="AA1078" s="33" t="s">
        <v>308</v>
      </c>
      <c r="AB1078" s="95"/>
      <c r="AC1078" s="95"/>
    </row>
    <row r="1079" spans="1:29" ht="14.45" hidden="1" customHeight="1" x14ac:dyDescent="0.25">
      <c r="A1079" s="36" t="str">
        <f>INDEX('Base de données Mono'!C:C,MATCH(B1079,'Base de données Mono'!D:D,0))</f>
        <v>MONTPELLIER COMEDIE</v>
      </c>
      <c r="B1079" t="s">
        <v>179</v>
      </c>
      <c r="C1079" s="36" t="str">
        <f>INDEX('Base de données Mono'!B:B,MATCH(B1079,'Base de données Mono'!D:D,0))</f>
        <v>SES8</v>
      </c>
      <c r="D1079" s="36" t="str">
        <f>INDEX('Base de données Mono'!A:A,MATCH(B1079,'Base de données Mono'!D:D,0))</f>
        <v>AD</v>
      </c>
      <c r="E1079" s="37" t="s">
        <v>303</v>
      </c>
      <c r="F1079" s="41">
        <f t="shared" si="172"/>
        <v>15</v>
      </c>
      <c r="G1079" s="41">
        <f t="shared" si="173"/>
        <v>4</v>
      </c>
      <c r="I1079" s="131">
        <f>INDEX('Base de données Mono'!K:K,MATCH(B1079,'Base de données Mono'!D:D,0))</f>
        <v>0.1875</v>
      </c>
      <c r="J1079" s="131">
        <f>INDEX('Base de données Mono'!L:L,MATCH(B1079,'Base de données Mono'!D:D,0))</f>
        <v>0.91666666666666663</v>
      </c>
      <c r="K1079" s="131">
        <f>INDEX('Base de données Mono'!M:M,MATCH(B1079,'Base de données Mono'!D:D,0))</f>
        <v>0.29166666666666669</v>
      </c>
      <c r="L1079" s="131">
        <f>INDEX('Base de données Mono'!N:N,MATCH(B1079,'Base de données Mono'!D:D,0))</f>
        <v>0.54166666666666663</v>
      </c>
      <c r="M1079" s="33" t="s">
        <v>46</v>
      </c>
      <c r="N1079" s="33">
        <f>IF(AND(E1079="Electricité",M1079="Hiver"),INDEX('Base de données Mono'!E:E,MATCH(B1079,'Base de données Mono'!D:D,0)),IF(AND(E1079="Electricité",M1079="Mi-saison"),INDEX('Base de données Mono'!F:F,MATCH(B1079,'Base de données Mono'!D:D,0)),IF(AND(E1079="Electricité",M1079="Eté"),INDEX('Base de données Mono'!G:G,MATCH(B1079,'Base de données Mono'!D:D,0)),IF(AND(E1079="Gaz",M1079="Hiver"),INDEX('Base de données Mono'!J:J,MATCH(B1079,'Base de données Mono'!D:D,0)),IF(AND(E1079="Gaz",M1079="Mi-saison"),INDEX('Base de données Mono'!#REF!,MATCH(B1079,'Base de données Mono'!D:D,0)),IF(AND(E1079="Gaz",M1079="Eté"),INDEX('Base de données Mono'!#REF!,MATCH(B1079,'Base de données Mono'!D:D,0)),"-"))))))</f>
        <v>60</v>
      </c>
      <c r="O1079" s="123">
        <v>45396</v>
      </c>
      <c r="P1079" s="123">
        <v>45396</v>
      </c>
      <c r="Q1079" s="34">
        <v>65</v>
      </c>
      <c r="R1079" s="33">
        <f t="shared" si="171"/>
        <v>5</v>
      </c>
      <c r="S1079" s="34">
        <v>1.5</v>
      </c>
      <c r="T1079" s="34">
        <v>1</v>
      </c>
      <c r="U1079" s="33">
        <f t="shared" si="174"/>
        <v>7.5</v>
      </c>
      <c r="V1079" s="38" t="s">
        <v>827</v>
      </c>
      <c r="W1079" s="39">
        <f t="shared" si="175"/>
        <v>8.3333333333333329E-2</v>
      </c>
      <c r="X1079" s="40" t="s">
        <v>730</v>
      </c>
      <c r="Y1079" s="40" t="s">
        <v>284</v>
      </c>
      <c r="Z1079" s="40" t="s">
        <v>305</v>
      </c>
      <c r="AA1079" s="33" t="s">
        <v>771</v>
      </c>
      <c r="AB1079" s="95"/>
      <c r="AC1079" s="95"/>
    </row>
    <row r="1080" spans="1:29" ht="14.45" hidden="1" customHeight="1" x14ac:dyDescent="0.25">
      <c r="A1080" s="36" t="str">
        <f>INDEX('Base de données Mono'!C:C,MATCH(B1080,'Base de données Mono'!D:D,0))</f>
        <v>VILLEJUIF</v>
      </c>
      <c r="B1080" t="s">
        <v>273</v>
      </c>
      <c r="C1080" s="36" t="str">
        <f>INDEX('Base de données Mono'!B:B,MATCH(B1080,'Base de données Mono'!D:D,0))</f>
        <v>SES8</v>
      </c>
      <c r="D1080" s="36" t="str">
        <f>INDEX('Base de données Mono'!A:A,MATCH(B1080,'Base de données Mono'!D:D,0))</f>
        <v>JG</v>
      </c>
      <c r="E1080" s="37" t="s">
        <v>303</v>
      </c>
      <c r="F1080" s="41">
        <f t="shared" si="172"/>
        <v>15</v>
      </c>
      <c r="G1080" s="41">
        <f t="shared" si="173"/>
        <v>4</v>
      </c>
      <c r="I1080" s="131">
        <f>INDEX('Base de données Mono'!K:K,MATCH(B1080,'Base de données Mono'!D:D,0))</f>
        <v>0.23611111111111113</v>
      </c>
      <c r="J1080" s="131">
        <f>INDEX('Base de données Mono'!L:L,MATCH(B1080,'Base de données Mono'!D:D,0))</f>
        <v>0.85416666666666663</v>
      </c>
      <c r="K1080" s="131">
        <f>INDEX('Base de données Mono'!M:M,MATCH(B1080,'Base de données Mono'!D:D,0))</f>
        <v>0.31944444444444448</v>
      </c>
      <c r="L1080" s="131">
        <f>INDEX('Base de données Mono'!N:N,MATCH(B1080,'Base de données Mono'!D:D,0))</f>
        <v>0.55208333333333337</v>
      </c>
      <c r="M1080" s="33" t="s">
        <v>46</v>
      </c>
      <c r="N1080" s="33">
        <f>IF(AND(E1080="Electricité",M1080="Hiver"),INDEX('Base de données Mono'!E:E,MATCH(B1080,'Base de données Mono'!D:D,0)),IF(AND(E1080="Electricité",M1080="Mi-saison"),INDEX('Base de données Mono'!F:F,MATCH(B1080,'Base de données Mono'!D:D,0)),IF(AND(E1080="Electricité",M1080="Eté"),INDEX('Base de données Mono'!G:G,MATCH(B1080,'Base de données Mono'!D:D,0)),IF(AND(E1080="Gaz",M1080="Hiver"),INDEX('Base de données Mono'!J:J,MATCH(B1080,'Base de données Mono'!D:D,0)),IF(AND(E1080="Gaz",M1080="Mi-saison"),INDEX('Base de données Mono'!#REF!,MATCH(B1080,'Base de données Mono'!D:D,0)),IF(AND(E1080="Gaz",M1080="Eté"),INDEX('Base de données Mono'!#REF!,MATCH(B1080,'Base de données Mono'!D:D,0)),"-"))))))</f>
        <v>45</v>
      </c>
      <c r="O1080" s="123">
        <v>45396</v>
      </c>
      <c r="P1080" s="123">
        <v>45396</v>
      </c>
      <c r="Q1080" s="34">
        <v>85</v>
      </c>
      <c r="R1080" s="33">
        <f t="shared" si="171"/>
        <v>40</v>
      </c>
      <c r="S1080" s="34">
        <v>6.5</v>
      </c>
      <c r="T1080" s="34">
        <v>1</v>
      </c>
      <c r="U1080" s="33">
        <f t="shared" si="174"/>
        <v>260</v>
      </c>
      <c r="V1080" s="38" t="s">
        <v>827</v>
      </c>
      <c r="W1080" s="39">
        <f t="shared" si="175"/>
        <v>0.88888888888888884</v>
      </c>
      <c r="X1080" s="40" t="s">
        <v>730</v>
      </c>
      <c r="Y1080" s="40" t="s">
        <v>284</v>
      </c>
      <c r="Z1080" s="40" t="s">
        <v>307</v>
      </c>
      <c r="AA1080" s="33" t="s">
        <v>308</v>
      </c>
      <c r="AB1080" s="95"/>
      <c r="AC1080" s="95"/>
    </row>
    <row r="1081" spans="1:29" ht="14.45" hidden="1" customHeight="1" x14ac:dyDescent="0.25">
      <c r="A1081" s="36" t="str">
        <f>INDEX('Base de données Mono'!C:C,MATCH(B1081,'Base de données Mono'!D:D,0))</f>
        <v>LE HAVRE</v>
      </c>
      <c r="B1081" t="s">
        <v>152</v>
      </c>
      <c r="C1081" s="36" t="str">
        <f>INDEX('Base de données Mono'!B:B,MATCH(B1081,'Base de données Mono'!D:D,0))</f>
        <v>SES8</v>
      </c>
      <c r="D1081" s="36" t="str">
        <f>INDEX('Base de données Mono'!A:A,MATCH(B1081,'Base de données Mono'!D:D,0))</f>
        <v>AD</v>
      </c>
      <c r="E1081" s="37" t="s">
        <v>303</v>
      </c>
      <c r="F1081" s="41">
        <f t="shared" si="172"/>
        <v>15</v>
      </c>
      <c r="G1081" s="41">
        <f t="shared" si="173"/>
        <v>4</v>
      </c>
      <c r="I1081" s="131">
        <f>INDEX('Base de données Mono'!K:K,MATCH(B1081,'Base de données Mono'!D:D,0))</f>
        <v>0.1875</v>
      </c>
      <c r="J1081" s="131">
        <f>INDEX('Base de données Mono'!L:L,MATCH(B1081,'Base de données Mono'!D:D,0))</f>
        <v>0.88541666666666663</v>
      </c>
      <c r="K1081" s="131" t="str">
        <f>INDEX('Base de données Mono'!M:M,MATCH(B1081,'Base de données Mono'!D:D,0))</f>
        <v>-</v>
      </c>
      <c r="L1081" s="131" t="str">
        <f>INDEX('Base de données Mono'!N:N,MATCH(B1081,'Base de données Mono'!D:D,0))</f>
        <v>-</v>
      </c>
      <c r="M1081" s="33" t="s">
        <v>46</v>
      </c>
      <c r="N1081" s="33">
        <f>IF(AND(E1081="Electricité",M1081="Hiver"),INDEX('Base de données Mono'!E:E,MATCH(B1081,'Base de données Mono'!D:D,0)),IF(AND(E1081="Electricité",M1081="Mi-saison"),INDEX('Base de données Mono'!F:F,MATCH(B1081,'Base de données Mono'!D:D,0)),IF(AND(E1081="Electricité",M1081="Eté"),INDEX('Base de données Mono'!G:G,MATCH(B1081,'Base de données Mono'!D:D,0)),IF(AND(E1081="Gaz",M1081="Hiver"),INDEX('Base de données Mono'!J:J,MATCH(B1081,'Base de données Mono'!D:D,0)),IF(AND(E1081="Gaz",M1081="Mi-saison"),INDEX('Base de données Mono'!#REF!,MATCH(B1081,'Base de données Mono'!D:D,0)),IF(AND(E1081="Gaz",M1081="Eté"),INDEX('Base de données Mono'!#REF!,MATCH(B1081,'Base de données Mono'!D:D,0)),"-"))))))</f>
        <v>60</v>
      </c>
      <c r="O1081" s="123">
        <v>45396</v>
      </c>
      <c r="P1081" s="123">
        <v>45396</v>
      </c>
      <c r="Q1081" s="34">
        <v>70</v>
      </c>
      <c r="R1081" s="33">
        <f t="shared" si="171"/>
        <v>10</v>
      </c>
      <c r="S1081" s="34">
        <v>16</v>
      </c>
      <c r="T1081" s="34">
        <v>1</v>
      </c>
      <c r="U1081" s="33">
        <f t="shared" si="174"/>
        <v>160</v>
      </c>
      <c r="V1081" s="38" t="s">
        <v>827</v>
      </c>
      <c r="W1081" s="39">
        <f t="shared" si="175"/>
        <v>0.16666666666666666</v>
      </c>
      <c r="X1081" s="40" t="s">
        <v>730</v>
      </c>
      <c r="Y1081" s="40" t="s">
        <v>284</v>
      </c>
      <c r="Z1081" s="40" t="s">
        <v>305</v>
      </c>
      <c r="AA1081" s="33" t="s">
        <v>771</v>
      </c>
      <c r="AB1081" s="95"/>
      <c r="AC1081" s="95"/>
    </row>
    <row r="1082" spans="1:29" ht="14.45" hidden="1" customHeight="1" x14ac:dyDescent="0.25">
      <c r="A1082" s="36" t="str">
        <f>INDEX('Base de données Mono'!C:C,MATCH(B1082,'Base de données Mono'!D:D,0))</f>
        <v>SABLONS</v>
      </c>
      <c r="B1082" t="s">
        <v>32</v>
      </c>
      <c r="C1082" s="36" t="str">
        <f>INDEX('Base de données Mono'!B:B,MATCH(B1082,'Base de données Mono'!D:D,0))</f>
        <v>SES8</v>
      </c>
      <c r="D1082" s="36" t="str">
        <f>INDEX('Base de données Mono'!A:A,MATCH(B1082,'Base de données Mono'!D:D,0))</f>
        <v>AD</v>
      </c>
      <c r="E1082" s="37" t="s">
        <v>303</v>
      </c>
      <c r="F1082" s="41">
        <f t="shared" si="172"/>
        <v>15</v>
      </c>
      <c r="G1082" s="41">
        <f t="shared" si="173"/>
        <v>4</v>
      </c>
      <c r="I1082" s="131">
        <f>INDEX('Base de données Mono'!K:K,MATCH(B1082,'Base de données Mono'!D:D,0))</f>
        <v>0.23611111111111113</v>
      </c>
      <c r="J1082" s="131">
        <f>INDEX('Base de données Mono'!L:L,MATCH(B1082,'Base de données Mono'!D:D,0))</f>
        <v>0.91666666666666663</v>
      </c>
      <c r="K1082" s="131">
        <f>INDEX('Base de données Mono'!M:M,MATCH(B1082,'Base de données Mono'!D:D,0))</f>
        <v>0.25694444444444448</v>
      </c>
      <c r="L1082" s="131">
        <f>INDEX('Base de données Mono'!N:N,MATCH(B1082,'Base de données Mono'!D:D,0))</f>
        <v>0.60069444444444442</v>
      </c>
      <c r="M1082" s="33" t="s">
        <v>46</v>
      </c>
      <c r="N1082" s="33">
        <f>IF(AND(E1082="Electricité",M1082="Hiver"),INDEX('Base de données Mono'!E:E,MATCH(B1082,'Base de données Mono'!D:D,0)),IF(AND(E1082="Electricité",M1082="Mi-saison"),INDEX('Base de données Mono'!F:F,MATCH(B1082,'Base de données Mono'!D:D,0)),IF(AND(E1082="Electricité",M1082="Eté"),INDEX('Base de données Mono'!G:G,MATCH(B1082,'Base de données Mono'!D:D,0)),IF(AND(E1082="Gaz",M1082="Hiver"),INDEX('Base de données Mono'!J:J,MATCH(B1082,'Base de données Mono'!D:D,0)),IF(AND(E1082="Gaz",M1082="Mi-saison"),INDEX('Base de données Mono'!#REF!,MATCH(B1082,'Base de données Mono'!D:D,0)),IF(AND(E1082="Gaz",M1082="Eté"),INDEX('Base de données Mono'!#REF!,MATCH(B1082,'Base de données Mono'!D:D,0)),"-"))))))</f>
        <v>70</v>
      </c>
      <c r="O1082" s="123">
        <v>45396</v>
      </c>
      <c r="P1082" s="123">
        <v>45396</v>
      </c>
      <c r="Q1082" s="34">
        <v>165</v>
      </c>
      <c r="R1082" s="33">
        <f t="shared" si="171"/>
        <v>95</v>
      </c>
      <c r="S1082" s="34">
        <v>5.5</v>
      </c>
      <c r="T1082" s="34">
        <v>1</v>
      </c>
      <c r="U1082" s="33">
        <f t="shared" si="174"/>
        <v>522.5</v>
      </c>
      <c r="V1082" s="38" t="s">
        <v>827</v>
      </c>
      <c r="W1082" s="39">
        <f t="shared" si="175"/>
        <v>1.3571428571428572</v>
      </c>
      <c r="X1082" s="40" t="s">
        <v>730</v>
      </c>
      <c r="Y1082" s="40" t="s">
        <v>284</v>
      </c>
      <c r="Z1082" s="40" t="s">
        <v>307</v>
      </c>
      <c r="AA1082" s="33" t="s">
        <v>308</v>
      </c>
      <c r="AB1082" s="95"/>
      <c r="AC1082" s="95"/>
    </row>
    <row r="1083" spans="1:29" ht="14.45" hidden="1" customHeight="1" x14ac:dyDescent="0.25">
      <c r="A1083" s="36" t="str">
        <f>INDEX('Base de données Mono'!C:C,MATCH(B1083,'Base de données Mono'!D:D,0))</f>
        <v>SABLONS</v>
      </c>
      <c r="B1083" t="s">
        <v>32</v>
      </c>
      <c r="C1083" s="36" t="str">
        <f>INDEX('Base de données Mono'!B:B,MATCH(B1083,'Base de données Mono'!D:D,0))</f>
        <v>SES8</v>
      </c>
      <c r="D1083" s="36" t="str">
        <f>INDEX('Base de données Mono'!A:A,MATCH(B1083,'Base de données Mono'!D:D,0))</f>
        <v>AD</v>
      </c>
      <c r="E1083" s="37" t="s">
        <v>303</v>
      </c>
      <c r="F1083" s="41">
        <f t="shared" si="172"/>
        <v>15</v>
      </c>
      <c r="G1083" s="41">
        <f t="shared" si="173"/>
        <v>4</v>
      </c>
      <c r="I1083" s="131">
        <f>INDEX('Base de données Mono'!K:K,MATCH(B1083,'Base de données Mono'!D:D,0))</f>
        <v>0.23611111111111113</v>
      </c>
      <c r="J1083" s="131">
        <f>INDEX('Base de données Mono'!L:L,MATCH(B1083,'Base de données Mono'!D:D,0))</f>
        <v>0.91666666666666663</v>
      </c>
      <c r="K1083" s="131">
        <f>INDEX('Base de données Mono'!M:M,MATCH(B1083,'Base de données Mono'!D:D,0))</f>
        <v>0.25694444444444448</v>
      </c>
      <c r="L1083" s="131">
        <f>INDEX('Base de données Mono'!N:N,MATCH(B1083,'Base de données Mono'!D:D,0))</f>
        <v>0.60069444444444442</v>
      </c>
      <c r="M1083" s="33" t="s">
        <v>46</v>
      </c>
      <c r="N1083" s="33">
        <f>IF(AND(E1083="Electricité",M1083="Hiver"),INDEX('Base de données Mono'!E:E,MATCH(B1083,'Base de données Mono'!D:D,0)),IF(AND(E1083="Electricité",M1083="Mi-saison"),INDEX('Base de données Mono'!F:F,MATCH(B1083,'Base de données Mono'!D:D,0)),IF(AND(E1083="Electricité",M1083="Eté"),INDEX('Base de données Mono'!G:G,MATCH(B1083,'Base de données Mono'!D:D,0)),IF(AND(E1083="Gaz",M1083="Hiver"),INDEX('Base de données Mono'!J:J,MATCH(B1083,'Base de données Mono'!D:D,0)),IF(AND(E1083="Gaz",M1083="Mi-saison"),INDEX('Base de données Mono'!#REF!,MATCH(B1083,'Base de données Mono'!D:D,0)),IF(AND(E1083="Gaz",M1083="Eté"),INDEX('Base de données Mono'!#REF!,MATCH(B1083,'Base de données Mono'!D:D,0)),"-"))))))</f>
        <v>70</v>
      </c>
      <c r="O1083" s="123">
        <v>45396</v>
      </c>
      <c r="P1083" s="123">
        <v>45396</v>
      </c>
      <c r="Q1083" s="34">
        <v>105</v>
      </c>
      <c r="R1083" s="33">
        <f t="shared" si="171"/>
        <v>35</v>
      </c>
      <c r="S1083" s="34">
        <v>2</v>
      </c>
      <c r="T1083" s="34">
        <v>1</v>
      </c>
      <c r="U1083" s="33">
        <f t="shared" si="174"/>
        <v>70</v>
      </c>
      <c r="V1083" s="38" t="s">
        <v>827</v>
      </c>
      <c r="W1083" s="39">
        <f t="shared" si="175"/>
        <v>0.5</v>
      </c>
      <c r="X1083" s="40" t="s">
        <v>730</v>
      </c>
      <c r="Y1083" s="40" t="s">
        <v>284</v>
      </c>
      <c r="Z1083" s="40" t="s">
        <v>305</v>
      </c>
      <c r="AA1083" s="33" t="s">
        <v>771</v>
      </c>
      <c r="AB1083" s="95"/>
      <c r="AC1083" s="95"/>
    </row>
    <row r="1084" spans="1:29" ht="14.45" hidden="1" customHeight="1" x14ac:dyDescent="0.25">
      <c r="A1084" s="36" t="str">
        <f>INDEX('Base de données Mono'!C:C,MATCH(B1084,'Base de données Mono'!D:D,0))</f>
        <v>SAINT RAPHAEL</v>
      </c>
      <c r="B1084" t="s">
        <v>36</v>
      </c>
      <c r="C1084" s="36" t="str">
        <f>INDEX('Base de données Mono'!B:B,MATCH(B1084,'Base de données Mono'!D:D,0))</f>
        <v>SES8</v>
      </c>
      <c r="D1084" s="36" t="str">
        <f>INDEX('Base de données Mono'!A:A,MATCH(B1084,'Base de données Mono'!D:D,0))</f>
        <v>JG</v>
      </c>
      <c r="E1084" s="37" t="s">
        <v>303</v>
      </c>
      <c r="F1084" s="41">
        <f t="shared" si="172"/>
        <v>15</v>
      </c>
      <c r="G1084" s="41">
        <f t="shared" si="173"/>
        <v>4</v>
      </c>
      <c r="I1084" s="131">
        <f>INDEX('Base de données Mono'!K:K,MATCH(B1084,'Base de données Mono'!D:D,0))</f>
        <v>0.20833333333333334</v>
      </c>
      <c r="J1084" s="131">
        <f>INDEX('Base de données Mono'!L:L,MATCH(B1084,'Base de données Mono'!D:D,0))</f>
        <v>0.85416666666666663</v>
      </c>
      <c r="K1084" s="131">
        <f>INDEX('Base de données Mono'!M:M,MATCH(B1084,'Base de données Mono'!D:D,0))</f>
        <v>0.3125</v>
      </c>
      <c r="L1084" s="131">
        <f>INDEX('Base de données Mono'!N:N,MATCH(B1084,'Base de données Mono'!D:D,0))</f>
        <v>0.55902777777777779</v>
      </c>
      <c r="M1084" s="33" t="s">
        <v>46</v>
      </c>
      <c r="N1084" s="33">
        <f>IF(AND(E1084="Electricité",M1084="Hiver"),INDEX('Base de données Mono'!E:E,MATCH(B1084,'Base de données Mono'!D:D,0)),IF(AND(E1084="Electricité",M1084="Mi-saison"),INDEX('Base de données Mono'!F:F,MATCH(B1084,'Base de données Mono'!D:D,0)),IF(AND(E1084="Electricité",M1084="Eté"),INDEX('Base de données Mono'!G:G,MATCH(B1084,'Base de données Mono'!D:D,0)),IF(AND(E1084="Gaz",M1084="Hiver"),INDEX('Base de données Mono'!J:J,MATCH(B1084,'Base de données Mono'!D:D,0)),IF(AND(E1084="Gaz",M1084="Mi-saison"),INDEX('Base de données Mono'!#REF!,MATCH(B1084,'Base de données Mono'!D:D,0)),IF(AND(E1084="Gaz",M1084="Eté"),INDEX('Base de données Mono'!#REF!,MATCH(B1084,'Base de données Mono'!D:D,0)),"-"))))))</f>
        <v>35</v>
      </c>
      <c r="O1084" s="123">
        <v>45396</v>
      </c>
      <c r="P1084" s="123">
        <v>45396</v>
      </c>
      <c r="Q1084" s="34">
        <v>60</v>
      </c>
      <c r="R1084" s="33">
        <f t="shared" si="171"/>
        <v>25</v>
      </c>
      <c r="S1084" s="34">
        <v>7</v>
      </c>
      <c r="T1084" s="34">
        <v>1</v>
      </c>
      <c r="U1084" s="33">
        <f t="shared" si="174"/>
        <v>175</v>
      </c>
      <c r="V1084" s="38" t="s">
        <v>827</v>
      </c>
      <c r="W1084" s="39">
        <f t="shared" si="175"/>
        <v>0.7142857142857143</v>
      </c>
      <c r="X1084" s="40" t="s">
        <v>730</v>
      </c>
      <c r="Y1084" s="40" t="s">
        <v>284</v>
      </c>
      <c r="Z1084" s="40" t="s">
        <v>307</v>
      </c>
      <c r="AA1084" s="33" t="s">
        <v>308</v>
      </c>
      <c r="AB1084" s="95"/>
      <c r="AC1084" s="95"/>
    </row>
    <row r="1085" spans="1:29" ht="14.45" hidden="1" customHeight="1" x14ac:dyDescent="0.25">
      <c r="A1085" s="36" t="str">
        <f>INDEX('Base de données Mono'!C:C,MATCH(B1085,'Base de données Mono'!D:D,0))</f>
        <v>VINCI COURBEVOIE</v>
      </c>
      <c r="B1085" t="s">
        <v>279</v>
      </c>
      <c r="C1085" s="36" t="str">
        <f>INDEX('Base de données Mono'!B:B,MATCH(B1085,'Base de données Mono'!D:D,0))</f>
        <v>SES8</v>
      </c>
      <c r="D1085" s="36" t="str">
        <f>INDEX('Base de données Mono'!A:A,MATCH(B1085,'Base de données Mono'!D:D,0))</f>
        <v>AD</v>
      </c>
      <c r="E1085" s="37" t="s">
        <v>303</v>
      </c>
      <c r="F1085" s="41">
        <f t="shared" si="172"/>
        <v>15</v>
      </c>
      <c r="G1085" s="41">
        <f t="shared" si="173"/>
        <v>4</v>
      </c>
      <c r="I1085" s="131">
        <f>INDEX('Base de données Mono'!K:K,MATCH(B1085,'Base de données Mono'!D:D,0))</f>
        <v>0.25</v>
      </c>
      <c r="J1085" s="131">
        <f>INDEX('Base de données Mono'!L:L,MATCH(B1085,'Base de données Mono'!D:D,0))</f>
        <v>0.91666666666666663</v>
      </c>
      <c r="K1085" s="131">
        <f>INDEX('Base de données Mono'!M:M,MATCH(B1085,'Base de données Mono'!D:D,0))</f>
        <v>0.27777777777777779</v>
      </c>
      <c r="L1085" s="131">
        <f>INDEX('Base de données Mono'!N:N,MATCH(B1085,'Base de données Mono'!D:D,0))</f>
        <v>0.5625</v>
      </c>
      <c r="M1085" s="33" t="s">
        <v>46</v>
      </c>
      <c r="N1085" s="33">
        <f>IF(AND(E1085="Electricité",M1085="Hiver"),INDEX('Base de données Mono'!E:E,MATCH(B1085,'Base de données Mono'!D:D,0)),IF(AND(E1085="Electricité",M1085="Mi-saison"),INDEX('Base de données Mono'!F:F,MATCH(B1085,'Base de données Mono'!D:D,0)),IF(AND(E1085="Electricité",M1085="Eté"),INDEX('Base de données Mono'!G:G,MATCH(B1085,'Base de données Mono'!D:D,0)),IF(AND(E1085="Gaz",M1085="Hiver"),INDEX('Base de données Mono'!J:J,MATCH(B1085,'Base de données Mono'!D:D,0)),IF(AND(E1085="Gaz",M1085="Mi-saison"),INDEX('Base de données Mono'!#REF!,MATCH(B1085,'Base de données Mono'!D:D,0)),IF(AND(E1085="Gaz",M1085="Eté"),INDEX('Base de données Mono'!#REF!,MATCH(B1085,'Base de données Mono'!D:D,0)),"-"))))))</f>
        <v>75</v>
      </c>
      <c r="O1085" s="123">
        <v>45396</v>
      </c>
      <c r="P1085" s="123">
        <v>45396</v>
      </c>
      <c r="Q1085" s="34">
        <v>115</v>
      </c>
      <c r="R1085" s="33">
        <f t="shared" si="171"/>
        <v>40</v>
      </c>
      <c r="S1085" s="34">
        <v>7.3</v>
      </c>
      <c r="T1085" s="34">
        <v>1</v>
      </c>
      <c r="U1085" s="33">
        <f t="shared" si="174"/>
        <v>292</v>
      </c>
      <c r="V1085" s="38" t="s">
        <v>827</v>
      </c>
      <c r="W1085" s="39">
        <f t="shared" si="175"/>
        <v>0.53333333333333333</v>
      </c>
      <c r="X1085" s="40" t="s">
        <v>730</v>
      </c>
      <c r="Y1085" s="40" t="s">
        <v>284</v>
      </c>
      <c r="Z1085" s="40" t="s">
        <v>307</v>
      </c>
      <c r="AA1085" s="33" t="s">
        <v>308</v>
      </c>
      <c r="AB1085" s="95"/>
      <c r="AC1085" s="95"/>
    </row>
    <row r="1086" spans="1:29" ht="14.45" hidden="1" customHeight="1" x14ac:dyDescent="0.25">
      <c r="A1086" s="36" t="str">
        <f>INDEX('Base de données Mono'!C:C,MATCH(B1086,'Base de données Mono'!D:D,0))</f>
        <v>RENNES COLOMBIA</v>
      </c>
      <c r="B1086" t="s">
        <v>30</v>
      </c>
      <c r="C1086" s="36" t="str">
        <f>INDEX('Base de données Mono'!B:B,MATCH(B1086,'Base de données Mono'!D:D,0))</f>
        <v>SES8</v>
      </c>
      <c r="D1086" s="36" t="str">
        <f>INDEX('Base de données Mono'!A:A,MATCH(B1086,'Base de données Mono'!D:D,0))</f>
        <v>AD</v>
      </c>
      <c r="E1086" s="37" t="s">
        <v>303</v>
      </c>
      <c r="F1086" s="41">
        <f t="shared" si="172"/>
        <v>15</v>
      </c>
      <c r="G1086" s="41">
        <f t="shared" si="173"/>
        <v>4</v>
      </c>
      <c r="I1086" s="131">
        <f>INDEX('Base de données Mono'!K:K,MATCH(B1086,'Base de données Mono'!D:D,0))</f>
        <v>0.22916666666666666</v>
      </c>
      <c r="J1086" s="131">
        <f>INDEX('Base de données Mono'!L:L,MATCH(B1086,'Base de données Mono'!D:D,0))</f>
        <v>0.86458333333333337</v>
      </c>
      <c r="K1086" s="131" t="str">
        <f>INDEX('Base de données Mono'!M:M,MATCH(B1086,'Base de données Mono'!D:D,0))</f>
        <v>-</v>
      </c>
      <c r="L1086" s="131" t="str">
        <f>INDEX('Base de données Mono'!N:N,MATCH(B1086,'Base de données Mono'!D:D,0))</f>
        <v>-</v>
      </c>
      <c r="M1086" s="33" t="s">
        <v>46</v>
      </c>
      <c r="N1086" s="33">
        <f>IF(AND(E1086="Electricité",M1086="Hiver"),INDEX('Base de données Mono'!E:E,MATCH(B1086,'Base de données Mono'!D:D,0)),IF(AND(E1086="Electricité",M1086="Mi-saison"),INDEX('Base de données Mono'!F:F,MATCH(B1086,'Base de données Mono'!D:D,0)),IF(AND(E1086="Electricité",M1086="Eté"),INDEX('Base de données Mono'!G:G,MATCH(B1086,'Base de données Mono'!D:D,0)),IF(AND(E1086="Gaz",M1086="Hiver"),INDEX('Base de données Mono'!J:J,MATCH(B1086,'Base de données Mono'!D:D,0)),IF(AND(E1086="Gaz",M1086="Mi-saison"),INDEX('Base de données Mono'!#REF!,MATCH(B1086,'Base de données Mono'!D:D,0)),IF(AND(E1086="Gaz",M1086="Eté"),INDEX('Base de données Mono'!#REF!,MATCH(B1086,'Base de données Mono'!D:D,0)),"-"))))))</f>
        <v>60</v>
      </c>
      <c r="O1086" s="123">
        <v>45396</v>
      </c>
      <c r="P1086" s="123">
        <v>45396</v>
      </c>
      <c r="Q1086" s="34">
        <v>80</v>
      </c>
      <c r="R1086" s="33">
        <f t="shared" si="171"/>
        <v>20</v>
      </c>
      <c r="S1086" s="34">
        <v>15.2</v>
      </c>
      <c r="T1086" s="34">
        <v>1</v>
      </c>
      <c r="U1086" s="33">
        <f t="shared" si="174"/>
        <v>304</v>
      </c>
      <c r="V1086" s="38" t="s">
        <v>827</v>
      </c>
      <c r="W1086" s="39">
        <f t="shared" si="175"/>
        <v>0.33333333333333331</v>
      </c>
      <c r="X1086" s="40" t="s">
        <v>730</v>
      </c>
      <c r="Y1086" s="40" t="s">
        <v>284</v>
      </c>
      <c r="Z1086" s="40" t="s">
        <v>305</v>
      </c>
      <c r="AA1086" s="33" t="s">
        <v>771</v>
      </c>
      <c r="AB1086" s="95"/>
      <c r="AC1086" s="95" t="s">
        <v>842</v>
      </c>
    </row>
    <row r="1087" spans="1:29" ht="14.45" hidden="1" customHeight="1" x14ac:dyDescent="0.25">
      <c r="A1087" s="36" t="str">
        <f>INDEX('Base de données Mono'!C:C,MATCH(B1087,'Base de données Mono'!D:D,0))</f>
        <v>COLOMBES</v>
      </c>
      <c r="B1087" t="s">
        <v>14</v>
      </c>
      <c r="C1087" s="36" t="str">
        <f>INDEX('Base de données Mono'!B:B,MATCH(B1087,'Base de données Mono'!D:D,0))</f>
        <v>SES8</v>
      </c>
      <c r="D1087" s="36" t="str">
        <f>INDEX('Base de données Mono'!A:A,MATCH(B1087,'Base de données Mono'!D:D,0))</f>
        <v>AD</v>
      </c>
      <c r="E1087" s="37" t="s">
        <v>303</v>
      </c>
      <c r="F1087" s="41">
        <f t="shared" si="172"/>
        <v>15</v>
      </c>
      <c r="G1087" s="41">
        <f t="shared" si="173"/>
        <v>4</v>
      </c>
      <c r="I1087" s="131">
        <f>INDEX('Base de données Mono'!K:K,MATCH(B1087,'Base de données Mono'!D:D,0))</f>
        <v>0.24305555555555555</v>
      </c>
      <c r="J1087" s="131">
        <f>INDEX('Base de données Mono'!L:L,MATCH(B1087,'Base de données Mono'!D:D,0))</f>
        <v>0.89583333333333337</v>
      </c>
      <c r="K1087" s="131">
        <f>INDEX('Base de données Mono'!M:M,MATCH(B1087,'Base de données Mono'!D:D,0))</f>
        <v>0.27083333333333331</v>
      </c>
      <c r="L1087" s="131">
        <f>INDEX('Base de données Mono'!N:N,MATCH(B1087,'Base de données Mono'!D:D,0))</f>
        <v>0.55902777777777779</v>
      </c>
      <c r="M1087" s="33" t="s">
        <v>46</v>
      </c>
      <c r="N1087" s="33">
        <f>IF(AND(E1087="Electricité",M1087="Hiver"),INDEX('Base de données Mono'!E:E,MATCH(B1087,'Base de données Mono'!D:D,0)),IF(AND(E1087="Electricité",M1087="Mi-saison"),INDEX('Base de données Mono'!F:F,MATCH(B1087,'Base de données Mono'!D:D,0)),IF(AND(E1087="Electricité",M1087="Eté"),INDEX('Base de données Mono'!G:G,MATCH(B1087,'Base de données Mono'!D:D,0)),IF(AND(E1087="Gaz",M1087="Hiver"),INDEX('Base de données Mono'!J:J,MATCH(B1087,'Base de données Mono'!D:D,0)),IF(AND(E1087="Gaz",M1087="Mi-saison"),INDEX('Base de données Mono'!#REF!,MATCH(B1087,'Base de données Mono'!D:D,0)),IF(AND(E1087="Gaz",M1087="Eté"),INDEX('Base de données Mono'!#REF!,MATCH(B1087,'Base de données Mono'!D:D,0)),"-"))))))</f>
        <v>75</v>
      </c>
      <c r="O1087" s="123">
        <v>45396</v>
      </c>
      <c r="P1087" s="123">
        <v>45396</v>
      </c>
      <c r="Q1087" s="34">
        <v>135</v>
      </c>
      <c r="R1087" s="33">
        <f t="shared" si="171"/>
        <v>60</v>
      </c>
      <c r="S1087" s="34">
        <v>6.5</v>
      </c>
      <c r="T1087" s="34">
        <v>1</v>
      </c>
      <c r="U1087" s="33">
        <f t="shared" si="174"/>
        <v>390</v>
      </c>
      <c r="V1087" s="38" t="s">
        <v>827</v>
      </c>
      <c r="W1087" s="39">
        <f t="shared" si="175"/>
        <v>0.8</v>
      </c>
      <c r="X1087" s="40" t="s">
        <v>730</v>
      </c>
      <c r="Y1087" s="40" t="s">
        <v>284</v>
      </c>
      <c r="Z1087" s="40" t="s">
        <v>307</v>
      </c>
      <c r="AA1087" s="33" t="s">
        <v>308</v>
      </c>
      <c r="AB1087" s="95"/>
      <c r="AC1087" s="95"/>
    </row>
    <row r="1088" spans="1:29" ht="14.45" hidden="1" customHeight="1" x14ac:dyDescent="0.25">
      <c r="A1088" s="36" t="str">
        <f>INDEX('Base de données Mono'!C:C,MATCH(B1088,'Base de données Mono'!D:D,0))</f>
        <v>ANNECY COURRIER</v>
      </c>
      <c r="B1088" t="s">
        <v>59</v>
      </c>
      <c r="C1088" s="36" t="str">
        <f>INDEX('Base de données Mono'!B:B,MATCH(B1088,'Base de données Mono'!D:D,0))</f>
        <v>SES8</v>
      </c>
      <c r="D1088" s="36" t="str">
        <f>INDEX('Base de données Mono'!A:A,MATCH(B1088,'Base de données Mono'!D:D,0))</f>
        <v>JG</v>
      </c>
      <c r="E1088" s="37" t="s">
        <v>303</v>
      </c>
      <c r="F1088" s="41">
        <f t="shared" si="172"/>
        <v>15</v>
      </c>
      <c r="G1088" s="41">
        <f t="shared" si="173"/>
        <v>4</v>
      </c>
      <c r="I1088" s="131">
        <f>INDEX('Base de données Mono'!K:K,MATCH(B1088,'Base de données Mono'!D:D,0))</f>
        <v>0.20833333333333334</v>
      </c>
      <c r="J1088" s="131">
        <f>INDEX('Base de données Mono'!L:L,MATCH(B1088,'Base de données Mono'!D:D,0))</f>
        <v>0.83333333333333304</v>
      </c>
      <c r="K1088" s="131" t="str">
        <f>INDEX('Base de données Mono'!M:M,MATCH(B1088,'Base de données Mono'!D:D,0))</f>
        <v>-</v>
      </c>
      <c r="L1088" s="131" t="str">
        <f>INDEX('Base de données Mono'!N:N,MATCH(B1088,'Base de données Mono'!D:D,0))</f>
        <v>-</v>
      </c>
      <c r="M1088" s="33" t="s">
        <v>46</v>
      </c>
      <c r="N1088" s="33">
        <f>IF(AND(E1088="Electricité",M1088="Hiver"),INDEX('Base de données Mono'!E:E,MATCH(B1088,'Base de données Mono'!D:D,0)),IF(AND(E1088="Electricité",M1088="Mi-saison"),INDEX('Base de données Mono'!F:F,MATCH(B1088,'Base de données Mono'!D:D,0)),IF(AND(E1088="Electricité",M1088="Eté"),INDEX('Base de données Mono'!G:G,MATCH(B1088,'Base de données Mono'!D:D,0)),IF(AND(E1088="Gaz",M1088="Hiver"),INDEX('Base de données Mono'!J:J,MATCH(B1088,'Base de données Mono'!D:D,0)),IF(AND(E1088="Gaz",M1088="Mi-saison"),INDEX('Base de données Mono'!#REF!,MATCH(B1088,'Base de données Mono'!D:D,0)),IF(AND(E1088="Gaz",M1088="Eté"),INDEX('Base de données Mono'!#REF!,MATCH(B1088,'Base de données Mono'!D:D,0)),"-"))))))</f>
        <v>110</v>
      </c>
      <c r="O1088" s="123">
        <v>45396</v>
      </c>
      <c r="P1088" s="123">
        <v>45396</v>
      </c>
      <c r="Q1088" s="34">
        <v>155</v>
      </c>
      <c r="R1088" s="33">
        <f t="shared" si="171"/>
        <v>45</v>
      </c>
      <c r="S1088" s="34">
        <v>15</v>
      </c>
      <c r="T1088" s="34">
        <v>1</v>
      </c>
      <c r="U1088" s="33">
        <f t="shared" si="174"/>
        <v>675</v>
      </c>
      <c r="V1088" s="38" t="s">
        <v>827</v>
      </c>
      <c r="W1088" s="39">
        <f t="shared" si="175"/>
        <v>0.40909090909090912</v>
      </c>
      <c r="X1088" s="40" t="s">
        <v>730</v>
      </c>
      <c r="Y1088" s="40" t="s">
        <v>284</v>
      </c>
      <c r="Z1088" s="40" t="s">
        <v>305</v>
      </c>
      <c r="AA1088" s="33" t="s">
        <v>771</v>
      </c>
      <c r="AB1088" s="95"/>
      <c r="AC1088" s="95"/>
    </row>
    <row r="1089" spans="1:29" ht="14.45" hidden="1" customHeight="1" x14ac:dyDescent="0.25">
      <c r="A1089" s="36" t="str">
        <f>INDEX('Base de données Mono'!C:C,MATCH(B1089,'Base de données Mono'!D:D,0))</f>
        <v>POITIERS</v>
      </c>
      <c r="B1089" t="s">
        <v>212</v>
      </c>
      <c r="C1089" s="36" t="str">
        <f>INDEX('Base de données Mono'!B:B,MATCH(B1089,'Base de données Mono'!D:D,0))</f>
        <v>SES8</v>
      </c>
      <c r="D1089" s="36" t="str">
        <f>INDEX('Base de données Mono'!A:A,MATCH(B1089,'Base de données Mono'!D:D,0))</f>
        <v>AD</v>
      </c>
      <c r="E1089" s="37" t="s">
        <v>303</v>
      </c>
      <c r="F1089" s="41">
        <f t="shared" si="172"/>
        <v>15</v>
      </c>
      <c r="G1089" s="41">
        <f t="shared" si="173"/>
        <v>4</v>
      </c>
      <c r="I1089" s="131">
        <f>INDEX('Base de données Mono'!K:K,MATCH(B1089,'Base de données Mono'!D:D,0))</f>
        <v>0.22916666666666666</v>
      </c>
      <c r="J1089" s="131">
        <f>INDEX('Base de données Mono'!L:L,MATCH(B1089,'Base de données Mono'!D:D,0))</f>
        <v>0.875</v>
      </c>
      <c r="K1089" s="131">
        <f>INDEX('Base de données Mono'!M:M,MATCH(B1089,'Base de données Mono'!D:D,0))</f>
        <v>0.22916666666666666</v>
      </c>
      <c r="L1089" s="131">
        <f>INDEX('Base de données Mono'!N:N,MATCH(B1089,'Base de données Mono'!D:D,0))</f>
        <v>0.54166666666666663</v>
      </c>
      <c r="M1089" s="33" t="s">
        <v>46</v>
      </c>
      <c r="N1089" s="33">
        <f>IF(AND(E1089="Electricité",M1089="Hiver"),INDEX('Base de données Mono'!E:E,MATCH(B1089,'Base de données Mono'!D:D,0)),IF(AND(E1089="Electricité",M1089="Mi-saison"),INDEX('Base de données Mono'!F:F,MATCH(B1089,'Base de données Mono'!D:D,0)),IF(AND(E1089="Electricité",M1089="Eté"),INDEX('Base de données Mono'!G:G,MATCH(B1089,'Base de données Mono'!D:D,0)),IF(AND(E1089="Gaz",M1089="Hiver"),INDEX('Base de données Mono'!J:J,MATCH(B1089,'Base de données Mono'!D:D,0)),IF(AND(E1089="Gaz",M1089="Mi-saison"),INDEX('Base de données Mono'!#REF!,MATCH(B1089,'Base de données Mono'!D:D,0)),IF(AND(E1089="Gaz",M1089="Eté"),INDEX('Base de données Mono'!#REF!,MATCH(B1089,'Base de données Mono'!D:D,0)),"-"))))))</f>
        <v>75</v>
      </c>
      <c r="O1089" s="123">
        <v>45396</v>
      </c>
      <c r="P1089" s="123">
        <v>45396</v>
      </c>
      <c r="Q1089" s="34">
        <v>100</v>
      </c>
      <c r="R1089" s="33">
        <f t="shared" si="171"/>
        <v>25</v>
      </c>
      <c r="S1089" s="34">
        <v>8</v>
      </c>
      <c r="T1089" s="34">
        <v>1</v>
      </c>
      <c r="U1089" s="33">
        <f t="shared" si="174"/>
        <v>200</v>
      </c>
      <c r="V1089" s="38" t="s">
        <v>827</v>
      </c>
      <c r="W1089" s="39">
        <f t="shared" si="175"/>
        <v>0.33333333333333331</v>
      </c>
      <c r="X1089" s="40" t="s">
        <v>730</v>
      </c>
      <c r="Y1089" s="40" t="s">
        <v>284</v>
      </c>
      <c r="Z1089" s="40" t="s">
        <v>305</v>
      </c>
      <c r="AA1089" s="33" t="s">
        <v>771</v>
      </c>
      <c r="AB1089" s="95"/>
      <c r="AC1089" s="95"/>
    </row>
    <row r="1090" spans="1:29" ht="14.45" hidden="1" customHeight="1" x14ac:dyDescent="0.25">
      <c r="A1090" s="36" t="str">
        <f>INDEX('Base de données Mono'!C:C,MATCH(B1090,'Base de données Mono'!D:D,0))</f>
        <v>MONTREUIL</v>
      </c>
      <c r="B1090" t="s">
        <v>25</v>
      </c>
      <c r="C1090" s="36" t="str">
        <f>INDEX('Base de données Mono'!B:B,MATCH(B1090,'Base de données Mono'!D:D,0))</f>
        <v>SES8</v>
      </c>
      <c r="D1090" s="36" t="str">
        <f>INDEX('Base de données Mono'!A:A,MATCH(B1090,'Base de données Mono'!D:D,0))</f>
        <v>JG</v>
      </c>
      <c r="E1090" s="37" t="s">
        <v>303</v>
      </c>
      <c r="F1090" s="41">
        <f t="shared" si="172"/>
        <v>15</v>
      </c>
      <c r="G1090" s="41">
        <f t="shared" si="173"/>
        <v>4</v>
      </c>
      <c r="I1090" s="131">
        <f>INDEX('Base de données Mono'!K:K,MATCH(B1090,'Base de données Mono'!D:D,0))</f>
        <v>0.24305555555555555</v>
      </c>
      <c r="J1090" s="131">
        <f>INDEX('Base de données Mono'!L:L,MATCH(B1090,'Base de données Mono'!D:D,0))</f>
        <v>0.875</v>
      </c>
      <c r="K1090" s="131">
        <f>INDEX('Base de données Mono'!M:M,MATCH(B1090,'Base de données Mono'!D:D,0))</f>
        <v>0.27083333333333331</v>
      </c>
      <c r="L1090" s="131">
        <f>INDEX('Base de données Mono'!N:N,MATCH(B1090,'Base de données Mono'!D:D,0))</f>
        <v>0.55902777777777779</v>
      </c>
      <c r="M1090" s="33" t="s">
        <v>46</v>
      </c>
      <c r="N1090" s="33">
        <f>IF(AND(E1090="Electricité",M1090="Hiver"),INDEX('Base de données Mono'!E:E,MATCH(B1090,'Base de données Mono'!D:D,0)),IF(AND(E1090="Electricité",M1090="Mi-saison"),INDEX('Base de données Mono'!F:F,MATCH(B1090,'Base de données Mono'!D:D,0)),IF(AND(E1090="Electricité",M1090="Eté"),INDEX('Base de données Mono'!G:G,MATCH(B1090,'Base de données Mono'!D:D,0)),IF(AND(E1090="Gaz",M1090="Hiver"),INDEX('Base de données Mono'!J:J,MATCH(B1090,'Base de données Mono'!D:D,0)),IF(AND(E1090="Gaz",M1090="Mi-saison"),INDEX('Base de données Mono'!#REF!,MATCH(B1090,'Base de données Mono'!D:D,0)),IF(AND(E1090="Gaz",M1090="Eté"),INDEX('Base de données Mono'!#REF!,MATCH(B1090,'Base de données Mono'!D:D,0)),"-"))))))</f>
        <v>95</v>
      </c>
      <c r="O1090" s="123">
        <v>45396</v>
      </c>
      <c r="P1090" s="123">
        <v>45396</v>
      </c>
      <c r="Q1090" s="34">
        <v>145</v>
      </c>
      <c r="R1090" s="33">
        <f t="shared" si="171"/>
        <v>50</v>
      </c>
      <c r="S1090" s="34">
        <v>6.5</v>
      </c>
      <c r="T1090" s="34">
        <v>1</v>
      </c>
      <c r="U1090" s="33">
        <f t="shared" si="174"/>
        <v>325</v>
      </c>
      <c r="V1090" s="38" t="s">
        <v>827</v>
      </c>
      <c r="W1090" s="39">
        <f t="shared" si="175"/>
        <v>0.52631578947368418</v>
      </c>
      <c r="X1090" s="40" t="s">
        <v>730</v>
      </c>
      <c r="Y1090" s="40" t="s">
        <v>283</v>
      </c>
      <c r="Z1090" s="40"/>
      <c r="AA1090" s="33"/>
      <c r="AB1090" s="95"/>
      <c r="AC1090" s="95"/>
    </row>
    <row r="1091" spans="1:29" ht="14.45" hidden="1" customHeight="1" x14ac:dyDescent="0.25">
      <c r="A1091" s="36" t="str">
        <f>INDEX('Base de données Mono'!C:C,MATCH(B1091,'Base de données Mono'!D:D,0))</f>
        <v>MONTREUIL</v>
      </c>
      <c r="B1091" t="s">
        <v>25</v>
      </c>
      <c r="C1091" s="36" t="str">
        <f>INDEX('Base de données Mono'!B:B,MATCH(B1091,'Base de données Mono'!D:D,0))</f>
        <v>SES8</v>
      </c>
      <c r="D1091" s="36" t="str">
        <f>INDEX('Base de données Mono'!A:A,MATCH(B1091,'Base de données Mono'!D:D,0))</f>
        <v>JG</v>
      </c>
      <c r="E1091" s="37" t="s">
        <v>303</v>
      </c>
      <c r="F1091" s="41">
        <f t="shared" si="172"/>
        <v>15</v>
      </c>
      <c r="G1091" s="41">
        <f t="shared" si="173"/>
        <v>4</v>
      </c>
      <c r="I1091" s="131">
        <f>INDEX('Base de données Mono'!K:K,MATCH(B1091,'Base de données Mono'!D:D,0))</f>
        <v>0.24305555555555555</v>
      </c>
      <c r="J1091" s="131">
        <f>INDEX('Base de données Mono'!L:L,MATCH(B1091,'Base de données Mono'!D:D,0))</f>
        <v>0.875</v>
      </c>
      <c r="K1091" s="131">
        <f>INDEX('Base de données Mono'!M:M,MATCH(B1091,'Base de données Mono'!D:D,0))</f>
        <v>0.27083333333333331</v>
      </c>
      <c r="L1091" s="131">
        <f>INDEX('Base de données Mono'!N:N,MATCH(B1091,'Base de données Mono'!D:D,0))</f>
        <v>0.55902777777777779</v>
      </c>
      <c r="M1091" s="33" t="s">
        <v>46</v>
      </c>
      <c r="N1091" s="33">
        <f>IF(AND(E1091="Electricité",M1091="Hiver"),INDEX('Base de données Mono'!E:E,MATCH(B1091,'Base de données Mono'!D:D,0)),IF(AND(E1091="Electricité",M1091="Mi-saison"),INDEX('Base de données Mono'!F:F,MATCH(B1091,'Base de données Mono'!D:D,0)),IF(AND(E1091="Electricité",M1091="Eté"),INDEX('Base de données Mono'!G:G,MATCH(B1091,'Base de données Mono'!D:D,0)),IF(AND(E1091="Gaz",M1091="Hiver"),INDEX('Base de données Mono'!J:J,MATCH(B1091,'Base de données Mono'!D:D,0)),IF(AND(E1091="Gaz",M1091="Mi-saison"),INDEX('Base de données Mono'!#REF!,MATCH(B1091,'Base de données Mono'!D:D,0)),IF(AND(E1091="Gaz",M1091="Eté"),INDEX('Base de données Mono'!#REF!,MATCH(B1091,'Base de données Mono'!D:D,0)),"-"))))))</f>
        <v>95</v>
      </c>
      <c r="O1091" s="123">
        <v>45396</v>
      </c>
      <c r="P1091" s="123">
        <v>45396</v>
      </c>
      <c r="Q1091" s="34">
        <v>120</v>
      </c>
      <c r="R1091" s="33">
        <f t="shared" si="171"/>
        <v>25</v>
      </c>
      <c r="S1091" s="34">
        <v>1</v>
      </c>
      <c r="T1091" s="34">
        <v>1</v>
      </c>
      <c r="U1091" s="33">
        <f t="shared" si="174"/>
        <v>25</v>
      </c>
      <c r="V1091" s="38" t="s">
        <v>827</v>
      </c>
      <c r="W1091" s="39">
        <f t="shared" si="175"/>
        <v>0.26315789473684209</v>
      </c>
      <c r="X1091" s="40" t="s">
        <v>730</v>
      </c>
      <c r="Y1091" s="40" t="s">
        <v>284</v>
      </c>
      <c r="Z1091" s="40" t="s">
        <v>305</v>
      </c>
      <c r="AA1091" s="33" t="s">
        <v>771</v>
      </c>
      <c r="AB1091" s="95"/>
      <c r="AC1091" s="95"/>
    </row>
    <row r="1092" spans="1:29" ht="14.45" hidden="1" customHeight="1" x14ac:dyDescent="0.25">
      <c r="A1092" s="36" t="str">
        <f>INDEX('Base de données Mono'!C:C,MATCH(B1092,'Base de données Mono'!D:D,0))</f>
        <v>LES HUISSIERS</v>
      </c>
      <c r="B1092" t="s">
        <v>156</v>
      </c>
      <c r="C1092" s="36" t="str">
        <f>INDEX('Base de données Mono'!B:B,MATCH(B1092,'Base de données Mono'!D:D,0))</f>
        <v>SES8</v>
      </c>
      <c r="D1092" s="36" t="str">
        <f>INDEX('Base de données Mono'!A:A,MATCH(B1092,'Base de données Mono'!D:D,0))</f>
        <v>AD</v>
      </c>
      <c r="E1092" s="37" t="s">
        <v>303</v>
      </c>
      <c r="F1092" s="41">
        <f t="shared" si="172"/>
        <v>15</v>
      </c>
      <c r="G1092" s="41">
        <f t="shared" si="173"/>
        <v>4</v>
      </c>
      <c r="I1092" s="131">
        <f>INDEX('Base de données Mono'!K:K,MATCH(B1092,'Base de données Mono'!D:D,0))</f>
        <v>0.22916666666666666</v>
      </c>
      <c r="J1092" s="131">
        <f>INDEX('Base de données Mono'!L:L,MATCH(B1092,'Base de données Mono'!D:D,0))</f>
        <v>0.89583333333333337</v>
      </c>
      <c r="K1092" s="131">
        <f>INDEX('Base de données Mono'!M:M,MATCH(B1092,'Base de données Mono'!D:D,0))</f>
        <v>0.27777777777777779</v>
      </c>
      <c r="L1092" s="131">
        <f>INDEX('Base de données Mono'!N:N,MATCH(B1092,'Base de données Mono'!D:D,0))</f>
        <v>0.5625</v>
      </c>
      <c r="M1092" s="33" t="s">
        <v>46</v>
      </c>
      <c r="N1092" s="33">
        <f>IF(AND(E1092="Electricité",M1092="Hiver"),INDEX('Base de données Mono'!E:E,MATCH(B1092,'Base de données Mono'!D:D,0)),IF(AND(E1092="Electricité",M1092="Mi-saison"),INDEX('Base de données Mono'!F:F,MATCH(B1092,'Base de données Mono'!D:D,0)),IF(AND(E1092="Electricité",M1092="Eté"),INDEX('Base de données Mono'!G:G,MATCH(B1092,'Base de données Mono'!D:D,0)),IF(AND(E1092="Gaz",M1092="Hiver"),INDEX('Base de données Mono'!J:J,MATCH(B1092,'Base de données Mono'!D:D,0)),IF(AND(E1092="Gaz",M1092="Mi-saison"),INDEX('Base de données Mono'!#REF!,MATCH(B1092,'Base de données Mono'!D:D,0)),IF(AND(E1092="Gaz",M1092="Eté"),INDEX('Base de données Mono'!#REF!,MATCH(B1092,'Base de données Mono'!D:D,0)),"-"))))))</f>
        <v>65</v>
      </c>
      <c r="O1092" s="123">
        <v>45396</v>
      </c>
      <c r="P1092" s="123">
        <v>45396</v>
      </c>
      <c r="Q1092" s="34">
        <v>135</v>
      </c>
      <c r="R1092" s="33">
        <f t="shared" si="171"/>
        <v>70</v>
      </c>
      <c r="S1092" s="34">
        <v>7.5</v>
      </c>
      <c r="T1092" s="34">
        <v>1</v>
      </c>
      <c r="U1092" s="33">
        <f t="shared" si="174"/>
        <v>525</v>
      </c>
      <c r="V1092" s="38" t="s">
        <v>827</v>
      </c>
      <c r="W1092" s="39">
        <f t="shared" si="175"/>
        <v>1.0769230769230769</v>
      </c>
      <c r="X1092" s="40" t="s">
        <v>730</v>
      </c>
      <c r="Y1092" s="40" t="s">
        <v>284</v>
      </c>
      <c r="Z1092" s="40" t="s">
        <v>307</v>
      </c>
      <c r="AA1092" s="33" t="s">
        <v>308</v>
      </c>
      <c r="AB1092" s="95"/>
      <c r="AC1092" s="95"/>
    </row>
    <row r="1093" spans="1:29" ht="14.45" hidden="1" customHeight="1" x14ac:dyDescent="0.25">
      <c r="A1093" s="36" t="str">
        <f>INDEX('Base de données Mono'!C:C,MATCH(B1093,'Base de données Mono'!D:D,0))</f>
        <v>ROQUETTE</v>
      </c>
      <c r="B1093" t="s">
        <v>225</v>
      </c>
      <c r="C1093" s="36" t="str">
        <f>INDEX('Base de données Mono'!B:B,MATCH(B1093,'Base de données Mono'!D:D,0))</f>
        <v>SES8</v>
      </c>
      <c r="D1093" s="36" t="str">
        <f>INDEX('Base de données Mono'!A:A,MATCH(B1093,'Base de données Mono'!D:D,0))</f>
        <v>JG</v>
      </c>
      <c r="E1093" s="37" t="s">
        <v>303</v>
      </c>
      <c r="F1093" s="41">
        <f t="shared" si="172"/>
        <v>15</v>
      </c>
      <c r="G1093" s="41">
        <f t="shared" si="173"/>
        <v>4</v>
      </c>
      <c r="I1093" s="131">
        <f>INDEX('Base de données Mono'!K:K,MATCH(B1093,'Base de données Mono'!D:D,0))</f>
        <v>0.25</v>
      </c>
      <c r="J1093" s="131">
        <f>INDEX('Base de données Mono'!L:L,MATCH(B1093,'Base de données Mono'!D:D,0))</f>
        <v>0.91666666666666663</v>
      </c>
      <c r="K1093" s="131">
        <f>INDEX('Base de données Mono'!M:M,MATCH(B1093,'Base de données Mono'!D:D,0))</f>
        <v>0.29166666666666669</v>
      </c>
      <c r="L1093" s="131">
        <f>INDEX('Base de données Mono'!N:N,MATCH(B1093,'Base de données Mono'!D:D,0))</f>
        <v>0.55208333333333337</v>
      </c>
      <c r="M1093" s="33" t="s">
        <v>46</v>
      </c>
      <c r="N1093" s="33">
        <f>IF(AND(E1093="Electricité",M1093="Hiver"),INDEX('Base de données Mono'!E:E,MATCH(B1093,'Base de données Mono'!D:D,0)),IF(AND(E1093="Electricité",M1093="Mi-saison"),INDEX('Base de données Mono'!F:F,MATCH(B1093,'Base de données Mono'!D:D,0)),IF(AND(E1093="Electricité",M1093="Eté"),INDEX('Base de données Mono'!G:G,MATCH(B1093,'Base de données Mono'!D:D,0)),IF(AND(E1093="Gaz",M1093="Hiver"),INDEX('Base de données Mono'!J:J,MATCH(B1093,'Base de données Mono'!D:D,0)),IF(AND(E1093="Gaz",M1093="Mi-saison"),INDEX('Base de données Mono'!#REF!,MATCH(B1093,'Base de données Mono'!D:D,0)),IF(AND(E1093="Gaz",M1093="Eté"),INDEX('Base de données Mono'!#REF!,MATCH(B1093,'Base de données Mono'!D:D,0)),"-"))))))</f>
        <v>60</v>
      </c>
      <c r="O1093" s="123">
        <v>45396</v>
      </c>
      <c r="P1093" s="123">
        <v>45396</v>
      </c>
      <c r="Q1093" s="34">
        <v>85</v>
      </c>
      <c r="R1093" s="33">
        <f t="shared" si="171"/>
        <v>25</v>
      </c>
      <c r="S1093" s="34">
        <v>7.5</v>
      </c>
      <c r="T1093" s="34">
        <v>1</v>
      </c>
      <c r="U1093" s="33">
        <f t="shared" si="174"/>
        <v>187.5</v>
      </c>
      <c r="V1093" s="38" t="s">
        <v>827</v>
      </c>
      <c r="W1093" s="39">
        <f t="shared" si="175"/>
        <v>0.41666666666666669</v>
      </c>
      <c r="X1093" s="40" t="s">
        <v>730</v>
      </c>
      <c r="Y1093" s="40" t="s">
        <v>284</v>
      </c>
      <c r="Z1093" s="40" t="s">
        <v>305</v>
      </c>
      <c r="AA1093" s="33" t="s">
        <v>771</v>
      </c>
      <c r="AB1093" s="95"/>
      <c r="AC1093" s="95"/>
    </row>
    <row r="1094" spans="1:29" ht="14.45" hidden="1" customHeight="1" x14ac:dyDescent="0.25">
      <c r="A1094" s="36" t="str">
        <f>INDEX('Base de données Mono'!C:C,MATCH(B1094,'Base de données Mono'!D:D,0))</f>
        <v>UNI POTEAU</v>
      </c>
      <c r="B1094" t="s">
        <v>258</v>
      </c>
      <c r="C1094" s="36" t="str">
        <f>INDEX('Base de données Mono'!B:B,MATCH(B1094,'Base de données Mono'!D:D,0))</f>
        <v>SES8</v>
      </c>
      <c r="D1094" s="36" t="str">
        <f>INDEX('Base de données Mono'!A:A,MATCH(B1094,'Base de données Mono'!D:D,0))</f>
        <v>JG</v>
      </c>
      <c r="E1094" s="37" t="s">
        <v>303</v>
      </c>
      <c r="F1094" s="41">
        <f t="shared" si="172"/>
        <v>15</v>
      </c>
      <c r="G1094" s="41">
        <f t="shared" si="173"/>
        <v>4</v>
      </c>
      <c r="I1094" s="131">
        <f>INDEX('Base de données Mono'!K:K,MATCH(B1094,'Base de données Mono'!D:D,0))</f>
        <v>0.20138888888888887</v>
      </c>
      <c r="J1094" s="131">
        <f>INDEX('Base de données Mono'!L:L,MATCH(B1094,'Base de données Mono'!D:D,0))</f>
        <v>0.92013888888888884</v>
      </c>
      <c r="K1094" s="131">
        <f>INDEX('Base de données Mono'!M:M,MATCH(B1094,'Base de données Mono'!D:D,0))</f>
        <v>0.27777777777777779</v>
      </c>
      <c r="L1094" s="131">
        <f>INDEX('Base de données Mono'!N:N,MATCH(B1094,'Base de données Mono'!D:D,0))</f>
        <v>0.55208333333333337</v>
      </c>
      <c r="M1094" s="33" t="s">
        <v>46</v>
      </c>
      <c r="N1094" s="33">
        <f>IF(AND(E1094="Electricité",M1094="Hiver"),INDEX('Base de données Mono'!E:E,MATCH(B1094,'Base de données Mono'!D:D,0)),IF(AND(E1094="Electricité",M1094="Mi-saison"),INDEX('Base de données Mono'!F:F,MATCH(B1094,'Base de données Mono'!D:D,0)),IF(AND(E1094="Electricité",M1094="Eté"),INDEX('Base de données Mono'!G:G,MATCH(B1094,'Base de données Mono'!D:D,0)),IF(AND(E1094="Gaz",M1094="Hiver"),INDEX('Base de données Mono'!J:J,MATCH(B1094,'Base de données Mono'!D:D,0)),IF(AND(E1094="Gaz",M1094="Mi-saison"),INDEX('Base de données Mono'!#REF!,MATCH(B1094,'Base de données Mono'!D:D,0)),IF(AND(E1094="Gaz",M1094="Eté"),INDEX('Base de données Mono'!#REF!,MATCH(B1094,'Base de données Mono'!D:D,0)),"-"))))))</f>
        <v>65</v>
      </c>
      <c r="O1094" s="123">
        <v>45396</v>
      </c>
      <c r="P1094" s="123">
        <v>45396</v>
      </c>
      <c r="Q1094" s="34">
        <v>110</v>
      </c>
      <c r="R1094" s="33">
        <f t="shared" si="171"/>
        <v>45</v>
      </c>
      <c r="S1094" s="34">
        <v>6.7</v>
      </c>
      <c r="T1094" s="34">
        <v>1</v>
      </c>
      <c r="U1094" s="33">
        <f t="shared" si="174"/>
        <v>301.5</v>
      </c>
      <c r="V1094" s="38" t="s">
        <v>827</v>
      </c>
      <c r="W1094" s="39">
        <f t="shared" si="175"/>
        <v>0.69230769230769229</v>
      </c>
      <c r="X1094" s="40" t="s">
        <v>730</v>
      </c>
      <c r="Y1094" s="40" t="s">
        <v>284</v>
      </c>
      <c r="Z1094" s="40" t="s">
        <v>307</v>
      </c>
      <c r="AA1094" s="33" t="s">
        <v>308</v>
      </c>
      <c r="AB1094" s="95"/>
      <c r="AC1094" s="95"/>
    </row>
    <row r="1095" spans="1:29" ht="14.45" hidden="1" customHeight="1" x14ac:dyDescent="0.25">
      <c r="A1095" s="36" t="str">
        <f>INDEX('Base de données Mono'!C:C,MATCH(B1095,'Base de données Mono'!D:D,0))</f>
        <v>GRENOBLE CASERNE</v>
      </c>
      <c r="B1095" t="s">
        <v>135</v>
      </c>
      <c r="C1095" s="36" t="str">
        <f>INDEX('Base de données Mono'!B:B,MATCH(B1095,'Base de données Mono'!D:D,0))</f>
        <v>SES8</v>
      </c>
      <c r="D1095" s="36" t="str">
        <f>INDEX('Base de données Mono'!A:A,MATCH(B1095,'Base de données Mono'!D:D,0))</f>
        <v>JG</v>
      </c>
      <c r="E1095" s="37" t="s">
        <v>303</v>
      </c>
      <c r="F1095" s="41">
        <f t="shared" si="172"/>
        <v>15</v>
      </c>
      <c r="G1095" s="41">
        <f t="shared" si="173"/>
        <v>4</v>
      </c>
      <c r="H1095">
        <v>7.8</v>
      </c>
      <c r="I1095" s="131">
        <f>INDEX('Base de données Mono'!K:K,MATCH(B1095,'Base de données Mono'!D:D,0))</f>
        <v>0.22222222222222221</v>
      </c>
      <c r="J1095" s="131">
        <f>INDEX('Base de données Mono'!L:L,MATCH(B1095,'Base de données Mono'!D:D,0))</f>
        <v>0.89583333333333337</v>
      </c>
      <c r="K1095" s="131">
        <f>INDEX('Base de données Mono'!M:M,MATCH(B1095,'Base de données Mono'!D:D,0))</f>
        <v>0.3125</v>
      </c>
      <c r="L1095" s="131">
        <f>INDEX('Base de données Mono'!N:N,MATCH(B1095,'Base de données Mono'!D:D,0))</f>
        <v>0.55208333333333337</v>
      </c>
      <c r="M1095" s="33" t="s">
        <v>46</v>
      </c>
      <c r="N1095" s="33">
        <f>IF(AND(E1095="Electricité",M1095="Hiver"),INDEX('Base de données Mono'!E:E,MATCH(B1095,'Base de données Mono'!D:D,0)),IF(AND(E1095="Electricité",M1095="Mi-saison"),INDEX('Base de données Mono'!F:F,MATCH(B1095,'Base de données Mono'!D:D,0)),IF(AND(E1095="Electricité",M1095="Eté"),INDEX('Base de données Mono'!G:G,MATCH(B1095,'Base de données Mono'!D:D,0)),IF(AND(E1095="Gaz",M1095="Hiver"),INDEX('Base de données Mono'!J:J,MATCH(B1095,'Base de données Mono'!D:D,0)),IF(AND(E1095="Gaz",M1095="Mi-saison"),INDEX('Base de données Mono'!#REF!,MATCH(B1095,'Base de données Mono'!D:D,0)),IF(AND(E1095="Gaz",M1095="Eté"),INDEX('Base de données Mono'!#REF!,MATCH(B1095,'Base de données Mono'!D:D,0)),"-"))))))</f>
        <v>40</v>
      </c>
      <c r="O1095" s="123">
        <v>45396</v>
      </c>
      <c r="P1095" s="123">
        <v>45396</v>
      </c>
      <c r="Q1095" s="34">
        <v>75</v>
      </c>
      <c r="R1095" s="33">
        <f t="shared" si="171"/>
        <v>35</v>
      </c>
      <c r="S1095" s="34">
        <v>6.2</v>
      </c>
      <c r="T1095" s="34">
        <v>1</v>
      </c>
      <c r="U1095" s="33">
        <f t="shared" si="174"/>
        <v>217</v>
      </c>
      <c r="V1095" s="38" t="s">
        <v>827</v>
      </c>
      <c r="W1095" s="39">
        <f t="shared" si="175"/>
        <v>0.875</v>
      </c>
      <c r="X1095" s="40" t="s">
        <v>730</v>
      </c>
      <c r="Y1095" s="40" t="s">
        <v>283</v>
      </c>
      <c r="Z1095" s="40"/>
      <c r="AA1095" s="33"/>
      <c r="AB1095" s="95"/>
      <c r="AC1095" s="95"/>
    </row>
    <row r="1096" spans="1:29" ht="14.45" hidden="1" customHeight="1" x14ac:dyDescent="0.25">
      <c r="A1096" s="36" t="str">
        <f>INDEX('Base de données Mono'!C:C,MATCH(B1096,'Base de données Mono'!D:D,0))</f>
        <v>ITALIE</v>
      </c>
      <c r="B1096" t="s">
        <v>147</v>
      </c>
      <c r="C1096" s="36" t="str">
        <f>INDEX('Base de données Mono'!B:B,MATCH(B1096,'Base de données Mono'!D:D,0))</f>
        <v>SES8</v>
      </c>
      <c r="D1096" s="36" t="str">
        <f>INDEX('Base de données Mono'!A:A,MATCH(B1096,'Base de données Mono'!D:D,0))</f>
        <v>JG</v>
      </c>
      <c r="E1096" s="37" t="s">
        <v>303</v>
      </c>
      <c r="F1096" s="41">
        <f>IF(O1096="","-",IF(AND(X1096="Nuit",WEEKDAY(O1096,2)=7,O1096&lt;&gt;P1096),WEEKNUM(O1096,2),WEEKNUM(O1096,2)-1))+1</f>
        <v>14</v>
      </c>
      <c r="G1096" s="41">
        <f>IF(O1096="","-",MONTH(O1096))</f>
        <v>4</v>
      </c>
      <c r="I1096" s="131">
        <f>INDEX('Base de données Mono'!K:K,MATCH(B1096,'Base de données Mono'!D:D,0))</f>
        <v>0.24305555555555555</v>
      </c>
      <c r="J1096" s="131">
        <f>INDEX('Base de données Mono'!L:L,MATCH(B1096,'Base de données Mono'!D:D,0))</f>
        <v>0.9375</v>
      </c>
      <c r="K1096" s="131" t="str">
        <f>INDEX('Base de données Mono'!M:M,MATCH(B1096,'Base de données Mono'!D:D,0))</f>
        <v>-</v>
      </c>
      <c r="L1096" s="131" t="str">
        <f>INDEX('Base de données Mono'!N:N,MATCH(B1096,'Base de données Mono'!D:D,0))</f>
        <v>-</v>
      </c>
      <c r="M1096" s="33" t="s">
        <v>46</v>
      </c>
      <c r="N1096" s="33">
        <f>IF(AND(E1096="Electricité",M1096="Hiver"),INDEX('Base de données Mono'!E:E,MATCH(B1096,'Base de données Mono'!D:D,0)),IF(AND(E1096="Electricité",M1096="Mi-saison"),INDEX('Base de données Mono'!F:F,MATCH(B1096,'Base de données Mono'!D:D,0)),IF(AND(E1096="Electricité",M1096="Eté"),INDEX('Base de données Mono'!G:G,MATCH(B1096,'Base de données Mono'!D:D,0)),IF(AND(E1096="Gaz",M1096="Hiver"),INDEX('Base de données Mono'!J:J,MATCH(B1096,'Base de données Mono'!D:D,0)),IF(AND(E1096="Gaz",M1096="Mi-saison"),INDEX('Base de données Mono'!#REF!,MATCH(B1096,'Base de données Mono'!D:D,0)),IF(AND(E1096="Gaz",M1096="Eté"),INDEX('Base de données Mono'!#REF!,MATCH(B1096,'Base de données Mono'!D:D,0)),"-"))))))</f>
        <v>110</v>
      </c>
      <c r="O1096" s="123">
        <v>45389</v>
      </c>
      <c r="P1096" s="123">
        <v>45389</v>
      </c>
      <c r="Q1096" s="34">
        <v>140</v>
      </c>
      <c r="R1096" s="33">
        <f>IF(Q1096="","",Q1096-N1096)</f>
        <v>30</v>
      </c>
      <c r="S1096" s="34">
        <v>12</v>
      </c>
      <c r="T1096" s="34">
        <v>1</v>
      </c>
      <c r="U1096" s="33">
        <f>R1096*S1096*T1096</f>
        <v>360</v>
      </c>
      <c r="V1096" s="38" t="s">
        <v>827</v>
      </c>
      <c r="W1096" s="39">
        <f>IFERROR(IF(E1096="Gaz","-",R1096/N1096),"-")</f>
        <v>0.27272727272727271</v>
      </c>
      <c r="X1096" s="40" t="s">
        <v>730</v>
      </c>
      <c r="Y1096" s="40" t="s">
        <v>284</v>
      </c>
      <c r="Z1096" s="40" t="s">
        <v>307</v>
      </c>
      <c r="AA1096" s="33" t="s">
        <v>308</v>
      </c>
      <c r="AB1096" s="95"/>
      <c r="AC1096" s="95"/>
    </row>
    <row r="1097" spans="1:29" ht="14.45" hidden="1" customHeight="1" x14ac:dyDescent="0.25">
      <c r="A1097" s="36" t="str">
        <f>INDEX('Base de données Mono'!C:C,MATCH(B1097,'Base de données Mono'!D:D,0))</f>
        <v>ITALIE</v>
      </c>
      <c r="B1097" t="s">
        <v>147</v>
      </c>
      <c r="C1097" s="36" t="str">
        <f>INDEX('Base de données Mono'!B:B,MATCH(B1097,'Base de données Mono'!D:D,0))</f>
        <v>SES8</v>
      </c>
      <c r="D1097" s="36" t="str">
        <f>INDEX('Base de données Mono'!A:A,MATCH(B1097,'Base de données Mono'!D:D,0))</f>
        <v>JG</v>
      </c>
      <c r="E1097" s="37" t="s">
        <v>303</v>
      </c>
      <c r="F1097" s="41">
        <f t="shared" si="172"/>
        <v>15</v>
      </c>
      <c r="G1097" s="41">
        <f t="shared" si="173"/>
        <v>4</v>
      </c>
      <c r="I1097" s="131">
        <f>INDEX('Base de données Mono'!K:K,MATCH(B1097,'Base de données Mono'!D:D,0))</f>
        <v>0.24305555555555555</v>
      </c>
      <c r="J1097" s="131">
        <f>INDEX('Base de données Mono'!L:L,MATCH(B1097,'Base de données Mono'!D:D,0))</f>
        <v>0.9375</v>
      </c>
      <c r="K1097" s="131" t="str">
        <f>INDEX('Base de données Mono'!M:M,MATCH(B1097,'Base de données Mono'!D:D,0))</f>
        <v>-</v>
      </c>
      <c r="L1097" s="131" t="str">
        <f>INDEX('Base de données Mono'!N:N,MATCH(B1097,'Base de données Mono'!D:D,0))</f>
        <v>-</v>
      </c>
      <c r="M1097" s="33" t="s">
        <v>46</v>
      </c>
      <c r="N1097" s="33">
        <f>IF(AND(E1097="Electricité",M1097="Hiver"),INDEX('Base de données Mono'!E:E,MATCH(B1097,'Base de données Mono'!D:D,0)),IF(AND(E1097="Electricité",M1097="Mi-saison"),INDEX('Base de données Mono'!F:F,MATCH(B1097,'Base de données Mono'!D:D,0)),IF(AND(E1097="Electricité",M1097="Eté"),INDEX('Base de données Mono'!G:G,MATCH(B1097,'Base de données Mono'!D:D,0)),IF(AND(E1097="Gaz",M1097="Hiver"),INDEX('Base de données Mono'!J:J,MATCH(B1097,'Base de données Mono'!D:D,0)),IF(AND(E1097="Gaz",M1097="Mi-saison"),INDEX('Base de données Mono'!#REF!,MATCH(B1097,'Base de données Mono'!D:D,0)),IF(AND(E1097="Gaz",M1097="Eté"),INDEX('Base de données Mono'!#REF!,MATCH(B1097,'Base de données Mono'!D:D,0)),"-"))))))</f>
        <v>110</v>
      </c>
      <c r="O1097" s="123">
        <v>45396</v>
      </c>
      <c r="P1097" s="123">
        <v>45396</v>
      </c>
      <c r="Q1097" s="34">
        <v>140</v>
      </c>
      <c r="R1097" s="33">
        <f t="shared" si="171"/>
        <v>30</v>
      </c>
      <c r="S1097" s="34">
        <v>12</v>
      </c>
      <c r="T1097" s="34">
        <v>1</v>
      </c>
      <c r="U1097" s="33">
        <f t="shared" si="174"/>
        <v>360</v>
      </c>
      <c r="V1097" s="38" t="s">
        <v>827</v>
      </c>
      <c r="W1097" s="39">
        <f t="shared" si="175"/>
        <v>0.27272727272727271</v>
      </c>
      <c r="X1097" s="40" t="s">
        <v>730</v>
      </c>
      <c r="Y1097" s="40" t="s">
        <v>284</v>
      </c>
      <c r="Z1097" s="40" t="s">
        <v>307</v>
      </c>
      <c r="AA1097" s="33" t="s">
        <v>308</v>
      </c>
      <c r="AB1097" s="95"/>
      <c r="AC1097" s="95"/>
    </row>
    <row r="1098" spans="1:29" ht="14.45" hidden="1" customHeight="1" x14ac:dyDescent="0.25">
      <c r="A1098" s="36" t="str">
        <f>INDEX('Base de données Mono'!C:C,MATCH(B1098,'Base de données Mono'!D:D,0))</f>
        <v>VAUGIRARD</v>
      </c>
      <c r="B1098" t="s">
        <v>262</v>
      </c>
      <c r="C1098" s="36" t="str">
        <f>INDEX('Base de données Mono'!B:B,MATCH(B1098,'Base de données Mono'!D:D,0))</f>
        <v>SES8</v>
      </c>
      <c r="D1098" s="36" t="str">
        <f>INDEX('Base de données Mono'!A:A,MATCH(B1098,'Base de données Mono'!D:D,0))</f>
        <v>AD</v>
      </c>
      <c r="E1098" s="37" t="s">
        <v>303</v>
      </c>
      <c r="F1098" s="41">
        <f t="shared" si="172"/>
        <v>15</v>
      </c>
      <c r="G1098" s="41">
        <f t="shared" si="173"/>
        <v>4</v>
      </c>
      <c r="I1098" s="131">
        <f>INDEX('Base de données Mono'!K:K,MATCH(B1098,'Base de données Mono'!D:D,0))</f>
        <v>0.20138888888888887</v>
      </c>
      <c r="J1098" s="131">
        <f>INDEX('Base de données Mono'!L:L,MATCH(B1098,'Base de données Mono'!D:D,0))</f>
        <v>0.92708333333333337</v>
      </c>
      <c r="K1098" s="131">
        <f>INDEX('Base de données Mono'!M:M,MATCH(B1098,'Base de données Mono'!D:D,0))</f>
        <v>0.2638888888888889</v>
      </c>
      <c r="L1098" s="131">
        <f>INDEX('Base de données Mono'!N:N,MATCH(B1098,'Base de données Mono'!D:D,0))</f>
        <v>0.5625</v>
      </c>
      <c r="M1098" s="33" t="s">
        <v>46</v>
      </c>
      <c r="N1098" s="33">
        <f>IF(AND(E1098="Electricité",M1098="Hiver"),INDEX('Base de données Mono'!E:E,MATCH(B1098,'Base de données Mono'!D:D,0)),IF(AND(E1098="Electricité",M1098="Mi-saison"),INDEX('Base de données Mono'!F:F,MATCH(B1098,'Base de données Mono'!D:D,0)),IF(AND(E1098="Electricité",M1098="Eté"),INDEX('Base de données Mono'!G:G,MATCH(B1098,'Base de données Mono'!D:D,0)),IF(AND(E1098="Gaz",M1098="Hiver"),INDEX('Base de données Mono'!J:J,MATCH(B1098,'Base de données Mono'!D:D,0)),IF(AND(E1098="Gaz",M1098="Mi-saison"),INDEX('Base de données Mono'!#REF!,MATCH(B1098,'Base de données Mono'!D:D,0)),IF(AND(E1098="Gaz",M1098="Eté"),INDEX('Base de données Mono'!#REF!,MATCH(B1098,'Base de données Mono'!D:D,0)),"-"))))))</f>
        <v>80</v>
      </c>
      <c r="O1098" s="123">
        <v>45396</v>
      </c>
      <c r="P1098" s="123">
        <v>45396</v>
      </c>
      <c r="Q1098" s="34">
        <v>195</v>
      </c>
      <c r="R1098" s="33">
        <f t="shared" si="171"/>
        <v>115</v>
      </c>
      <c r="S1098" s="34">
        <v>8.6999999999999993</v>
      </c>
      <c r="T1098" s="34">
        <v>1</v>
      </c>
      <c r="U1098" s="33">
        <f t="shared" si="174"/>
        <v>1000.4999999999999</v>
      </c>
      <c r="V1098" s="38" t="s">
        <v>827</v>
      </c>
      <c r="W1098" s="39">
        <f t="shared" si="175"/>
        <v>1.4375</v>
      </c>
      <c r="X1098" s="40" t="s">
        <v>730</v>
      </c>
      <c r="Y1098" s="40" t="s">
        <v>284</v>
      </c>
      <c r="Z1098" s="40" t="s">
        <v>307</v>
      </c>
      <c r="AA1098" s="33" t="s">
        <v>308</v>
      </c>
      <c r="AB1098" s="95"/>
      <c r="AC1098" s="95"/>
    </row>
    <row r="1099" spans="1:29" ht="14.45" hidden="1" customHeight="1" x14ac:dyDescent="0.25">
      <c r="A1099" s="36" t="str">
        <f>INDEX('Base de données Mono'!C:C,MATCH(B1099,'Base de données Mono'!D:D,0))</f>
        <v>SAINT MAUR</v>
      </c>
      <c r="B1099" t="s">
        <v>235</v>
      </c>
      <c r="C1099" s="36" t="str">
        <f>INDEX('Base de données Mono'!B:B,MATCH(B1099,'Base de données Mono'!D:D,0))</f>
        <v>SES8</v>
      </c>
      <c r="D1099" s="36" t="str">
        <f>INDEX('Base de données Mono'!A:A,MATCH(B1099,'Base de données Mono'!D:D,0))</f>
        <v>JG</v>
      </c>
      <c r="E1099" s="37" t="s">
        <v>303</v>
      </c>
      <c r="F1099" s="41">
        <f t="shared" si="172"/>
        <v>15</v>
      </c>
      <c r="G1099" s="41">
        <f t="shared" si="173"/>
        <v>4</v>
      </c>
      <c r="I1099" s="131">
        <f>INDEX('Base de données Mono'!K:K,MATCH(B1099,'Base de données Mono'!D:D,0))</f>
        <v>0.24305555555555555</v>
      </c>
      <c r="J1099" s="131">
        <f>INDEX('Base de données Mono'!L:L,MATCH(B1099,'Base de données Mono'!D:D,0))</f>
        <v>0.875</v>
      </c>
      <c r="K1099" s="131">
        <f>INDEX('Base de données Mono'!M:M,MATCH(B1099,'Base de données Mono'!D:D,0))</f>
        <v>0.28472222222222221</v>
      </c>
      <c r="L1099" s="131">
        <f>INDEX('Base de données Mono'!N:N,MATCH(B1099,'Base de données Mono'!D:D,0))</f>
        <v>0.55208333333333337</v>
      </c>
      <c r="M1099" s="33" t="s">
        <v>46</v>
      </c>
      <c r="N1099" s="33">
        <f>IF(AND(E1099="Electricité",M1099="Hiver"),INDEX('Base de données Mono'!E:E,MATCH(B1099,'Base de données Mono'!D:D,0)),IF(AND(E1099="Electricité",M1099="Mi-saison"),INDEX('Base de données Mono'!F:F,MATCH(B1099,'Base de données Mono'!D:D,0)),IF(AND(E1099="Electricité",M1099="Eté"),INDEX('Base de données Mono'!G:G,MATCH(B1099,'Base de données Mono'!D:D,0)),IF(AND(E1099="Gaz",M1099="Hiver"),INDEX('Base de données Mono'!J:J,MATCH(B1099,'Base de données Mono'!D:D,0)),IF(AND(E1099="Gaz",M1099="Mi-saison"),INDEX('Base de données Mono'!#REF!,MATCH(B1099,'Base de données Mono'!D:D,0)),IF(AND(E1099="Gaz",M1099="Eté"),INDEX('Base de données Mono'!#REF!,MATCH(B1099,'Base de données Mono'!D:D,0)),"-"))))))</f>
        <v>50</v>
      </c>
      <c r="O1099" s="123">
        <v>45396</v>
      </c>
      <c r="P1099" s="123">
        <v>45396</v>
      </c>
      <c r="Q1099" s="34">
        <v>90</v>
      </c>
      <c r="R1099" s="33">
        <f t="shared" si="171"/>
        <v>40</v>
      </c>
      <c r="S1099" s="34">
        <v>5.5</v>
      </c>
      <c r="T1099" s="34">
        <v>1</v>
      </c>
      <c r="U1099" s="33">
        <f t="shared" si="174"/>
        <v>220</v>
      </c>
      <c r="V1099" s="38" t="s">
        <v>827</v>
      </c>
      <c r="W1099" s="39">
        <f t="shared" si="175"/>
        <v>0.8</v>
      </c>
      <c r="X1099" s="40" t="s">
        <v>730</v>
      </c>
      <c r="Y1099" s="40" t="s">
        <v>284</v>
      </c>
      <c r="Z1099" s="40" t="s">
        <v>307</v>
      </c>
      <c r="AA1099" s="33" t="s">
        <v>308</v>
      </c>
      <c r="AB1099" s="95"/>
      <c r="AC1099" s="95"/>
    </row>
    <row r="1100" spans="1:29" ht="14.45" hidden="1" customHeight="1" x14ac:dyDescent="0.25">
      <c r="A1100" s="36" t="str">
        <f>INDEX('Base de données Mono'!C:C,MATCH(B1100,'Base de données Mono'!D:D,0))</f>
        <v>SAINT MAUR</v>
      </c>
      <c r="B1100" t="s">
        <v>235</v>
      </c>
      <c r="C1100" s="36" t="str">
        <f>INDEX('Base de données Mono'!B:B,MATCH(B1100,'Base de données Mono'!D:D,0))</f>
        <v>SES8</v>
      </c>
      <c r="D1100" s="36" t="str">
        <f>INDEX('Base de données Mono'!A:A,MATCH(B1100,'Base de données Mono'!D:D,0))</f>
        <v>JG</v>
      </c>
      <c r="E1100" s="37" t="s">
        <v>303</v>
      </c>
      <c r="F1100" s="41">
        <f t="shared" si="172"/>
        <v>15</v>
      </c>
      <c r="G1100" s="41">
        <f t="shared" si="173"/>
        <v>4</v>
      </c>
      <c r="I1100" s="131">
        <f>INDEX('Base de données Mono'!K:K,MATCH(B1100,'Base de données Mono'!D:D,0))</f>
        <v>0.24305555555555555</v>
      </c>
      <c r="J1100" s="131">
        <f>INDEX('Base de données Mono'!L:L,MATCH(B1100,'Base de données Mono'!D:D,0))</f>
        <v>0.875</v>
      </c>
      <c r="K1100" s="131">
        <f>INDEX('Base de données Mono'!M:M,MATCH(B1100,'Base de données Mono'!D:D,0))</f>
        <v>0.28472222222222221</v>
      </c>
      <c r="L1100" s="131">
        <f>INDEX('Base de données Mono'!N:N,MATCH(B1100,'Base de données Mono'!D:D,0))</f>
        <v>0.55208333333333337</v>
      </c>
      <c r="M1100" s="33" t="s">
        <v>46</v>
      </c>
      <c r="N1100" s="33">
        <f>IF(AND(E1100="Electricité",M1100="Hiver"),INDEX('Base de données Mono'!E:E,MATCH(B1100,'Base de données Mono'!D:D,0)),IF(AND(E1100="Electricité",M1100="Mi-saison"),INDEX('Base de données Mono'!F:F,MATCH(B1100,'Base de données Mono'!D:D,0)),IF(AND(E1100="Electricité",M1100="Eté"),INDEX('Base de données Mono'!G:G,MATCH(B1100,'Base de données Mono'!D:D,0)),IF(AND(E1100="Gaz",M1100="Hiver"),INDEX('Base de données Mono'!J:J,MATCH(B1100,'Base de données Mono'!D:D,0)),IF(AND(E1100="Gaz",M1100="Mi-saison"),INDEX('Base de données Mono'!#REF!,MATCH(B1100,'Base de données Mono'!D:D,0)),IF(AND(E1100="Gaz",M1100="Eté"),INDEX('Base de données Mono'!#REF!,MATCH(B1100,'Base de données Mono'!D:D,0)),"-"))))))</f>
        <v>50</v>
      </c>
      <c r="O1100" s="123">
        <v>45396</v>
      </c>
      <c r="P1100" s="123">
        <v>45396</v>
      </c>
      <c r="Q1100" s="34">
        <v>55</v>
      </c>
      <c r="R1100" s="33">
        <f t="shared" si="171"/>
        <v>5</v>
      </c>
      <c r="S1100" s="34">
        <v>2</v>
      </c>
      <c r="T1100" s="34">
        <v>1</v>
      </c>
      <c r="U1100" s="33">
        <f t="shared" si="174"/>
        <v>10</v>
      </c>
      <c r="V1100" s="38" t="s">
        <v>827</v>
      </c>
      <c r="W1100" s="39">
        <f t="shared" si="175"/>
        <v>0.1</v>
      </c>
      <c r="X1100" s="40" t="s">
        <v>730</v>
      </c>
      <c r="Y1100" s="40" t="s">
        <v>284</v>
      </c>
      <c r="Z1100" s="40" t="s">
        <v>305</v>
      </c>
      <c r="AA1100" s="33" t="s">
        <v>771</v>
      </c>
      <c r="AB1100" s="95"/>
      <c r="AC1100" s="95"/>
    </row>
    <row r="1101" spans="1:29" ht="14.45" hidden="1" customHeight="1" x14ac:dyDescent="0.25">
      <c r="A1101" s="36" t="str">
        <f>INDEX('Base de données Mono'!C:C,MATCH(B1101,'Base de données Mono'!D:D,0))</f>
        <v>RUEIL MALMAISON</v>
      </c>
      <c r="B1101" t="s">
        <v>31</v>
      </c>
      <c r="C1101" s="36" t="str">
        <f>INDEX('Base de données Mono'!B:B,MATCH(B1101,'Base de données Mono'!D:D,0))</f>
        <v>SES8</v>
      </c>
      <c r="D1101" s="36" t="str">
        <f>INDEX('Base de données Mono'!A:A,MATCH(B1101,'Base de données Mono'!D:D,0))</f>
        <v>AD</v>
      </c>
      <c r="E1101" s="37" t="s">
        <v>303</v>
      </c>
      <c r="F1101" s="41">
        <f t="shared" si="172"/>
        <v>15</v>
      </c>
      <c r="G1101" s="41">
        <f t="shared" si="173"/>
        <v>4</v>
      </c>
      <c r="I1101" s="131">
        <f>INDEX('Base de données Mono'!K:K,MATCH(B1101,'Base de données Mono'!D:D,0))</f>
        <v>0.26041666666666669</v>
      </c>
      <c r="J1101" s="131">
        <f>INDEX('Base de données Mono'!L:L,MATCH(B1101,'Base de données Mono'!D:D,0))</f>
        <v>0.92708333333333337</v>
      </c>
      <c r="K1101" s="131">
        <f>INDEX('Base de données Mono'!M:M,MATCH(B1101,'Base de données Mono'!D:D,0))</f>
        <v>0.27777777777777779</v>
      </c>
      <c r="L1101" s="131">
        <f>INDEX('Base de données Mono'!N:N,MATCH(B1101,'Base de données Mono'!D:D,0))</f>
        <v>0.59375</v>
      </c>
      <c r="M1101" s="33" t="s">
        <v>46</v>
      </c>
      <c r="N1101" s="33">
        <f>IF(AND(E1101="Electricité",M1101="Hiver"),INDEX('Base de données Mono'!E:E,MATCH(B1101,'Base de données Mono'!D:D,0)),IF(AND(E1101="Electricité",M1101="Mi-saison"),INDEX('Base de données Mono'!F:F,MATCH(B1101,'Base de données Mono'!D:D,0)),IF(AND(E1101="Electricité",M1101="Eté"),INDEX('Base de données Mono'!G:G,MATCH(B1101,'Base de données Mono'!D:D,0)),IF(AND(E1101="Gaz",M1101="Hiver"),INDEX('Base de données Mono'!J:J,MATCH(B1101,'Base de données Mono'!D:D,0)),IF(AND(E1101="Gaz",M1101="Mi-saison"),INDEX('Base de données Mono'!#REF!,MATCH(B1101,'Base de données Mono'!D:D,0)),IF(AND(E1101="Gaz",M1101="Eté"),INDEX('Base de données Mono'!#REF!,MATCH(B1101,'Base de données Mono'!D:D,0)),"-"))))))</f>
        <v>65</v>
      </c>
      <c r="O1101" s="123">
        <v>45396</v>
      </c>
      <c r="P1101" s="123">
        <v>45396</v>
      </c>
      <c r="Q1101" s="34">
        <v>100</v>
      </c>
      <c r="R1101" s="33">
        <f t="shared" si="171"/>
        <v>35</v>
      </c>
      <c r="S1101" s="34">
        <v>6.2</v>
      </c>
      <c r="T1101" s="34">
        <v>1</v>
      </c>
      <c r="U1101" s="33">
        <f t="shared" si="174"/>
        <v>217</v>
      </c>
      <c r="V1101" s="38" t="s">
        <v>827</v>
      </c>
      <c r="W1101" s="39">
        <f t="shared" si="175"/>
        <v>0.53846153846153844</v>
      </c>
      <c r="X1101" s="40" t="s">
        <v>730</v>
      </c>
      <c r="Y1101" s="40" t="s">
        <v>284</v>
      </c>
      <c r="Z1101" s="40" t="s">
        <v>305</v>
      </c>
      <c r="AA1101" s="33" t="s">
        <v>771</v>
      </c>
      <c r="AB1101" s="95"/>
      <c r="AC1101" s="95" t="s">
        <v>861</v>
      </c>
    </row>
    <row r="1102" spans="1:29" ht="14.45" hidden="1" customHeight="1" x14ac:dyDescent="0.25">
      <c r="A1102" s="36" t="str">
        <f>INDEX('Base de données Mono'!C:C,MATCH(B1102,'Base de données Mono'!D:D,0))</f>
        <v>LYON LA PART DIEU</v>
      </c>
      <c r="B1102" t="s">
        <v>21</v>
      </c>
      <c r="C1102" s="36" t="str">
        <f>INDEX('Base de données Mono'!B:B,MATCH(B1102,'Base de données Mono'!D:D,0))</f>
        <v>SES8</v>
      </c>
      <c r="D1102" s="36" t="str">
        <f>INDEX('Base de données Mono'!A:A,MATCH(B1102,'Base de données Mono'!D:D,0))</f>
        <v>JG</v>
      </c>
      <c r="E1102" s="37" t="s">
        <v>303</v>
      </c>
      <c r="F1102" s="41">
        <f t="shared" si="172"/>
        <v>15</v>
      </c>
      <c r="G1102" s="41">
        <f t="shared" si="173"/>
        <v>4</v>
      </c>
      <c r="I1102" s="131">
        <f>INDEX('Base de données Mono'!K:K,MATCH(B1102,'Base de données Mono'!D:D,0))</f>
        <v>0.1875</v>
      </c>
      <c r="J1102" s="131">
        <f>INDEX('Base de données Mono'!L:L,MATCH(B1102,'Base de données Mono'!D:D,0))</f>
        <v>0.83333333333333337</v>
      </c>
      <c r="K1102" s="131">
        <f>INDEX('Base de données Mono'!M:M,MATCH(B1102,'Base de données Mono'!D:D,0))</f>
        <v>0.25</v>
      </c>
      <c r="L1102" s="131">
        <f>INDEX('Base de données Mono'!N:N,MATCH(B1102,'Base de données Mono'!D:D,0))</f>
        <v>0.5</v>
      </c>
      <c r="M1102" s="33" t="s">
        <v>46</v>
      </c>
      <c r="N1102" s="33">
        <f>IF(AND(E1102="Electricité",M1102="Hiver"),INDEX('Base de données Mono'!E:E,MATCH(B1102,'Base de données Mono'!D:D,0)),IF(AND(E1102="Electricité",M1102="Mi-saison"),INDEX('Base de données Mono'!F:F,MATCH(B1102,'Base de données Mono'!D:D,0)),IF(AND(E1102="Electricité",M1102="Eté"),INDEX('Base de données Mono'!G:G,MATCH(B1102,'Base de données Mono'!D:D,0)),IF(AND(E1102="Gaz",M1102="Hiver"),INDEX('Base de données Mono'!J:J,MATCH(B1102,'Base de données Mono'!D:D,0)),IF(AND(E1102="Gaz",M1102="Mi-saison"),INDEX('Base de données Mono'!#REF!,MATCH(B1102,'Base de données Mono'!D:D,0)),IF(AND(E1102="Gaz",M1102="Eté"),INDEX('Base de données Mono'!#REF!,MATCH(B1102,'Base de données Mono'!D:D,0)),"-"))))))</f>
        <v>45</v>
      </c>
      <c r="O1102" s="123">
        <v>45396</v>
      </c>
      <c r="P1102" s="123">
        <v>45396</v>
      </c>
      <c r="Q1102" s="34">
        <v>80</v>
      </c>
      <c r="R1102" s="33">
        <f t="shared" si="171"/>
        <v>35</v>
      </c>
      <c r="S1102" s="34">
        <v>7</v>
      </c>
      <c r="T1102" s="34">
        <v>1</v>
      </c>
      <c r="U1102" s="33">
        <f t="shared" si="174"/>
        <v>245</v>
      </c>
      <c r="V1102" s="38" t="s">
        <v>827</v>
      </c>
      <c r="W1102" s="39">
        <f t="shared" si="175"/>
        <v>0.77777777777777779</v>
      </c>
      <c r="X1102" s="40" t="s">
        <v>730</v>
      </c>
      <c r="Y1102" s="40" t="s">
        <v>283</v>
      </c>
      <c r="Z1102" s="95" t="s">
        <v>749</v>
      </c>
      <c r="AA1102" s="95" t="s">
        <v>749</v>
      </c>
      <c r="AB1102" s="95"/>
      <c r="AC1102" s="95" t="s">
        <v>839</v>
      </c>
    </row>
    <row r="1103" spans="1:29" ht="14.45" hidden="1" customHeight="1" x14ac:dyDescent="0.25">
      <c r="A1103" s="36" t="str">
        <f>INDEX('Base de données Mono'!C:C,MATCH(B1103,'Base de données Mono'!D:D,0))</f>
        <v>CHAMBERY LES HALLES</v>
      </c>
      <c r="B1103" t="s">
        <v>11</v>
      </c>
      <c r="C1103" s="36" t="str">
        <f>INDEX('Base de données Mono'!B:B,MATCH(B1103,'Base de données Mono'!D:D,0))</f>
        <v>SES8</v>
      </c>
      <c r="D1103" s="36" t="str">
        <f>INDEX('Base de données Mono'!A:A,MATCH(B1103,'Base de données Mono'!D:D,0))</f>
        <v>JG</v>
      </c>
      <c r="E1103" s="37" t="s">
        <v>303</v>
      </c>
      <c r="F1103" s="41">
        <f t="shared" si="172"/>
        <v>15</v>
      </c>
      <c r="G1103" s="41">
        <f t="shared" si="173"/>
        <v>4</v>
      </c>
      <c r="I1103" s="131">
        <f>INDEX('Base de données Mono'!K:K,MATCH(B1103,'Base de données Mono'!D:D,0))</f>
        <v>0.20833333333333334</v>
      </c>
      <c r="J1103" s="131">
        <f>INDEX('Base de données Mono'!L:L,MATCH(B1103,'Base de données Mono'!D:D,0))</f>
        <v>0.86458333333333337</v>
      </c>
      <c r="K1103" s="131">
        <f>INDEX('Base de données Mono'!M:M,MATCH(B1103,'Base de données Mono'!D:D,0))</f>
        <v>0.29166666666666669</v>
      </c>
      <c r="L1103" s="131">
        <f>INDEX('Base de données Mono'!N:N,MATCH(B1103,'Base de données Mono'!D:D,0))</f>
        <v>0.53125</v>
      </c>
      <c r="M1103" s="33" t="s">
        <v>46</v>
      </c>
      <c r="N1103" s="33">
        <f>IF(AND(E1103="Electricité",M1103="Hiver"),INDEX('Base de données Mono'!E:E,MATCH(B1103,'Base de données Mono'!D:D,0)),IF(AND(E1103="Electricité",M1103="Mi-saison"),INDEX('Base de données Mono'!F:F,MATCH(B1103,'Base de données Mono'!D:D,0)),IF(AND(E1103="Electricité",M1103="Eté"),INDEX('Base de données Mono'!G:G,MATCH(B1103,'Base de données Mono'!D:D,0)),IF(AND(E1103="Gaz",M1103="Hiver"),INDEX('Base de données Mono'!J:J,MATCH(B1103,'Base de données Mono'!D:D,0)),IF(AND(E1103="Gaz",M1103="Mi-saison"),INDEX('Base de données Mono'!#REF!,MATCH(B1103,'Base de données Mono'!D:D,0)),IF(AND(E1103="Gaz",M1103="Eté"),INDEX('Base de données Mono'!#REF!,MATCH(B1103,'Base de données Mono'!D:D,0)),"-"))))))</f>
        <v>40</v>
      </c>
      <c r="O1103" s="123">
        <v>45396</v>
      </c>
      <c r="P1103" s="123">
        <v>45396</v>
      </c>
      <c r="Q1103" s="34">
        <v>90</v>
      </c>
      <c r="R1103" s="33">
        <f t="shared" si="171"/>
        <v>50</v>
      </c>
      <c r="S1103" s="34">
        <v>6.2</v>
      </c>
      <c r="T1103" s="34">
        <v>1</v>
      </c>
      <c r="U1103" s="33">
        <f t="shared" si="174"/>
        <v>310</v>
      </c>
      <c r="V1103" s="38" t="s">
        <v>827</v>
      </c>
      <c r="W1103" s="39">
        <f t="shared" si="175"/>
        <v>1.25</v>
      </c>
      <c r="X1103" s="40" t="s">
        <v>730</v>
      </c>
      <c r="Y1103" s="40" t="s">
        <v>283</v>
      </c>
      <c r="Z1103" s="40"/>
      <c r="AA1103" s="33"/>
      <c r="AB1103" s="95"/>
      <c r="AC1103" s="95"/>
    </row>
    <row r="1104" spans="1:29" ht="14.45" hidden="1" customHeight="1" x14ac:dyDescent="0.25">
      <c r="A1104" s="36" t="str">
        <f>INDEX('Base de données Mono'!C:C,MATCH(B1104,'Base de données Mono'!D:D,0))</f>
        <v>COURCELLES</v>
      </c>
      <c r="B1104" t="s">
        <v>112</v>
      </c>
      <c r="C1104" s="36" t="str">
        <f>INDEX('Base de données Mono'!B:B,MATCH(B1104,'Base de données Mono'!D:D,0))</f>
        <v>SES8</v>
      </c>
      <c r="D1104" s="36" t="str">
        <f>INDEX('Base de données Mono'!A:A,MATCH(B1104,'Base de données Mono'!D:D,0))</f>
        <v>AD</v>
      </c>
      <c r="E1104" s="37" t="s">
        <v>303</v>
      </c>
      <c r="F1104" s="41">
        <f t="shared" si="172"/>
        <v>15</v>
      </c>
      <c r="G1104" s="41">
        <f t="shared" si="173"/>
        <v>4</v>
      </c>
      <c r="I1104" s="131">
        <f>INDEX('Base de données Mono'!K:K,MATCH(B1104,'Base de données Mono'!D:D,0))</f>
        <v>0.25</v>
      </c>
      <c r="J1104" s="131">
        <f>INDEX('Base de données Mono'!L:L,MATCH(B1104,'Base de données Mono'!D:D,0))</f>
        <v>0.86458333333333337</v>
      </c>
      <c r="K1104" s="131" t="str">
        <f>INDEX('Base de données Mono'!M:M,MATCH(B1104,'Base de données Mono'!D:D,0))</f>
        <v>-</v>
      </c>
      <c r="L1104" s="131" t="str">
        <f>INDEX('Base de données Mono'!N:N,MATCH(B1104,'Base de données Mono'!D:D,0))</f>
        <v>-</v>
      </c>
      <c r="M1104" s="33" t="s">
        <v>46</v>
      </c>
      <c r="N1104" s="33">
        <f>IF(AND(E1104="Electricité",M1104="Hiver"),INDEX('Base de données Mono'!E:E,MATCH(B1104,'Base de données Mono'!D:D,0)),IF(AND(E1104="Electricité",M1104="Mi-saison"),INDEX('Base de données Mono'!F:F,MATCH(B1104,'Base de données Mono'!D:D,0)),IF(AND(E1104="Electricité",M1104="Eté"),INDEX('Base de données Mono'!G:G,MATCH(B1104,'Base de données Mono'!D:D,0)),IF(AND(E1104="Gaz",M1104="Hiver"),INDEX('Base de données Mono'!J:J,MATCH(B1104,'Base de données Mono'!D:D,0)),IF(AND(E1104="Gaz",M1104="Mi-saison"),INDEX('Base de données Mono'!#REF!,MATCH(B1104,'Base de données Mono'!D:D,0)),IF(AND(E1104="Gaz",M1104="Eté"),INDEX('Base de données Mono'!#REF!,MATCH(B1104,'Base de données Mono'!D:D,0)),"-"))))))</f>
        <v>45</v>
      </c>
      <c r="O1104" s="123">
        <v>45396</v>
      </c>
      <c r="P1104" s="123">
        <v>45396</v>
      </c>
      <c r="Q1104" s="34">
        <v>75</v>
      </c>
      <c r="R1104" s="33">
        <f t="shared" ref="R1104:R1117" si="176">IF(Q1104="","",Q1104-N1104)</f>
        <v>30</v>
      </c>
      <c r="S1104" s="34">
        <v>13</v>
      </c>
      <c r="T1104" s="34">
        <v>1</v>
      </c>
      <c r="U1104" s="33">
        <f t="shared" si="174"/>
        <v>390</v>
      </c>
      <c r="V1104" s="38" t="s">
        <v>827</v>
      </c>
      <c r="W1104" s="39">
        <f t="shared" si="175"/>
        <v>0.66666666666666663</v>
      </c>
      <c r="X1104" s="40" t="s">
        <v>730</v>
      </c>
      <c r="Y1104" s="40" t="s">
        <v>283</v>
      </c>
      <c r="Z1104" s="40"/>
      <c r="AA1104" s="33"/>
      <c r="AB1104" s="95"/>
      <c r="AC1104" s="95"/>
    </row>
    <row r="1105" spans="1:29" ht="14.45" hidden="1" customHeight="1" x14ac:dyDescent="0.25">
      <c r="A1105" s="36" t="str">
        <f>INDEX('Base de données Mono'!C:C,MATCH(B1105,'Base de données Mono'!D:D,0))</f>
        <v>NICE CIMIEZ</v>
      </c>
      <c r="B1105" t="s">
        <v>194</v>
      </c>
      <c r="C1105" s="36" t="str">
        <f>INDEX('Base de données Mono'!B:B,MATCH(B1105,'Base de données Mono'!D:D,0))</f>
        <v>SES8</v>
      </c>
      <c r="D1105" s="36" t="str">
        <f>INDEX('Base de données Mono'!A:A,MATCH(B1105,'Base de données Mono'!D:D,0))</f>
        <v>JG</v>
      </c>
      <c r="E1105" s="37" t="s">
        <v>303</v>
      </c>
      <c r="F1105" s="41">
        <f t="shared" si="172"/>
        <v>15</v>
      </c>
      <c r="G1105" s="41">
        <f t="shared" si="173"/>
        <v>4</v>
      </c>
      <c r="I1105" s="131">
        <f>INDEX('Base de données Mono'!K:K,MATCH(B1105,'Base de données Mono'!D:D,0))</f>
        <v>0.23611111111111113</v>
      </c>
      <c r="J1105" s="131">
        <f>INDEX('Base de données Mono'!L:L,MATCH(B1105,'Base de données Mono'!D:D,0))</f>
        <v>0.875</v>
      </c>
      <c r="K1105" s="131">
        <f>INDEX('Base de données Mono'!M:M,MATCH(B1105,'Base de données Mono'!D:D,0))</f>
        <v>0.28472222222222221</v>
      </c>
      <c r="L1105" s="131">
        <f>INDEX('Base de données Mono'!N:N,MATCH(B1105,'Base de données Mono'!D:D,0))</f>
        <v>0.54166666666666663</v>
      </c>
      <c r="M1105" s="33" t="s">
        <v>46</v>
      </c>
      <c r="N1105" s="33">
        <f>IF(AND(E1105="Electricité",M1105="Hiver"),INDEX('Base de données Mono'!E:E,MATCH(B1105,'Base de données Mono'!D:D,0)),IF(AND(E1105="Electricité",M1105="Mi-saison"),INDEX('Base de données Mono'!F:F,MATCH(B1105,'Base de données Mono'!D:D,0)),IF(AND(E1105="Electricité",M1105="Eté"),INDEX('Base de données Mono'!G:G,MATCH(B1105,'Base de données Mono'!D:D,0)),IF(AND(E1105="Gaz",M1105="Hiver"),INDEX('Base de données Mono'!J:J,MATCH(B1105,'Base de données Mono'!D:D,0)),IF(AND(E1105="Gaz",M1105="Mi-saison"),INDEX('Base de données Mono'!#REF!,MATCH(B1105,'Base de données Mono'!D:D,0)),IF(AND(E1105="Gaz",M1105="Eté"),INDEX('Base de données Mono'!#REF!,MATCH(B1105,'Base de données Mono'!D:D,0)),"-"))))))</f>
        <v>85</v>
      </c>
      <c r="O1105" s="123">
        <v>45396</v>
      </c>
      <c r="P1105" s="123">
        <v>45396</v>
      </c>
      <c r="Q1105" s="34">
        <v>170</v>
      </c>
      <c r="R1105" s="33">
        <f t="shared" si="176"/>
        <v>85</v>
      </c>
      <c r="S1105" s="34">
        <v>8</v>
      </c>
      <c r="T1105" s="34">
        <v>1</v>
      </c>
      <c r="U1105" s="33">
        <f t="shared" si="174"/>
        <v>680</v>
      </c>
      <c r="V1105" s="38" t="s">
        <v>827</v>
      </c>
      <c r="W1105" s="39">
        <f t="shared" si="175"/>
        <v>1</v>
      </c>
      <c r="X1105" s="40" t="s">
        <v>730</v>
      </c>
      <c r="Y1105" s="40" t="s">
        <v>283</v>
      </c>
      <c r="Z1105" s="40"/>
      <c r="AA1105" s="33"/>
      <c r="AB1105" s="95"/>
      <c r="AC1105" s="95"/>
    </row>
    <row r="1106" spans="1:29" ht="14.45" hidden="1" customHeight="1" x14ac:dyDescent="0.25">
      <c r="A1106" s="36" t="str">
        <f>INDEX('Base de données Mono'!C:C,MATCH(B1106,'Base de données Mono'!D:D,0))</f>
        <v>DIJON</v>
      </c>
      <c r="B1106" t="s">
        <v>119</v>
      </c>
      <c r="C1106" s="36" t="str">
        <f>INDEX('Base de données Mono'!B:B,MATCH(B1106,'Base de données Mono'!D:D,0))</f>
        <v>SES8</v>
      </c>
      <c r="D1106" s="36" t="str">
        <f>INDEX('Base de données Mono'!A:A,MATCH(B1106,'Base de données Mono'!D:D,0))</f>
        <v>JG</v>
      </c>
      <c r="E1106" s="37" t="s">
        <v>303</v>
      </c>
      <c r="F1106" s="41">
        <f>IF(O1106="","-",IF(AND(X1106="Nuit",WEEKDAY(O1106,2)=7,O1106&lt;&gt;P1106),WEEKNUM(O1106,2),WEEKNUM(O1106,2)-1))+1</f>
        <v>15</v>
      </c>
      <c r="G1106" s="41">
        <f>IF(O1106="","-",MONTH(O1106))</f>
        <v>4</v>
      </c>
      <c r="I1106" s="131">
        <f>INDEX('Base de données Mono'!K:K,MATCH(B1106,'Base de données Mono'!D:D,0))</f>
        <v>0.24305555555555555</v>
      </c>
      <c r="J1106" s="131">
        <f>INDEX('Base de données Mono'!L:L,MATCH(B1106,'Base de données Mono'!D:D,0))</f>
        <v>0.875</v>
      </c>
      <c r="K1106" s="131">
        <f>INDEX('Base de données Mono'!M:M,MATCH(B1106,'Base de données Mono'!D:D,0))</f>
        <v>0.3125</v>
      </c>
      <c r="L1106" s="131">
        <f>INDEX('Base de données Mono'!N:N,MATCH(B1106,'Base de données Mono'!D:D,0))</f>
        <v>0.54166666666666663</v>
      </c>
      <c r="M1106" s="33" t="s">
        <v>46</v>
      </c>
      <c r="N1106" s="33">
        <f>IF(AND(E1106="Electricité",M1106="Hiver"),INDEX('Base de données Mono'!E:E,MATCH(B1106,'Base de données Mono'!D:D,0)),IF(AND(E1106="Electricité",M1106="Mi-saison"),INDEX('Base de données Mono'!F:F,MATCH(B1106,'Base de données Mono'!D:D,0)),IF(AND(E1106="Electricité",M1106="Eté"),INDEX('Base de données Mono'!G:G,MATCH(B1106,'Base de données Mono'!D:D,0)),IF(AND(E1106="Gaz",M1106="Hiver"),INDEX('Base de données Mono'!J:J,MATCH(B1106,'Base de données Mono'!D:D,0)),IF(AND(E1106="Gaz",M1106="Mi-saison"),INDEX('Base de données Mono'!#REF!,MATCH(B1106,'Base de données Mono'!D:D,0)),IF(AND(E1106="Gaz",M1106="Eté"),INDEX('Base de données Mono'!#REF!,MATCH(B1106,'Base de données Mono'!D:D,0)),"-"))))))</f>
        <v>55</v>
      </c>
      <c r="O1106" s="123">
        <v>45396</v>
      </c>
      <c r="P1106" s="123">
        <v>45396</v>
      </c>
      <c r="Q1106" s="34">
        <v>110</v>
      </c>
      <c r="R1106" s="33">
        <f>IF(Q1106="","",Q1106-N1106)</f>
        <v>55</v>
      </c>
      <c r="S1106" s="34">
        <v>7</v>
      </c>
      <c r="T1106" s="34">
        <v>1</v>
      </c>
      <c r="U1106" s="33">
        <f>R1106*S1106*T1106</f>
        <v>385</v>
      </c>
      <c r="V1106" s="38" t="s">
        <v>827</v>
      </c>
      <c r="W1106" s="39">
        <f>IFERROR(IF(E1106="Gaz","-",R1106/N1106),"-")</f>
        <v>1</v>
      </c>
      <c r="X1106" s="40" t="s">
        <v>730</v>
      </c>
      <c r="Y1106" s="40" t="s">
        <v>284</v>
      </c>
      <c r="Z1106" s="40" t="s">
        <v>307</v>
      </c>
      <c r="AA1106" s="33" t="s">
        <v>308</v>
      </c>
      <c r="AB1106" s="95"/>
      <c r="AC1106" s="95"/>
    </row>
    <row r="1107" spans="1:29" ht="14.45" hidden="1" customHeight="1" x14ac:dyDescent="0.25">
      <c r="A1107" s="36" t="str">
        <f>INDEX('Base de données Mono'!C:C,MATCH(B1107,'Base de données Mono'!D:D,0))</f>
        <v>DIJON</v>
      </c>
      <c r="B1107" t="s">
        <v>119</v>
      </c>
      <c r="C1107" s="36" t="str">
        <f>INDEX('Base de données Mono'!B:B,MATCH(B1107,'Base de données Mono'!D:D,0))</f>
        <v>SES8</v>
      </c>
      <c r="D1107" s="36" t="str">
        <f>INDEX('Base de données Mono'!A:A,MATCH(B1107,'Base de données Mono'!D:D,0))</f>
        <v>JG</v>
      </c>
      <c r="E1107" s="37" t="s">
        <v>303</v>
      </c>
      <c r="F1107" s="41">
        <f t="shared" ref="F1107:F1119" si="177">IF(O1107="","-",IF(AND(X1107="Nuit",WEEKDAY(O1107,2)=7,O1107&lt;&gt;P1107),WEEKNUM(O1107,2),WEEKNUM(O1107,2)-1))+1</f>
        <v>15</v>
      </c>
      <c r="G1107" s="41">
        <f t="shared" ref="G1107:G1119" si="178">IF(O1107="","-",MONTH(O1107))</f>
        <v>4</v>
      </c>
      <c r="I1107" s="131">
        <f>INDEX('Base de données Mono'!K:K,MATCH(B1107,'Base de données Mono'!D:D,0))</f>
        <v>0.24305555555555555</v>
      </c>
      <c r="J1107" s="131">
        <f>INDEX('Base de données Mono'!L:L,MATCH(B1107,'Base de données Mono'!D:D,0))</f>
        <v>0.875</v>
      </c>
      <c r="K1107" s="131">
        <f>INDEX('Base de données Mono'!M:M,MATCH(B1107,'Base de données Mono'!D:D,0))</f>
        <v>0.3125</v>
      </c>
      <c r="L1107" s="131">
        <f>INDEX('Base de données Mono'!N:N,MATCH(B1107,'Base de données Mono'!D:D,0))</f>
        <v>0.54166666666666663</v>
      </c>
      <c r="M1107" s="33" t="s">
        <v>46</v>
      </c>
      <c r="N1107" s="33">
        <f>IF(AND(E1107="Electricité",M1107="Hiver"),INDEX('Base de données Mono'!E:E,MATCH(B1107,'Base de données Mono'!D:D,0)),IF(AND(E1107="Electricité",M1107="Mi-saison"),INDEX('Base de données Mono'!F:F,MATCH(B1107,'Base de données Mono'!D:D,0)),IF(AND(E1107="Electricité",M1107="Eté"),INDEX('Base de données Mono'!G:G,MATCH(B1107,'Base de données Mono'!D:D,0)),IF(AND(E1107="Gaz",M1107="Hiver"),INDEX('Base de données Mono'!J:J,MATCH(B1107,'Base de données Mono'!D:D,0)),IF(AND(E1107="Gaz",M1107="Mi-saison"),INDEX('Base de données Mono'!#REF!,MATCH(B1107,'Base de données Mono'!D:D,0)),IF(AND(E1107="Gaz",M1107="Eté"),INDEX('Base de données Mono'!#REF!,MATCH(B1107,'Base de données Mono'!D:D,0)),"-"))))))</f>
        <v>55</v>
      </c>
      <c r="O1107" s="123">
        <v>45396</v>
      </c>
      <c r="P1107" s="123">
        <v>45396</v>
      </c>
      <c r="Q1107" s="34">
        <v>80</v>
      </c>
      <c r="R1107" s="33">
        <f t="shared" si="176"/>
        <v>25</v>
      </c>
      <c r="S1107" s="34">
        <v>1</v>
      </c>
      <c r="T1107" s="34">
        <v>1</v>
      </c>
      <c r="U1107" s="33">
        <f t="shared" ref="U1107:U1119" si="179">R1107*S1107*T1107</f>
        <v>25</v>
      </c>
      <c r="V1107" s="38" t="s">
        <v>827</v>
      </c>
      <c r="W1107" s="39">
        <f t="shared" ref="W1107:W1119" si="180">IFERROR(IF(E1107="Gaz","-",R1107/N1107),"-")</f>
        <v>0.45454545454545453</v>
      </c>
      <c r="X1107" s="40" t="s">
        <v>730</v>
      </c>
      <c r="Y1107" s="40" t="s">
        <v>284</v>
      </c>
      <c r="Z1107" s="40" t="s">
        <v>305</v>
      </c>
      <c r="AA1107" s="33" t="s">
        <v>771</v>
      </c>
      <c r="AB1107" s="95"/>
      <c r="AC1107" s="95"/>
    </row>
    <row r="1108" spans="1:29" ht="14.45" hidden="1" customHeight="1" x14ac:dyDescent="0.25">
      <c r="A1108" s="36" t="str">
        <f>INDEX('Base de données Mono'!C:C,MATCH(B1108,'Base de données Mono'!D:D,0))</f>
        <v>LYON VALMY</v>
      </c>
      <c r="B1108" t="s">
        <v>22</v>
      </c>
      <c r="C1108" s="36" t="str">
        <f>INDEX('Base de données Mono'!B:B,MATCH(B1108,'Base de données Mono'!D:D,0))</f>
        <v>SES8</v>
      </c>
      <c r="D1108" s="36" t="str">
        <f>INDEX('Base de données Mono'!A:A,MATCH(B1108,'Base de données Mono'!D:D,0))</f>
        <v>JG</v>
      </c>
      <c r="E1108" s="37" t="s">
        <v>303</v>
      </c>
      <c r="F1108" s="41">
        <f t="shared" si="177"/>
        <v>15</v>
      </c>
      <c r="G1108" s="41">
        <f t="shared" si="178"/>
        <v>4</v>
      </c>
      <c r="I1108" s="131">
        <f>INDEX('Base de données Mono'!K:K,MATCH(B1108,'Base de données Mono'!D:D,0))</f>
        <v>0.20833333333333334</v>
      </c>
      <c r="J1108" s="131">
        <f>INDEX('Base de données Mono'!L:L,MATCH(B1108,'Base de données Mono'!D:D,0))</f>
        <v>0.88541666666666663</v>
      </c>
      <c r="K1108" s="131">
        <f>INDEX('Base de données Mono'!M:M,MATCH(B1108,'Base de données Mono'!D:D,0))</f>
        <v>0.31944444444444448</v>
      </c>
      <c r="L1108" s="131">
        <f>INDEX('Base de données Mono'!N:N,MATCH(B1108,'Base de données Mono'!D:D,0))</f>
        <v>0.55208333333333337</v>
      </c>
      <c r="M1108" s="33" t="s">
        <v>46</v>
      </c>
      <c r="N1108" s="33">
        <f>IF(AND(E1108="Electricité",M1108="Hiver"),INDEX('Base de données Mono'!E:E,MATCH(B1108,'Base de données Mono'!D:D,0)),IF(AND(E1108="Electricité",M1108="Mi-saison"),INDEX('Base de données Mono'!F:F,MATCH(B1108,'Base de données Mono'!D:D,0)),IF(AND(E1108="Electricité",M1108="Eté"),INDEX('Base de données Mono'!G:G,MATCH(B1108,'Base de données Mono'!D:D,0)),IF(AND(E1108="Gaz",M1108="Hiver"),INDEX('Base de données Mono'!J:J,MATCH(B1108,'Base de données Mono'!D:D,0)),IF(AND(E1108="Gaz",M1108="Mi-saison"),INDEX('Base de données Mono'!#REF!,MATCH(B1108,'Base de données Mono'!D:D,0)),IF(AND(E1108="Gaz",M1108="Eté"),INDEX('Base de données Mono'!#REF!,MATCH(B1108,'Base de données Mono'!D:D,0)),"-"))))))</f>
        <v>50</v>
      </c>
      <c r="O1108" s="123">
        <v>45396</v>
      </c>
      <c r="P1108" s="123">
        <v>45396</v>
      </c>
      <c r="Q1108" s="34">
        <v>100</v>
      </c>
      <c r="R1108" s="33">
        <f t="shared" si="176"/>
        <v>50</v>
      </c>
      <c r="S1108" s="34">
        <v>6.2</v>
      </c>
      <c r="T1108" s="34">
        <v>1</v>
      </c>
      <c r="U1108" s="33">
        <f t="shared" si="179"/>
        <v>310</v>
      </c>
      <c r="V1108" s="38" t="s">
        <v>827</v>
      </c>
      <c r="W1108" s="39">
        <f t="shared" si="180"/>
        <v>1</v>
      </c>
      <c r="X1108" s="40" t="s">
        <v>730</v>
      </c>
      <c r="Y1108" s="40" t="s">
        <v>284</v>
      </c>
      <c r="Z1108" s="40" t="s">
        <v>307</v>
      </c>
      <c r="AA1108" s="33" t="s">
        <v>308</v>
      </c>
      <c r="AB1108" s="95"/>
      <c r="AC1108" s="95"/>
    </row>
    <row r="1109" spans="1:29" ht="14.45" hidden="1" customHeight="1" x14ac:dyDescent="0.25">
      <c r="A1109" s="36" t="str">
        <f>INDEX('Base de données Mono'!C:C,MATCH(B1109,'Base de données Mono'!D:D,0))</f>
        <v>LYON VALMY</v>
      </c>
      <c r="B1109" t="s">
        <v>22</v>
      </c>
      <c r="C1109" s="36" t="str">
        <f>INDEX('Base de données Mono'!B:B,MATCH(B1109,'Base de données Mono'!D:D,0))</f>
        <v>SES8</v>
      </c>
      <c r="D1109" s="36" t="str">
        <f>INDEX('Base de données Mono'!A:A,MATCH(B1109,'Base de données Mono'!D:D,0))</f>
        <v>JG</v>
      </c>
      <c r="E1109" s="37" t="s">
        <v>303</v>
      </c>
      <c r="F1109" s="41">
        <f t="shared" si="177"/>
        <v>15</v>
      </c>
      <c r="G1109" s="41">
        <f t="shared" si="178"/>
        <v>4</v>
      </c>
      <c r="I1109" s="131">
        <f>INDEX('Base de données Mono'!K:K,MATCH(B1109,'Base de données Mono'!D:D,0))</f>
        <v>0.20833333333333334</v>
      </c>
      <c r="J1109" s="131">
        <f>INDEX('Base de données Mono'!L:L,MATCH(B1109,'Base de données Mono'!D:D,0))</f>
        <v>0.88541666666666663</v>
      </c>
      <c r="K1109" s="131">
        <f>INDEX('Base de données Mono'!M:M,MATCH(B1109,'Base de données Mono'!D:D,0))</f>
        <v>0.31944444444444448</v>
      </c>
      <c r="L1109" s="131">
        <f>INDEX('Base de données Mono'!N:N,MATCH(B1109,'Base de données Mono'!D:D,0))</f>
        <v>0.55208333333333337</v>
      </c>
      <c r="M1109" s="33" t="s">
        <v>46</v>
      </c>
      <c r="N1109" s="33">
        <f>IF(AND(E1109="Electricité",M1109="Hiver"),INDEX('Base de données Mono'!E:E,MATCH(B1109,'Base de données Mono'!D:D,0)),IF(AND(E1109="Electricité",M1109="Mi-saison"),INDEX('Base de données Mono'!F:F,MATCH(B1109,'Base de données Mono'!D:D,0)),IF(AND(E1109="Electricité",M1109="Eté"),INDEX('Base de données Mono'!G:G,MATCH(B1109,'Base de données Mono'!D:D,0)),IF(AND(E1109="Gaz",M1109="Hiver"),INDEX('Base de données Mono'!J:J,MATCH(B1109,'Base de données Mono'!D:D,0)),IF(AND(E1109="Gaz",M1109="Mi-saison"),INDEX('Base de données Mono'!#REF!,MATCH(B1109,'Base de données Mono'!D:D,0)),IF(AND(E1109="Gaz",M1109="Eté"),INDEX('Base de données Mono'!#REF!,MATCH(B1109,'Base de données Mono'!D:D,0)),"-"))))))</f>
        <v>50</v>
      </c>
      <c r="O1109" s="123">
        <v>45396</v>
      </c>
      <c r="P1109" s="123">
        <v>45396</v>
      </c>
      <c r="Q1109" s="34">
        <v>75</v>
      </c>
      <c r="R1109" s="33">
        <f t="shared" si="176"/>
        <v>25</v>
      </c>
      <c r="S1109" s="34">
        <v>1.8</v>
      </c>
      <c r="T1109" s="34">
        <v>1</v>
      </c>
      <c r="U1109" s="33">
        <f t="shared" si="179"/>
        <v>45</v>
      </c>
      <c r="V1109" s="38" t="s">
        <v>827</v>
      </c>
      <c r="W1109" s="39">
        <f t="shared" si="180"/>
        <v>0.5</v>
      </c>
      <c r="X1109" s="40" t="s">
        <v>730</v>
      </c>
      <c r="Y1109" s="40" t="s">
        <v>284</v>
      </c>
      <c r="Z1109" s="40" t="s">
        <v>305</v>
      </c>
      <c r="AA1109" s="33" t="s">
        <v>771</v>
      </c>
      <c r="AB1109" s="95"/>
      <c r="AC1109" s="95"/>
    </row>
    <row r="1110" spans="1:29" ht="14.45" hidden="1" customHeight="1" x14ac:dyDescent="0.25">
      <c r="A1110" s="36" t="str">
        <f>INDEX('Base de données Mono'!C:C,MATCH(B1110,'Base de données Mono'!D:D,0))</f>
        <v>DAUMESNIL</v>
      </c>
      <c r="B1110" t="s">
        <v>15</v>
      </c>
      <c r="C1110" s="36" t="str">
        <f>INDEX('Base de données Mono'!B:B,MATCH(B1110,'Base de données Mono'!D:D,0))</f>
        <v>SES8</v>
      </c>
      <c r="D1110" s="36" t="str">
        <f>INDEX('Base de données Mono'!A:A,MATCH(B1110,'Base de données Mono'!D:D,0))</f>
        <v>JG</v>
      </c>
      <c r="E1110" s="37" t="s">
        <v>303</v>
      </c>
      <c r="F1110" s="41">
        <f t="shared" si="177"/>
        <v>15</v>
      </c>
      <c r="G1110" s="41">
        <f t="shared" si="178"/>
        <v>4</v>
      </c>
      <c r="I1110" s="131">
        <f>INDEX('Base de données Mono'!K:K,MATCH(B1110,'Base de données Mono'!D:D,0))</f>
        <v>0.24305555555555555</v>
      </c>
      <c r="J1110" s="131">
        <f>INDEX('Base de données Mono'!L:L,MATCH(B1110,'Base de données Mono'!D:D,0))</f>
        <v>0.92013888888888884</v>
      </c>
      <c r="K1110" s="131">
        <f>INDEX('Base de données Mono'!M:M,MATCH(B1110,'Base de données Mono'!D:D,0))</f>
        <v>0.28472222222222221</v>
      </c>
      <c r="L1110" s="131">
        <f>INDEX('Base de données Mono'!N:N,MATCH(B1110,'Base de données Mono'!D:D,0))</f>
        <v>0.54166666666666663</v>
      </c>
      <c r="M1110" s="33" t="s">
        <v>46</v>
      </c>
      <c r="N1110" s="33">
        <f>IF(AND(E1110="Electricité",M1110="Hiver"),INDEX('Base de données Mono'!E:E,MATCH(B1110,'Base de données Mono'!D:D,0)),IF(AND(E1110="Electricité",M1110="Mi-saison"),INDEX('Base de données Mono'!F:F,MATCH(B1110,'Base de données Mono'!D:D,0)),IF(AND(E1110="Electricité",M1110="Eté"),INDEX('Base de données Mono'!G:G,MATCH(B1110,'Base de données Mono'!D:D,0)),IF(AND(E1110="Gaz",M1110="Hiver"),INDEX('Base de données Mono'!J:J,MATCH(B1110,'Base de données Mono'!D:D,0)),IF(AND(E1110="Gaz",M1110="Mi-saison"),INDEX('Base de données Mono'!#REF!,MATCH(B1110,'Base de données Mono'!D:D,0)),IF(AND(E1110="Gaz",M1110="Eté"),INDEX('Base de données Mono'!#REF!,MATCH(B1110,'Base de données Mono'!D:D,0)),"-"))))))</f>
        <v>15</v>
      </c>
      <c r="O1110" s="123">
        <v>45396</v>
      </c>
      <c r="P1110" s="123">
        <v>45396</v>
      </c>
      <c r="Q1110" s="34">
        <v>90</v>
      </c>
      <c r="R1110" s="33">
        <f t="shared" si="176"/>
        <v>75</v>
      </c>
      <c r="S1110" s="34">
        <v>7</v>
      </c>
      <c r="T1110" s="34">
        <v>1</v>
      </c>
      <c r="U1110" s="33">
        <f t="shared" si="179"/>
        <v>525</v>
      </c>
      <c r="V1110" s="38" t="s">
        <v>827</v>
      </c>
      <c r="W1110" s="39">
        <f t="shared" si="180"/>
        <v>5</v>
      </c>
      <c r="X1110" s="40" t="s">
        <v>730</v>
      </c>
      <c r="Y1110" s="40" t="s">
        <v>284</v>
      </c>
      <c r="Z1110" s="40" t="s">
        <v>307</v>
      </c>
      <c r="AA1110" s="33" t="s">
        <v>308</v>
      </c>
      <c r="AB1110" s="95"/>
      <c r="AC1110" s="95"/>
    </row>
    <row r="1111" spans="1:29" ht="14.45" hidden="1" customHeight="1" x14ac:dyDescent="0.25">
      <c r="A1111" s="36" t="str">
        <f>INDEX('Base de données Mono'!C:C,MATCH(B1111,'Base de données Mono'!D:D,0))</f>
        <v>SETE</v>
      </c>
      <c r="B1111" t="s">
        <v>34</v>
      </c>
      <c r="C1111" s="36" t="str">
        <f>INDEX('Base de données Mono'!B:B,MATCH(B1111,'Base de données Mono'!D:D,0))</f>
        <v>SES8</v>
      </c>
      <c r="D1111" s="36" t="str">
        <f>INDEX('Base de données Mono'!A:A,MATCH(B1111,'Base de données Mono'!D:D,0))</f>
        <v>AD</v>
      </c>
      <c r="E1111" s="37" t="s">
        <v>303</v>
      </c>
      <c r="F1111" s="41">
        <f t="shared" si="177"/>
        <v>15</v>
      </c>
      <c r="G1111" s="41">
        <f t="shared" si="178"/>
        <v>4</v>
      </c>
      <c r="I1111" s="131">
        <f>INDEX('Base de données Mono'!K:K,MATCH(B1111,'Base de données Mono'!D:D,0))</f>
        <v>0.23611111111111113</v>
      </c>
      <c r="J1111" s="131">
        <f>INDEX('Base de données Mono'!L:L,MATCH(B1111,'Base de données Mono'!D:D,0))</f>
        <v>0.85416666666666663</v>
      </c>
      <c r="K1111" s="131">
        <f>INDEX('Base de données Mono'!M:M,MATCH(B1111,'Base de données Mono'!D:D,0))</f>
        <v>0.29166666666666669</v>
      </c>
      <c r="L1111" s="131">
        <f>INDEX('Base de données Mono'!N:N,MATCH(B1111,'Base de données Mono'!D:D,0))</f>
        <v>0.54166666666666663</v>
      </c>
      <c r="M1111" s="33" t="s">
        <v>46</v>
      </c>
      <c r="N1111" s="33">
        <f>IF(AND(E1111="Electricité",M1111="Hiver"),INDEX('Base de données Mono'!E:E,MATCH(B1111,'Base de données Mono'!D:D,0)),IF(AND(E1111="Electricité",M1111="Mi-saison"),INDEX('Base de données Mono'!F:F,MATCH(B1111,'Base de données Mono'!D:D,0)),IF(AND(E1111="Electricité",M1111="Eté"),INDEX('Base de données Mono'!G:G,MATCH(B1111,'Base de données Mono'!D:D,0)),IF(AND(E1111="Gaz",M1111="Hiver"),INDEX('Base de données Mono'!J:J,MATCH(B1111,'Base de données Mono'!D:D,0)),IF(AND(E1111="Gaz",M1111="Mi-saison"),INDEX('Base de données Mono'!#REF!,MATCH(B1111,'Base de données Mono'!D:D,0)),IF(AND(E1111="Gaz",M1111="Eté"),INDEX('Base de données Mono'!#REF!,MATCH(B1111,'Base de données Mono'!D:D,0)),"-"))))))</f>
        <v>45</v>
      </c>
      <c r="O1111" s="123">
        <v>45396</v>
      </c>
      <c r="P1111" s="123">
        <v>45396</v>
      </c>
      <c r="Q1111" s="34">
        <v>90</v>
      </c>
      <c r="R1111" s="33">
        <f t="shared" si="176"/>
        <v>45</v>
      </c>
      <c r="S1111" s="34">
        <v>7</v>
      </c>
      <c r="T1111" s="34">
        <v>1</v>
      </c>
      <c r="U1111" s="33">
        <f t="shared" si="179"/>
        <v>315</v>
      </c>
      <c r="V1111" s="38" t="s">
        <v>827</v>
      </c>
      <c r="W1111" s="39">
        <f t="shared" si="180"/>
        <v>1</v>
      </c>
      <c r="X1111" s="40" t="s">
        <v>730</v>
      </c>
      <c r="Y1111" s="40" t="s">
        <v>284</v>
      </c>
      <c r="Z1111" s="40" t="s">
        <v>307</v>
      </c>
      <c r="AA1111" s="33" t="s">
        <v>308</v>
      </c>
      <c r="AB1111" s="95"/>
      <c r="AC1111" s="95"/>
    </row>
    <row r="1112" spans="1:29" ht="14.45" hidden="1" customHeight="1" x14ac:dyDescent="0.25">
      <c r="A1112" s="36" t="str">
        <f>INDEX('Base de données Mono'!C:C,MATCH(B1112,'Base de données Mono'!D:D,0))</f>
        <v>LE VESINET</v>
      </c>
      <c r="B1112" t="s">
        <v>19</v>
      </c>
      <c r="C1112" s="36" t="str">
        <f>INDEX('Base de données Mono'!B:B,MATCH(B1112,'Base de données Mono'!D:D,0))</f>
        <v>SES8</v>
      </c>
      <c r="D1112" s="36" t="str">
        <f>INDEX('Base de données Mono'!A:A,MATCH(B1112,'Base de données Mono'!D:D,0))</f>
        <v>AD</v>
      </c>
      <c r="E1112" s="37" t="s">
        <v>303</v>
      </c>
      <c r="F1112" s="41">
        <f t="shared" si="177"/>
        <v>15</v>
      </c>
      <c r="G1112" s="41">
        <f t="shared" si="178"/>
        <v>4</v>
      </c>
      <c r="I1112" s="131">
        <f>INDEX('Base de données Mono'!K:K,MATCH(B1112,'Base de données Mono'!D:D,0))</f>
        <v>0.24305555555555555</v>
      </c>
      <c r="J1112" s="131">
        <f>INDEX('Base de données Mono'!L:L,MATCH(B1112,'Base de données Mono'!D:D,0))</f>
        <v>0.89583333333333337</v>
      </c>
      <c r="K1112" s="131">
        <f>INDEX('Base de données Mono'!M:M,MATCH(B1112,'Base de données Mono'!D:D,0))</f>
        <v>0.29166666666666669</v>
      </c>
      <c r="L1112" s="131">
        <f>INDEX('Base de données Mono'!N:N,MATCH(B1112,'Base de données Mono'!D:D,0))</f>
        <v>0.5625</v>
      </c>
      <c r="M1112" s="33" t="s">
        <v>46</v>
      </c>
      <c r="N1112" s="33">
        <f>IF(AND(E1112="Electricité",M1112="Hiver"),INDEX('Base de données Mono'!E:E,MATCH(B1112,'Base de données Mono'!D:D,0)),IF(AND(E1112="Electricité",M1112="Mi-saison"),INDEX('Base de données Mono'!F:F,MATCH(B1112,'Base de données Mono'!D:D,0)),IF(AND(E1112="Electricité",M1112="Eté"),INDEX('Base de données Mono'!G:G,MATCH(B1112,'Base de données Mono'!D:D,0)),IF(AND(E1112="Gaz",M1112="Hiver"),INDEX('Base de données Mono'!J:J,MATCH(B1112,'Base de données Mono'!D:D,0)),IF(AND(E1112="Gaz",M1112="Mi-saison"),INDEX('Base de données Mono'!#REF!,MATCH(B1112,'Base de données Mono'!D:D,0)),IF(AND(E1112="Gaz",M1112="Eté"),INDEX('Base de données Mono'!#REF!,MATCH(B1112,'Base de données Mono'!D:D,0)),"-"))))))</f>
        <v>45</v>
      </c>
      <c r="O1112" s="123">
        <v>45396</v>
      </c>
      <c r="P1112" s="123">
        <v>45396</v>
      </c>
      <c r="Q1112" s="34">
        <v>85</v>
      </c>
      <c r="R1112" s="33">
        <f t="shared" si="176"/>
        <v>40</v>
      </c>
      <c r="S1112" s="34">
        <v>6.5</v>
      </c>
      <c r="T1112" s="34">
        <v>1</v>
      </c>
      <c r="U1112" s="33">
        <f t="shared" si="179"/>
        <v>260</v>
      </c>
      <c r="V1112" s="38" t="s">
        <v>827</v>
      </c>
      <c r="W1112" s="39">
        <f t="shared" si="180"/>
        <v>0.88888888888888884</v>
      </c>
      <c r="X1112" s="40" t="s">
        <v>730</v>
      </c>
      <c r="Y1112" s="40" t="s">
        <v>284</v>
      </c>
      <c r="Z1112" s="40" t="s">
        <v>307</v>
      </c>
      <c r="AA1112" s="33" t="s">
        <v>308</v>
      </c>
      <c r="AB1112" s="95"/>
      <c r="AC1112" s="95"/>
    </row>
    <row r="1113" spans="1:29" ht="14.45" hidden="1" customHeight="1" x14ac:dyDescent="0.25">
      <c r="A1113" s="36" t="str">
        <f>INDEX('Base de données Mono'!C:C,MATCH(B1113,'Base de données Mono'!D:D,0))</f>
        <v>LE VESINET</v>
      </c>
      <c r="B1113" t="s">
        <v>19</v>
      </c>
      <c r="C1113" s="36" t="str">
        <f>INDEX('Base de données Mono'!B:B,MATCH(B1113,'Base de données Mono'!D:D,0))</f>
        <v>SES8</v>
      </c>
      <c r="D1113" s="36" t="str">
        <f>INDEX('Base de données Mono'!A:A,MATCH(B1113,'Base de données Mono'!D:D,0))</f>
        <v>AD</v>
      </c>
      <c r="E1113" s="37" t="s">
        <v>303</v>
      </c>
      <c r="F1113" s="41">
        <f t="shared" si="177"/>
        <v>15</v>
      </c>
      <c r="G1113" s="41">
        <f t="shared" si="178"/>
        <v>4</v>
      </c>
      <c r="I1113" s="131">
        <f>INDEX('Base de données Mono'!K:K,MATCH(B1113,'Base de données Mono'!D:D,0))</f>
        <v>0.24305555555555555</v>
      </c>
      <c r="J1113" s="131">
        <f>INDEX('Base de données Mono'!L:L,MATCH(B1113,'Base de données Mono'!D:D,0))</f>
        <v>0.89583333333333337</v>
      </c>
      <c r="K1113" s="131">
        <f>INDEX('Base de données Mono'!M:M,MATCH(B1113,'Base de données Mono'!D:D,0))</f>
        <v>0.29166666666666669</v>
      </c>
      <c r="L1113" s="131">
        <f>INDEX('Base de données Mono'!N:N,MATCH(B1113,'Base de données Mono'!D:D,0))</f>
        <v>0.5625</v>
      </c>
      <c r="M1113" s="33" t="s">
        <v>46</v>
      </c>
      <c r="N1113" s="33">
        <f>IF(AND(E1113="Electricité",M1113="Hiver"),INDEX('Base de données Mono'!E:E,MATCH(B1113,'Base de données Mono'!D:D,0)),IF(AND(E1113="Electricité",M1113="Mi-saison"),INDEX('Base de données Mono'!F:F,MATCH(B1113,'Base de données Mono'!D:D,0)),IF(AND(E1113="Electricité",M1113="Eté"),INDEX('Base de données Mono'!G:G,MATCH(B1113,'Base de données Mono'!D:D,0)),IF(AND(E1113="Gaz",M1113="Hiver"),INDEX('Base de données Mono'!J:J,MATCH(B1113,'Base de données Mono'!D:D,0)),IF(AND(E1113="Gaz",M1113="Mi-saison"),INDEX('Base de données Mono'!#REF!,MATCH(B1113,'Base de données Mono'!D:D,0)),IF(AND(E1113="Gaz",M1113="Eté"),INDEX('Base de données Mono'!#REF!,MATCH(B1113,'Base de données Mono'!D:D,0)),"-"))))))</f>
        <v>45</v>
      </c>
      <c r="O1113" s="123">
        <v>45396</v>
      </c>
      <c r="P1113" s="123">
        <v>45396</v>
      </c>
      <c r="Q1113" s="34">
        <v>55</v>
      </c>
      <c r="R1113" s="33">
        <f t="shared" si="176"/>
        <v>10</v>
      </c>
      <c r="S1113" s="34">
        <v>1.5</v>
      </c>
      <c r="T1113" s="34">
        <v>1</v>
      </c>
      <c r="U1113" s="33">
        <f t="shared" si="179"/>
        <v>15</v>
      </c>
      <c r="V1113" s="38" t="s">
        <v>827</v>
      </c>
      <c r="W1113" s="39">
        <f t="shared" si="180"/>
        <v>0.22222222222222221</v>
      </c>
      <c r="X1113" s="40" t="s">
        <v>730</v>
      </c>
      <c r="Y1113" s="40" t="s">
        <v>284</v>
      </c>
      <c r="Z1113" s="40" t="s">
        <v>305</v>
      </c>
      <c r="AA1113" s="33" t="s">
        <v>771</v>
      </c>
      <c r="AB1113" s="95"/>
      <c r="AC1113" s="95"/>
    </row>
    <row r="1114" spans="1:29" ht="14.45" hidden="1" customHeight="1" x14ac:dyDescent="0.25">
      <c r="A1114" s="36" t="str">
        <f>INDEX('Base de données Mono'!C:C,MATCH(B1114,'Base de données Mono'!D:D,0))</f>
        <v>ALESIA ALI</v>
      </c>
      <c r="B1114" t="s">
        <v>56</v>
      </c>
      <c r="C1114" s="36" t="str">
        <f>INDEX('Base de données Mono'!B:B,MATCH(B1114,'Base de données Mono'!D:D,0))</f>
        <v>SES8</v>
      </c>
      <c r="D1114" s="36" t="str">
        <f>INDEX('Base de données Mono'!A:A,MATCH(B1114,'Base de données Mono'!D:D,0))</f>
        <v>AD</v>
      </c>
      <c r="E1114" s="37" t="s">
        <v>303</v>
      </c>
      <c r="F1114" s="41">
        <f t="shared" si="177"/>
        <v>15</v>
      </c>
      <c r="G1114" s="41">
        <f t="shared" si="178"/>
        <v>4</v>
      </c>
      <c r="I1114" s="131">
        <f>INDEX('Base de données Mono'!K:K,MATCH(B1114,'Base de données Mono'!D:D,0))</f>
        <v>0.20833333333333334</v>
      </c>
      <c r="J1114" s="131">
        <f>INDEX('Base de données Mono'!L:L,MATCH(B1114,'Base de données Mono'!D:D,0))</f>
        <v>0.83333333333333337</v>
      </c>
      <c r="K1114" s="131">
        <f>INDEX('Base de données Mono'!M:M,MATCH(B1114,'Base de données Mono'!D:D,0))</f>
        <v>0.25</v>
      </c>
      <c r="L1114" s="131">
        <f>INDEX('Base de données Mono'!N:N,MATCH(B1114,'Base de données Mono'!D:D,0))</f>
        <v>0.54166666666666663</v>
      </c>
      <c r="M1114" s="33" t="s">
        <v>46</v>
      </c>
      <c r="N1114" s="33">
        <f>IF(AND(E1114="Electricité",M1114="Hiver"),INDEX('Base de données Mono'!E:E,MATCH(B1114,'Base de données Mono'!D:D,0)),IF(AND(E1114="Electricité",M1114="Mi-saison"),INDEX('Base de données Mono'!F:F,MATCH(B1114,'Base de données Mono'!D:D,0)),IF(AND(E1114="Electricité",M1114="Eté"),INDEX('Base de données Mono'!G:G,MATCH(B1114,'Base de données Mono'!D:D,0)),IF(AND(E1114="Gaz",M1114="Hiver"),INDEX('Base de données Mono'!J:J,MATCH(B1114,'Base de données Mono'!D:D,0)),IF(AND(E1114="Gaz",M1114="Mi-saison"),INDEX('Base de données Mono'!#REF!,MATCH(B1114,'Base de données Mono'!D:D,0)),IF(AND(E1114="Gaz",M1114="Eté"),INDEX('Base de données Mono'!#REF!,MATCH(B1114,'Base de données Mono'!D:D,0)),"-"))))))</f>
        <v>55</v>
      </c>
      <c r="O1114" s="123">
        <v>45396</v>
      </c>
      <c r="P1114" s="123">
        <v>45396</v>
      </c>
      <c r="Q1114" s="34">
        <v>80</v>
      </c>
      <c r="R1114" s="33">
        <f t="shared" si="176"/>
        <v>25</v>
      </c>
      <c r="S1114" s="34">
        <v>7</v>
      </c>
      <c r="T1114" s="34">
        <v>1</v>
      </c>
      <c r="U1114" s="33">
        <f t="shared" si="179"/>
        <v>175</v>
      </c>
      <c r="V1114" s="38" t="s">
        <v>827</v>
      </c>
      <c r="W1114" s="39">
        <f t="shared" si="180"/>
        <v>0.45454545454545453</v>
      </c>
      <c r="X1114" s="40" t="s">
        <v>730</v>
      </c>
      <c r="Y1114" s="40" t="s">
        <v>284</v>
      </c>
      <c r="Z1114" s="40" t="s">
        <v>307</v>
      </c>
      <c r="AA1114" s="33" t="s">
        <v>308</v>
      </c>
      <c r="AB1114" s="95"/>
      <c r="AC1114" s="95"/>
    </row>
    <row r="1115" spans="1:29" ht="14.45" hidden="1" customHeight="1" x14ac:dyDescent="0.25">
      <c r="A1115" s="36" t="str">
        <f>INDEX('Base de données Mono'!C:C,MATCH(B1115,'Base de données Mono'!D:D,0))</f>
        <v>LE COURBE</v>
      </c>
      <c r="B1115" t="s">
        <v>20</v>
      </c>
      <c r="C1115" s="36" t="str">
        <f>INDEX('Base de données Mono'!B:B,MATCH(B1115,'Base de données Mono'!D:D,0))</f>
        <v>SES8</v>
      </c>
      <c r="D1115" s="36" t="str">
        <f>INDEX('Base de données Mono'!A:A,MATCH(B1115,'Base de données Mono'!D:D,0))</f>
        <v>AD</v>
      </c>
      <c r="E1115" s="37" t="s">
        <v>303</v>
      </c>
      <c r="F1115" s="41">
        <f t="shared" si="177"/>
        <v>15</v>
      </c>
      <c r="G1115" s="41">
        <f t="shared" si="178"/>
        <v>4</v>
      </c>
      <c r="I1115" s="131">
        <f>INDEX('Base de données Mono'!K:K,MATCH(B1115,'Base de données Mono'!D:D,0))</f>
        <v>0.24305555555555555</v>
      </c>
      <c r="J1115" s="131">
        <f>INDEX('Base de données Mono'!L:L,MATCH(B1115,'Base de données Mono'!D:D,0))</f>
        <v>0.875</v>
      </c>
      <c r="K1115" s="131" t="str">
        <f>INDEX('Base de données Mono'!M:M,MATCH(B1115,'Base de données Mono'!D:D,0))</f>
        <v>-</v>
      </c>
      <c r="L1115" s="131" t="str">
        <f>INDEX('Base de données Mono'!N:N,MATCH(B1115,'Base de données Mono'!D:D,0))</f>
        <v>-</v>
      </c>
      <c r="M1115" s="33" t="s">
        <v>46</v>
      </c>
      <c r="N1115" s="33">
        <f>IF(AND(E1115="Electricité",M1115="Hiver"),INDEX('Base de données Mono'!E:E,MATCH(B1115,'Base de données Mono'!D:D,0)),IF(AND(E1115="Electricité",M1115="Mi-saison"),INDEX('Base de données Mono'!F:F,MATCH(B1115,'Base de données Mono'!D:D,0)),IF(AND(E1115="Electricité",M1115="Eté"),INDEX('Base de données Mono'!G:G,MATCH(B1115,'Base de données Mono'!D:D,0)),IF(AND(E1115="Gaz",M1115="Hiver"),INDEX('Base de données Mono'!J:J,MATCH(B1115,'Base de données Mono'!D:D,0)),IF(AND(E1115="Gaz",M1115="Mi-saison"),INDEX('Base de données Mono'!#REF!,MATCH(B1115,'Base de données Mono'!D:D,0)),IF(AND(E1115="Gaz",M1115="Eté"),INDEX('Base de données Mono'!#REF!,MATCH(B1115,'Base de données Mono'!D:D,0)),"-"))))))</f>
        <v>75</v>
      </c>
      <c r="O1115" s="123">
        <v>45396</v>
      </c>
      <c r="P1115" s="123">
        <v>45396</v>
      </c>
      <c r="Q1115" s="34">
        <v>130</v>
      </c>
      <c r="R1115" s="33">
        <f t="shared" si="176"/>
        <v>55</v>
      </c>
      <c r="S1115" s="34">
        <v>13</v>
      </c>
      <c r="T1115" s="34">
        <v>1</v>
      </c>
      <c r="U1115" s="33">
        <f t="shared" si="179"/>
        <v>715</v>
      </c>
      <c r="V1115" s="38" t="s">
        <v>827</v>
      </c>
      <c r="W1115" s="39">
        <f t="shared" si="180"/>
        <v>0.73333333333333328</v>
      </c>
      <c r="X1115" s="40" t="s">
        <v>730</v>
      </c>
      <c r="Y1115" s="40" t="s">
        <v>284</v>
      </c>
      <c r="Z1115" s="40" t="s">
        <v>307</v>
      </c>
      <c r="AA1115" s="33" t="s">
        <v>308</v>
      </c>
      <c r="AB1115" s="95"/>
      <c r="AC1115" s="95"/>
    </row>
    <row r="1116" spans="1:29" ht="14.45" hidden="1" customHeight="1" x14ac:dyDescent="0.25">
      <c r="A1116" s="36" t="str">
        <f>INDEX('Base de données Mono'!C:C,MATCH(B1116,'Base de données Mono'!D:D,0))</f>
        <v>LE COURBE</v>
      </c>
      <c r="B1116" t="s">
        <v>20</v>
      </c>
      <c r="C1116" s="36" t="str">
        <f>INDEX('Base de données Mono'!B:B,MATCH(B1116,'Base de données Mono'!D:D,0))</f>
        <v>SES8</v>
      </c>
      <c r="D1116" s="36" t="str">
        <f>INDEX('Base de données Mono'!A:A,MATCH(B1116,'Base de données Mono'!D:D,0))</f>
        <v>AD</v>
      </c>
      <c r="E1116" s="37" t="s">
        <v>303</v>
      </c>
      <c r="F1116" s="41">
        <f t="shared" si="177"/>
        <v>15</v>
      </c>
      <c r="G1116" s="41">
        <f t="shared" si="178"/>
        <v>4</v>
      </c>
      <c r="I1116" s="131">
        <f>INDEX('Base de données Mono'!K:K,MATCH(B1116,'Base de données Mono'!D:D,0))</f>
        <v>0.24305555555555555</v>
      </c>
      <c r="J1116" s="131">
        <f>INDEX('Base de données Mono'!L:L,MATCH(B1116,'Base de données Mono'!D:D,0))</f>
        <v>0.875</v>
      </c>
      <c r="K1116" s="131" t="str">
        <f>INDEX('Base de données Mono'!M:M,MATCH(B1116,'Base de données Mono'!D:D,0))</f>
        <v>-</v>
      </c>
      <c r="L1116" s="131" t="str">
        <f>INDEX('Base de données Mono'!N:N,MATCH(B1116,'Base de données Mono'!D:D,0))</f>
        <v>-</v>
      </c>
      <c r="M1116" s="33" t="s">
        <v>46</v>
      </c>
      <c r="N1116" s="33">
        <f>IF(AND(E1116="Electricité",M1116="Hiver"),INDEX('Base de données Mono'!E:E,MATCH(B1116,'Base de données Mono'!D:D,0)),IF(AND(E1116="Electricité",M1116="Mi-saison"),INDEX('Base de données Mono'!F:F,MATCH(B1116,'Base de données Mono'!D:D,0)),IF(AND(E1116="Electricité",M1116="Eté"),INDEX('Base de données Mono'!G:G,MATCH(B1116,'Base de données Mono'!D:D,0)),IF(AND(E1116="Gaz",M1116="Hiver"),INDEX('Base de données Mono'!J:J,MATCH(B1116,'Base de données Mono'!D:D,0)),IF(AND(E1116="Gaz",M1116="Mi-saison"),INDEX('Base de données Mono'!#REF!,MATCH(B1116,'Base de données Mono'!D:D,0)),IF(AND(E1116="Gaz",M1116="Eté"),INDEX('Base de données Mono'!#REF!,MATCH(B1116,'Base de données Mono'!D:D,0)),"-"))))))</f>
        <v>75</v>
      </c>
      <c r="O1116" s="123">
        <v>45396</v>
      </c>
      <c r="P1116" s="123">
        <v>45396</v>
      </c>
      <c r="Q1116" s="34">
        <v>100</v>
      </c>
      <c r="R1116" s="33">
        <f t="shared" si="176"/>
        <v>25</v>
      </c>
      <c r="S1116" s="34">
        <v>2</v>
      </c>
      <c r="T1116" s="34">
        <v>1</v>
      </c>
      <c r="U1116" s="33">
        <f t="shared" si="179"/>
        <v>50</v>
      </c>
      <c r="V1116" s="38" t="s">
        <v>827</v>
      </c>
      <c r="W1116" s="39">
        <f t="shared" si="180"/>
        <v>0.33333333333333331</v>
      </c>
      <c r="X1116" s="40" t="s">
        <v>730</v>
      </c>
      <c r="Y1116" s="40" t="s">
        <v>283</v>
      </c>
      <c r="Z1116" s="40" t="s">
        <v>749</v>
      </c>
      <c r="AA1116" s="33" t="s">
        <v>749</v>
      </c>
      <c r="AB1116" s="95"/>
      <c r="AC1116" s="95" t="s">
        <v>837</v>
      </c>
    </row>
    <row r="1117" spans="1:29" ht="14.45" hidden="1" customHeight="1" x14ac:dyDescent="0.25">
      <c r="A1117" s="36" t="str">
        <f>INDEX('Base de données Mono'!C:C,MATCH(B1117,'Base de données Mono'!D:D,0))</f>
        <v>COMMERCE</v>
      </c>
      <c r="B1117" t="s">
        <v>110</v>
      </c>
      <c r="C1117" s="36" t="str">
        <f>INDEX('Base de données Mono'!B:B,MATCH(B1117,'Base de données Mono'!D:D,0))</f>
        <v>SES8</v>
      </c>
      <c r="D1117" s="36" t="str">
        <f>INDEX('Base de données Mono'!A:A,MATCH(B1117,'Base de données Mono'!D:D,0))</f>
        <v>AD</v>
      </c>
      <c r="E1117" s="37" t="s">
        <v>303</v>
      </c>
      <c r="F1117" s="41">
        <f t="shared" si="177"/>
        <v>15</v>
      </c>
      <c r="G1117" s="41">
        <f t="shared" si="178"/>
        <v>4</v>
      </c>
      <c r="I1117" s="131">
        <f>INDEX('Base de données Mono'!K:K,MATCH(B1117,'Base de données Mono'!D:D,0))</f>
        <v>0.20833333333333334</v>
      </c>
      <c r="J1117" s="131">
        <f>INDEX('Base de données Mono'!L:L,MATCH(B1117,'Base de données Mono'!D:D,0))</f>
        <v>0.89583333333333337</v>
      </c>
      <c r="K1117" s="131">
        <f>INDEX('Base de données Mono'!M:M,MATCH(B1117,'Base de données Mono'!D:D,0))</f>
        <v>0.27083333333333331</v>
      </c>
      <c r="L1117" s="131">
        <f>INDEX('Base de données Mono'!N:N,MATCH(B1117,'Base de données Mono'!D:D,0))</f>
        <v>0.55902777777777779</v>
      </c>
      <c r="M1117" s="33" t="s">
        <v>46</v>
      </c>
      <c r="N1117" s="33">
        <f>IF(AND(E1117="Electricité",M1117="Hiver"),INDEX('Base de données Mono'!E:E,MATCH(B1117,'Base de données Mono'!D:D,0)),IF(AND(E1117="Electricité",M1117="Mi-saison"),INDEX('Base de données Mono'!F:F,MATCH(B1117,'Base de données Mono'!D:D,0)),IF(AND(E1117="Electricité",M1117="Eté"),INDEX('Base de données Mono'!G:G,MATCH(B1117,'Base de données Mono'!D:D,0)),IF(AND(E1117="Gaz",M1117="Hiver"),INDEX('Base de données Mono'!J:J,MATCH(B1117,'Base de données Mono'!D:D,0)),IF(AND(E1117="Gaz",M1117="Mi-saison"),INDEX('Base de données Mono'!#REF!,MATCH(B1117,'Base de données Mono'!D:D,0)),IF(AND(E1117="Gaz",M1117="Eté"),INDEX('Base de données Mono'!#REF!,MATCH(B1117,'Base de données Mono'!D:D,0)),"-"))))))</f>
        <v>80</v>
      </c>
      <c r="O1117" s="123">
        <v>45396</v>
      </c>
      <c r="P1117" s="123">
        <v>45396</v>
      </c>
      <c r="Q1117" s="34">
        <v>130</v>
      </c>
      <c r="R1117" s="33">
        <f t="shared" si="176"/>
        <v>50</v>
      </c>
      <c r="S1117" s="34">
        <v>6.5</v>
      </c>
      <c r="T1117" s="34">
        <v>1</v>
      </c>
      <c r="U1117" s="33">
        <f t="shared" si="179"/>
        <v>325</v>
      </c>
      <c r="V1117" s="38" t="s">
        <v>827</v>
      </c>
      <c r="W1117" s="39">
        <f t="shared" si="180"/>
        <v>0.625</v>
      </c>
      <c r="X1117" s="40" t="s">
        <v>730</v>
      </c>
      <c r="Y1117" s="40" t="s">
        <v>284</v>
      </c>
      <c r="Z1117" s="40" t="s">
        <v>307</v>
      </c>
      <c r="AA1117" s="33" t="s">
        <v>308</v>
      </c>
      <c r="AB1117" s="95"/>
      <c r="AC1117" s="95"/>
    </row>
    <row r="1118" spans="1:29" ht="14.45" hidden="1" customHeight="1" x14ac:dyDescent="0.25">
      <c r="A1118" s="36" t="str">
        <f>INDEX('Base de données Mono'!C:C,MATCH(B1118,'Base de données Mono'!D:D,0))</f>
        <v>VERSAILLES</v>
      </c>
      <c r="B1118" t="s">
        <v>38</v>
      </c>
      <c r="C1118" s="36" t="str">
        <f>INDEX('Base de données Mono'!B:B,MATCH(B1118,'Base de données Mono'!D:D,0))</f>
        <v>SES8</v>
      </c>
      <c r="D1118" s="36" t="str">
        <f>INDEX('Base de données Mono'!A:A,MATCH(B1118,'Base de données Mono'!D:D,0))</f>
        <v>AD</v>
      </c>
      <c r="E1118" s="37" t="s">
        <v>303</v>
      </c>
      <c r="F1118" s="41">
        <f t="shared" si="177"/>
        <v>15</v>
      </c>
      <c r="G1118" s="41">
        <f t="shared" si="178"/>
        <v>4</v>
      </c>
      <c r="I1118" s="131">
        <f>INDEX('Base de données Mono'!K:K,MATCH(B1118,'Base de données Mono'!D:D,0))</f>
        <v>0.1875</v>
      </c>
      <c r="J1118" s="131">
        <f>INDEX('Base de données Mono'!L:L,MATCH(B1118,'Base de données Mono'!D:D,0))</f>
        <v>0.85416666666666663</v>
      </c>
      <c r="K1118" s="131" t="str">
        <f>INDEX('Base de données Mono'!M:M,MATCH(B1118,'Base de données Mono'!D:D,0))</f>
        <v>-</v>
      </c>
      <c r="L1118" s="131" t="str">
        <f>INDEX('Base de données Mono'!N:N,MATCH(B1118,'Base de données Mono'!D:D,0))</f>
        <v>-</v>
      </c>
      <c r="M1118" s="33" t="s">
        <v>46</v>
      </c>
      <c r="N1118" s="33">
        <f>IF(AND(E1118="Electricité",M1118="Hiver"),INDEX('Base de données Mono'!E:E,MATCH(B1118,'Base de données Mono'!D:D,0)),IF(AND(E1118="Electricité",M1118="Mi-saison"),INDEX('Base de données Mono'!F:F,MATCH(B1118,'Base de données Mono'!D:D,0)),IF(AND(E1118="Electricité",M1118="Eté"),INDEX('Base de données Mono'!G:G,MATCH(B1118,'Base de données Mono'!D:D,0)),IF(AND(E1118="Gaz",M1118="Hiver"),INDEX('Base de données Mono'!J:J,MATCH(B1118,'Base de données Mono'!D:D,0)),IF(AND(E1118="Gaz",M1118="Mi-saison"),INDEX('Base de données Mono'!#REF!,MATCH(B1118,'Base de données Mono'!D:D,0)),IF(AND(E1118="Gaz",M1118="Eté"),INDEX('Base de données Mono'!#REF!,MATCH(B1118,'Base de données Mono'!D:D,0)),"-"))))))</f>
        <v>75</v>
      </c>
      <c r="O1118" s="123">
        <v>45396</v>
      </c>
      <c r="P1118" s="123">
        <v>45396</v>
      </c>
      <c r="Q1118" s="34">
        <v>85</v>
      </c>
      <c r="R1118" s="33">
        <f>IF(Q1118="","",Q1118-N1118)</f>
        <v>10</v>
      </c>
      <c r="S1118" s="34">
        <v>0.3</v>
      </c>
      <c r="T1118" s="34">
        <v>1</v>
      </c>
      <c r="U1118" s="33">
        <f t="shared" si="179"/>
        <v>3</v>
      </c>
      <c r="V1118" s="38" t="s">
        <v>827</v>
      </c>
      <c r="W1118" s="39">
        <f t="shared" si="180"/>
        <v>0.13333333333333333</v>
      </c>
      <c r="X1118" s="40" t="s">
        <v>730</v>
      </c>
      <c r="Y1118" s="40" t="s">
        <v>284</v>
      </c>
      <c r="Z1118" s="40" t="s">
        <v>305</v>
      </c>
      <c r="AA1118" s="33" t="s">
        <v>771</v>
      </c>
      <c r="AB1118" s="95"/>
      <c r="AC1118" s="95"/>
    </row>
    <row r="1119" spans="1:29" ht="14.45" hidden="1" customHeight="1" x14ac:dyDescent="0.25">
      <c r="A1119" s="36" t="str">
        <f>INDEX('Base de données Mono'!C:C,MATCH(B1119,'Base de données Mono'!D:D,0))</f>
        <v>VERSAILLES</v>
      </c>
      <c r="B1119" t="s">
        <v>38</v>
      </c>
      <c r="C1119" s="36" t="str">
        <f>INDEX('Base de données Mono'!B:B,MATCH(B1119,'Base de données Mono'!D:D,0))</f>
        <v>SES8</v>
      </c>
      <c r="D1119" s="36" t="str">
        <f>INDEX('Base de données Mono'!A:A,MATCH(B1119,'Base de données Mono'!D:D,0))</f>
        <v>AD</v>
      </c>
      <c r="E1119" s="37" t="s">
        <v>303</v>
      </c>
      <c r="F1119" s="41">
        <f t="shared" si="177"/>
        <v>15</v>
      </c>
      <c r="G1119" s="41">
        <f t="shared" si="178"/>
        <v>4</v>
      </c>
      <c r="I1119" s="131">
        <f>INDEX('Base de données Mono'!K:K,MATCH(B1119,'Base de données Mono'!D:D,0))</f>
        <v>0.1875</v>
      </c>
      <c r="J1119" s="131">
        <f>INDEX('Base de données Mono'!L:L,MATCH(B1119,'Base de données Mono'!D:D,0))</f>
        <v>0.85416666666666663</v>
      </c>
      <c r="K1119" s="131" t="str">
        <f>INDEX('Base de données Mono'!M:M,MATCH(B1119,'Base de données Mono'!D:D,0))</f>
        <v>-</v>
      </c>
      <c r="L1119" s="131" t="str">
        <f>INDEX('Base de données Mono'!N:N,MATCH(B1119,'Base de données Mono'!D:D,0))</f>
        <v>-</v>
      </c>
      <c r="M1119" s="33" t="s">
        <v>46</v>
      </c>
      <c r="N1119" s="33">
        <f>IF(AND(E1119="Electricité",M1119="Hiver"),INDEX('Base de données Mono'!E:E,MATCH(B1119,'Base de données Mono'!D:D,0)),IF(AND(E1119="Electricité",M1119="Mi-saison"),INDEX('Base de données Mono'!F:F,MATCH(B1119,'Base de données Mono'!D:D,0)),IF(AND(E1119="Electricité",M1119="Eté"),INDEX('Base de données Mono'!G:G,MATCH(B1119,'Base de données Mono'!D:D,0)),IF(AND(E1119="Gaz",M1119="Hiver"),INDEX('Base de données Mono'!J:J,MATCH(B1119,'Base de données Mono'!D:D,0)),IF(AND(E1119="Gaz",M1119="Mi-saison"),INDEX('Base de données Mono'!#REF!,MATCH(B1119,'Base de données Mono'!D:D,0)),IF(AND(E1119="Gaz",M1119="Eté"),INDEX('Base de données Mono'!#REF!,MATCH(B1119,'Base de données Mono'!D:D,0)),"-"))))))</f>
        <v>75</v>
      </c>
      <c r="O1119" s="123">
        <v>45396</v>
      </c>
      <c r="P1119" s="123">
        <v>45396</v>
      </c>
      <c r="Q1119" s="34">
        <v>130</v>
      </c>
      <c r="R1119" s="33">
        <f>IF(Q1119="","",Q1119-N1119)</f>
        <v>55</v>
      </c>
      <c r="S1119" s="34">
        <v>13</v>
      </c>
      <c r="T1119" s="34">
        <v>1</v>
      </c>
      <c r="U1119" s="33">
        <f t="shared" si="179"/>
        <v>715</v>
      </c>
      <c r="V1119" s="38" t="s">
        <v>827</v>
      </c>
      <c r="W1119" s="39">
        <f t="shared" si="180"/>
        <v>0.73333333333333328</v>
      </c>
      <c r="X1119" s="40" t="s">
        <v>730</v>
      </c>
      <c r="Y1119" s="40" t="s">
        <v>283</v>
      </c>
      <c r="Z1119" s="40"/>
      <c r="AA1119" s="33"/>
      <c r="AB1119" s="95"/>
      <c r="AC1119" s="95"/>
    </row>
    <row r="1120" spans="1:29" ht="14.45" hidden="1" customHeight="1" x14ac:dyDescent="0.25">
      <c r="A1120" s="36" t="str">
        <f>INDEX('Base de données Mono'!C:C,MATCH(B1120,'Base de données Mono'!D:D,0))</f>
        <v>MOZART</v>
      </c>
      <c r="B1120" t="s">
        <v>27</v>
      </c>
      <c r="C1120" s="36" t="str">
        <f>INDEX('Base de données Mono'!B:B,MATCH(B1120,'Base de données Mono'!D:D,0))</f>
        <v>SES8</v>
      </c>
      <c r="D1120" s="36" t="str">
        <f>INDEX('Base de données Mono'!A:A,MATCH(B1120,'Base de données Mono'!D:D,0))</f>
        <v>AD</v>
      </c>
      <c r="E1120" s="37" t="s">
        <v>303</v>
      </c>
      <c r="F1120" s="41">
        <f t="shared" ref="F1120:F1142" si="181">IF(O1120="","-",IF(AND(X1120="Nuit",WEEKDAY(O1120,2)=7,O1120&lt;&gt;P1120),WEEKNUM(O1120,2),WEEKNUM(O1120,2)-1))+1</f>
        <v>16</v>
      </c>
      <c r="G1120" s="41">
        <f t="shared" ref="G1120:G1142" si="182">IF(O1120="","-",MONTH(O1120))</f>
        <v>4</v>
      </c>
      <c r="I1120" s="131">
        <f>INDEX('Base de données Mono'!K:K,MATCH(B1120,'Base de données Mono'!D:D,0))</f>
        <v>0.23611111111111113</v>
      </c>
      <c r="J1120" s="131">
        <f>INDEX('Base de données Mono'!L:L,MATCH(B1120,'Base de données Mono'!D:D,0))</f>
        <v>0.92708333333333337</v>
      </c>
      <c r="K1120" s="131">
        <f>INDEX('Base de données Mono'!M:M,MATCH(B1120,'Base de données Mono'!D:D,0))</f>
        <v>0.23611111111111113</v>
      </c>
      <c r="L1120" s="131">
        <f>INDEX('Base de données Mono'!N:N,MATCH(B1120,'Base de données Mono'!D:D,0))</f>
        <v>0.54166666666666663</v>
      </c>
      <c r="M1120" s="33" t="s">
        <v>46</v>
      </c>
      <c r="N1120" s="33">
        <f>IF(AND(E1120="Electricité",M1120="Hiver"),INDEX('Base de données Mono'!E:E,MATCH(B1120,'Base de données Mono'!D:D,0)),IF(AND(E1120="Electricité",M1120="Mi-saison"),INDEX('Base de données Mono'!F:F,MATCH(B1120,'Base de données Mono'!D:D,0)),IF(AND(E1120="Electricité",M1120="Eté"),INDEX('Base de données Mono'!G:G,MATCH(B1120,'Base de données Mono'!D:D,0)),IF(AND(E1120="Gaz",M1120="Hiver"),INDEX('Base de données Mono'!J:J,MATCH(B1120,'Base de données Mono'!D:D,0)),IF(AND(E1120="Gaz",M1120="Mi-saison"),INDEX('Base de données Mono'!#REF!,MATCH(B1120,'Base de données Mono'!D:D,0)),IF(AND(E1120="Gaz",M1120="Eté"),INDEX('Base de données Mono'!#REF!,MATCH(B1120,'Base de données Mono'!D:D,0)),"-"))))))</f>
        <v>35</v>
      </c>
      <c r="O1120" s="123">
        <v>45396</v>
      </c>
      <c r="P1120" s="123">
        <v>45401</v>
      </c>
      <c r="Q1120" s="34">
        <v>40</v>
      </c>
      <c r="R1120" s="33">
        <f t="shared" ref="R1120:R1142" si="183">IF(Q1120="","",Q1120-N1120)</f>
        <v>5</v>
      </c>
      <c r="S1120" s="34">
        <v>7.4</v>
      </c>
      <c r="T1120" s="34">
        <f t="shared" ref="T1120:T1168" si="184">P1120-O1120</f>
        <v>5</v>
      </c>
      <c r="U1120" s="33">
        <f t="shared" ref="U1120:U1142" si="185">R1120*S1120*T1120</f>
        <v>185</v>
      </c>
      <c r="V1120" s="38" t="s">
        <v>827</v>
      </c>
      <c r="W1120" s="39">
        <f t="shared" ref="W1120:W1142" si="186">IFERROR(IF(E1120="Gaz","-",R1120/N1120),"-")</f>
        <v>0.14285714285714285</v>
      </c>
      <c r="X1120" s="40" t="s">
        <v>304</v>
      </c>
      <c r="Y1120" s="40" t="s">
        <v>284</v>
      </c>
      <c r="Z1120" s="40" t="s">
        <v>305</v>
      </c>
      <c r="AA1120" s="33" t="s">
        <v>771</v>
      </c>
      <c r="AB1120" s="95"/>
      <c r="AC1120" s="95"/>
    </row>
    <row r="1121" spans="1:29" ht="14.45" hidden="1" customHeight="1" x14ac:dyDescent="0.25">
      <c r="A1121" s="36" t="str">
        <f>INDEX('Base de données Mono'!C:C,MATCH(B1121,'Base de données Mono'!D:D,0))</f>
        <v>MOZART</v>
      </c>
      <c r="B1121" t="s">
        <v>27</v>
      </c>
      <c r="C1121" s="36" t="str">
        <f>INDEX('Base de données Mono'!B:B,MATCH(B1121,'Base de données Mono'!D:D,0))</f>
        <v>SES8</v>
      </c>
      <c r="D1121" s="36" t="str">
        <f>INDEX('Base de données Mono'!A:A,MATCH(B1121,'Base de données Mono'!D:D,0))</f>
        <v>AD</v>
      </c>
      <c r="E1121" s="37" t="s">
        <v>303</v>
      </c>
      <c r="F1121" s="41">
        <f t="shared" si="181"/>
        <v>16</v>
      </c>
      <c r="G1121" s="41">
        <f t="shared" si="182"/>
        <v>4</v>
      </c>
      <c r="I1121" s="131">
        <f>INDEX('Base de données Mono'!K:K,MATCH(B1121,'Base de données Mono'!D:D,0))</f>
        <v>0.23611111111111113</v>
      </c>
      <c r="J1121" s="131">
        <f>INDEX('Base de données Mono'!L:L,MATCH(B1121,'Base de données Mono'!D:D,0))</f>
        <v>0.92708333333333337</v>
      </c>
      <c r="K1121" s="131">
        <f>INDEX('Base de données Mono'!M:M,MATCH(B1121,'Base de données Mono'!D:D,0))</f>
        <v>0.23611111111111113</v>
      </c>
      <c r="L1121" s="131">
        <f>INDEX('Base de données Mono'!N:N,MATCH(B1121,'Base de données Mono'!D:D,0))</f>
        <v>0.54166666666666663</v>
      </c>
      <c r="M1121" s="33" t="s">
        <v>46</v>
      </c>
      <c r="N1121" s="33">
        <f>IF(AND(E1121="Electricité",M1121="Hiver"),INDEX('Base de données Mono'!E:E,MATCH(B1121,'Base de données Mono'!D:D,0)),IF(AND(E1121="Electricité",M1121="Mi-saison"),INDEX('Base de données Mono'!F:F,MATCH(B1121,'Base de données Mono'!D:D,0)),IF(AND(E1121="Electricité",M1121="Eté"),INDEX('Base de données Mono'!G:G,MATCH(B1121,'Base de données Mono'!D:D,0)),IF(AND(E1121="Gaz",M1121="Hiver"),INDEX('Base de données Mono'!J:J,MATCH(B1121,'Base de données Mono'!D:D,0)),IF(AND(E1121="Gaz",M1121="Mi-saison"),INDEX('Base de données Mono'!#REF!,MATCH(B1121,'Base de données Mono'!D:D,0)),IF(AND(E1121="Gaz",M1121="Eté"),INDEX('Base de données Mono'!#REF!,MATCH(B1121,'Base de données Mono'!D:D,0)),"-"))))))</f>
        <v>35</v>
      </c>
      <c r="O1121" s="123">
        <v>45401</v>
      </c>
      <c r="P1121" s="123">
        <v>45402</v>
      </c>
      <c r="Q1121" s="34">
        <v>60</v>
      </c>
      <c r="R1121" s="33">
        <f t="shared" si="183"/>
        <v>25</v>
      </c>
      <c r="S1121" s="34">
        <v>7.4</v>
      </c>
      <c r="T1121" s="34">
        <f t="shared" si="184"/>
        <v>1</v>
      </c>
      <c r="U1121" s="33">
        <f t="shared" si="185"/>
        <v>185</v>
      </c>
      <c r="V1121" s="38" t="s">
        <v>827</v>
      </c>
      <c r="W1121" s="39">
        <f t="shared" si="186"/>
        <v>0.7142857142857143</v>
      </c>
      <c r="X1121" s="40" t="s">
        <v>304</v>
      </c>
      <c r="Y1121" s="40" t="s">
        <v>283</v>
      </c>
      <c r="Z1121" s="40" t="s">
        <v>749</v>
      </c>
      <c r="AA1121" s="33" t="s">
        <v>749</v>
      </c>
      <c r="AB1121" s="95"/>
      <c r="AC1121" s="95"/>
    </row>
    <row r="1122" spans="1:29" ht="14.45" hidden="1" customHeight="1" x14ac:dyDescent="0.25">
      <c r="A1122" s="36" t="str">
        <f>INDEX('Base de données Mono'!C:C,MATCH(B1122,'Base de données Mono'!D:D,0))</f>
        <v>VIENNE PYRAMIDE</v>
      </c>
      <c r="B1122" t="s">
        <v>271</v>
      </c>
      <c r="C1122" s="36" t="str">
        <f>INDEX('Base de données Mono'!B:B,MATCH(B1122,'Base de données Mono'!D:D,0))</f>
        <v>Franchisés</v>
      </c>
      <c r="D1122" s="36" t="str">
        <f>INDEX('Base de données Mono'!A:A,MATCH(B1122,'Base de données Mono'!D:D,0))</f>
        <v>AD</v>
      </c>
      <c r="E1122" s="37" t="s">
        <v>303</v>
      </c>
      <c r="F1122" s="41">
        <f t="shared" si="181"/>
        <v>16</v>
      </c>
      <c r="G1122" s="41">
        <f t="shared" si="182"/>
        <v>4</v>
      </c>
      <c r="I1122" s="131">
        <f>INDEX('Base de données Mono'!K:K,MATCH(B1122,'Base de données Mono'!D:D,0))</f>
        <v>0.24305555555555555</v>
      </c>
      <c r="J1122" s="131">
        <f>INDEX('Base de données Mono'!L:L,MATCH(B1122,'Base de données Mono'!D:D,0))</f>
        <v>0.83333333333333337</v>
      </c>
      <c r="K1122" s="131">
        <f>INDEX('Base de données Mono'!M:M,MATCH(B1122,'Base de données Mono'!D:D,0))</f>
        <v>0.29166666666666669</v>
      </c>
      <c r="L1122" s="131">
        <f>INDEX('Base de données Mono'!N:N,MATCH(B1122,'Base de données Mono'!D:D,0))</f>
        <v>0.54166666666666663</v>
      </c>
      <c r="M1122" s="33" t="s">
        <v>46</v>
      </c>
      <c r="N1122" s="33">
        <f>IF(AND(E1122="Electricité",M1122="Hiver"),INDEX('Base de données Mono'!E:E,MATCH(B1122,'Base de données Mono'!D:D,0)),IF(AND(E1122="Electricité",M1122="Mi-saison"),INDEX('Base de données Mono'!F:F,MATCH(B1122,'Base de données Mono'!D:D,0)),IF(AND(E1122="Electricité",M1122="Eté"),INDEX('Base de données Mono'!G:G,MATCH(B1122,'Base de données Mono'!D:D,0)),IF(AND(E1122="Gaz",M1122="Hiver"),INDEX('Base de données Mono'!J:J,MATCH(B1122,'Base de données Mono'!D:D,0)),IF(AND(E1122="Gaz",M1122="Mi-saison"),INDEX('Base de données Mono'!#REF!,MATCH(B1122,'Base de données Mono'!D:D,0)),IF(AND(E1122="Gaz",M1122="Eté"),INDEX('Base de données Mono'!#REF!,MATCH(B1122,'Base de données Mono'!D:D,0)),"-"))))))</f>
        <v>45</v>
      </c>
      <c r="O1122" s="123">
        <v>45396</v>
      </c>
      <c r="P1122" s="123">
        <v>45397</v>
      </c>
      <c r="Q1122" s="34">
        <v>50</v>
      </c>
      <c r="R1122" s="33">
        <f t="shared" si="183"/>
        <v>5</v>
      </c>
      <c r="S1122" s="34">
        <v>9.8000000000000007</v>
      </c>
      <c r="T1122" s="34">
        <f t="shared" si="184"/>
        <v>1</v>
      </c>
      <c r="U1122" s="33">
        <f t="shared" si="185"/>
        <v>49</v>
      </c>
      <c r="V1122" s="38" t="s">
        <v>827</v>
      </c>
      <c r="W1122" s="39">
        <f t="shared" si="186"/>
        <v>0.1111111111111111</v>
      </c>
      <c r="X1122" s="40" t="s">
        <v>304</v>
      </c>
      <c r="Y1122" s="40" t="s">
        <v>284</v>
      </c>
      <c r="Z1122" s="40" t="s">
        <v>305</v>
      </c>
      <c r="AA1122" s="33" t="s">
        <v>771</v>
      </c>
      <c r="AB1122" s="95"/>
      <c r="AC1122" s="95"/>
    </row>
    <row r="1123" spans="1:29" ht="14.45" hidden="1" customHeight="1" x14ac:dyDescent="0.25">
      <c r="A1123" s="36" t="str">
        <f>INDEX('Base de données Mono'!C:C,MATCH(B1123,'Base de données Mono'!D:D,0))</f>
        <v>VIENNE PYRAMIDE</v>
      </c>
      <c r="B1123" t="s">
        <v>271</v>
      </c>
      <c r="C1123" s="36" t="str">
        <f>INDEX('Base de données Mono'!B:B,MATCH(B1123,'Base de données Mono'!D:D,0))</f>
        <v>Franchisés</v>
      </c>
      <c r="D1123" s="36" t="str">
        <f>INDEX('Base de données Mono'!A:A,MATCH(B1123,'Base de données Mono'!D:D,0))</f>
        <v>AD</v>
      </c>
      <c r="E1123" s="37" t="s">
        <v>303</v>
      </c>
      <c r="F1123" s="41">
        <f t="shared" si="181"/>
        <v>16</v>
      </c>
      <c r="G1123" s="41">
        <f t="shared" si="182"/>
        <v>4</v>
      </c>
      <c r="I1123" s="131">
        <f>INDEX('Base de données Mono'!K:K,MATCH(B1123,'Base de données Mono'!D:D,0))</f>
        <v>0.24305555555555555</v>
      </c>
      <c r="J1123" s="131">
        <f>INDEX('Base de données Mono'!L:L,MATCH(B1123,'Base de données Mono'!D:D,0))</f>
        <v>0.83333333333333337</v>
      </c>
      <c r="K1123" s="131">
        <f>INDEX('Base de données Mono'!M:M,MATCH(B1123,'Base de données Mono'!D:D,0))</f>
        <v>0.29166666666666669</v>
      </c>
      <c r="L1123" s="131">
        <f>INDEX('Base de données Mono'!N:N,MATCH(B1123,'Base de données Mono'!D:D,0))</f>
        <v>0.54166666666666663</v>
      </c>
      <c r="M1123" s="33" t="s">
        <v>46</v>
      </c>
      <c r="N1123" s="33">
        <f>IF(AND(E1123="Electricité",M1123="Hiver"),INDEX('Base de données Mono'!E:E,MATCH(B1123,'Base de données Mono'!D:D,0)),IF(AND(E1123="Electricité",M1123="Mi-saison"),INDEX('Base de données Mono'!F:F,MATCH(B1123,'Base de données Mono'!D:D,0)),IF(AND(E1123="Electricité",M1123="Eté"),INDEX('Base de données Mono'!G:G,MATCH(B1123,'Base de données Mono'!D:D,0)),IF(AND(E1123="Gaz",M1123="Hiver"),INDEX('Base de données Mono'!J:J,MATCH(B1123,'Base de données Mono'!D:D,0)),IF(AND(E1123="Gaz",M1123="Mi-saison"),INDEX('Base de données Mono'!#REF!,MATCH(B1123,'Base de données Mono'!D:D,0)),IF(AND(E1123="Gaz",M1123="Eté"),INDEX('Base de données Mono'!#REF!,MATCH(B1123,'Base de données Mono'!D:D,0)),"-"))))))</f>
        <v>45</v>
      </c>
      <c r="O1123" s="123">
        <v>45397</v>
      </c>
      <c r="P1123" s="123">
        <v>45398</v>
      </c>
      <c r="Q1123" s="34">
        <v>50</v>
      </c>
      <c r="R1123" s="33">
        <f t="shared" si="183"/>
        <v>5</v>
      </c>
      <c r="S1123" s="34">
        <v>6</v>
      </c>
      <c r="T1123" s="34">
        <f t="shared" si="184"/>
        <v>1</v>
      </c>
      <c r="U1123" s="33">
        <f t="shared" si="185"/>
        <v>30</v>
      </c>
      <c r="V1123" s="38" t="s">
        <v>827</v>
      </c>
      <c r="W1123" s="39">
        <f t="shared" si="186"/>
        <v>0.1111111111111111</v>
      </c>
      <c r="X1123" s="40" t="s">
        <v>304</v>
      </c>
      <c r="Y1123" s="40" t="s">
        <v>284</v>
      </c>
      <c r="Z1123" s="40" t="s">
        <v>305</v>
      </c>
      <c r="AA1123" s="33" t="s">
        <v>771</v>
      </c>
      <c r="AB1123" s="95"/>
      <c r="AC1123" s="95"/>
    </row>
    <row r="1124" spans="1:29" ht="14.45" hidden="1" customHeight="1" x14ac:dyDescent="0.25">
      <c r="A1124" s="36" t="str">
        <f>INDEX('Base de données Mono'!C:C,MATCH(B1124,'Base de données Mono'!D:D,0))</f>
        <v>VIENNE PYRAMIDE</v>
      </c>
      <c r="B1124" t="s">
        <v>271</v>
      </c>
      <c r="C1124" s="36" t="str">
        <f>INDEX('Base de données Mono'!B:B,MATCH(B1124,'Base de données Mono'!D:D,0))</f>
        <v>Franchisés</v>
      </c>
      <c r="D1124" s="36" t="str">
        <f>INDEX('Base de données Mono'!A:A,MATCH(B1124,'Base de données Mono'!D:D,0))</f>
        <v>AD</v>
      </c>
      <c r="E1124" s="37" t="s">
        <v>303</v>
      </c>
      <c r="F1124" s="41">
        <f t="shared" si="181"/>
        <v>16</v>
      </c>
      <c r="G1124" s="41">
        <f t="shared" si="182"/>
        <v>4</v>
      </c>
      <c r="I1124" s="131">
        <f>INDEX('Base de données Mono'!K:K,MATCH(B1124,'Base de données Mono'!D:D,0))</f>
        <v>0.24305555555555555</v>
      </c>
      <c r="J1124" s="131">
        <f>INDEX('Base de données Mono'!L:L,MATCH(B1124,'Base de données Mono'!D:D,0))</f>
        <v>0.83333333333333337</v>
      </c>
      <c r="K1124" s="131">
        <f>INDEX('Base de données Mono'!M:M,MATCH(B1124,'Base de données Mono'!D:D,0))</f>
        <v>0.29166666666666669</v>
      </c>
      <c r="L1124" s="131">
        <f>INDEX('Base de données Mono'!N:N,MATCH(B1124,'Base de données Mono'!D:D,0))</f>
        <v>0.54166666666666663</v>
      </c>
      <c r="M1124" s="33" t="s">
        <v>46</v>
      </c>
      <c r="N1124" s="33">
        <f>IF(AND(E1124="Electricité",M1124="Hiver"),INDEX('Base de données Mono'!E:E,MATCH(B1124,'Base de données Mono'!D:D,0)),IF(AND(E1124="Electricité",M1124="Mi-saison"),INDEX('Base de données Mono'!F:F,MATCH(B1124,'Base de données Mono'!D:D,0)),IF(AND(E1124="Electricité",M1124="Eté"),INDEX('Base de données Mono'!G:G,MATCH(B1124,'Base de données Mono'!D:D,0)),IF(AND(E1124="Gaz",M1124="Hiver"),INDEX('Base de données Mono'!J:J,MATCH(B1124,'Base de données Mono'!D:D,0)),IF(AND(E1124="Gaz",M1124="Mi-saison"),INDEX('Base de données Mono'!#REF!,MATCH(B1124,'Base de données Mono'!D:D,0)),IF(AND(E1124="Gaz",M1124="Eté"),INDEX('Base de données Mono'!#REF!,MATCH(B1124,'Base de données Mono'!D:D,0)),"-"))))))</f>
        <v>45</v>
      </c>
      <c r="O1124" s="123">
        <v>45398</v>
      </c>
      <c r="P1124" s="123">
        <v>45403</v>
      </c>
      <c r="Q1124" s="34">
        <v>50</v>
      </c>
      <c r="R1124" s="33">
        <f t="shared" si="183"/>
        <v>5</v>
      </c>
      <c r="S1124" s="34">
        <v>1.5</v>
      </c>
      <c r="T1124" s="34">
        <f t="shared" si="184"/>
        <v>5</v>
      </c>
      <c r="U1124" s="33">
        <f t="shared" si="185"/>
        <v>37.5</v>
      </c>
      <c r="V1124" s="38" t="s">
        <v>827</v>
      </c>
      <c r="W1124" s="39">
        <f t="shared" si="186"/>
        <v>0.1111111111111111</v>
      </c>
      <c r="X1124" s="40" t="s">
        <v>304</v>
      </c>
      <c r="Y1124" s="40" t="s">
        <v>284</v>
      </c>
      <c r="Z1124" s="40" t="s">
        <v>305</v>
      </c>
      <c r="AA1124" s="33" t="s">
        <v>771</v>
      </c>
      <c r="AB1124" s="95"/>
      <c r="AC1124" s="95"/>
    </row>
    <row r="1125" spans="1:29" ht="14.45" hidden="1" customHeight="1" x14ac:dyDescent="0.25">
      <c r="A1125" s="36" t="str">
        <f>INDEX('Base de données Mono'!C:C,MATCH(B1125,'Base de données Mono'!D:D,0))</f>
        <v>FONTENAY SOUS BOIS</v>
      </c>
      <c r="B1125" t="s">
        <v>131</v>
      </c>
      <c r="C1125" s="36" t="str">
        <f>INDEX('Base de données Mono'!B:B,MATCH(B1125,'Base de données Mono'!D:D,0))</f>
        <v>SES8</v>
      </c>
      <c r="D1125" s="36" t="str">
        <f>INDEX('Base de données Mono'!A:A,MATCH(B1125,'Base de données Mono'!D:D,0))</f>
        <v>JG</v>
      </c>
      <c r="E1125" s="37" t="s">
        <v>303</v>
      </c>
      <c r="F1125" s="41">
        <f t="shared" si="181"/>
        <v>16</v>
      </c>
      <c r="G1125" s="41">
        <f t="shared" si="182"/>
        <v>4</v>
      </c>
      <c r="I1125" s="131">
        <f>INDEX('Base de données Mono'!K:K,MATCH(B1125,'Base de données Mono'!D:D,0))</f>
        <v>0.24305555555555555</v>
      </c>
      <c r="J1125" s="131">
        <f>INDEX('Base de données Mono'!L:L,MATCH(B1125,'Base de données Mono'!D:D,0))</f>
        <v>0.89583333333333337</v>
      </c>
      <c r="K1125" s="131">
        <f>INDEX('Base de données Mono'!M:M,MATCH(B1125,'Base de données Mono'!D:D,0))</f>
        <v>0.27083333333333331</v>
      </c>
      <c r="L1125" s="131">
        <f>INDEX('Base de données Mono'!N:N,MATCH(B1125,'Base de données Mono'!D:D,0))</f>
        <v>0.5625</v>
      </c>
      <c r="M1125" s="33" t="s">
        <v>46</v>
      </c>
      <c r="N1125" s="33">
        <f>IF(AND(E1125="Electricité",M1125="Hiver"),INDEX('Base de données Mono'!E:E,MATCH(B1125,'Base de données Mono'!D:D,0)),IF(AND(E1125="Electricité",M1125="Mi-saison"),INDEX('Base de données Mono'!F:F,MATCH(B1125,'Base de données Mono'!D:D,0)),IF(AND(E1125="Electricité",M1125="Eté"),INDEX('Base de données Mono'!G:G,MATCH(B1125,'Base de données Mono'!D:D,0)),IF(AND(E1125="Gaz",M1125="Hiver"),INDEX('Base de données Mono'!J:J,MATCH(B1125,'Base de données Mono'!D:D,0)),IF(AND(E1125="Gaz",M1125="Mi-saison"),INDEX('Base de données Mono'!#REF!,MATCH(B1125,'Base de données Mono'!D:D,0)),IF(AND(E1125="Gaz",M1125="Eté"),INDEX('Base de données Mono'!#REF!,MATCH(B1125,'Base de données Mono'!D:D,0)),"-"))))))</f>
        <v>55</v>
      </c>
      <c r="O1125" s="123">
        <v>45396</v>
      </c>
      <c r="P1125" s="123">
        <v>45399</v>
      </c>
      <c r="Q1125" s="34">
        <v>65</v>
      </c>
      <c r="R1125" s="33">
        <f t="shared" si="183"/>
        <v>10</v>
      </c>
      <c r="S1125" s="34">
        <v>8.3000000000000007</v>
      </c>
      <c r="T1125" s="34">
        <f t="shared" si="184"/>
        <v>3</v>
      </c>
      <c r="U1125" s="33">
        <f t="shared" si="185"/>
        <v>249</v>
      </c>
      <c r="V1125" s="38" t="s">
        <v>827</v>
      </c>
      <c r="W1125" s="39">
        <f t="shared" si="186"/>
        <v>0.18181818181818182</v>
      </c>
      <c r="X1125" s="40" t="s">
        <v>304</v>
      </c>
      <c r="Y1125" s="40" t="s">
        <v>284</v>
      </c>
      <c r="Z1125" s="40" t="s">
        <v>305</v>
      </c>
      <c r="AA1125" s="33" t="s">
        <v>771</v>
      </c>
      <c r="AB1125" s="95"/>
      <c r="AC1125" s="95"/>
    </row>
    <row r="1126" spans="1:29" ht="14.45" hidden="1" customHeight="1" x14ac:dyDescent="0.25">
      <c r="A1126" s="36" t="str">
        <f>INDEX('Base de données Mono'!C:C,MATCH(B1126,'Base de données Mono'!D:D,0))</f>
        <v>FONTENAY SOUS BOIS</v>
      </c>
      <c r="B1126" t="s">
        <v>131</v>
      </c>
      <c r="C1126" s="36" t="str">
        <f>INDEX('Base de données Mono'!B:B,MATCH(B1126,'Base de données Mono'!D:D,0))</f>
        <v>SES8</v>
      </c>
      <c r="D1126" s="36" t="str">
        <f>INDEX('Base de données Mono'!A:A,MATCH(B1126,'Base de données Mono'!D:D,0))</f>
        <v>JG</v>
      </c>
      <c r="E1126" s="37" t="s">
        <v>303</v>
      </c>
      <c r="F1126" s="41">
        <f t="shared" si="181"/>
        <v>16</v>
      </c>
      <c r="G1126" s="41">
        <f t="shared" si="182"/>
        <v>4</v>
      </c>
      <c r="I1126" s="131">
        <f>INDEX('Base de données Mono'!K:K,MATCH(B1126,'Base de données Mono'!D:D,0))</f>
        <v>0.24305555555555555</v>
      </c>
      <c r="J1126" s="131">
        <f>INDEX('Base de données Mono'!L:L,MATCH(B1126,'Base de données Mono'!D:D,0))</f>
        <v>0.89583333333333337</v>
      </c>
      <c r="K1126" s="131">
        <f>INDEX('Base de données Mono'!M:M,MATCH(B1126,'Base de données Mono'!D:D,0))</f>
        <v>0.27083333333333331</v>
      </c>
      <c r="L1126" s="131">
        <f>INDEX('Base de données Mono'!N:N,MATCH(B1126,'Base de données Mono'!D:D,0))</f>
        <v>0.5625</v>
      </c>
      <c r="M1126" s="33" t="s">
        <v>46</v>
      </c>
      <c r="N1126" s="33">
        <f>IF(AND(E1126="Electricité",M1126="Hiver"),INDEX('Base de données Mono'!E:E,MATCH(B1126,'Base de données Mono'!D:D,0)),IF(AND(E1126="Electricité",M1126="Mi-saison"),INDEX('Base de données Mono'!F:F,MATCH(B1126,'Base de données Mono'!D:D,0)),IF(AND(E1126="Electricité",M1126="Eté"),INDEX('Base de données Mono'!G:G,MATCH(B1126,'Base de données Mono'!D:D,0)),IF(AND(E1126="Gaz",M1126="Hiver"),INDEX('Base de données Mono'!J:J,MATCH(B1126,'Base de données Mono'!D:D,0)),IF(AND(E1126="Gaz",M1126="Mi-saison"),INDEX('Base de données Mono'!#REF!,MATCH(B1126,'Base de données Mono'!D:D,0)),IF(AND(E1126="Gaz",M1126="Eté"),INDEX('Base de données Mono'!#REF!,MATCH(B1126,'Base de données Mono'!D:D,0)),"-"))))))</f>
        <v>55</v>
      </c>
      <c r="O1126" s="123">
        <v>45399</v>
      </c>
      <c r="P1126" s="123">
        <v>45403</v>
      </c>
      <c r="Q1126" s="34">
        <v>60</v>
      </c>
      <c r="R1126" s="33">
        <f t="shared" si="183"/>
        <v>5</v>
      </c>
      <c r="S1126" s="34">
        <v>8.3000000000000007</v>
      </c>
      <c r="T1126" s="34">
        <f t="shared" si="184"/>
        <v>4</v>
      </c>
      <c r="U1126" s="33">
        <f t="shared" si="185"/>
        <v>166</v>
      </c>
      <c r="V1126" s="38" t="s">
        <v>827</v>
      </c>
      <c r="W1126" s="39">
        <f t="shared" si="186"/>
        <v>9.0909090909090912E-2</v>
      </c>
      <c r="X1126" s="40" t="s">
        <v>304</v>
      </c>
      <c r="Y1126" s="40" t="s">
        <v>284</v>
      </c>
      <c r="Z1126" s="40" t="s">
        <v>305</v>
      </c>
      <c r="AA1126" s="33" t="s">
        <v>771</v>
      </c>
      <c r="AB1126" s="95"/>
      <c r="AC1126" s="95"/>
    </row>
    <row r="1127" spans="1:29" ht="14.45" hidden="1" customHeight="1" x14ac:dyDescent="0.25">
      <c r="A1127" s="36" t="str">
        <f>INDEX('Base de données Mono'!C:C,MATCH(B1127,'Base de données Mono'!D:D,0))</f>
        <v>TOURS NATIONALE</v>
      </c>
      <c r="B1127" t="s">
        <v>37</v>
      </c>
      <c r="C1127" s="36" t="str">
        <f>INDEX('Base de données Mono'!B:B,MATCH(B1127,'Base de données Mono'!D:D,0))</f>
        <v>SES8</v>
      </c>
      <c r="D1127" s="36" t="str">
        <f>INDEX('Base de données Mono'!A:A,MATCH(B1127,'Base de données Mono'!D:D,0))</f>
        <v>AD</v>
      </c>
      <c r="E1127" s="37" t="s">
        <v>303</v>
      </c>
      <c r="F1127" s="41">
        <f t="shared" si="181"/>
        <v>16</v>
      </c>
      <c r="G1127" s="41">
        <f t="shared" si="182"/>
        <v>4</v>
      </c>
      <c r="I1127" s="131">
        <f>INDEX('Base de données Mono'!K:K,MATCH(B1127,'Base de données Mono'!D:D,0))</f>
        <v>0.22916666666666666</v>
      </c>
      <c r="J1127" s="131">
        <f>INDEX('Base de données Mono'!L:L,MATCH(B1127,'Base de données Mono'!D:D,0))</f>
        <v>0.88541666666666663</v>
      </c>
      <c r="K1127" s="131">
        <f>INDEX('Base de données Mono'!M:M,MATCH(B1127,'Base de données Mono'!D:D,0))</f>
        <v>0.31944444444444448</v>
      </c>
      <c r="L1127" s="131">
        <f>INDEX('Base de données Mono'!N:N,MATCH(B1127,'Base de données Mono'!D:D,0))</f>
        <v>0.55208333333333337</v>
      </c>
      <c r="M1127" s="33" t="s">
        <v>46</v>
      </c>
      <c r="N1127" s="33">
        <f>IF(AND(E1127="Electricité",M1127="Hiver"),INDEX('Base de données Mono'!E:E,MATCH(B1127,'Base de données Mono'!D:D,0)),IF(AND(E1127="Electricité",M1127="Mi-saison"),INDEX('Base de données Mono'!F:F,MATCH(B1127,'Base de données Mono'!D:D,0)),IF(AND(E1127="Electricité",M1127="Eté"),INDEX('Base de données Mono'!G:G,MATCH(B1127,'Base de données Mono'!D:D,0)),IF(AND(E1127="Gaz",M1127="Hiver"),INDEX('Base de données Mono'!J:J,MATCH(B1127,'Base de données Mono'!D:D,0)),IF(AND(E1127="Gaz",M1127="Mi-saison"),INDEX('Base de données Mono'!#REF!,MATCH(B1127,'Base de données Mono'!D:D,0)),IF(AND(E1127="Gaz",M1127="Eté"),INDEX('Base de données Mono'!#REF!,MATCH(B1127,'Base de données Mono'!D:D,0)),"-"))))))</f>
        <v>50</v>
      </c>
      <c r="O1127" s="123">
        <v>45396</v>
      </c>
      <c r="P1127" s="123">
        <v>45397</v>
      </c>
      <c r="Q1127" s="34">
        <v>60</v>
      </c>
      <c r="R1127" s="33">
        <f t="shared" si="183"/>
        <v>10</v>
      </c>
      <c r="S1127" s="34">
        <v>7.2</v>
      </c>
      <c r="T1127" s="34">
        <f t="shared" si="184"/>
        <v>1</v>
      </c>
      <c r="U1127" s="33">
        <f t="shared" si="185"/>
        <v>72</v>
      </c>
      <c r="V1127" s="38" t="s">
        <v>827</v>
      </c>
      <c r="W1127" s="39">
        <f t="shared" si="186"/>
        <v>0.2</v>
      </c>
      <c r="X1127" s="40" t="s">
        <v>304</v>
      </c>
      <c r="Y1127" s="40" t="s">
        <v>284</v>
      </c>
      <c r="Z1127" s="40" t="s">
        <v>305</v>
      </c>
      <c r="AA1127" s="33" t="s">
        <v>771</v>
      </c>
      <c r="AB1127" s="95"/>
      <c r="AC1127" s="95"/>
    </row>
    <row r="1128" spans="1:29" ht="14.45" hidden="1" customHeight="1" x14ac:dyDescent="0.25">
      <c r="A1128" s="36" t="str">
        <f>INDEX('Base de données Mono'!C:C,MATCH(B1128,'Base de données Mono'!D:D,0))</f>
        <v>TOURS NATIONALE</v>
      </c>
      <c r="B1128" t="s">
        <v>37</v>
      </c>
      <c r="C1128" s="36" t="str">
        <f>INDEX('Base de données Mono'!B:B,MATCH(B1128,'Base de données Mono'!D:D,0))</f>
        <v>SES8</v>
      </c>
      <c r="D1128" s="36" t="str">
        <f>INDEX('Base de données Mono'!A:A,MATCH(B1128,'Base de données Mono'!D:D,0))</f>
        <v>AD</v>
      </c>
      <c r="E1128" s="37" t="s">
        <v>303</v>
      </c>
      <c r="F1128" s="41">
        <f t="shared" si="181"/>
        <v>16</v>
      </c>
      <c r="G1128" s="41">
        <f t="shared" si="182"/>
        <v>4</v>
      </c>
      <c r="I1128" s="131">
        <f>INDEX('Base de données Mono'!K:K,MATCH(B1128,'Base de données Mono'!D:D,0))</f>
        <v>0.22916666666666666</v>
      </c>
      <c r="J1128" s="131">
        <f>INDEX('Base de données Mono'!L:L,MATCH(B1128,'Base de données Mono'!D:D,0))</f>
        <v>0.88541666666666663</v>
      </c>
      <c r="K1128" s="131">
        <f>INDEX('Base de données Mono'!M:M,MATCH(B1128,'Base de données Mono'!D:D,0))</f>
        <v>0.31944444444444448</v>
      </c>
      <c r="L1128" s="131">
        <f>INDEX('Base de données Mono'!N:N,MATCH(B1128,'Base de données Mono'!D:D,0))</f>
        <v>0.55208333333333337</v>
      </c>
      <c r="M1128" s="33" t="s">
        <v>46</v>
      </c>
      <c r="N1128" s="33">
        <f>IF(AND(E1128="Electricité",M1128="Hiver"),INDEX('Base de données Mono'!E:E,MATCH(B1128,'Base de données Mono'!D:D,0)),IF(AND(E1128="Electricité",M1128="Mi-saison"),INDEX('Base de données Mono'!F:F,MATCH(B1128,'Base de données Mono'!D:D,0)),IF(AND(E1128="Electricité",M1128="Eté"),INDEX('Base de données Mono'!G:G,MATCH(B1128,'Base de données Mono'!D:D,0)),IF(AND(E1128="Gaz",M1128="Hiver"),INDEX('Base de données Mono'!J:J,MATCH(B1128,'Base de données Mono'!D:D,0)),IF(AND(E1128="Gaz",M1128="Mi-saison"),INDEX('Base de données Mono'!#REF!,MATCH(B1128,'Base de données Mono'!D:D,0)),IF(AND(E1128="Gaz",M1128="Eté"),INDEX('Base de données Mono'!#REF!,MATCH(B1128,'Base de données Mono'!D:D,0)),"-"))))))</f>
        <v>50</v>
      </c>
      <c r="O1128" s="123">
        <v>45396</v>
      </c>
      <c r="P1128" s="123">
        <v>45402</v>
      </c>
      <c r="Q1128" s="34">
        <v>60</v>
      </c>
      <c r="R1128" s="33">
        <f t="shared" si="183"/>
        <v>10</v>
      </c>
      <c r="S1128" s="34">
        <v>6.2</v>
      </c>
      <c r="T1128" s="34">
        <f t="shared" si="184"/>
        <v>6</v>
      </c>
      <c r="U1128" s="33">
        <f t="shared" si="185"/>
        <v>372</v>
      </c>
      <c r="V1128" s="38" t="s">
        <v>827</v>
      </c>
      <c r="W1128" s="39">
        <f t="shared" si="186"/>
        <v>0.2</v>
      </c>
      <c r="X1128" s="40" t="s">
        <v>304</v>
      </c>
      <c r="Y1128" s="40" t="s">
        <v>284</v>
      </c>
      <c r="Z1128" s="40" t="s">
        <v>305</v>
      </c>
      <c r="AA1128" s="33" t="s">
        <v>771</v>
      </c>
      <c r="AB1128" s="95"/>
      <c r="AC1128" s="95"/>
    </row>
    <row r="1129" spans="1:29" ht="14.45" hidden="1" customHeight="1" x14ac:dyDescent="0.25">
      <c r="A1129" s="36" t="str">
        <f>INDEX('Base de données Mono'!C:C,MATCH(B1129,'Base de données Mono'!D:D,0))</f>
        <v>TOURS NATIONALE</v>
      </c>
      <c r="B1129" t="s">
        <v>37</v>
      </c>
      <c r="C1129" s="36" t="str">
        <f>INDEX('Base de données Mono'!B:B,MATCH(B1129,'Base de données Mono'!D:D,0))</f>
        <v>SES8</v>
      </c>
      <c r="D1129" s="36" t="str">
        <f>INDEX('Base de données Mono'!A:A,MATCH(B1129,'Base de données Mono'!D:D,0))</f>
        <v>AD</v>
      </c>
      <c r="E1129" s="37" t="s">
        <v>303</v>
      </c>
      <c r="F1129" s="41">
        <f t="shared" si="181"/>
        <v>16</v>
      </c>
      <c r="G1129" s="41">
        <f t="shared" si="182"/>
        <v>4</v>
      </c>
      <c r="I1129" s="131">
        <f>INDEX('Base de données Mono'!K:K,MATCH(B1129,'Base de données Mono'!D:D,0))</f>
        <v>0.22916666666666666</v>
      </c>
      <c r="J1129" s="131">
        <f>INDEX('Base de données Mono'!L:L,MATCH(B1129,'Base de données Mono'!D:D,0))</f>
        <v>0.88541666666666663</v>
      </c>
      <c r="K1129" s="131">
        <f>INDEX('Base de données Mono'!M:M,MATCH(B1129,'Base de données Mono'!D:D,0))</f>
        <v>0.31944444444444448</v>
      </c>
      <c r="L1129" s="131">
        <f>INDEX('Base de données Mono'!N:N,MATCH(B1129,'Base de données Mono'!D:D,0))</f>
        <v>0.55208333333333337</v>
      </c>
      <c r="M1129" s="33" t="s">
        <v>46</v>
      </c>
      <c r="N1129" s="33">
        <f>IF(AND(E1129="Electricité",M1129="Hiver"),INDEX('Base de données Mono'!E:E,MATCH(B1129,'Base de données Mono'!D:D,0)),IF(AND(E1129="Electricité",M1129="Mi-saison"),INDEX('Base de données Mono'!F:F,MATCH(B1129,'Base de données Mono'!D:D,0)),IF(AND(E1129="Electricité",M1129="Eté"),INDEX('Base de données Mono'!G:G,MATCH(B1129,'Base de données Mono'!D:D,0)),IF(AND(E1129="Gaz",M1129="Hiver"),INDEX('Base de données Mono'!J:J,MATCH(B1129,'Base de données Mono'!D:D,0)),IF(AND(E1129="Gaz",M1129="Mi-saison"),INDEX('Base de données Mono'!#REF!,MATCH(B1129,'Base de données Mono'!D:D,0)),IF(AND(E1129="Gaz",M1129="Eté"),INDEX('Base de données Mono'!#REF!,MATCH(B1129,'Base de données Mono'!D:D,0)),"-"))))))</f>
        <v>50</v>
      </c>
      <c r="O1129" s="123">
        <v>45396</v>
      </c>
      <c r="P1129" s="123">
        <v>45402</v>
      </c>
      <c r="Q1129" s="34">
        <v>80</v>
      </c>
      <c r="R1129" s="33">
        <f t="shared" si="183"/>
        <v>30</v>
      </c>
      <c r="S1129" s="34">
        <v>1</v>
      </c>
      <c r="T1129" s="34">
        <f t="shared" si="184"/>
        <v>6</v>
      </c>
      <c r="U1129" s="33">
        <f t="shared" si="185"/>
        <v>180</v>
      </c>
      <c r="V1129" s="38" t="s">
        <v>827</v>
      </c>
      <c r="W1129" s="39">
        <f t="shared" si="186"/>
        <v>0.6</v>
      </c>
      <c r="X1129" s="40" t="s">
        <v>304</v>
      </c>
      <c r="Y1129" s="40" t="s">
        <v>284</v>
      </c>
      <c r="Z1129" s="40" t="s">
        <v>305</v>
      </c>
      <c r="AA1129" s="33" t="s">
        <v>771</v>
      </c>
      <c r="AB1129" s="95"/>
      <c r="AC1129" s="95"/>
    </row>
    <row r="1130" spans="1:29" ht="14.45" hidden="1" customHeight="1" x14ac:dyDescent="0.25">
      <c r="A1130" s="36" t="str">
        <f>INDEX('Base de données Mono'!C:C,MATCH(B1130,'Base de données Mono'!D:D,0))</f>
        <v>TOURS NATIONALE</v>
      </c>
      <c r="B1130" t="s">
        <v>37</v>
      </c>
      <c r="C1130" s="36" t="str">
        <f>INDEX('Base de données Mono'!B:B,MATCH(B1130,'Base de données Mono'!D:D,0))</f>
        <v>SES8</v>
      </c>
      <c r="D1130" s="36" t="str">
        <f>INDEX('Base de données Mono'!A:A,MATCH(B1130,'Base de données Mono'!D:D,0))</f>
        <v>AD</v>
      </c>
      <c r="E1130" s="37" t="s">
        <v>303</v>
      </c>
      <c r="F1130" s="41">
        <f t="shared" si="181"/>
        <v>16</v>
      </c>
      <c r="G1130" s="41">
        <f t="shared" si="182"/>
        <v>4</v>
      </c>
      <c r="I1130" s="131">
        <f>INDEX('Base de données Mono'!K:K,MATCH(B1130,'Base de données Mono'!D:D,0))</f>
        <v>0.22916666666666666</v>
      </c>
      <c r="J1130" s="131">
        <f>INDEX('Base de données Mono'!L:L,MATCH(B1130,'Base de données Mono'!D:D,0))</f>
        <v>0.88541666666666663</v>
      </c>
      <c r="K1130" s="131">
        <f>INDEX('Base de données Mono'!M:M,MATCH(B1130,'Base de données Mono'!D:D,0))</f>
        <v>0.31944444444444448</v>
      </c>
      <c r="L1130" s="131">
        <f>INDEX('Base de données Mono'!N:N,MATCH(B1130,'Base de données Mono'!D:D,0))</f>
        <v>0.55208333333333337</v>
      </c>
      <c r="M1130" s="33" t="s">
        <v>46</v>
      </c>
      <c r="N1130" s="33">
        <f>IF(AND(E1130="Electricité",M1130="Hiver"),INDEX('Base de données Mono'!E:E,MATCH(B1130,'Base de données Mono'!D:D,0)),IF(AND(E1130="Electricité",M1130="Mi-saison"),INDEX('Base de données Mono'!F:F,MATCH(B1130,'Base de données Mono'!D:D,0)),IF(AND(E1130="Electricité",M1130="Eté"),INDEX('Base de données Mono'!G:G,MATCH(B1130,'Base de données Mono'!D:D,0)),IF(AND(E1130="Gaz",M1130="Hiver"),INDEX('Base de données Mono'!J:J,MATCH(B1130,'Base de données Mono'!D:D,0)),IF(AND(E1130="Gaz",M1130="Mi-saison"),INDEX('Base de données Mono'!#REF!,MATCH(B1130,'Base de données Mono'!D:D,0)),IF(AND(E1130="Gaz",M1130="Eté"),INDEX('Base de données Mono'!#REF!,MATCH(B1130,'Base de données Mono'!D:D,0)),"-"))))))</f>
        <v>50</v>
      </c>
      <c r="O1130" s="123">
        <v>45402</v>
      </c>
      <c r="P1130" s="123">
        <v>45403</v>
      </c>
      <c r="Q1130" s="34">
        <v>65</v>
      </c>
      <c r="R1130" s="33">
        <f t="shared" si="183"/>
        <v>15</v>
      </c>
      <c r="S1130" s="34">
        <v>9</v>
      </c>
      <c r="T1130" s="34">
        <f t="shared" si="184"/>
        <v>1</v>
      </c>
      <c r="U1130" s="33">
        <f t="shared" si="185"/>
        <v>135</v>
      </c>
      <c r="V1130" s="38" t="s">
        <v>827</v>
      </c>
      <c r="W1130" s="39">
        <f t="shared" si="186"/>
        <v>0.3</v>
      </c>
      <c r="X1130" s="40" t="s">
        <v>304</v>
      </c>
      <c r="Y1130" s="40" t="s">
        <v>284</v>
      </c>
      <c r="Z1130" s="40" t="s">
        <v>305</v>
      </c>
      <c r="AA1130" s="33" t="s">
        <v>771</v>
      </c>
      <c r="AB1130" s="95"/>
      <c r="AC1130" s="95"/>
    </row>
    <row r="1131" spans="1:29" ht="14.45" hidden="1" customHeight="1" x14ac:dyDescent="0.25">
      <c r="A1131" s="36" t="str">
        <f>INDEX('Base de données Mono'!C:C,MATCH(B1131,'Base de données Mono'!D:D,0))</f>
        <v>ISSY GAMBETTA</v>
      </c>
      <c r="B1131" t="s">
        <v>17</v>
      </c>
      <c r="C1131" s="36" t="str">
        <f>INDEX('Base de données Mono'!B:B,MATCH(B1131,'Base de données Mono'!D:D,0))</f>
        <v>SES8</v>
      </c>
      <c r="D1131" s="36" t="str">
        <f>INDEX('Base de données Mono'!A:A,MATCH(B1131,'Base de données Mono'!D:D,0))</f>
        <v>AD</v>
      </c>
      <c r="E1131" s="37" t="s">
        <v>303</v>
      </c>
      <c r="F1131" s="41">
        <f t="shared" si="181"/>
        <v>16</v>
      </c>
      <c r="G1131" s="41">
        <f t="shared" si="182"/>
        <v>4</v>
      </c>
      <c r="I1131" s="131">
        <f>INDEX('Base de données Mono'!K:K,MATCH(B1131,'Base de données Mono'!D:D,0))</f>
        <v>0.25</v>
      </c>
      <c r="J1131" s="131">
        <f>INDEX('Base de données Mono'!L:L,MATCH(B1131,'Base de données Mono'!D:D,0))</f>
        <v>0.90625</v>
      </c>
      <c r="K1131" s="131">
        <f>INDEX('Base de données Mono'!M:M,MATCH(B1131,'Base de données Mono'!D:D,0))</f>
        <v>0.3263888888888889</v>
      </c>
      <c r="L1131" s="131">
        <f>INDEX('Base de données Mono'!N:N,MATCH(B1131,'Base de données Mono'!D:D,0))</f>
        <v>0.54166666666666663</v>
      </c>
      <c r="M1131" s="33" t="s">
        <v>46</v>
      </c>
      <c r="N1131" s="33">
        <f>IF(AND(E1131="Electricité",M1131="Hiver"),INDEX('Base de données Mono'!E:E,MATCH(B1131,'Base de données Mono'!D:D,0)),IF(AND(E1131="Electricité",M1131="Mi-saison"),INDEX('Base de données Mono'!F:F,MATCH(B1131,'Base de données Mono'!D:D,0)),IF(AND(E1131="Electricité",M1131="Eté"),INDEX('Base de données Mono'!G:G,MATCH(B1131,'Base de données Mono'!D:D,0)),IF(AND(E1131="Gaz",M1131="Hiver"),INDEX('Base de données Mono'!J:J,MATCH(B1131,'Base de données Mono'!D:D,0)),IF(AND(E1131="Gaz",M1131="Mi-saison"),INDEX('Base de données Mono'!#REF!,MATCH(B1131,'Base de données Mono'!D:D,0)),IF(AND(E1131="Gaz",M1131="Eté"),INDEX('Base de données Mono'!#REF!,MATCH(B1131,'Base de données Mono'!D:D,0)),"-"))))))</f>
        <v>35</v>
      </c>
      <c r="O1131" s="123">
        <v>45400</v>
      </c>
      <c r="P1131" s="123">
        <v>45403</v>
      </c>
      <c r="Q1131" s="34">
        <v>40</v>
      </c>
      <c r="R1131" s="33">
        <f t="shared" si="183"/>
        <v>5</v>
      </c>
      <c r="S1131" s="34">
        <v>7</v>
      </c>
      <c r="T1131" s="34">
        <f t="shared" si="184"/>
        <v>3</v>
      </c>
      <c r="U1131" s="33">
        <f t="shared" si="185"/>
        <v>105</v>
      </c>
      <c r="V1131" s="38" t="s">
        <v>827</v>
      </c>
      <c r="W1131" s="39">
        <f t="shared" si="186"/>
        <v>0.14285714285714285</v>
      </c>
      <c r="X1131" s="40" t="s">
        <v>304</v>
      </c>
      <c r="Y1131" s="40" t="s">
        <v>284</v>
      </c>
      <c r="Z1131" s="40" t="s">
        <v>305</v>
      </c>
      <c r="AA1131" s="33" t="s">
        <v>771</v>
      </c>
      <c r="AB1131" s="95"/>
      <c r="AC1131" s="95"/>
    </row>
    <row r="1132" spans="1:29" ht="14.45" hidden="1" customHeight="1" x14ac:dyDescent="0.25">
      <c r="A1132" s="36" t="str">
        <f>INDEX('Base de données Mono'!C:C,MATCH(B1132,'Base de données Mono'!D:D,0))</f>
        <v>ANGERS LES HALLES</v>
      </c>
      <c r="B1132" t="s">
        <v>4</v>
      </c>
      <c r="C1132" s="36" t="str">
        <f>INDEX('Base de données Mono'!B:B,MATCH(B1132,'Base de données Mono'!D:D,0))</f>
        <v>SES8</v>
      </c>
      <c r="D1132" s="36" t="str">
        <f>INDEX('Base de données Mono'!A:A,MATCH(B1132,'Base de données Mono'!D:D,0))</f>
        <v>AD</v>
      </c>
      <c r="E1132" s="37" t="s">
        <v>303</v>
      </c>
      <c r="F1132" s="41">
        <f t="shared" si="181"/>
        <v>16</v>
      </c>
      <c r="G1132" s="41">
        <f t="shared" si="182"/>
        <v>4</v>
      </c>
      <c r="I1132" s="131">
        <f>INDEX('Base de données Mono'!K:K,MATCH(B1132,'Base de données Mono'!D:D,0))</f>
        <v>0.20833333333333334</v>
      </c>
      <c r="J1132" s="131">
        <f>INDEX('Base de données Mono'!L:L,MATCH(B1132,'Base de données Mono'!D:D,0))</f>
        <v>0.875</v>
      </c>
      <c r="K1132" s="131" t="str">
        <f>INDEX('Base de données Mono'!M:M,MATCH(B1132,'Base de données Mono'!D:D,0))</f>
        <v>-</v>
      </c>
      <c r="L1132" s="131" t="str">
        <f>INDEX('Base de données Mono'!N:N,MATCH(B1132,'Base de données Mono'!D:D,0))</f>
        <v>-</v>
      </c>
      <c r="M1132" s="33" t="s">
        <v>46</v>
      </c>
      <c r="N1132" s="33">
        <f>IF(AND(E1132="Electricité",M1132="Hiver"),INDEX('Base de données Mono'!E:E,MATCH(B1132,'Base de données Mono'!D:D,0)),IF(AND(E1132="Electricité",M1132="Mi-saison"),INDEX('Base de données Mono'!F:F,MATCH(B1132,'Base de données Mono'!D:D,0)),IF(AND(E1132="Electricité",M1132="Eté"),INDEX('Base de données Mono'!G:G,MATCH(B1132,'Base de données Mono'!D:D,0)),IF(AND(E1132="Gaz",M1132="Hiver"),INDEX('Base de données Mono'!J:J,MATCH(B1132,'Base de données Mono'!D:D,0)),IF(AND(E1132="Gaz",M1132="Mi-saison"),INDEX('Base de données Mono'!#REF!,MATCH(B1132,'Base de données Mono'!D:D,0)),IF(AND(E1132="Gaz",M1132="Eté"),INDEX('Base de données Mono'!#REF!,MATCH(B1132,'Base de données Mono'!D:D,0)),"-"))))))</f>
        <v>60</v>
      </c>
      <c r="O1132" s="123">
        <v>45396</v>
      </c>
      <c r="P1132" s="123">
        <v>45397</v>
      </c>
      <c r="Q1132" s="34">
        <v>70</v>
      </c>
      <c r="R1132" s="33">
        <f t="shared" si="183"/>
        <v>10</v>
      </c>
      <c r="S1132" s="34">
        <v>8</v>
      </c>
      <c r="T1132" s="34">
        <f t="shared" si="184"/>
        <v>1</v>
      </c>
      <c r="U1132" s="33">
        <f t="shared" si="185"/>
        <v>80</v>
      </c>
      <c r="V1132" s="38" t="s">
        <v>827</v>
      </c>
      <c r="W1132" s="39">
        <f t="shared" si="186"/>
        <v>0.16666666666666666</v>
      </c>
      <c r="X1132" s="40" t="s">
        <v>304</v>
      </c>
      <c r="Y1132" s="40" t="s">
        <v>284</v>
      </c>
      <c r="Z1132" s="40" t="s">
        <v>305</v>
      </c>
      <c r="AA1132" s="33" t="s">
        <v>771</v>
      </c>
      <c r="AB1132" s="95"/>
      <c r="AC1132" s="95"/>
    </row>
    <row r="1133" spans="1:29" ht="14.45" hidden="1" customHeight="1" x14ac:dyDescent="0.25">
      <c r="A1133" s="36" t="str">
        <f>INDEX('Base de données Mono'!C:C,MATCH(B1133,'Base de données Mono'!D:D,0))</f>
        <v>ANGERS LES HALLES</v>
      </c>
      <c r="B1133" t="s">
        <v>4</v>
      </c>
      <c r="C1133" s="36" t="str">
        <f>INDEX('Base de données Mono'!B:B,MATCH(B1133,'Base de données Mono'!D:D,0))</f>
        <v>SES8</v>
      </c>
      <c r="D1133" s="36" t="str">
        <f>INDEX('Base de données Mono'!A:A,MATCH(B1133,'Base de données Mono'!D:D,0))</f>
        <v>AD</v>
      </c>
      <c r="E1133" s="37" t="s">
        <v>303</v>
      </c>
      <c r="F1133" s="41">
        <f t="shared" si="181"/>
        <v>16</v>
      </c>
      <c r="G1133" s="41">
        <f t="shared" si="182"/>
        <v>4</v>
      </c>
      <c r="I1133" s="131">
        <f>INDEX('Base de données Mono'!K:K,MATCH(B1133,'Base de données Mono'!D:D,0))</f>
        <v>0.20833333333333334</v>
      </c>
      <c r="J1133" s="131">
        <f>INDEX('Base de données Mono'!L:L,MATCH(B1133,'Base de données Mono'!D:D,0))</f>
        <v>0.875</v>
      </c>
      <c r="K1133" s="131" t="str">
        <f>INDEX('Base de données Mono'!M:M,MATCH(B1133,'Base de données Mono'!D:D,0))</f>
        <v>-</v>
      </c>
      <c r="L1133" s="131" t="str">
        <f>INDEX('Base de données Mono'!N:N,MATCH(B1133,'Base de données Mono'!D:D,0))</f>
        <v>-</v>
      </c>
      <c r="M1133" s="33" t="s">
        <v>46</v>
      </c>
      <c r="N1133" s="33">
        <f>IF(AND(E1133="Electricité",M1133="Hiver"),INDEX('Base de données Mono'!E:E,MATCH(B1133,'Base de données Mono'!D:D,0)),IF(AND(E1133="Electricité",M1133="Mi-saison"),INDEX('Base de données Mono'!F:F,MATCH(B1133,'Base de données Mono'!D:D,0)),IF(AND(E1133="Electricité",M1133="Eté"),INDEX('Base de données Mono'!G:G,MATCH(B1133,'Base de données Mono'!D:D,0)),IF(AND(E1133="Gaz",M1133="Hiver"),INDEX('Base de données Mono'!J:J,MATCH(B1133,'Base de données Mono'!D:D,0)),IF(AND(E1133="Gaz",M1133="Mi-saison"),INDEX('Base de données Mono'!#REF!,MATCH(B1133,'Base de données Mono'!D:D,0)),IF(AND(E1133="Gaz",M1133="Eté"),INDEX('Base de données Mono'!#REF!,MATCH(B1133,'Base de données Mono'!D:D,0)),"-"))))))</f>
        <v>60</v>
      </c>
      <c r="O1133" s="123">
        <v>45397</v>
      </c>
      <c r="P1133" s="123">
        <v>45402</v>
      </c>
      <c r="Q1133" s="34">
        <v>85</v>
      </c>
      <c r="R1133" s="33">
        <f t="shared" si="183"/>
        <v>25</v>
      </c>
      <c r="S1133" s="34">
        <v>0.3</v>
      </c>
      <c r="T1133" s="34">
        <f t="shared" si="184"/>
        <v>5</v>
      </c>
      <c r="U1133" s="33">
        <f t="shared" si="185"/>
        <v>37.5</v>
      </c>
      <c r="V1133" s="38" t="s">
        <v>827</v>
      </c>
      <c r="W1133" s="39">
        <f t="shared" si="186"/>
        <v>0.41666666666666669</v>
      </c>
      <c r="X1133" s="40" t="s">
        <v>304</v>
      </c>
      <c r="Y1133" s="40" t="s">
        <v>284</v>
      </c>
      <c r="Z1133" s="40" t="s">
        <v>307</v>
      </c>
      <c r="AA1133" s="33" t="s">
        <v>313</v>
      </c>
      <c r="AB1133" s="95"/>
      <c r="AC1133" s="95"/>
    </row>
    <row r="1134" spans="1:29" ht="14.45" hidden="1" customHeight="1" x14ac:dyDescent="0.25">
      <c r="A1134" s="36" t="str">
        <f>INDEX('Base de données Mono'!C:C,MATCH(B1134,'Base de données Mono'!D:D,0))</f>
        <v>ANGERS LES HALLES</v>
      </c>
      <c r="B1134" t="s">
        <v>4</v>
      </c>
      <c r="C1134" s="36" t="str">
        <f>INDEX('Base de données Mono'!B:B,MATCH(B1134,'Base de données Mono'!D:D,0))</f>
        <v>SES8</v>
      </c>
      <c r="D1134" s="36" t="str">
        <f>INDEX('Base de données Mono'!A:A,MATCH(B1134,'Base de données Mono'!D:D,0))</f>
        <v>AD</v>
      </c>
      <c r="E1134" s="37" t="s">
        <v>303</v>
      </c>
      <c r="F1134" s="41">
        <f t="shared" si="181"/>
        <v>16</v>
      </c>
      <c r="G1134" s="41">
        <f t="shared" si="182"/>
        <v>4</v>
      </c>
      <c r="I1134" s="131">
        <f>INDEX('Base de données Mono'!K:K,MATCH(B1134,'Base de données Mono'!D:D,0))</f>
        <v>0.20833333333333334</v>
      </c>
      <c r="J1134" s="131">
        <f>INDEX('Base de données Mono'!L:L,MATCH(B1134,'Base de données Mono'!D:D,0))</f>
        <v>0.875</v>
      </c>
      <c r="K1134" s="131" t="str">
        <f>INDEX('Base de données Mono'!M:M,MATCH(B1134,'Base de données Mono'!D:D,0))</f>
        <v>-</v>
      </c>
      <c r="L1134" s="131" t="str">
        <f>INDEX('Base de données Mono'!N:N,MATCH(B1134,'Base de données Mono'!D:D,0))</f>
        <v>-</v>
      </c>
      <c r="M1134" s="33" t="s">
        <v>46</v>
      </c>
      <c r="N1134" s="33">
        <f>IF(AND(E1134="Electricité",M1134="Hiver"),INDEX('Base de données Mono'!E:E,MATCH(B1134,'Base de données Mono'!D:D,0)),IF(AND(E1134="Electricité",M1134="Mi-saison"),INDEX('Base de données Mono'!F:F,MATCH(B1134,'Base de données Mono'!D:D,0)),IF(AND(E1134="Electricité",M1134="Eté"),INDEX('Base de données Mono'!G:G,MATCH(B1134,'Base de données Mono'!D:D,0)),IF(AND(E1134="Gaz",M1134="Hiver"),INDEX('Base de données Mono'!J:J,MATCH(B1134,'Base de données Mono'!D:D,0)),IF(AND(E1134="Gaz",M1134="Mi-saison"),INDEX('Base de données Mono'!#REF!,MATCH(B1134,'Base de données Mono'!D:D,0)),IF(AND(E1134="Gaz",M1134="Eté"),INDEX('Base de données Mono'!#REF!,MATCH(B1134,'Base de données Mono'!D:D,0)),"-"))))))</f>
        <v>60</v>
      </c>
      <c r="O1134" s="123">
        <v>45397</v>
      </c>
      <c r="P1134" s="123">
        <v>45402</v>
      </c>
      <c r="Q1134" s="34">
        <v>70</v>
      </c>
      <c r="R1134" s="33">
        <f t="shared" si="183"/>
        <v>10</v>
      </c>
      <c r="S1134" s="34">
        <v>7.7</v>
      </c>
      <c r="T1134" s="34">
        <f t="shared" si="184"/>
        <v>5</v>
      </c>
      <c r="U1134" s="33">
        <f t="shared" si="185"/>
        <v>385</v>
      </c>
      <c r="V1134" s="38" t="s">
        <v>827</v>
      </c>
      <c r="W1134" s="39">
        <f t="shared" si="186"/>
        <v>0.16666666666666666</v>
      </c>
      <c r="X1134" s="40" t="s">
        <v>304</v>
      </c>
      <c r="Y1134" s="40" t="s">
        <v>284</v>
      </c>
      <c r="Z1134" s="40" t="s">
        <v>305</v>
      </c>
      <c r="AA1134" s="33" t="s">
        <v>771</v>
      </c>
      <c r="AB1134" s="95"/>
      <c r="AC1134" s="95"/>
    </row>
    <row r="1135" spans="1:29" ht="14.45" hidden="1" customHeight="1" x14ac:dyDescent="0.25">
      <c r="A1135" s="36" t="str">
        <f>INDEX('Base de données Mono'!C:C,MATCH(B1135,'Base de données Mono'!D:D,0))</f>
        <v>ANGERS LES HALLES</v>
      </c>
      <c r="B1135" t="s">
        <v>4</v>
      </c>
      <c r="C1135" s="36" t="str">
        <f>INDEX('Base de données Mono'!B:B,MATCH(B1135,'Base de données Mono'!D:D,0))</f>
        <v>SES8</v>
      </c>
      <c r="D1135" s="36" t="str">
        <f>INDEX('Base de données Mono'!A:A,MATCH(B1135,'Base de données Mono'!D:D,0))</f>
        <v>AD</v>
      </c>
      <c r="E1135" s="37" t="s">
        <v>303</v>
      </c>
      <c r="F1135" s="41">
        <f t="shared" si="181"/>
        <v>16</v>
      </c>
      <c r="G1135" s="41">
        <f t="shared" si="182"/>
        <v>4</v>
      </c>
      <c r="I1135" s="131">
        <f>INDEX('Base de données Mono'!K:K,MATCH(B1135,'Base de données Mono'!D:D,0))</f>
        <v>0.20833333333333334</v>
      </c>
      <c r="J1135" s="131">
        <f>INDEX('Base de données Mono'!L:L,MATCH(B1135,'Base de données Mono'!D:D,0))</f>
        <v>0.875</v>
      </c>
      <c r="K1135" s="131" t="str">
        <f>INDEX('Base de données Mono'!M:M,MATCH(B1135,'Base de données Mono'!D:D,0))</f>
        <v>-</v>
      </c>
      <c r="L1135" s="131" t="str">
        <f>INDEX('Base de données Mono'!N:N,MATCH(B1135,'Base de données Mono'!D:D,0))</f>
        <v>-</v>
      </c>
      <c r="M1135" s="33" t="s">
        <v>46</v>
      </c>
      <c r="N1135" s="33">
        <f>IF(AND(E1135="Electricité",M1135="Hiver"),INDEX('Base de données Mono'!E:E,MATCH(B1135,'Base de données Mono'!D:D,0)),IF(AND(E1135="Electricité",M1135="Mi-saison"),INDEX('Base de données Mono'!F:F,MATCH(B1135,'Base de données Mono'!D:D,0)),IF(AND(E1135="Electricité",M1135="Eté"),INDEX('Base de données Mono'!G:G,MATCH(B1135,'Base de données Mono'!D:D,0)),IF(AND(E1135="Gaz",M1135="Hiver"),INDEX('Base de données Mono'!J:J,MATCH(B1135,'Base de données Mono'!D:D,0)),IF(AND(E1135="Gaz",M1135="Mi-saison"),INDEX('Base de données Mono'!#REF!,MATCH(B1135,'Base de données Mono'!D:D,0)),IF(AND(E1135="Gaz",M1135="Eté"),INDEX('Base de données Mono'!#REF!,MATCH(B1135,'Base de données Mono'!D:D,0)),"-"))))))</f>
        <v>60</v>
      </c>
      <c r="O1135" s="123">
        <v>45402</v>
      </c>
      <c r="P1135" s="123">
        <v>45403</v>
      </c>
      <c r="Q1135" s="34">
        <v>70</v>
      </c>
      <c r="R1135" s="33">
        <f t="shared" si="183"/>
        <v>10</v>
      </c>
      <c r="S1135" s="34">
        <v>8</v>
      </c>
      <c r="T1135" s="34">
        <f t="shared" si="184"/>
        <v>1</v>
      </c>
      <c r="U1135" s="33">
        <f t="shared" si="185"/>
        <v>80</v>
      </c>
      <c r="V1135" s="38" t="s">
        <v>827</v>
      </c>
      <c r="W1135" s="39">
        <f t="shared" si="186"/>
        <v>0.16666666666666666</v>
      </c>
      <c r="X1135" s="40" t="s">
        <v>304</v>
      </c>
      <c r="Y1135" s="40" t="s">
        <v>284</v>
      </c>
      <c r="Z1135" s="40" t="s">
        <v>305</v>
      </c>
      <c r="AA1135" s="33" t="s">
        <v>771</v>
      </c>
      <c r="AB1135" s="95"/>
      <c r="AC1135" s="95"/>
    </row>
    <row r="1136" spans="1:29" ht="14.45" hidden="1" customHeight="1" x14ac:dyDescent="0.25">
      <c r="A1136" s="36" t="str">
        <f>INDEX('Base de données Mono'!C:C,MATCH(B1136,'Base de données Mono'!D:D,0))</f>
        <v>NANCY ST SEBASTIEN</v>
      </c>
      <c r="B1136" t="s">
        <v>186</v>
      </c>
      <c r="C1136" s="36" t="str">
        <f>INDEX('Base de données Mono'!B:B,MATCH(B1136,'Base de données Mono'!D:D,0))</f>
        <v>SES8</v>
      </c>
      <c r="D1136" s="36" t="str">
        <f>INDEX('Base de données Mono'!A:A,MATCH(B1136,'Base de données Mono'!D:D,0))</f>
        <v>JG</v>
      </c>
      <c r="E1136" s="37" t="s">
        <v>303</v>
      </c>
      <c r="F1136" s="41">
        <f t="shared" si="181"/>
        <v>16</v>
      </c>
      <c r="G1136" s="41">
        <f t="shared" si="182"/>
        <v>4</v>
      </c>
      <c r="I1136" s="131">
        <f>INDEX('Base de données Mono'!K:K,MATCH(B1136,'Base de données Mono'!D:D,0))</f>
        <v>0.23611111111111113</v>
      </c>
      <c r="J1136" s="131">
        <f>INDEX('Base de données Mono'!L:L,MATCH(B1136,'Base de données Mono'!D:D,0))</f>
        <v>0.86458333333333337</v>
      </c>
      <c r="K1136" s="131" t="str">
        <f>INDEX('Base de données Mono'!M:M,MATCH(B1136,'Base de données Mono'!D:D,0))</f>
        <v>-</v>
      </c>
      <c r="L1136" s="131" t="str">
        <f>INDEX('Base de données Mono'!N:N,MATCH(B1136,'Base de données Mono'!D:D,0))</f>
        <v>-</v>
      </c>
      <c r="M1136" s="33" t="s">
        <v>46</v>
      </c>
      <c r="N1136" s="33">
        <f>IF(AND(E1136="Electricité",M1136="Hiver"),INDEX('Base de données Mono'!E:E,MATCH(B1136,'Base de données Mono'!D:D,0)),IF(AND(E1136="Electricité",M1136="Mi-saison"),INDEX('Base de données Mono'!F:F,MATCH(B1136,'Base de données Mono'!D:D,0)),IF(AND(E1136="Electricité",M1136="Eté"),INDEX('Base de données Mono'!G:G,MATCH(B1136,'Base de données Mono'!D:D,0)),IF(AND(E1136="Gaz",M1136="Hiver"),INDEX('Base de données Mono'!J:J,MATCH(B1136,'Base de données Mono'!D:D,0)),IF(AND(E1136="Gaz",M1136="Mi-saison"),INDEX('Base de données Mono'!#REF!,MATCH(B1136,'Base de données Mono'!D:D,0)),IF(AND(E1136="Gaz",M1136="Eté"),INDEX('Base de données Mono'!#REF!,MATCH(B1136,'Base de données Mono'!D:D,0)),"-"))))))</f>
        <v>85</v>
      </c>
      <c r="O1136" s="123">
        <v>45396</v>
      </c>
      <c r="P1136" s="123">
        <v>45401</v>
      </c>
      <c r="Q1136" s="34">
        <v>95</v>
      </c>
      <c r="R1136" s="33">
        <f t="shared" si="183"/>
        <v>10</v>
      </c>
      <c r="S1136" s="34">
        <v>7.6</v>
      </c>
      <c r="T1136" s="34">
        <f t="shared" si="184"/>
        <v>5</v>
      </c>
      <c r="U1136" s="33">
        <f t="shared" si="185"/>
        <v>380</v>
      </c>
      <c r="V1136" s="38" t="s">
        <v>827</v>
      </c>
      <c r="W1136" s="39">
        <f t="shared" si="186"/>
        <v>0.11764705882352941</v>
      </c>
      <c r="X1136" s="40" t="s">
        <v>304</v>
      </c>
      <c r="Y1136" s="40" t="s">
        <v>284</v>
      </c>
      <c r="Z1136" s="40" t="s">
        <v>305</v>
      </c>
      <c r="AA1136" s="33" t="s">
        <v>771</v>
      </c>
      <c r="AB1136" s="95"/>
      <c r="AC1136" s="95"/>
    </row>
    <row r="1137" spans="1:29" ht="14.45" hidden="1" customHeight="1" x14ac:dyDescent="0.25">
      <c r="A1137" s="36" t="str">
        <f>INDEX('Base de données Mono'!C:C,MATCH(B1137,'Base de données Mono'!D:D,0))</f>
        <v>NANCY ST SEBASTIEN</v>
      </c>
      <c r="B1137" t="s">
        <v>186</v>
      </c>
      <c r="C1137" s="36" t="str">
        <f>INDEX('Base de données Mono'!B:B,MATCH(B1137,'Base de données Mono'!D:D,0))</f>
        <v>SES8</v>
      </c>
      <c r="D1137" s="36" t="str">
        <f>INDEX('Base de données Mono'!A:A,MATCH(B1137,'Base de données Mono'!D:D,0))</f>
        <v>JG</v>
      </c>
      <c r="E1137" s="37" t="s">
        <v>303</v>
      </c>
      <c r="F1137" s="41">
        <f t="shared" si="181"/>
        <v>16</v>
      </c>
      <c r="G1137" s="41">
        <f t="shared" si="182"/>
        <v>4</v>
      </c>
      <c r="I1137" s="131">
        <f>INDEX('Base de données Mono'!K:K,MATCH(B1137,'Base de données Mono'!D:D,0))</f>
        <v>0.23611111111111113</v>
      </c>
      <c r="J1137" s="131">
        <f>INDEX('Base de données Mono'!L:L,MATCH(B1137,'Base de données Mono'!D:D,0))</f>
        <v>0.86458333333333337</v>
      </c>
      <c r="K1137" s="131" t="str">
        <f>INDEX('Base de données Mono'!M:M,MATCH(B1137,'Base de données Mono'!D:D,0))</f>
        <v>-</v>
      </c>
      <c r="L1137" s="131" t="str">
        <f>INDEX('Base de données Mono'!N:N,MATCH(B1137,'Base de données Mono'!D:D,0))</f>
        <v>-</v>
      </c>
      <c r="M1137" s="33" t="s">
        <v>46</v>
      </c>
      <c r="N1137" s="33">
        <f>IF(AND(E1137="Electricité",M1137="Hiver"),INDEX('Base de données Mono'!E:E,MATCH(B1137,'Base de données Mono'!D:D,0)),IF(AND(E1137="Electricité",M1137="Mi-saison"),INDEX('Base de données Mono'!F:F,MATCH(B1137,'Base de données Mono'!D:D,0)),IF(AND(E1137="Electricité",M1137="Eté"),INDEX('Base de données Mono'!G:G,MATCH(B1137,'Base de données Mono'!D:D,0)),IF(AND(E1137="Gaz",M1137="Hiver"),INDEX('Base de données Mono'!J:J,MATCH(B1137,'Base de données Mono'!D:D,0)),IF(AND(E1137="Gaz",M1137="Mi-saison"),INDEX('Base de données Mono'!#REF!,MATCH(B1137,'Base de données Mono'!D:D,0)),IF(AND(E1137="Gaz",M1137="Eté"),INDEX('Base de données Mono'!#REF!,MATCH(B1137,'Base de données Mono'!D:D,0)),"-"))))))</f>
        <v>85</v>
      </c>
      <c r="O1137" s="123">
        <v>45396</v>
      </c>
      <c r="P1137" s="123">
        <v>45401</v>
      </c>
      <c r="Q1137" s="34">
        <v>110</v>
      </c>
      <c r="R1137" s="33">
        <f t="shared" si="183"/>
        <v>25</v>
      </c>
      <c r="S1137" s="34">
        <v>1.3</v>
      </c>
      <c r="T1137" s="34">
        <f t="shared" si="184"/>
        <v>5</v>
      </c>
      <c r="U1137" s="33">
        <f t="shared" si="185"/>
        <v>162.5</v>
      </c>
      <c r="V1137" s="38" t="s">
        <v>827</v>
      </c>
      <c r="W1137" s="39">
        <f t="shared" si="186"/>
        <v>0.29411764705882354</v>
      </c>
      <c r="X1137" s="40" t="s">
        <v>304</v>
      </c>
      <c r="Y1137" s="40" t="s">
        <v>284</v>
      </c>
      <c r="Z1137" s="40" t="s">
        <v>305</v>
      </c>
      <c r="AA1137" s="33" t="s">
        <v>771</v>
      </c>
      <c r="AB1137" s="95"/>
      <c r="AC1137" s="95"/>
    </row>
    <row r="1138" spans="1:29" ht="14.45" hidden="1" customHeight="1" x14ac:dyDescent="0.25">
      <c r="A1138" s="36" t="str">
        <f>INDEX('Base de données Mono'!C:C,MATCH(B1138,'Base de données Mono'!D:D,0))</f>
        <v>NANCY ST SEBASTIEN</v>
      </c>
      <c r="B1138" t="s">
        <v>186</v>
      </c>
      <c r="C1138" s="36" t="str">
        <f>INDEX('Base de données Mono'!B:B,MATCH(B1138,'Base de données Mono'!D:D,0))</f>
        <v>SES8</v>
      </c>
      <c r="D1138" s="36" t="str">
        <f>INDEX('Base de données Mono'!A:A,MATCH(B1138,'Base de données Mono'!D:D,0))</f>
        <v>JG</v>
      </c>
      <c r="E1138" s="37" t="s">
        <v>303</v>
      </c>
      <c r="F1138" s="41">
        <f t="shared" si="181"/>
        <v>16</v>
      </c>
      <c r="G1138" s="41">
        <f t="shared" si="182"/>
        <v>4</v>
      </c>
      <c r="I1138" s="131">
        <f>INDEX('Base de données Mono'!K:K,MATCH(B1138,'Base de données Mono'!D:D,0))</f>
        <v>0.23611111111111113</v>
      </c>
      <c r="J1138" s="131">
        <f>INDEX('Base de données Mono'!L:L,MATCH(B1138,'Base de données Mono'!D:D,0))</f>
        <v>0.86458333333333337</v>
      </c>
      <c r="K1138" s="131" t="str">
        <f>INDEX('Base de données Mono'!M:M,MATCH(B1138,'Base de données Mono'!D:D,0))</f>
        <v>-</v>
      </c>
      <c r="L1138" s="131" t="str">
        <f>INDEX('Base de données Mono'!N:N,MATCH(B1138,'Base de données Mono'!D:D,0))</f>
        <v>-</v>
      </c>
      <c r="M1138" s="33" t="s">
        <v>46</v>
      </c>
      <c r="N1138" s="33">
        <f>IF(AND(E1138="Electricité",M1138="Hiver"),INDEX('Base de données Mono'!E:E,MATCH(B1138,'Base de données Mono'!D:D,0)),IF(AND(E1138="Electricité",M1138="Mi-saison"),INDEX('Base de données Mono'!F:F,MATCH(B1138,'Base de données Mono'!D:D,0)),IF(AND(E1138="Electricité",M1138="Eté"),INDEX('Base de données Mono'!G:G,MATCH(B1138,'Base de données Mono'!D:D,0)),IF(AND(E1138="Gaz",M1138="Hiver"),INDEX('Base de données Mono'!J:J,MATCH(B1138,'Base de données Mono'!D:D,0)),IF(AND(E1138="Gaz",M1138="Mi-saison"),INDEX('Base de données Mono'!#REF!,MATCH(B1138,'Base de données Mono'!D:D,0)),IF(AND(E1138="Gaz",M1138="Eté"),INDEX('Base de données Mono'!#REF!,MATCH(B1138,'Base de données Mono'!D:D,0)),"-"))))))</f>
        <v>85</v>
      </c>
      <c r="O1138" s="123">
        <v>45401</v>
      </c>
      <c r="P1138" s="123">
        <v>45403</v>
      </c>
      <c r="Q1138" s="34">
        <v>130</v>
      </c>
      <c r="R1138" s="33">
        <f t="shared" si="183"/>
        <v>45</v>
      </c>
      <c r="S1138" s="34">
        <v>8.9</v>
      </c>
      <c r="T1138" s="34">
        <f t="shared" si="184"/>
        <v>2</v>
      </c>
      <c r="U1138" s="33">
        <f t="shared" si="185"/>
        <v>801</v>
      </c>
      <c r="V1138" s="38" t="s">
        <v>827</v>
      </c>
      <c r="W1138" s="39">
        <f t="shared" si="186"/>
        <v>0.52941176470588236</v>
      </c>
      <c r="X1138" s="40" t="s">
        <v>304</v>
      </c>
      <c r="Y1138" s="40" t="s">
        <v>284</v>
      </c>
      <c r="Z1138" s="40" t="s">
        <v>311</v>
      </c>
      <c r="AA1138" s="33" t="s">
        <v>775</v>
      </c>
      <c r="AB1138" s="95"/>
      <c r="AC1138" s="95"/>
    </row>
    <row r="1139" spans="1:29" ht="14.45" hidden="1" customHeight="1" x14ac:dyDescent="0.25">
      <c r="A1139" s="36" t="str">
        <f>INDEX('Base de données Mono'!C:C,MATCH(B1139,'Base de données Mono'!D:D,0))</f>
        <v>MONTPARNASSE</v>
      </c>
      <c r="B1139" t="s">
        <v>177</v>
      </c>
      <c r="C1139" s="36" t="str">
        <f>INDEX('Base de données Mono'!B:B,MATCH(B1139,'Base de données Mono'!D:D,0))</f>
        <v>SES8</v>
      </c>
      <c r="D1139" s="36" t="str">
        <f>INDEX('Base de données Mono'!A:A,MATCH(B1139,'Base de données Mono'!D:D,0))</f>
        <v>AD</v>
      </c>
      <c r="E1139" s="37" t="s">
        <v>303</v>
      </c>
      <c r="F1139" s="41">
        <f t="shared" si="181"/>
        <v>16</v>
      </c>
      <c r="G1139" s="41">
        <f t="shared" si="182"/>
        <v>4</v>
      </c>
      <c r="I1139" s="131">
        <f>INDEX('Base de données Mono'!K:K,MATCH(B1139,'Base de données Mono'!D:D,0))</f>
        <v>0.23611111111111113</v>
      </c>
      <c r="J1139" s="131">
        <f>INDEX('Base de données Mono'!L:L,MATCH(B1139,'Base de données Mono'!D:D,0))</f>
        <v>0.875</v>
      </c>
      <c r="K1139" s="131">
        <f>INDEX('Base de données Mono'!M:M,MATCH(B1139,'Base de données Mono'!D:D,0))</f>
        <v>0.25</v>
      </c>
      <c r="L1139" s="131">
        <f>INDEX('Base de données Mono'!N:N,MATCH(B1139,'Base de données Mono'!D:D,0))</f>
        <v>0.85416666666666663</v>
      </c>
      <c r="M1139" s="33" t="s">
        <v>46</v>
      </c>
      <c r="N1139" s="33">
        <f>IF(AND(E1139="Electricité",M1139="Hiver"),INDEX('Base de données Mono'!E:E,MATCH(B1139,'Base de données Mono'!D:D,0)),IF(AND(E1139="Electricité",M1139="Mi-saison"),INDEX('Base de données Mono'!F:F,MATCH(B1139,'Base de données Mono'!D:D,0)),IF(AND(E1139="Electricité",M1139="Eté"),INDEX('Base de données Mono'!G:G,MATCH(B1139,'Base de données Mono'!D:D,0)),IF(AND(E1139="Gaz",M1139="Hiver"),INDEX('Base de données Mono'!J:J,MATCH(B1139,'Base de données Mono'!D:D,0)),IF(AND(E1139="Gaz",M1139="Mi-saison"),INDEX('Base de données Mono'!#REF!,MATCH(B1139,'Base de données Mono'!D:D,0)),IF(AND(E1139="Gaz",M1139="Eté"),INDEX('Base de données Mono'!#REF!,MATCH(B1139,'Base de données Mono'!D:D,0)),"-"))))))</f>
        <v>130</v>
      </c>
      <c r="O1139" s="123">
        <v>45396</v>
      </c>
      <c r="P1139" s="123">
        <v>45403</v>
      </c>
      <c r="Q1139" s="34">
        <v>185</v>
      </c>
      <c r="R1139" s="33">
        <f t="shared" si="183"/>
        <v>55</v>
      </c>
      <c r="S1139" s="34">
        <v>2.6</v>
      </c>
      <c r="T1139" s="34">
        <f t="shared" si="184"/>
        <v>7</v>
      </c>
      <c r="U1139" s="33">
        <f t="shared" si="185"/>
        <v>1001</v>
      </c>
      <c r="V1139" s="38" t="s">
        <v>827</v>
      </c>
      <c r="W1139" s="39">
        <f t="shared" si="186"/>
        <v>0.42307692307692307</v>
      </c>
      <c r="X1139" s="40" t="s">
        <v>304</v>
      </c>
      <c r="Y1139" s="40" t="s">
        <v>284</v>
      </c>
      <c r="Z1139" s="40" t="s">
        <v>307</v>
      </c>
      <c r="AA1139" s="33" t="s">
        <v>313</v>
      </c>
      <c r="AB1139" s="95"/>
      <c r="AC1139" s="95"/>
    </row>
    <row r="1140" spans="1:29" ht="14.45" hidden="1" customHeight="1" x14ac:dyDescent="0.25">
      <c r="A1140" s="36" t="str">
        <f>INDEX('Base de données Mono'!C:C,MATCH(B1140,'Base de données Mono'!D:D,0))</f>
        <v>MONTPARNASSE</v>
      </c>
      <c r="B1140" t="s">
        <v>177</v>
      </c>
      <c r="C1140" s="36" t="str">
        <f>INDEX('Base de données Mono'!B:B,MATCH(B1140,'Base de données Mono'!D:D,0))</f>
        <v>SES8</v>
      </c>
      <c r="D1140" s="36" t="str">
        <f>INDEX('Base de données Mono'!A:A,MATCH(B1140,'Base de données Mono'!D:D,0))</f>
        <v>AD</v>
      </c>
      <c r="E1140" s="37" t="s">
        <v>303</v>
      </c>
      <c r="F1140" s="41">
        <f t="shared" si="181"/>
        <v>16</v>
      </c>
      <c r="G1140" s="41">
        <f t="shared" si="182"/>
        <v>4</v>
      </c>
      <c r="I1140" s="131">
        <f>INDEX('Base de données Mono'!K:K,MATCH(B1140,'Base de données Mono'!D:D,0))</f>
        <v>0.23611111111111113</v>
      </c>
      <c r="J1140" s="131">
        <f>INDEX('Base de données Mono'!L:L,MATCH(B1140,'Base de données Mono'!D:D,0))</f>
        <v>0.875</v>
      </c>
      <c r="K1140" s="131">
        <f>INDEX('Base de données Mono'!M:M,MATCH(B1140,'Base de données Mono'!D:D,0))</f>
        <v>0.25</v>
      </c>
      <c r="L1140" s="131">
        <f>INDEX('Base de données Mono'!N:N,MATCH(B1140,'Base de données Mono'!D:D,0))</f>
        <v>0.85416666666666663</v>
      </c>
      <c r="M1140" s="33" t="s">
        <v>46</v>
      </c>
      <c r="N1140" s="33">
        <f>IF(AND(E1140="Electricité",M1140="Hiver"),INDEX('Base de données Mono'!E:E,MATCH(B1140,'Base de données Mono'!D:D,0)),IF(AND(E1140="Electricité",M1140="Mi-saison"),INDEX('Base de données Mono'!F:F,MATCH(B1140,'Base de données Mono'!D:D,0)),IF(AND(E1140="Electricité",M1140="Eté"),INDEX('Base de données Mono'!G:G,MATCH(B1140,'Base de données Mono'!D:D,0)),IF(AND(E1140="Gaz",M1140="Hiver"),INDEX('Base de données Mono'!J:J,MATCH(B1140,'Base de données Mono'!D:D,0)),IF(AND(E1140="Gaz",M1140="Mi-saison"),INDEX('Base de données Mono'!#REF!,MATCH(B1140,'Base de données Mono'!D:D,0)),IF(AND(E1140="Gaz",M1140="Eté"),INDEX('Base de données Mono'!#REF!,MATCH(B1140,'Base de données Mono'!D:D,0)),"-"))))))</f>
        <v>130</v>
      </c>
      <c r="O1140" s="123">
        <v>45396</v>
      </c>
      <c r="P1140" s="123">
        <v>45402</v>
      </c>
      <c r="Q1140" s="34">
        <v>190</v>
      </c>
      <c r="R1140" s="33">
        <f t="shared" si="183"/>
        <v>60</v>
      </c>
      <c r="S1140" s="34">
        <v>0.5</v>
      </c>
      <c r="T1140" s="34">
        <f t="shared" si="184"/>
        <v>6</v>
      </c>
      <c r="U1140" s="33">
        <f t="shared" si="185"/>
        <v>180</v>
      </c>
      <c r="V1140" s="38" t="s">
        <v>827</v>
      </c>
      <c r="W1140" s="39">
        <f t="shared" si="186"/>
        <v>0.46153846153846156</v>
      </c>
      <c r="X1140" s="40" t="s">
        <v>304</v>
      </c>
      <c r="Y1140" s="40" t="s">
        <v>284</v>
      </c>
      <c r="Z1140" s="40" t="s">
        <v>307</v>
      </c>
      <c r="AA1140" s="33" t="s">
        <v>414</v>
      </c>
      <c r="AB1140" s="95"/>
      <c r="AC1140" s="95"/>
    </row>
    <row r="1141" spans="1:29" ht="14.45" hidden="1" customHeight="1" x14ac:dyDescent="0.25">
      <c r="A1141" s="36" t="str">
        <f>INDEX('Base de données Mono'!C:C,MATCH(B1141,'Base de données Mono'!D:D,0))</f>
        <v>TOLBIAC</v>
      </c>
      <c r="B1141" t="s">
        <v>253</v>
      </c>
      <c r="C1141" s="36" t="str">
        <f>INDEX('Base de données Mono'!B:B,MATCH(B1141,'Base de données Mono'!D:D,0))</f>
        <v>SES8</v>
      </c>
      <c r="D1141" s="36" t="str">
        <f>INDEX('Base de données Mono'!A:A,MATCH(B1141,'Base de données Mono'!D:D,0))</f>
        <v>JG</v>
      </c>
      <c r="E1141" s="37" t="s">
        <v>303</v>
      </c>
      <c r="F1141" s="41">
        <f t="shared" si="181"/>
        <v>16</v>
      </c>
      <c r="G1141" s="41">
        <f t="shared" si="182"/>
        <v>4</v>
      </c>
      <c r="I1141" s="131">
        <f>INDEX('Base de données Mono'!K:K,MATCH(B1141,'Base de données Mono'!D:D,0))</f>
        <v>0.24305555555555555</v>
      </c>
      <c r="J1141" s="131">
        <f>INDEX('Base de données Mono'!L:L,MATCH(B1141,'Base de données Mono'!D:D,0))</f>
        <v>0.92708333333333337</v>
      </c>
      <c r="K1141" s="131" t="str">
        <f>INDEX('Base de données Mono'!M:M,MATCH(B1141,'Base de données Mono'!D:D,0))</f>
        <v>-</v>
      </c>
      <c r="L1141" s="131" t="str">
        <f>INDEX('Base de données Mono'!N:N,MATCH(B1141,'Base de données Mono'!D:D,0))</f>
        <v>-</v>
      </c>
      <c r="M1141" s="33" t="s">
        <v>46</v>
      </c>
      <c r="N1141" s="33">
        <f>IF(AND(E1141="Electricité",M1141="Hiver"),INDEX('Base de données Mono'!E:E,MATCH(B1141,'Base de données Mono'!D:D,0)),IF(AND(E1141="Electricité",M1141="Mi-saison"),INDEX('Base de données Mono'!F:F,MATCH(B1141,'Base de données Mono'!D:D,0)),IF(AND(E1141="Electricité",M1141="Eté"),INDEX('Base de données Mono'!G:G,MATCH(B1141,'Base de données Mono'!D:D,0)),IF(AND(E1141="Gaz",M1141="Hiver"),INDEX('Base de données Mono'!J:J,MATCH(B1141,'Base de données Mono'!D:D,0)),IF(AND(E1141="Gaz",M1141="Mi-saison"),INDEX('Base de données Mono'!#REF!,MATCH(B1141,'Base de données Mono'!D:D,0)),IF(AND(E1141="Gaz",M1141="Eté"),INDEX('Base de données Mono'!#REF!,MATCH(B1141,'Base de données Mono'!D:D,0)),"-"))))))</f>
        <v>55</v>
      </c>
      <c r="O1141" s="123">
        <v>45396</v>
      </c>
      <c r="P1141" s="123">
        <v>45397</v>
      </c>
      <c r="Q1141" s="34">
        <v>85</v>
      </c>
      <c r="R1141" s="33">
        <f t="shared" si="183"/>
        <v>30</v>
      </c>
      <c r="S1141" s="34">
        <v>5</v>
      </c>
      <c r="T1141" s="34">
        <f t="shared" si="184"/>
        <v>1</v>
      </c>
      <c r="U1141" s="33">
        <f t="shared" si="185"/>
        <v>150</v>
      </c>
      <c r="V1141" s="38" t="s">
        <v>827</v>
      </c>
      <c r="W1141" s="39">
        <f t="shared" si="186"/>
        <v>0.54545454545454541</v>
      </c>
      <c r="X1141" s="40" t="s">
        <v>304</v>
      </c>
      <c r="Y1141" s="40" t="s">
        <v>284</v>
      </c>
      <c r="Z1141" s="95" t="s">
        <v>311</v>
      </c>
      <c r="AA1141" s="95" t="s">
        <v>775</v>
      </c>
      <c r="AB1141" s="95"/>
      <c r="AC1141" s="95"/>
    </row>
    <row r="1142" spans="1:29" ht="14.45" hidden="1" customHeight="1" x14ac:dyDescent="0.25">
      <c r="A1142" s="36" t="str">
        <f>INDEX('Base de données Mono'!C:C,MATCH(B1142,'Base de données Mono'!D:D,0))</f>
        <v>TOLBIAC</v>
      </c>
      <c r="B1142" t="s">
        <v>253</v>
      </c>
      <c r="C1142" s="36" t="str">
        <f>INDEX('Base de données Mono'!B:B,MATCH(B1142,'Base de données Mono'!D:D,0))</f>
        <v>SES8</v>
      </c>
      <c r="D1142" s="36" t="str">
        <f>INDEX('Base de données Mono'!A:A,MATCH(B1142,'Base de données Mono'!D:D,0))</f>
        <v>JG</v>
      </c>
      <c r="E1142" s="37" t="s">
        <v>303</v>
      </c>
      <c r="F1142" s="41">
        <f t="shared" si="181"/>
        <v>16</v>
      </c>
      <c r="G1142" s="41">
        <f t="shared" si="182"/>
        <v>4</v>
      </c>
      <c r="I1142" s="131">
        <f>INDEX('Base de données Mono'!K:K,MATCH(B1142,'Base de données Mono'!D:D,0))</f>
        <v>0.24305555555555555</v>
      </c>
      <c r="J1142" s="131">
        <f>INDEX('Base de données Mono'!L:L,MATCH(B1142,'Base de données Mono'!D:D,0))</f>
        <v>0.92708333333333337</v>
      </c>
      <c r="K1142" s="131" t="str">
        <f>INDEX('Base de données Mono'!M:M,MATCH(B1142,'Base de données Mono'!D:D,0))</f>
        <v>-</v>
      </c>
      <c r="L1142" s="131" t="str">
        <f>INDEX('Base de données Mono'!N:N,MATCH(B1142,'Base de données Mono'!D:D,0))</f>
        <v>-</v>
      </c>
      <c r="M1142" s="33" t="s">
        <v>46</v>
      </c>
      <c r="N1142" s="33">
        <f>IF(AND(E1142="Electricité",M1142="Hiver"),INDEX('Base de données Mono'!E:E,MATCH(B1142,'Base de données Mono'!D:D,0)),IF(AND(E1142="Electricité",M1142="Mi-saison"),INDEX('Base de données Mono'!F:F,MATCH(B1142,'Base de données Mono'!D:D,0)),IF(AND(E1142="Electricité",M1142="Eté"),INDEX('Base de données Mono'!G:G,MATCH(B1142,'Base de données Mono'!D:D,0)),IF(AND(E1142="Gaz",M1142="Hiver"),INDEX('Base de données Mono'!J:J,MATCH(B1142,'Base de données Mono'!D:D,0)),IF(AND(E1142="Gaz",M1142="Mi-saison"),INDEX('Base de données Mono'!#REF!,MATCH(B1142,'Base de données Mono'!D:D,0)),IF(AND(E1142="Gaz",M1142="Eté"),INDEX('Base de données Mono'!#REF!,MATCH(B1142,'Base de données Mono'!D:D,0)),"-"))))))</f>
        <v>55</v>
      </c>
      <c r="O1142" s="123">
        <v>45396</v>
      </c>
      <c r="P1142" s="123">
        <v>45397</v>
      </c>
      <c r="Q1142" s="34">
        <v>70</v>
      </c>
      <c r="R1142" s="33">
        <f t="shared" si="183"/>
        <v>15</v>
      </c>
      <c r="S1142" s="34">
        <v>2.5</v>
      </c>
      <c r="T1142" s="34">
        <f t="shared" si="184"/>
        <v>1</v>
      </c>
      <c r="U1142" s="33">
        <f t="shared" si="185"/>
        <v>37.5</v>
      </c>
      <c r="V1142" s="38" t="s">
        <v>827</v>
      </c>
      <c r="W1142" s="39">
        <f t="shared" si="186"/>
        <v>0.27272727272727271</v>
      </c>
      <c r="X1142" s="40" t="s">
        <v>304</v>
      </c>
      <c r="Y1142" s="40" t="s">
        <v>284</v>
      </c>
      <c r="Z1142" s="40" t="s">
        <v>305</v>
      </c>
      <c r="AA1142" s="33" t="s">
        <v>771</v>
      </c>
      <c r="AB1142" s="95"/>
      <c r="AC1142" s="95"/>
    </row>
    <row r="1143" spans="1:29" ht="14.45" hidden="1" customHeight="1" x14ac:dyDescent="0.25">
      <c r="A1143" s="36" t="str">
        <f>INDEX('Base de données Mono'!C:C,MATCH(B1143,'Base de données Mono'!D:D,0))</f>
        <v>TOLBIAC</v>
      </c>
      <c r="B1143" t="s">
        <v>253</v>
      </c>
      <c r="C1143" s="36" t="str">
        <f>INDEX('Base de données Mono'!B:B,MATCH(B1143,'Base de données Mono'!D:D,0))</f>
        <v>SES8</v>
      </c>
      <c r="D1143" s="36" t="str">
        <f>INDEX('Base de données Mono'!A:A,MATCH(B1143,'Base de données Mono'!D:D,0))</f>
        <v>JG</v>
      </c>
      <c r="E1143" s="37" t="s">
        <v>303</v>
      </c>
      <c r="F1143" s="41">
        <f t="shared" ref="F1143:F1182" si="187">IF(O1143="","-",IF(AND(X1143="Nuit",WEEKDAY(O1143,2)=7,O1143&lt;&gt;P1143),WEEKNUM(O1143,2),WEEKNUM(O1143,2)-1))+1</f>
        <v>16</v>
      </c>
      <c r="G1143" s="41">
        <f t="shared" ref="G1143:G1182" si="188">IF(O1143="","-",MONTH(O1143))</f>
        <v>4</v>
      </c>
      <c r="I1143" s="131">
        <f>INDEX('Base de données Mono'!K:K,MATCH(B1143,'Base de données Mono'!D:D,0))</f>
        <v>0.24305555555555555</v>
      </c>
      <c r="J1143" s="131">
        <f>INDEX('Base de données Mono'!L:L,MATCH(B1143,'Base de données Mono'!D:D,0))</f>
        <v>0.92708333333333337</v>
      </c>
      <c r="K1143" s="131" t="str">
        <f>INDEX('Base de données Mono'!M:M,MATCH(B1143,'Base de données Mono'!D:D,0))</f>
        <v>-</v>
      </c>
      <c r="L1143" s="131" t="str">
        <f>INDEX('Base de données Mono'!N:N,MATCH(B1143,'Base de données Mono'!D:D,0))</f>
        <v>-</v>
      </c>
      <c r="M1143" s="33" t="s">
        <v>46</v>
      </c>
      <c r="N1143" s="33">
        <f>IF(AND(E1143="Electricité",M1143="Hiver"),INDEX('Base de données Mono'!E:E,MATCH(B1143,'Base de données Mono'!D:D,0)),IF(AND(E1143="Electricité",M1143="Mi-saison"),INDEX('Base de données Mono'!F:F,MATCH(B1143,'Base de données Mono'!D:D,0)),IF(AND(E1143="Electricité",M1143="Eté"),INDEX('Base de données Mono'!G:G,MATCH(B1143,'Base de données Mono'!D:D,0)),IF(AND(E1143="Gaz",M1143="Hiver"),INDEX('Base de données Mono'!J:J,MATCH(B1143,'Base de données Mono'!D:D,0)),IF(AND(E1143="Gaz",M1143="Mi-saison"),INDEX('Base de données Mono'!#REF!,MATCH(B1143,'Base de données Mono'!D:D,0)),IF(AND(E1143="Gaz",M1143="Eté"),INDEX('Base de données Mono'!#REF!,MATCH(B1143,'Base de données Mono'!D:D,0)),"-"))))))</f>
        <v>55</v>
      </c>
      <c r="O1143" s="123">
        <v>45397</v>
      </c>
      <c r="P1143" s="123">
        <v>45402</v>
      </c>
      <c r="Q1143" s="34">
        <v>80</v>
      </c>
      <c r="R1143" s="33">
        <f t="shared" ref="R1143:R1182" si="189">IF(Q1143="","",Q1143-N1143)</f>
        <v>25</v>
      </c>
      <c r="S1143" s="34">
        <v>0.8</v>
      </c>
      <c r="T1143" s="34">
        <f t="shared" si="184"/>
        <v>5</v>
      </c>
      <c r="U1143" s="33">
        <f t="shared" ref="U1143:U1182" si="190">R1143*S1143*T1143</f>
        <v>100</v>
      </c>
      <c r="V1143" s="38" t="s">
        <v>827</v>
      </c>
      <c r="W1143" s="39">
        <f t="shared" ref="W1143:W1182" si="191">IFERROR(IF(E1143="Gaz","-",R1143/N1143),"-")</f>
        <v>0.45454545454545453</v>
      </c>
      <c r="X1143" s="40" t="s">
        <v>304</v>
      </c>
      <c r="Y1143" s="40" t="s">
        <v>284</v>
      </c>
      <c r="Z1143" s="40" t="s">
        <v>307</v>
      </c>
      <c r="AA1143" s="33" t="s">
        <v>414</v>
      </c>
      <c r="AB1143" s="95"/>
      <c r="AC1143" s="95"/>
    </row>
    <row r="1144" spans="1:29" ht="14.45" hidden="1" customHeight="1" x14ac:dyDescent="0.25">
      <c r="A1144" s="36" t="str">
        <f>INDEX('Base de données Mono'!C:C,MATCH(B1144,'Base de données Mono'!D:D,0))</f>
        <v>TOLBIAC</v>
      </c>
      <c r="B1144" t="s">
        <v>253</v>
      </c>
      <c r="C1144" s="36" t="str">
        <f>INDEX('Base de données Mono'!B:B,MATCH(B1144,'Base de données Mono'!D:D,0))</f>
        <v>SES8</v>
      </c>
      <c r="D1144" s="36" t="str">
        <f>INDEX('Base de données Mono'!A:A,MATCH(B1144,'Base de données Mono'!D:D,0))</f>
        <v>JG</v>
      </c>
      <c r="E1144" s="37" t="s">
        <v>303</v>
      </c>
      <c r="F1144" s="41">
        <f t="shared" si="187"/>
        <v>16</v>
      </c>
      <c r="G1144" s="41">
        <f t="shared" si="188"/>
        <v>4</v>
      </c>
      <c r="I1144" s="131">
        <f>INDEX('Base de données Mono'!K:K,MATCH(B1144,'Base de données Mono'!D:D,0))</f>
        <v>0.24305555555555555</v>
      </c>
      <c r="J1144" s="131">
        <f>INDEX('Base de données Mono'!L:L,MATCH(B1144,'Base de données Mono'!D:D,0))</f>
        <v>0.92708333333333337</v>
      </c>
      <c r="K1144" s="131" t="str">
        <f>INDEX('Base de données Mono'!M:M,MATCH(B1144,'Base de données Mono'!D:D,0))</f>
        <v>-</v>
      </c>
      <c r="L1144" s="131" t="str">
        <f>INDEX('Base de données Mono'!N:N,MATCH(B1144,'Base de données Mono'!D:D,0))</f>
        <v>-</v>
      </c>
      <c r="M1144" s="33" t="s">
        <v>46</v>
      </c>
      <c r="N1144" s="33">
        <f>IF(AND(E1144="Electricité",M1144="Hiver"),INDEX('Base de données Mono'!E:E,MATCH(B1144,'Base de données Mono'!D:D,0)),IF(AND(E1144="Electricité",M1144="Mi-saison"),INDEX('Base de données Mono'!F:F,MATCH(B1144,'Base de données Mono'!D:D,0)),IF(AND(E1144="Electricité",M1144="Eté"),INDEX('Base de données Mono'!G:G,MATCH(B1144,'Base de données Mono'!D:D,0)),IF(AND(E1144="Gaz",M1144="Hiver"),INDEX('Base de données Mono'!J:J,MATCH(B1144,'Base de données Mono'!D:D,0)),IF(AND(E1144="Gaz",M1144="Mi-saison"),INDEX('Base de données Mono'!#REF!,MATCH(B1144,'Base de données Mono'!D:D,0)),IF(AND(E1144="Gaz",M1144="Eté"),INDEX('Base de données Mono'!#REF!,MATCH(B1144,'Base de données Mono'!D:D,0)),"-"))))))</f>
        <v>55</v>
      </c>
      <c r="O1144" s="123">
        <v>45397</v>
      </c>
      <c r="P1144" s="123">
        <v>45398</v>
      </c>
      <c r="Q1144" s="34">
        <v>60</v>
      </c>
      <c r="R1144" s="33">
        <f t="shared" si="189"/>
        <v>5</v>
      </c>
      <c r="S1144" s="34">
        <v>6.7</v>
      </c>
      <c r="T1144" s="34">
        <f t="shared" si="184"/>
        <v>1</v>
      </c>
      <c r="U1144" s="33">
        <f t="shared" si="190"/>
        <v>33.5</v>
      </c>
      <c r="V1144" s="38" t="s">
        <v>827</v>
      </c>
      <c r="W1144" s="39">
        <f t="shared" si="191"/>
        <v>9.0909090909090912E-2</v>
      </c>
      <c r="X1144" s="40" t="s">
        <v>304</v>
      </c>
      <c r="Y1144" s="40" t="s">
        <v>284</v>
      </c>
      <c r="Z1144" s="40" t="s">
        <v>305</v>
      </c>
      <c r="AA1144" s="33" t="s">
        <v>771</v>
      </c>
      <c r="AB1144" s="95"/>
      <c r="AC1144" s="95"/>
    </row>
    <row r="1145" spans="1:29" ht="14.45" hidden="1" customHeight="1" x14ac:dyDescent="0.25">
      <c r="A1145" s="36" t="str">
        <f>INDEX('Base de données Mono'!C:C,MATCH(B1145,'Base de données Mono'!D:D,0))</f>
        <v>TOLBIAC</v>
      </c>
      <c r="B1145" t="s">
        <v>253</v>
      </c>
      <c r="C1145" s="36" t="str">
        <f>INDEX('Base de données Mono'!B:B,MATCH(B1145,'Base de données Mono'!D:D,0))</f>
        <v>SES8</v>
      </c>
      <c r="D1145" s="36" t="str">
        <f>INDEX('Base de données Mono'!A:A,MATCH(B1145,'Base de données Mono'!D:D,0))</f>
        <v>JG</v>
      </c>
      <c r="E1145" s="37" t="s">
        <v>303</v>
      </c>
      <c r="F1145" s="41">
        <f t="shared" si="187"/>
        <v>16</v>
      </c>
      <c r="G1145" s="41">
        <f t="shared" si="188"/>
        <v>4</v>
      </c>
      <c r="I1145" s="131">
        <f>INDEX('Base de données Mono'!K:K,MATCH(B1145,'Base de données Mono'!D:D,0))</f>
        <v>0.24305555555555555</v>
      </c>
      <c r="J1145" s="131">
        <f>INDEX('Base de données Mono'!L:L,MATCH(B1145,'Base de données Mono'!D:D,0))</f>
        <v>0.92708333333333337</v>
      </c>
      <c r="K1145" s="131" t="str">
        <f>INDEX('Base de données Mono'!M:M,MATCH(B1145,'Base de données Mono'!D:D,0))</f>
        <v>-</v>
      </c>
      <c r="L1145" s="131" t="str">
        <f>INDEX('Base de données Mono'!N:N,MATCH(B1145,'Base de données Mono'!D:D,0))</f>
        <v>-</v>
      </c>
      <c r="M1145" s="33" t="s">
        <v>46</v>
      </c>
      <c r="N1145" s="33">
        <f>IF(AND(E1145="Electricité",M1145="Hiver"),INDEX('Base de données Mono'!E:E,MATCH(B1145,'Base de données Mono'!D:D,0)),IF(AND(E1145="Electricité",M1145="Mi-saison"),INDEX('Base de données Mono'!F:F,MATCH(B1145,'Base de données Mono'!D:D,0)),IF(AND(E1145="Electricité",M1145="Eté"),INDEX('Base de données Mono'!G:G,MATCH(B1145,'Base de données Mono'!D:D,0)),IF(AND(E1145="Gaz",M1145="Hiver"),INDEX('Base de données Mono'!J:J,MATCH(B1145,'Base de données Mono'!D:D,0)),IF(AND(E1145="Gaz",M1145="Mi-saison"),INDEX('Base de données Mono'!#REF!,MATCH(B1145,'Base de données Mono'!D:D,0)),IF(AND(E1145="Gaz",M1145="Eté"),INDEX('Base de données Mono'!#REF!,MATCH(B1145,'Base de données Mono'!D:D,0)),"-"))))))</f>
        <v>55</v>
      </c>
      <c r="O1145" s="123">
        <v>45398</v>
      </c>
      <c r="P1145" s="123">
        <v>45399</v>
      </c>
      <c r="Q1145" s="34">
        <v>80</v>
      </c>
      <c r="R1145" s="33">
        <f t="shared" si="189"/>
        <v>25</v>
      </c>
      <c r="S1145" s="34">
        <v>5</v>
      </c>
      <c r="T1145" s="34">
        <f t="shared" si="184"/>
        <v>1</v>
      </c>
      <c r="U1145" s="33">
        <f t="shared" si="190"/>
        <v>125</v>
      </c>
      <c r="V1145" s="38" t="s">
        <v>827</v>
      </c>
      <c r="W1145" s="39">
        <f t="shared" si="191"/>
        <v>0.45454545454545453</v>
      </c>
      <c r="X1145" s="40" t="s">
        <v>304</v>
      </c>
      <c r="Y1145" s="40" t="s">
        <v>283</v>
      </c>
      <c r="Z1145" s="40" t="s">
        <v>749</v>
      </c>
      <c r="AA1145" s="33" t="s">
        <v>749</v>
      </c>
      <c r="AB1145" s="95"/>
      <c r="AC1145" s="95"/>
    </row>
    <row r="1146" spans="1:29" ht="14.45" hidden="1" customHeight="1" x14ac:dyDescent="0.25">
      <c r="A1146" s="36" t="str">
        <f>INDEX('Base de données Mono'!C:C,MATCH(B1146,'Base de données Mono'!D:D,0))</f>
        <v>TOLBIAC</v>
      </c>
      <c r="B1146" t="s">
        <v>253</v>
      </c>
      <c r="C1146" s="36" t="str">
        <f>INDEX('Base de données Mono'!B:B,MATCH(B1146,'Base de données Mono'!D:D,0))</f>
        <v>SES8</v>
      </c>
      <c r="D1146" s="36" t="str">
        <f>INDEX('Base de données Mono'!A:A,MATCH(B1146,'Base de données Mono'!D:D,0))</f>
        <v>JG</v>
      </c>
      <c r="E1146" s="37" t="s">
        <v>303</v>
      </c>
      <c r="F1146" s="41">
        <f t="shared" si="187"/>
        <v>16</v>
      </c>
      <c r="G1146" s="41">
        <f t="shared" si="188"/>
        <v>4</v>
      </c>
      <c r="I1146" s="131">
        <f>INDEX('Base de données Mono'!K:K,MATCH(B1146,'Base de données Mono'!D:D,0))</f>
        <v>0.24305555555555555</v>
      </c>
      <c r="J1146" s="131">
        <f>INDEX('Base de données Mono'!L:L,MATCH(B1146,'Base de données Mono'!D:D,0))</f>
        <v>0.92708333333333337</v>
      </c>
      <c r="K1146" s="131" t="str">
        <f>INDEX('Base de données Mono'!M:M,MATCH(B1146,'Base de données Mono'!D:D,0))</f>
        <v>-</v>
      </c>
      <c r="L1146" s="131" t="str">
        <f>INDEX('Base de données Mono'!N:N,MATCH(B1146,'Base de données Mono'!D:D,0))</f>
        <v>-</v>
      </c>
      <c r="M1146" s="33" t="s">
        <v>46</v>
      </c>
      <c r="N1146" s="33">
        <f>IF(AND(E1146="Electricité",M1146="Hiver"),INDEX('Base de données Mono'!E:E,MATCH(B1146,'Base de données Mono'!D:D,0)),IF(AND(E1146="Electricité",M1146="Mi-saison"),INDEX('Base de données Mono'!F:F,MATCH(B1146,'Base de données Mono'!D:D,0)),IF(AND(E1146="Electricité",M1146="Eté"),INDEX('Base de données Mono'!G:G,MATCH(B1146,'Base de données Mono'!D:D,0)),IF(AND(E1146="Gaz",M1146="Hiver"),INDEX('Base de données Mono'!J:J,MATCH(B1146,'Base de données Mono'!D:D,0)),IF(AND(E1146="Gaz",M1146="Mi-saison"),INDEX('Base de données Mono'!#REF!,MATCH(B1146,'Base de données Mono'!D:D,0)),IF(AND(E1146="Gaz",M1146="Eté"),INDEX('Base de données Mono'!#REF!,MATCH(B1146,'Base de données Mono'!D:D,0)),"-"))))))</f>
        <v>55</v>
      </c>
      <c r="O1146" s="123">
        <v>45398</v>
      </c>
      <c r="P1146" s="123">
        <v>45399</v>
      </c>
      <c r="Q1146" s="34">
        <v>65</v>
      </c>
      <c r="R1146" s="33">
        <f t="shared" si="189"/>
        <v>10</v>
      </c>
      <c r="S1146" s="34">
        <v>1.7</v>
      </c>
      <c r="T1146" s="34">
        <f t="shared" si="184"/>
        <v>1</v>
      </c>
      <c r="U1146" s="33">
        <f t="shared" si="190"/>
        <v>17</v>
      </c>
      <c r="V1146" s="38" t="s">
        <v>827</v>
      </c>
      <c r="W1146" s="39">
        <f t="shared" si="191"/>
        <v>0.18181818181818182</v>
      </c>
      <c r="X1146" s="40" t="s">
        <v>304</v>
      </c>
      <c r="Y1146" s="40" t="s">
        <v>284</v>
      </c>
      <c r="Z1146" s="40" t="s">
        <v>305</v>
      </c>
      <c r="AA1146" s="33" t="s">
        <v>771</v>
      </c>
      <c r="AB1146" s="95"/>
      <c r="AC1146" s="95"/>
    </row>
    <row r="1147" spans="1:29" ht="14.45" hidden="1" customHeight="1" x14ac:dyDescent="0.25">
      <c r="A1147" s="36" t="str">
        <f>INDEX('Base de données Mono'!C:C,MATCH(B1147,'Base de données Mono'!D:D,0))</f>
        <v>TOLBIAC</v>
      </c>
      <c r="B1147" t="s">
        <v>253</v>
      </c>
      <c r="C1147" s="36" t="str">
        <f>INDEX('Base de données Mono'!B:B,MATCH(B1147,'Base de données Mono'!D:D,0))</f>
        <v>SES8</v>
      </c>
      <c r="D1147" s="36" t="str">
        <f>INDEX('Base de données Mono'!A:A,MATCH(B1147,'Base de données Mono'!D:D,0))</f>
        <v>JG</v>
      </c>
      <c r="E1147" s="37" t="s">
        <v>303</v>
      </c>
      <c r="F1147" s="41">
        <f t="shared" si="187"/>
        <v>16</v>
      </c>
      <c r="G1147" s="41">
        <f t="shared" si="188"/>
        <v>4</v>
      </c>
      <c r="I1147" s="131">
        <f>INDEX('Base de données Mono'!K:K,MATCH(B1147,'Base de données Mono'!D:D,0))</f>
        <v>0.24305555555555555</v>
      </c>
      <c r="J1147" s="131">
        <f>INDEX('Base de données Mono'!L:L,MATCH(B1147,'Base de données Mono'!D:D,0))</f>
        <v>0.92708333333333337</v>
      </c>
      <c r="K1147" s="131" t="str">
        <f>INDEX('Base de données Mono'!M:M,MATCH(B1147,'Base de données Mono'!D:D,0))</f>
        <v>-</v>
      </c>
      <c r="L1147" s="131" t="str">
        <f>INDEX('Base de données Mono'!N:N,MATCH(B1147,'Base de données Mono'!D:D,0))</f>
        <v>-</v>
      </c>
      <c r="M1147" s="33" t="s">
        <v>46</v>
      </c>
      <c r="N1147" s="33">
        <f>IF(AND(E1147="Electricité",M1147="Hiver"),INDEX('Base de données Mono'!E:E,MATCH(B1147,'Base de données Mono'!D:D,0)),IF(AND(E1147="Electricité",M1147="Mi-saison"),INDEX('Base de données Mono'!F:F,MATCH(B1147,'Base de données Mono'!D:D,0)),IF(AND(E1147="Electricité",M1147="Eté"),INDEX('Base de données Mono'!G:G,MATCH(B1147,'Base de données Mono'!D:D,0)),IF(AND(E1147="Gaz",M1147="Hiver"),INDEX('Base de données Mono'!J:J,MATCH(B1147,'Base de données Mono'!D:D,0)),IF(AND(E1147="Gaz",M1147="Mi-saison"),INDEX('Base de données Mono'!#REF!,MATCH(B1147,'Base de données Mono'!D:D,0)),IF(AND(E1147="Gaz",M1147="Eté"),INDEX('Base de données Mono'!#REF!,MATCH(B1147,'Base de données Mono'!D:D,0)),"-"))))))</f>
        <v>55</v>
      </c>
      <c r="O1147" s="123">
        <v>45399</v>
      </c>
      <c r="P1147" s="123">
        <v>45402</v>
      </c>
      <c r="Q1147" s="34">
        <v>65</v>
      </c>
      <c r="R1147" s="33">
        <f t="shared" si="189"/>
        <v>10</v>
      </c>
      <c r="S1147" s="34">
        <v>6.7</v>
      </c>
      <c r="T1147" s="34">
        <f t="shared" si="184"/>
        <v>3</v>
      </c>
      <c r="U1147" s="33">
        <f t="shared" si="190"/>
        <v>201</v>
      </c>
      <c r="V1147" s="38" t="s">
        <v>827</v>
      </c>
      <c r="W1147" s="39">
        <f t="shared" si="191"/>
        <v>0.18181818181818182</v>
      </c>
      <c r="X1147" s="40" t="s">
        <v>304</v>
      </c>
      <c r="Y1147" s="40" t="s">
        <v>284</v>
      </c>
      <c r="Z1147" s="40" t="s">
        <v>305</v>
      </c>
      <c r="AA1147" s="33" t="s">
        <v>771</v>
      </c>
      <c r="AB1147" s="95"/>
      <c r="AC1147" s="95"/>
    </row>
    <row r="1148" spans="1:29" ht="14.45" hidden="1" customHeight="1" x14ac:dyDescent="0.25">
      <c r="A1148" s="36" t="str">
        <f>INDEX('Base de données Mono'!C:C,MATCH(B1148,'Base de données Mono'!D:D,0))</f>
        <v>BORDEAUX ST CHRISTOLY</v>
      </c>
      <c r="B1148" t="s">
        <v>6</v>
      </c>
      <c r="C1148" s="36" t="str">
        <f>INDEX('Base de données Mono'!B:B,MATCH(B1148,'Base de données Mono'!D:D,0))</f>
        <v>SES8</v>
      </c>
      <c r="D1148" s="36" t="str">
        <f>INDEX('Base de données Mono'!A:A,MATCH(B1148,'Base de données Mono'!D:D,0))</f>
        <v>AD</v>
      </c>
      <c r="E1148" s="37" t="s">
        <v>303</v>
      </c>
      <c r="F1148" s="41">
        <f>IF(O1148="","-",IF(AND(X1148="Nuit",WEEKDAY(O1148,2)=7,O1148&lt;&gt;P1148),WEEKNUM(O1148,2),WEEKNUM(O1148,2)-1))+1</f>
        <v>16</v>
      </c>
      <c r="G1148" s="41">
        <f>IF(O1148="","-",MONTH(O1148))</f>
        <v>4</v>
      </c>
      <c r="I1148" s="131">
        <f>INDEX('Base de données Mono'!K:K,MATCH(B1148,'Base de données Mono'!D:D,0))</f>
        <v>0.16666666666666666</v>
      </c>
      <c r="J1148" s="131">
        <f>INDEX('Base de données Mono'!L:L,MATCH(B1148,'Base de données Mono'!D:D,0))</f>
        <v>0.875</v>
      </c>
      <c r="K1148" s="131">
        <f>INDEX('Base de données Mono'!M:M,MATCH(B1148,'Base de données Mono'!D:D,0))</f>
        <v>0.20833333333333334</v>
      </c>
      <c r="L1148" s="131">
        <f>INDEX('Base de données Mono'!N:N,MATCH(B1148,'Base de données Mono'!D:D,0))</f>
        <v>0.54166666666666696</v>
      </c>
      <c r="M1148" s="33" t="s">
        <v>46</v>
      </c>
      <c r="N1148" s="33">
        <f>IF(AND(E1148="Electricité",M1148="Hiver"),INDEX('Base de données Mono'!E:E,MATCH(B1148,'Base de données Mono'!D:D,0)),IF(AND(E1148="Electricité",M1148="Mi-saison"),INDEX('Base de données Mono'!F:F,MATCH(B1148,'Base de données Mono'!D:D,0)),IF(AND(E1148="Electricité",M1148="Eté"),INDEX('Base de données Mono'!G:G,MATCH(B1148,'Base de données Mono'!D:D,0)),IF(AND(E1148="Gaz",M1148="Hiver"),INDEX('Base de données Mono'!J:J,MATCH(B1148,'Base de données Mono'!D:D,0)),IF(AND(E1148="Gaz",M1148="Mi-saison"),INDEX('Base de données Mono'!#REF!,MATCH(B1148,'Base de données Mono'!D:D,0)),IF(AND(E1148="Gaz",M1148="Eté"),INDEX('Base de données Mono'!#REF!,MATCH(B1148,'Base de données Mono'!D:D,0)),"-"))))))</f>
        <v>75</v>
      </c>
      <c r="O1148" s="123">
        <v>45396</v>
      </c>
      <c r="P1148" s="123">
        <v>45397</v>
      </c>
      <c r="Q1148" s="34">
        <v>95</v>
      </c>
      <c r="R1148" s="33">
        <f>IF(Q1148="","",Q1148-N1148)</f>
        <v>20</v>
      </c>
      <c r="S1148" s="34">
        <v>7</v>
      </c>
      <c r="T1148" s="34">
        <f>P1148-O1148</f>
        <v>1</v>
      </c>
      <c r="U1148" s="33">
        <f>R1148*S1148*T1148</f>
        <v>140</v>
      </c>
      <c r="V1148" s="38" t="s">
        <v>827</v>
      </c>
      <c r="W1148" s="39">
        <f>IFERROR(IF(E1148="Gaz","-",R1148/N1148),"-")</f>
        <v>0.26666666666666666</v>
      </c>
      <c r="X1148" s="40" t="s">
        <v>304</v>
      </c>
      <c r="Y1148" s="40" t="s">
        <v>284</v>
      </c>
      <c r="Z1148" s="40" t="s">
        <v>305</v>
      </c>
      <c r="AA1148" s="33" t="s">
        <v>771</v>
      </c>
      <c r="AB1148" s="95"/>
      <c r="AC1148" s="95"/>
    </row>
    <row r="1149" spans="1:29" ht="14.45" hidden="1" customHeight="1" x14ac:dyDescent="0.25">
      <c r="A1149" s="36" t="str">
        <f>INDEX('Base de données Mono'!C:C,MATCH(B1149,'Base de données Mono'!D:D,0))</f>
        <v>BORDEAUX ST CHRISTOLY</v>
      </c>
      <c r="B1149" t="s">
        <v>6</v>
      </c>
      <c r="C1149" s="36" t="str">
        <f>INDEX('Base de données Mono'!B:B,MATCH(B1149,'Base de données Mono'!D:D,0))</f>
        <v>SES8</v>
      </c>
      <c r="D1149" s="36" t="str">
        <f>INDEX('Base de données Mono'!A:A,MATCH(B1149,'Base de données Mono'!D:D,0))</f>
        <v>AD</v>
      </c>
      <c r="E1149" s="37" t="s">
        <v>303</v>
      </c>
      <c r="F1149" s="41">
        <f>IF(O1149="","-",IF(AND(X1149="Nuit",WEEKDAY(O1149,2)=7,O1149&lt;&gt;P1149),WEEKNUM(O1149,2),WEEKNUM(O1149,2)-1))+1</f>
        <v>16</v>
      </c>
      <c r="G1149" s="41">
        <f>IF(O1149="","-",MONTH(O1149))</f>
        <v>4</v>
      </c>
      <c r="I1149" s="131">
        <f>INDEX('Base de données Mono'!K:K,MATCH(B1149,'Base de données Mono'!D:D,0))</f>
        <v>0.16666666666666666</v>
      </c>
      <c r="J1149" s="131">
        <f>INDEX('Base de données Mono'!L:L,MATCH(B1149,'Base de données Mono'!D:D,0))</f>
        <v>0.875</v>
      </c>
      <c r="K1149" s="131">
        <f>INDEX('Base de données Mono'!M:M,MATCH(B1149,'Base de données Mono'!D:D,0))</f>
        <v>0.20833333333333334</v>
      </c>
      <c r="L1149" s="131">
        <f>INDEX('Base de données Mono'!N:N,MATCH(B1149,'Base de données Mono'!D:D,0))</f>
        <v>0.54166666666666696</v>
      </c>
      <c r="M1149" s="33" t="s">
        <v>46</v>
      </c>
      <c r="N1149" s="33">
        <f>IF(AND(E1149="Electricité",M1149="Hiver"),INDEX('Base de données Mono'!E:E,MATCH(B1149,'Base de données Mono'!D:D,0)),IF(AND(E1149="Electricité",M1149="Mi-saison"),INDEX('Base de données Mono'!F:F,MATCH(B1149,'Base de données Mono'!D:D,0)),IF(AND(E1149="Electricité",M1149="Eté"),INDEX('Base de données Mono'!G:G,MATCH(B1149,'Base de données Mono'!D:D,0)),IF(AND(E1149="Gaz",M1149="Hiver"),INDEX('Base de données Mono'!J:J,MATCH(B1149,'Base de données Mono'!D:D,0)),IF(AND(E1149="Gaz",M1149="Mi-saison"),INDEX('Base de données Mono'!#REF!,MATCH(B1149,'Base de données Mono'!D:D,0)),IF(AND(E1149="Gaz",M1149="Eté"),INDEX('Base de données Mono'!#REF!,MATCH(B1149,'Base de données Mono'!D:D,0)),"-"))))))</f>
        <v>75</v>
      </c>
      <c r="O1149" s="123">
        <v>45397</v>
      </c>
      <c r="P1149" s="123">
        <v>45403</v>
      </c>
      <c r="Q1149" s="34">
        <v>120</v>
      </c>
      <c r="R1149" s="33">
        <f>IF(Q1149="","",Q1149-N1149)</f>
        <v>45</v>
      </c>
      <c r="S1149" s="34">
        <v>0.5</v>
      </c>
      <c r="T1149" s="34">
        <f>P1149-O1149</f>
        <v>6</v>
      </c>
      <c r="U1149" s="33">
        <f>R1149*S1149*T1149</f>
        <v>135</v>
      </c>
      <c r="V1149" s="38" t="s">
        <v>827</v>
      </c>
      <c r="W1149" s="39">
        <f>IFERROR(IF(E1149="Gaz","-",R1149/N1149),"-")</f>
        <v>0.6</v>
      </c>
      <c r="X1149" s="40" t="s">
        <v>304</v>
      </c>
      <c r="Y1149" s="40" t="s">
        <v>284</v>
      </c>
      <c r="Z1149" s="40" t="s">
        <v>307</v>
      </c>
      <c r="AA1149" s="33" t="s">
        <v>313</v>
      </c>
      <c r="AB1149" s="95"/>
      <c r="AC1149" s="95"/>
    </row>
    <row r="1150" spans="1:29" ht="14.45" hidden="1" customHeight="1" x14ac:dyDescent="0.25">
      <c r="A1150" s="36" t="str">
        <f>INDEX('Base de données Mono'!C:C,MATCH(B1150,'Base de données Mono'!D:D,0))</f>
        <v>BORDEAUX ST CHRISTOLY</v>
      </c>
      <c r="B1150" t="s">
        <v>6</v>
      </c>
      <c r="C1150" s="36" t="str">
        <f>INDEX('Base de données Mono'!B:B,MATCH(B1150,'Base de données Mono'!D:D,0))</f>
        <v>SES8</v>
      </c>
      <c r="D1150" s="36" t="str">
        <f>INDEX('Base de données Mono'!A:A,MATCH(B1150,'Base de données Mono'!D:D,0))</f>
        <v>AD</v>
      </c>
      <c r="E1150" s="37" t="s">
        <v>303</v>
      </c>
      <c r="F1150" s="41">
        <f>IF(O1150="","-",IF(AND(X1150="Nuit",WEEKDAY(O1150,2)=7,O1150&lt;&gt;P1150),WEEKNUM(O1150,2),WEEKNUM(O1150,2)-1))+1</f>
        <v>16</v>
      </c>
      <c r="G1150" s="41">
        <f>IF(O1150="","-",MONTH(O1150))</f>
        <v>4</v>
      </c>
      <c r="I1150" s="131">
        <f>INDEX('Base de données Mono'!K:K,MATCH(B1150,'Base de données Mono'!D:D,0))</f>
        <v>0.16666666666666666</v>
      </c>
      <c r="J1150" s="131">
        <f>INDEX('Base de données Mono'!L:L,MATCH(B1150,'Base de données Mono'!D:D,0))</f>
        <v>0.875</v>
      </c>
      <c r="K1150" s="131">
        <f>INDEX('Base de données Mono'!M:M,MATCH(B1150,'Base de données Mono'!D:D,0))</f>
        <v>0.20833333333333334</v>
      </c>
      <c r="L1150" s="131">
        <f>INDEX('Base de données Mono'!N:N,MATCH(B1150,'Base de données Mono'!D:D,0))</f>
        <v>0.54166666666666696</v>
      </c>
      <c r="M1150" s="33" t="s">
        <v>46</v>
      </c>
      <c r="N1150" s="33">
        <f>IF(AND(E1150="Electricité",M1150="Hiver"),INDEX('Base de données Mono'!E:E,MATCH(B1150,'Base de données Mono'!D:D,0)),IF(AND(E1150="Electricité",M1150="Mi-saison"),INDEX('Base de données Mono'!F:F,MATCH(B1150,'Base de données Mono'!D:D,0)),IF(AND(E1150="Electricité",M1150="Eté"),INDEX('Base de données Mono'!G:G,MATCH(B1150,'Base de données Mono'!D:D,0)),IF(AND(E1150="Gaz",M1150="Hiver"),INDEX('Base de données Mono'!J:J,MATCH(B1150,'Base de données Mono'!D:D,0)),IF(AND(E1150="Gaz",M1150="Mi-saison"),INDEX('Base de données Mono'!#REF!,MATCH(B1150,'Base de données Mono'!D:D,0)),IF(AND(E1150="Gaz",M1150="Eté"),INDEX('Base de données Mono'!#REF!,MATCH(B1150,'Base de données Mono'!D:D,0)),"-"))))))</f>
        <v>75</v>
      </c>
      <c r="O1150" s="123">
        <v>45396</v>
      </c>
      <c r="P1150" s="123">
        <v>45403</v>
      </c>
      <c r="Q1150" s="34">
        <v>90</v>
      </c>
      <c r="R1150" s="33">
        <f>IF(Q1150="","",Q1150-N1150)</f>
        <v>15</v>
      </c>
      <c r="S1150" s="34">
        <v>6.5</v>
      </c>
      <c r="T1150" s="34">
        <f>P1150-O1150</f>
        <v>7</v>
      </c>
      <c r="U1150" s="33">
        <f>R1150*S1150*T1150</f>
        <v>682.5</v>
      </c>
      <c r="V1150" s="38" t="s">
        <v>827</v>
      </c>
      <c r="W1150" s="39">
        <f>IFERROR(IF(E1150="Gaz","-",R1150/N1150),"-")</f>
        <v>0.2</v>
      </c>
      <c r="X1150" s="40" t="s">
        <v>304</v>
      </c>
      <c r="Y1150" s="40" t="s">
        <v>284</v>
      </c>
      <c r="Z1150" s="40" t="s">
        <v>305</v>
      </c>
      <c r="AA1150" s="33" t="s">
        <v>771</v>
      </c>
      <c r="AB1150" s="95"/>
      <c r="AC1150" s="95"/>
    </row>
    <row r="1151" spans="1:29" ht="14.45" hidden="1" customHeight="1" x14ac:dyDescent="0.25">
      <c r="A1151" s="36" t="str">
        <f>INDEX('Base de données Mono'!C:C,MATCH(B1151,'Base de données Mono'!D:D,0))</f>
        <v>REIMS</v>
      </c>
      <c r="B1151" t="s">
        <v>218</v>
      </c>
      <c r="C1151" s="36" t="str">
        <f>INDEX('Base de données Mono'!B:B,MATCH(B1151,'Base de données Mono'!D:D,0))</f>
        <v>SES8</v>
      </c>
      <c r="D1151" s="36" t="str">
        <f>INDEX('Base de données Mono'!A:A,MATCH(B1151,'Base de données Mono'!D:D,0))</f>
        <v>JG</v>
      </c>
      <c r="E1151" s="37" t="s">
        <v>303</v>
      </c>
      <c r="F1151" s="41">
        <f t="shared" ref="F1151" si="192">IF(O1151="","-",IF(AND(X1151="Nuit",WEEKDAY(O1151,2)=7,O1151&lt;&gt;P1151),WEEKNUM(O1151,2),WEEKNUM(O1151,2)-1))+1</f>
        <v>16</v>
      </c>
      <c r="G1151" s="41">
        <f t="shared" ref="G1151" si="193">IF(O1151="","-",MONTH(O1151))</f>
        <v>4</v>
      </c>
      <c r="I1151" s="131">
        <f>INDEX('Base de données Mono'!K:K,MATCH(B1151,'Base de données Mono'!D:D,0))</f>
        <v>0.22916666666666666</v>
      </c>
      <c r="J1151" s="131">
        <f>INDEX('Base de données Mono'!L:L,MATCH(B1151,'Base de données Mono'!D:D,0))</f>
        <v>0.85416666666666663</v>
      </c>
      <c r="K1151" s="131">
        <f>INDEX('Base de données Mono'!M:M,MATCH(B1151,'Base de données Mono'!D:D,0))</f>
        <v>0.3125</v>
      </c>
      <c r="L1151" s="131">
        <f>INDEX('Base de données Mono'!N:N,MATCH(B1151,'Base de données Mono'!D:D,0))</f>
        <v>0.5625</v>
      </c>
      <c r="M1151" s="33" t="s">
        <v>46</v>
      </c>
      <c r="N1151" s="33">
        <f>IF(AND(E1151="Electricité",M1151="Hiver"),INDEX('Base de données Mono'!E:E,MATCH(B1151,'Base de données Mono'!D:D,0)),IF(AND(E1151="Electricité",M1151="Mi-saison"),INDEX('Base de données Mono'!F:F,MATCH(B1151,'Base de données Mono'!D:D,0)),IF(AND(E1151="Electricité",M1151="Eté"),INDEX('Base de données Mono'!G:G,MATCH(B1151,'Base de données Mono'!D:D,0)),IF(AND(E1151="Gaz",M1151="Hiver"),INDEX('Base de données Mono'!J:J,MATCH(B1151,'Base de données Mono'!D:D,0)),IF(AND(E1151="Gaz",M1151="Mi-saison"),INDEX('Base de données Mono'!#REF!,MATCH(B1151,'Base de données Mono'!D:D,0)),IF(AND(E1151="Gaz",M1151="Eté"),INDEX('Base de données Mono'!#REF!,MATCH(B1151,'Base de données Mono'!D:D,0)),"-"))))))</f>
        <v>40</v>
      </c>
      <c r="O1151" s="123">
        <v>45400</v>
      </c>
      <c r="P1151" s="123">
        <v>45403</v>
      </c>
      <c r="Q1151" s="34">
        <v>45</v>
      </c>
      <c r="R1151" s="33">
        <f t="shared" ref="R1151" si="194">IF(Q1151="","",Q1151-N1151)</f>
        <v>5</v>
      </c>
      <c r="S1151" s="34">
        <v>7</v>
      </c>
      <c r="T1151" s="34">
        <f t="shared" ref="T1151" si="195">P1151-O1151</f>
        <v>3</v>
      </c>
      <c r="U1151" s="33">
        <f t="shared" ref="U1151" si="196">R1151*S1151*T1151</f>
        <v>105</v>
      </c>
      <c r="V1151" s="38" t="s">
        <v>827</v>
      </c>
      <c r="W1151" s="39">
        <f t="shared" ref="W1151" si="197">IFERROR(IF(E1151="Gaz","-",R1151/N1151),"-")</f>
        <v>0.125</v>
      </c>
      <c r="X1151" s="40" t="s">
        <v>304</v>
      </c>
      <c r="Y1151" s="40" t="s">
        <v>284</v>
      </c>
      <c r="Z1151" s="40" t="s">
        <v>305</v>
      </c>
      <c r="AA1151" s="33" t="s">
        <v>771</v>
      </c>
      <c r="AB1151" s="95"/>
      <c r="AC1151" s="95" t="s">
        <v>836</v>
      </c>
    </row>
    <row r="1152" spans="1:29" ht="14.45" hidden="1" customHeight="1" x14ac:dyDescent="0.25">
      <c r="A1152" s="36" t="str">
        <f>INDEX('Base de données Mono'!C:C,MATCH(B1152,'Base de données Mono'!D:D,0))</f>
        <v>REIMS</v>
      </c>
      <c r="B1152" t="s">
        <v>218</v>
      </c>
      <c r="C1152" s="36" t="str">
        <f>INDEX('Base de données Mono'!B:B,MATCH(B1152,'Base de données Mono'!D:D,0))</f>
        <v>SES8</v>
      </c>
      <c r="D1152" s="36" t="str">
        <f>INDEX('Base de données Mono'!A:A,MATCH(B1152,'Base de données Mono'!D:D,0))</f>
        <v>JG</v>
      </c>
      <c r="E1152" s="37" t="s">
        <v>303</v>
      </c>
      <c r="F1152" s="41">
        <f t="shared" si="187"/>
        <v>16</v>
      </c>
      <c r="G1152" s="41">
        <f t="shared" si="188"/>
        <v>4</v>
      </c>
      <c r="I1152" s="131">
        <f>INDEX('Base de données Mono'!K:K,MATCH(B1152,'Base de données Mono'!D:D,0))</f>
        <v>0.22916666666666666</v>
      </c>
      <c r="J1152" s="131">
        <f>INDEX('Base de données Mono'!L:L,MATCH(B1152,'Base de données Mono'!D:D,0))</f>
        <v>0.85416666666666663</v>
      </c>
      <c r="K1152" s="131">
        <f>INDEX('Base de données Mono'!M:M,MATCH(B1152,'Base de données Mono'!D:D,0))</f>
        <v>0.3125</v>
      </c>
      <c r="L1152" s="131">
        <f>INDEX('Base de données Mono'!N:N,MATCH(B1152,'Base de données Mono'!D:D,0))</f>
        <v>0.5625</v>
      </c>
      <c r="M1152" s="33" t="s">
        <v>46</v>
      </c>
      <c r="N1152" s="33">
        <f>IF(AND(E1152="Electricité",M1152="Hiver"),INDEX('Base de données Mono'!E:E,MATCH(B1152,'Base de données Mono'!D:D,0)),IF(AND(E1152="Electricité",M1152="Mi-saison"),INDEX('Base de données Mono'!F:F,MATCH(B1152,'Base de données Mono'!D:D,0)),IF(AND(E1152="Electricité",M1152="Eté"),INDEX('Base de données Mono'!G:G,MATCH(B1152,'Base de données Mono'!D:D,0)),IF(AND(E1152="Gaz",M1152="Hiver"),INDEX('Base de données Mono'!J:J,MATCH(B1152,'Base de données Mono'!D:D,0)),IF(AND(E1152="Gaz",M1152="Mi-saison"),INDEX('Base de données Mono'!#REF!,MATCH(B1152,'Base de données Mono'!D:D,0)),IF(AND(E1152="Gaz",M1152="Eté"),INDEX('Base de données Mono'!#REF!,MATCH(B1152,'Base de données Mono'!D:D,0)),"-"))))))</f>
        <v>40</v>
      </c>
      <c r="O1152" s="123">
        <v>45399</v>
      </c>
      <c r="P1152" s="123">
        <v>45403</v>
      </c>
      <c r="Q1152" s="34">
        <v>60</v>
      </c>
      <c r="R1152" s="33">
        <f t="shared" si="189"/>
        <v>20</v>
      </c>
      <c r="S1152" s="34">
        <v>0.3</v>
      </c>
      <c r="T1152" s="34">
        <f t="shared" si="184"/>
        <v>4</v>
      </c>
      <c r="U1152" s="33">
        <f t="shared" si="190"/>
        <v>24</v>
      </c>
      <c r="V1152" s="38" t="s">
        <v>827</v>
      </c>
      <c r="W1152" s="39">
        <f t="shared" si="191"/>
        <v>0.5</v>
      </c>
      <c r="X1152" s="40" t="s">
        <v>304</v>
      </c>
      <c r="Y1152" s="40" t="s">
        <v>284</v>
      </c>
      <c r="Z1152" s="40" t="s">
        <v>305</v>
      </c>
      <c r="AA1152" s="33" t="s">
        <v>771</v>
      </c>
      <c r="AB1152" s="95"/>
      <c r="AC1152" s="95" t="s">
        <v>836</v>
      </c>
    </row>
    <row r="1153" spans="1:29" ht="14.45" hidden="1" customHeight="1" x14ac:dyDescent="0.25">
      <c r="A1153" s="36" t="str">
        <f>INDEX('Base de données Mono'!C:C,MATCH(B1153,'Base de données Mono'!D:D,0))</f>
        <v>MULHOUSE</v>
      </c>
      <c r="B1153" t="s">
        <v>184</v>
      </c>
      <c r="C1153" s="36" t="str">
        <f>INDEX('Base de données Mono'!B:B,MATCH(B1153,'Base de données Mono'!D:D,0))</f>
        <v>SES8</v>
      </c>
      <c r="D1153" s="36" t="str">
        <f>INDEX('Base de données Mono'!A:A,MATCH(B1153,'Base de données Mono'!D:D,0))</f>
        <v>JG</v>
      </c>
      <c r="E1153" s="37" t="s">
        <v>303</v>
      </c>
      <c r="F1153" s="41">
        <f t="shared" ref="F1153" si="198">IF(O1153="","-",IF(AND(X1153="Nuit",WEEKDAY(O1153,2)=7,O1153&lt;&gt;P1153),WEEKNUM(O1153,2),WEEKNUM(O1153,2)-1))+1</f>
        <v>16</v>
      </c>
      <c r="G1153" s="41">
        <f t="shared" ref="G1153" si="199">IF(O1153="","-",MONTH(O1153))</f>
        <v>4</v>
      </c>
      <c r="I1153" s="131">
        <f>INDEX('Base de données Mono'!K:K,MATCH(B1153,'Base de données Mono'!D:D,0))</f>
        <v>0.24305555555555555</v>
      </c>
      <c r="J1153" s="131">
        <f>INDEX('Base de données Mono'!L:L,MATCH(B1153,'Base de données Mono'!D:D,0))</f>
        <v>0.84375</v>
      </c>
      <c r="K1153" s="131" t="str">
        <f>INDEX('Base de données Mono'!M:M,MATCH(B1153,'Base de données Mono'!D:D,0))</f>
        <v>-</v>
      </c>
      <c r="L1153" s="131" t="str">
        <f>INDEX('Base de données Mono'!N:N,MATCH(B1153,'Base de données Mono'!D:D,0))</f>
        <v>-</v>
      </c>
      <c r="M1153" s="33" t="s">
        <v>46</v>
      </c>
      <c r="N1153" s="33">
        <f>IF(AND(E1153="Electricité",M1153="Hiver"),INDEX('Base de données Mono'!E:E,MATCH(B1153,'Base de données Mono'!D:D,0)),IF(AND(E1153="Electricité",M1153="Mi-saison"),INDEX('Base de données Mono'!F:F,MATCH(B1153,'Base de données Mono'!D:D,0)),IF(AND(E1153="Electricité",M1153="Eté"),INDEX('Base de données Mono'!G:G,MATCH(B1153,'Base de données Mono'!D:D,0)),IF(AND(E1153="Gaz",M1153="Hiver"),INDEX('Base de données Mono'!J:J,MATCH(B1153,'Base de données Mono'!D:D,0)),IF(AND(E1153="Gaz",M1153="Mi-saison"),INDEX('Base de données Mono'!#REF!,MATCH(B1153,'Base de données Mono'!D:D,0)),IF(AND(E1153="Gaz",M1153="Eté"),INDEX('Base de données Mono'!#REF!,MATCH(B1153,'Base de données Mono'!D:D,0)),"-"))))))</f>
        <v>45</v>
      </c>
      <c r="O1153" s="123">
        <v>45396</v>
      </c>
      <c r="P1153" s="123">
        <v>45397</v>
      </c>
      <c r="Q1153" s="34">
        <v>50</v>
      </c>
      <c r="R1153" s="33">
        <f t="shared" ref="R1153" si="200">IF(Q1153="","",Q1153-N1153)</f>
        <v>5</v>
      </c>
      <c r="S1153" s="34">
        <v>9.5</v>
      </c>
      <c r="T1153" s="34">
        <f t="shared" ref="T1153" si="201">P1153-O1153</f>
        <v>1</v>
      </c>
      <c r="U1153" s="33">
        <f t="shared" ref="U1153" si="202">R1153*S1153*T1153</f>
        <v>47.5</v>
      </c>
      <c r="V1153" s="38" t="s">
        <v>827</v>
      </c>
      <c r="W1153" s="39">
        <f t="shared" ref="W1153" si="203">IFERROR(IF(E1153="Gaz","-",R1153/N1153),"-")</f>
        <v>0.1111111111111111</v>
      </c>
      <c r="X1153" s="40" t="s">
        <v>304</v>
      </c>
      <c r="Y1153" s="40" t="s">
        <v>284</v>
      </c>
      <c r="Z1153" s="40" t="s">
        <v>305</v>
      </c>
      <c r="AA1153" s="33" t="s">
        <v>771</v>
      </c>
      <c r="AB1153" s="95"/>
      <c r="AC1153" s="95"/>
    </row>
    <row r="1154" spans="1:29" ht="14.45" hidden="1" customHeight="1" x14ac:dyDescent="0.25">
      <c r="A1154" s="36" t="str">
        <f>INDEX('Base de données Mono'!C:C,MATCH(B1154,'Base de données Mono'!D:D,0))</f>
        <v>MULHOUSE</v>
      </c>
      <c r="B1154" t="s">
        <v>184</v>
      </c>
      <c r="C1154" s="36" t="str">
        <f>INDEX('Base de données Mono'!B:B,MATCH(B1154,'Base de données Mono'!D:D,0))</f>
        <v>SES8</v>
      </c>
      <c r="D1154" s="36" t="str">
        <f>INDEX('Base de données Mono'!A:A,MATCH(B1154,'Base de données Mono'!D:D,0))</f>
        <v>JG</v>
      </c>
      <c r="E1154" s="37" t="s">
        <v>303</v>
      </c>
      <c r="F1154" s="41">
        <f t="shared" ref="F1154" si="204">IF(O1154="","-",IF(AND(X1154="Nuit",WEEKDAY(O1154,2)=7,O1154&lt;&gt;P1154),WEEKNUM(O1154,2),WEEKNUM(O1154,2)-1))+1</f>
        <v>16</v>
      </c>
      <c r="G1154" s="41">
        <f t="shared" ref="G1154" si="205">IF(O1154="","-",MONTH(O1154))</f>
        <v>4</v>
      </c>
      <c r="I1154" s="131">
        <f>INDEX('Base de données Mono'!K:K,MATCH(B1154,'Base de données Mono'!D:D,0))</f>
        <v>0.24305555555555555</v>
      </c>
      <c r="J1154" s="131">
        <f>INDEX('Base de données Mono'!L:L,MATCH(B1154,'Base de données Mono'!D:D,0))</f>
        <v>0.84375</v>
      </c>
      <c r="K1154" s="131" t="str">
        <f>INDEX('Base de données Mono'!M:M,MATCH(B1154,'Base de données Mono'!D:D,0))</f>
        <v>-</v>
      </c>
      <c r="L1154" s="131" t="str">
        <f>INDEX('Base de données Mono'!N:N,MATCH(B1154,'Base de données Mono'!D:D,0))</f>
        <v>-</v>
      </c>
      <c r="M1154" s="33" t="s">
        <v>46</v>
      </c>
      <c r="N1154" s="33">
        <f>IF(AND(E1154="Electricité",M1154="Hiver"),INDEX('Base de données Mono'!E:E,MATCH(B1154,'Base de données Mono'!D:D,0)),IF(AND(E1154="Electricité",M1154="Mi-saison"),INDEX('Base de données Mono'!F:F,MATCH(B1154,'Base de données Mono'!D:D,0)),IF(AND(E1154="Electricité",M1154="Eté"),INDEX('Base de données Mono'!G:G,MATCH(B1154,'Base de données Mono'!D:D,0)),IF(AND(E1154="Gaz",M1154="Hiver"),INDEX('Base de données Mono'!J:J,MATCH(B1154,'Base de données Mono'!D:D,0)),IF(AND(E1154="Gaz",M1154="Mi-saison"),INDEX('Base de données Mono'!#REF!,MATCH(B1154,'Base de données Mono'!D:D,0)),IF(AND(E1154="Gaz",M1154="Eté"),INDEX('Base de données Mono'!#REF!,MATCH(B1154,'Base de données Mono'!D:D,0)),"-"))))))</f>
        <v>45</v>
      </c>
      <c r="O1154" s="123">
        <v>45397</v>
      </c>
      <c r="P1154" s="123">
        <v>45403</v>
      </c>
      <c r="Q1154" s="34">
        <v>70</v>
      </c>
      <c r="R1154" s="33">
        <f t="shared" ref="R1154" si="206">IF(Q1154="","",Q1154-N1154)</f>
        <v>25</v>
      </c>
      <c r="S1154" s="34">
        <v>1</v>
      </c>
      <c r="T1154" s="34">
        <f t="shared" ref="T1154" si="207">P1154-O1154</f>
        <v>6</v>
      </c>
      <c r="U1154" s="33">
        <f t="shared" ref="U1154" si="208">R1154*S1154*T1154</f>
        <v>150</v>
      </c>
      <c r="V1154" s="38" t="s">
        <v>827</v>
      </c>
      <c r="W1154" s="39">
        <f t="shared" ref="W1154" si="209">IFERROR(IF(E1154="Gaz","-",R1154/N1154),"-")</f>
        <v>0.55555555555555558</v>
      </c>
      <c r="X1154" s="40" t="s">
        <v>304</v>
      </c>
      <c r="Y1154" s="40" t="s">
        <v>284</v>
      </c>
      <c r="Z1154" s="40" t="s">
        <v>307</v>
      </c>
      <c r="AA1154" s="33" t="s">
        <v>313</v>
      </c>
      <c r="AB1154" s="95"/>
      <c r="AC1154" s="95"/>
    </row>
    <row r="1155" spans="1:29" ht="14.45" hidden="1" customHeight="1" x14ac:dyDescent="0.25">
      <c r="A1155" s="36" t="str">
        <f>INDEX('Base de données Mono'!C:C,MATCH(B1155,'Base de données Mono'!D:D,0))</f>
        <v>CROIX ROUSSE</v>
      </c>
      <c r="B1155" t="s">
        <v>116</v>
      </c>
      <c r="C1155" s="36" t="str">
        <f>INDEX('Base de données Mono'!B:B,MATCH(B1155,'Base de données Mono'!D:D,0))</f>
        <v>SES8</v>
      </c>
      <c r="D1155" s="36" t="str">
        <f>INDEX('Base de données Mono'!A:A,MATCH(B1155,'Base de données Mono'!D:D,0))</f>
        <v>JG</v>
      </c>
      <c r="E1155" s="37" t="s">
        <v>303</v>
      </c>
      <c r="F1155" s="41">
        <f t="shared" si="187"/>
        <v>16</v>
      </c>
      <c r="G1155" s="41">
        <f t="shared" si="188"/>
        <v>4</v>
      </c>
      <c r="I1155" s="131">
        <f>INDEX('Base de données Mono'!K:K,MATCH(B1155,'Base de données Mono'!D:D,0))</f>
        <v>0.20486111111111113</v>
      </c>
      <c r="J1155" s="131">
        <f>INDEX('Base de données Mono'!L:L,MATCH(B1155,'Base de données Mono'!D:D,0))</f>
        <v>0.89583333333333337</v>
      </c>
      <c r="K1155" s="131">
        <f>INDEX('Base de données Mono'!M:M,MATCH(B1155,'Base de données Mono'!D:D,0))</f>
        <v>0.29166666666666669</v>
      </c>
      <c r="L1155" s="131">
        <f>INDEX('Base de données Mono'!N:N,MATCH(B1155,'Base de données Mono'!D:D,0))</f>
        <v>0.5625</v>
      </c>
      <c r="M1155" s="33" t="s">
        <v>46</v>
      </c>
      <c r="N1155" s="33">
        <f>IF(AND(E1155="Electricité",M1155="Hiver"),INDEX('Base de données Mono'!E:E,MATCH(B1155,'Base de données Mono'!D:D,0)),IF(AND(E1155="Electricité",M1155="Mi-saison"),INDEX('Base de données Mono'!F:F,MATCH(B1155,'Base de données Mono'!D:D,0)),IF(AND(E1155="Electricité",M1155="Eté"),INDEX('Base de données Mono'!G:G,MATCH(B1155,'Base de données Mono'!D:D,0)),IF(AND(E1155="Gaz",M1155="Hiver"),INDEX('Base de données Mono'!J:J,MATCH(B1155,'Base de données Mono'!D:D,0)),IF(AND(E1155="Gaz",M1155="Mi-saison"),INDEX('Base de données Mono'!#REF!,MATCH(B1155,'Base de données Mono'!D:D,0)),IF(AND(E1155="Gaz",M1155="Eté"),INDEX('Base de données Mono'!#REF!,MATCH(B1155,'Base de données Mono'!D:D,0)),"-"))))))</f>
        <v>80</v>
      </c>
      <c r="O1155" s="123">
        <v>45396</v>
      </c>
      <c r="P1155" s="123">
        <v>45397</v>
      </c>
      <c r="Q1155" s="34">
        <v>95</v>
      </c>
      <c r="R1155" s="33">
        <f t="shared" si="189"/>
        <v>15</v>
      </c>
      <c r="S1155" s="34">
        <v>6.9</v>
      </c>
      <c r="T1155" s="34">
        <f t="shared" si="184"/>
        <v>1</v>
      </c>
      <c r="U1155" s="33">
        <f t="shared" si="190"/>
        <v>103.5</v>
      </c>
      <c r="V1155" s="38" t="s">
        <v>827</v>
      </c>
      <c r="W1155" s="39">
        <f t="shared" si="191"/>
        <v>0.1875</v>
      </c>
      <c r="X1155" s="40" t="s">
        <v>304</v>
      </c>
      <c r="Y1155" s="40" t="s">
        <v>284</v>
      </c>
      <c r="Z1155" s="40" t="s">
        <v>305</v>
      </c>
      <c r="AA1155" s="33" t="s">
        <v>771</v>
      </c>
      <c r="AB1155" s="95"/>
      <c r="AC1155" s="95"/>
    </row>
    <row r="1156" spans="1:29" ht="14.45" hidden="1" customHeight="1" x14ac:dyDescent="0.25">
      <c r="A1156" s="36" t="str">
        <f>INDEX('Base de données Mono'!C:C,MATCH(B1156,'Base de données Mono'!D:D,0))</f>
        <v>CROIX ROUSSE</v>
      </c>
      <c r="B1156" t="s">
        <v>116</v>
      </c>
      <c r="C1156" s="36" t="str">
        <f>INDEX('Base de données Mono'!B:B,MATCH(B1156,'Base de données Mono'!D:D,0))</f>
        <v>SES8</v>
      </c>
      <c r="D1156" s="36" t="str">
        <f>INDEX('Base de données Mono'!A:A,MATCH(B1156,'Base de données Mono'!D:D,0))</f>
        <v>JG</v>
      </c>
      <c r="E1156" s="37" t="s">
        <v>303</v>
      </c>
      <c r="F1156" s="41">
        <f t="shared" si="187"/>
        <v>16</v>
      </c>
      <c r="G1156" s="41">
        <f t="shared" si="188"/>
        <v>4</v>
      </c>
      <c r="I1156" s="131">
        <f>INDEX('Base de données Mono'!K:K,MATCH(B1156,'Base de données Mono'!D:D,0))</f>
        <v>0.20486111111111113</v>
      </c>
      <c r="J1156" s="131">
        <f>INDEX('Base de données Mono'!L:L,MATCH(B1156,'Base de données Mono'!D:D,0))</f>
        <v>0.89583333333333337</v>
      </c>
      <c r="K1156" s="131">
        <f>INDEX('Base de données Mono'!M:M,MATCH(B1156,'Base de données Mono'!D:D,0))</f>
        <v>0.29166666666666669</v>
      </c>
      <c r="L1156" s="131">
        <f>INDEX('Base de données Mono'!N:N,MATCH(B1156,'Base de données Mono'!D:D,0))</f>
        <v>0.5625</v>
      </c>
      <c r="M1156" s="33" t="s">
        <v>46</v>
      </c>
      <c r="N1156" s="33">
        <f>IF(AND(E1156="Electricité",M1156="Hiver"),INDEX('Base de données Mono'!E:E,MATCH(B1156,'Base de données Mono'!D:D,0)),IF(AND(E1156="Electricité",M1156="Mi-saison"),INDEX('Base de données Mono'!F:F,MATCH(B1156,'Base de données Mono'!D:D,0)),IF(AND(E1156="Electricité",M1156="Eté"),INDEX('Base de données Mono'!G:G,MATCH(B1156,'Base de données Mono'!D:D,0)),IF(AND(E1156="Gaz",M1156="Hiver"),INDEX('Base de données Mono'!J:J,MATCH(B1156,'Base de données Mono'!D:D,0)),IF(AND(E1156="Gaz",M1156="Mi-saison"),INDEX('Base de données Mono'!#REF!,MATCH(B1156,'Base de données Mono'!D:D,0)),IF(AND(E1156="Gaz",M1156="Eté"),INDEX('Base de données Mono'!#REF!,MATCH(B1156,'Base de données Mono'!D:D,0)),"-"))))))</f>
        <v>80</v>
      </c>
      <c r="O1156" s="123">
        <v>45396</v>
      </c>
      <c r="P1156" s="123">
        <v>45402</v>
      </c>
      <c r="Q1156" s="34">
        <v>105</v>
      </c>
      <c r="R1156" s="33">
        <f t="shared" si="189"/>
        <v>25</v>
      </c>
      <c r="S1156" s="34">
        <v>0.5</v>
      </c>
      <c r="T1156" s="34">
        <f t="shared" si="184"/>
        <v>6</v>
      </c>
      <c r="U1156" s="33">
        <f t="shared" si="190"/>
        <v>75</v>
      </c>
      <c r="V1156" s="38" t="s">
        <v>827</v>
      </c>
      <c r="W1156" s="39">
        <f t="shared" si="191"/>
        <v>0.3125</v>
      </c>
      <c r="X1156" s="40" t="s">
        <v>304</v>
      </c>
      <c r="Y1156" s="40" t="s">
        <v>284</v>
      </c>
      <c r="Z1156" s="40" t="s">
        <v>305</v>
      </c>
      <c r="AA1156" s="33" t="s">
        <v>771</v>
      </c>
      <c r="AB1156" s="95"/>
      <c r="AC1156" s="95"/>
    </row>
    <row r="1157" spans="1:29" ht="14.45" hidden="1" customHeight="1" x14ac:dyDescent="0.25">
      <c r="A1157" s="36" t="str">
        <f>INDEX('Base de données Mono'!C:C,MATCH(B1157,'Base de données Mono'!D:D,0))</f>
        <v>MONTPELLIER COMEDIE</v>
      </c>
      <c r="B1157" t="s">
        <v>179</v>
      </c>
      <c r="C1157" s="36" t="str">
        <f>INDEX('Base de données Mono'!B:B,MATCH(B1157,'Base de données Mono'!D:D,0))</f>
        <v>SES8</v>
      </c>
      <c r="D1157" s="36" t="str">
        <f>INDEX('Base de données Mono'!A:A,MATCH(B1157,'Base de données Mono'!D:D,0))</f>
        <v>AD</v>
      </c>
      <c r="E1157" s="37" t="s">
        <v>303</v>
      </c>
      <c r="F1157" s="41">
        <f t="shared" si="187"/>
        <v>16</v>
      </c>
      <c r="G1157" s="41">
        <f t="shared" si="188"/>
        <v>4</v>
      </c>
      <c r="I1157" s="131">
        <f>INDEX('Base de données Mono'!K:K,MATCH(B1157,'Base de données Mono'!D:D,0))</f>
        <v>0.1875</v>
      </c>
      <c r="J1157" s="131">
        <f>INDEX('Base de données Mono'!L:L,MATCH(B1157,'Base de données Mono'!D:D,0))</f>
        <v>0.91666666666666663</v>
      </c>
      <c r="K1157" s="131">
        <f>INDEX('Base de données Mono'!M:M,MATCH(B1157,'Base de données Mono'!D:D,0))</f>
        <v>0.29166666666666669</v>
      </c>
      <c r="L1157" s="131">
        <f>INDEX('Base de données Mono'!N:N,MATCH(B1157,'Base de données Mono'!D:D,0))</f>
        <v>0.54166666666666663</v>
      </c>
      <c r="M1157" s="33" t="s">
        <v>46</v>
      </c>
      <c r="N1157" s="33">
        <f>IF(AND(E1157="Electricité",M1157="Hiver"),INDEX('Base de données Mono'!E:E,MATCH(B1157,'Base de données Mono'!D:D,0)),IF(AND(E1157="Electricité",M1157="Mi-saison"),INDEX('Base de données Mono'!F:F,MATCH(B1157,'Base de données Mono'!D:D,0)),IF(AND(E1157="Electricité",M1157="Eté"),INDEX('Base de données Mono'!G:G,MATCH(B1157,'Base de données Mono'!D:D,0)),IF(AND(E1157="Gaz",M1157="Hiver"),INDEX('Base de données Mono'!J:J,MATCH(B1157,'Base de données Mono'!D:D,0)),IF(AND(E1157="Gaz",M1157="Mi-saison"),INDEX('Base de données Mono'!#REF!,MATCH(B1157,'Base de données Mono'!D:D,0)),IF(AND(E1157="Gaz",M1157="Eté"),INDEX('Base de données Mono'!#REF!,MATCH(B1157,'Base de données Mono'!D:D,0)),"-"))))))</f>
        <v>60</v>
      </c>
      <c r="O1157" s="123">
        <v>45396</v>
      </c>
      <c r="P1157" s="123">
        <v>45397</v>
      </c>
      <c r="Q1157" s="34">
        <v>65</v>
      </c>
      <c r="R1157" s="33">
        <f t="shared" si="189"/>
        <v>5</v>
      </c>
      <c r="S1157" s="34">
        <v>4</v>
      </c>
      <c r="T1157" s="34">
        <f t="shared" si="184"/>
        <v>1</v>
      </c>
      <c r="U1157" s="33">
        <f t="shared" si="190"/>
        <v>20</v>
      </c>
      <c r="V1157" s="38" t="s">
        <v>827</v>
      </c>
      <c r="W1157" s="39">
        <f t="shared" si="191"/>
        <v>8.3333333333333329E-2</v>
      </c>
      <c r="X1157" s="40" t="s">
        <v>304</v>
      </c>
      <c r="Y1157" s="40" t="s">
        <v>284</v>
      </c>
      <c r="Z1157" s="40" t="s">
        <v>305</v>
      </c>
      <c r="AA1157" s="33" t="s">
        <v>771</v>
      </c>
      <c r="AB1157" s="95"/>
      <c r="AC1157" s="95"/>
    </row>
    <row r="1158" spans="1:29" ht="14.45" hidden="1" customHeight="1" x14ac:dyDescent="0.25">
      <c r="A1158" s="36" t="str">
        <f>INDEX('Base de données Mono'!C:C,MATCH(B1158,'Base de données Mono'!D:D,0))</f>
        <v>MONTPELLIER COMEDIE</v>
      </c>
      <c r="B1158" t="s">
        <v>179</v>
      </c>
      <c r="C1158" s="36" t="str">
        <f>INDEX('Base de données Mono'!B:B,MATCH(B1158,'Base de données Mono'!D:D,0))</f>
        <v>SES8</v>
      </c>
      <c r="D1158" s="36" t="str">
        <f>INDEX('Base de données Mono'!A:A,MATCH(B1158,'Base de données Mono'!D:D,0))</f>
        <v>AD</v>
      </c>
      <c r="E1158" s="37" t="s">
        <v>303</v>
      </c>
      <c r="F1158" s="41">
        <f t="shared" si="187"/>
        <v>16</v>
      </c>
      <c r="G1158" s="41">
        <f t="shared" si="188"/>
        <v>4</v>
      </c>
      <c r="I1158" s="131">
        <f>INDEX('Base de données Mono'!K:K,MATCH(B1158,'Base de données Mono'!D:D,0))</f>
        <v>0.1875</v>
      </c>
      <c r="J1158" s="131">
        <f>INDEX('Base de données Mono'!L:L,MATCH(B1158,'Base de données Mono'!D:D,0))</f>
        <v>0.91666666666666663</v>
      </c>
      <c r="K1158" s="131">
        <f>INDEX('Base de données Mono'!M:M,MATCH(B1158,'Base de données Mono'!D:D,0))</f>
        <v>0.29166666666666669</v>
      </c>
      <c r="L1158" s="131">
        <f>INDEX('Base de données Mono'!N:N,MATCH(B1158,'Base de données Mono'!D:D,0))</f>
        <v>0.54166666666666663</v>
      </c>
      <c r="M1158" s="33" t="s">
        <v>46</v>
      </c>
      <c r="N1158" s="33">
        <f>IF(AND(E1158="Electricité",M1158="Hiver"),INDEX('Base de données Mono'!E:E,MATCH(B1158,'Base de données Mono'!D:D,0)),IF(AND(E1158="Electricité",M1158="Mi-saison"),INDEX('Base de données Mono'!F:F,MATCH(B1158,'Base de données Mono'!D:D,0)),IF(AND(E1158="Electricité",M1158="Eté"),INDEX('Base de données Mono'!G:G,MATCH(B1158,'Base de données Mono'!D:D,0)),IF(AND(E1158="Gaz",M1158="Hiver"),INDEX('Base de données Mono'!J:J,MATCH(B1158,'Base de données Mono'!D:D,0)),IF(AND(E1158="Gaz",M1158="Mi-saison"),INDEX('Base de données Mono'!#REF!,MATCH(B1158,'Base de données Mono'!D:D,0)),IF(AND(E1158="Gaz",M1158="Eté"),INDEX('Base de données Mono'!#REF!,MATCH(B1158,'Base de données Mono'!D:D,0)),"-"))))))</f>
        <v>60</v>
      </c>
      <c r="O1158" s="123">
        <v>45397</v>
      </c>
      <c r="P1158" s="123">
        <v>45398</v>
      </c>
      <c r="Q1158" s="34">
        <v>105</v>
      </c>
      <c r="R1158" s="33">
        <f t="shared" si="189"/>
        <v>45</v>
      </c>
      <c r="S1158" s="34">
        <v>6.5</v>
      </c>
      <c r="T1158" s="34">
        <f t="shared" si="184"/>
        <v>1</v>
      </c>
      <c r="U1158" s="33">
        <f t="shared" si="190"/>
        <v>292.5</v>
      </c>
      <c r="V1158" s="38" t="s">
        <v>827</v>
      </c>
      <c r="W1158" s="39">
        <f t="shared" si="191"/>
        <v>0.75</v>
      </c>
      <c r="X1158" s="40" t="s">
        <v>304</v>
      </c>
      <c r="Y1158" s="40" t="s">
        <v>284</v>
      </c>
      <c r="Z1158" s="40" t="s">
        <v>311</v>
      </c>
      <c r="AA1158" s="33" t="s">
        <v>775</v>
      </c>
      <c r="AB1158" s="95"/>
      <c r="AC1158" s="95"/>
    </row>
    <row r="1159" spans="1:29" ht="14.45" hidden="1" customHeight="1" x14ac:dyDescent="0.25">
      <c r="A1159" s="36" t="str">
        <f>INDEX('Base de données Mono'!C:C,MATCH(B1159,'Base de données Mono'!D:D,0))</f>
        <v>MONTPELLIER COMEDIE</v>
      </c>
      <c r="B1159" t="s">
        <v>179</v>
      </c>
      <c r="C1159" s="36" t="str">
        <f>INDEX('Base de données Mono'!B:B,MATCH(B1159,'Base de données Mono'!D:D,0))</f>
        <v>SES8</v>
      </c>
      <c r="D1159" s="36" t="str">
        <f>INDEX('Base de données Mono'!A:A,MATCH(B1159,'Base de données Mono'!D:D,0))</f>
        <v>AD</v>
      </c>
      <c r="E1159" s="37" t="s">
        <v>303</v>
      </c>
      <c r="F1159" s="41">
        <f t="shared" ref="F1159" si="210">IF(O1159="","-",IF(AND(X1159="Nuit",WEEKDAY(O1159,2)=7,O1159&lt;&gt;P1159),WEEKNUM(O1159,2),WEEKNUM(O1159,2)-1))+1</f>
        <v>16</v>
      </c>
      <c r="G1159" s="41">
        <f t="shared" ref="G1159" si="211">IF(O1159="","-",MONTH(O1159))</f>
        <v>4</v>
      </c>
      <c r="I1159" s="131">
        <f>INDEX('Base de données Mono'!K:K,MATCH(B1159,'Base de données Mono'!D:D,0))</f>
        <v>0.1875</v>
      </c>
      <c r="J1159" s="131">
        <f>INDEX('Base de données Mono'!L:L,MATCH(B1159,'Base de données Mono'!D:D,0))</f>
        <v>0.91666666666666663</v>
      </c>
      <c r="K1159" s="131">
        <f>INDEX('Base de données Mono'!M:M,MATCH(B1159,'Base de données Mono'!D:D,0))</f>
        <v>0.29166666666666669</v>
      </c>
      <c r="L1159" s="131">
        <f>INDEX('Base de données Mono'!N:N,MATCH(B1159,'Base de données Mono'!D:D,0))</f>
        <v>0.54166666666666663</v>
      </c>
      <c r="M1159" s="33" t="s">
        <v>46</v>
      </c>
      <c r="N1159" s="33">
        <f>IF(AND(E1159="Electricité",M1159="Hiver"),INDEX('Base de données Mono'!E:E,MATCH(B1159,'Base de données Mono'!D:D,0)),IF(AND(E1159="Electricité",M1159="Mi-saison"),INDEX('Base de données Mono'!F:F,MATCH(B1159,'Base de données Mono'!D:D,0)),IF(AND(E1159="Electricité",M1159="Eté"),INDEX('Base de données Mono'!G:G,MATCH(B1159,'Base de données Mono'!D:D,0)),IF(AND(E1159="Gaz",M1159="Hiver"),INDEX('Base de données Mono'!J:J,MATCH(B1159,'Base de données Mono'!D:D,0)),IF(AND(E1159="Gaz",M1159="Mi-saison"),INDEX('Base de données Mono'!#REF!,MATCH(B1159,'Base de données Mono'!D:D,0)),IF(AND(E1159="Gaz",M1159="Eté"),INDEX('Base de données Mono'!#REF!,MATCH(B1159,'Base de données Mono'!D:D,0)),"-"))))))</f>
        <v>60</v>
      </c>
      <c r="O1159" s="123">
        <v>45398</v>
      </c>
      <c r="P1159" s="123">
        <v>45402</v>
      </c>
      <c r="Q1159" s="34">
        <v>65</v>
      </c>
      <c r="R1159" s="33">
        <f t="shared" ref="R1159" si="212">IF(Q1159="","",Q1159-N1159)</f>
        <v>5</v>
      </c>
      <c r="S1159" s="34">
        <v>6.5</v>
      </c>
      <c r="T1159" s="34">
        <f t="shared" ref="T1159" si="213">P1159-O1159</f>
        <v>4</v>
      </c>
      <c r="U1159" s="33">
        <f t="shared" ref="U1159" si="214">R1159*S1159*T1159</f>
        <v>130</v>
      </c>
      <c r="V1159" s="38" t="s">
        <v>827</v>
      </c>
      <c r="W1159" s="39">
        <f t="shared" ref="W1159" si="215">IFERROR(IF(E1159="Gaz","-",R1159/N1159),"-")</f>
        <v>8.3333333333333329E-2</v>
      </c>
      <c r="X1159" s="40" t="s">
        <v>304</v>
      </c>
      <c r="Y1159" s="40" t="s">
        <v>284</v>
      </c>
      <c r="Z1159" s="40" t="s">
        <v>305</v>
      </c>
      <c r="AA1159" s="33" t="s">
        <v>771</v>
      </c>
      <c r="AB1159" s="95"/>
      <c r="AC1159" s="95"/>
    </row>
    <row r="1160" spans="1:29" ht="14.45" hidden="1" customHeight="1" x14ac:dyDescent="0.25">
      <c r="A1160" s="36" t="str">
        <f>INDEX('Base de données Mono'!C:C,MATCH(B1160,'Base de données Mono'!D:D,0))</f>
        <v>MONTPELLIER COMEDIE</v>
      </c>
      <c r="B1160" t="s">
        <v>179</v>
      </c>
      <c r="C1160" s="36" t="str">
        <f>INDEX('Base de données Mono'!B:B,MATCH(B1160,'Base de données Mono'!D:D,0))</f>
        <v>SES8</v>
      </c>
      <c r="D1160" s="36" t="str">
        <f>INDEX('Base de données Mono'!A:A,MATCH(B1160,'Base de données Mono'!D:D,0))</f>
        <v>AD</v>
      </c>
      <c r="E1160" s="37" t="s">
        <v>303</v>
      </c>
      <c r="F1160" s="41">
        <f t="shared" si="187"/>
        <v>16</v>
      </c>
      <c r="G1160" s="41">
        <f t="shared" si="188"/>
        <v>4</v>
      </c>
      <c r="I1160" s="131">
        <f>INDEX('Base de données Mono'!K:K,MATCH(B1160,'Base de données Mono'!D:D,0))</f>
        <v>0.1875</v>
      </c>
      <c r="J1160" s="131">
        <f>INDEX('Base de données Mono'!L:L,MATCH(B1160,'Base de données Mono'!D:D,0))</f>
        <v>0.91666666666666663</v>
      </c>
      <c r="K1160" s="131">
        <f>INDEX('Base de données Mono'!M:M,MATCH(B1160,'Base de données Mono'!D:D,0))</f>
        <v>0.29166666666666669</v>
      </c>
      <c r="L1160" s="131">
        <f>INDEX('Base de données Mono'!N:N,MATCH(B1160,'Base de données Mono'!D:D,0))</f>
        <v>0.54166666666666663</v>
      </c>
      <c r="M1160" s="33" t="s">
        <v>46</v>
      </c>
      <c r="N1160" s="33">
        <f>IF(AND(E1160="Electricité",M1160="Hiver"),INDEX('Base de données Mono'!E:E,MATCH(B1160,'Base de données Mono'!D:D,0)),IF(AND(E1160="Electricité",M1160="Mi-saison"),INDEX('Base de données Mono'!F:F,MATCH(B1160,'Base de données Mono'!D:D,0)),IF(AND(E1160="Electricité",M1160="Eté"),INDEX('Base de données Mono'!G:G,MATCH(B1160,'Base de données Mono'!D:D,0)),IF(AND(E1160="Gaz",M1160="Hiver"),INDEX('Base de données Mono'!J:J,MATCH(B1160,'Base de données Mono'!D:D,0)),IF(AND(E1160="Gaz",M1160="Mi-saison"),INDEX('Base de données Mono'!#REF!,MATCH(B1160,'Base de données Mono'!D:D,0)),IF(AND(E1160="Gaz",M1160="Eté"),INDEX('Base de données Mono'!#REF!,MATCH(B1160,'Base de données Mono'!D:D,0)),"-"))))))</f>
        <v>60</v>
      </c>
      <c r="O1160" s="123">
        <v>45402</v>
      </c>
      <c r="P1160" s="123">
        <v>45403</v>
      </c>
      <c r="Q1160" s="34">
        <v>80</v>
      </c>
      <c r="R1160" s="33">
        <f t="shared" si="189"/>
        <v>20</v>
      </c>
      <c r="S1160" s="34">
        <v>1</v>
      </c>
      <c r="T1160" s="34">
        <f t="shared" si="184"/>
        <v>1</v>
      </c>
      <c r="U1160" s="33">
        <f t="shared" si="190"/>
        <v>20</v>
      </c>
      <c r="V1160" s="38" t="s">
        <v>827</v>
      </c>
      <c r="W1160" s="39">
        <f t="shared" si="191"/>
        <v>0.33333333333333331</v>
      </c>
      <c r="X1160" s="40" t="s">
        <v>304</v>
      </c>
      <c r="Y1160" s="40" t="s">
        <v>283</v>
      </c>
      <c r="Z1160" s="40" t="s">
        <v>749</v>
      </c>
      <c r="AA1160" s="33" t="s">
        <v>749</v>
      </c>
      <c r="AB1160" s="95"/>
      <c r="AC1160" s="95" t="s">
        <v>860</v>
      </c>
    </row>
    <row r="1161" spans="1:29" ht="14.45" hidden="1" customHeight="1" x14ac:dyDescent="0.25">
      <c r="A1161" s="36" t="str">
        <f>INDEX('Base de données Mono'!C:C,MATCH(B1161,'Base de données Mono'!D:D,0))</f>
        <v>AIX SEXTIUS</v>
      </c>
      <c r="B1161" t="s">
        <v>3</v>
      </c>
      <c r="C1161" s="36" t="str">
        <f>INDEX('Base de données Mono'!B:B,MATCH(B1161,'Base de données Mono'!D:D,0))</f>
        <v>SES8</v>
      </c>
      <c r="D1161" s="36" t="str">
        <f>INDEX('Base de données Mono'!A:A,MATCH(B1161,'Base de données Mono'!D:D,0))</f>
        <v>JG</v>
      </c>
      <c r="E1161" s="37" t="s">
        <v>303</v>
      </c>
      <c r="F1161" s="41">
        <f t="shared" ref="F1161:F1167" si="216">IF(O1161="","-",IF(AND(X1161="Nuit",WEEKDAY(O1161,2)=7,O1161&lt;&gt;P1161),WEEKNUM(O1161,2),WEEKNUM(O1161,2)-1))+1</f>
        <v>16</v>
      </c>
      <c r="G1161" s="41">
        <f t="shared" ref="G1161:G1167" si="217">IF(O1161="","-",MONTH(O1161))</f>
        <v>4</v>
      </c>
      <c r="I1161" s="131">
        <f>INDEX('Base de données Mono'!K:K,MATCH(B1161,'Base de données Mono'!D:D,0))</f>
        <v>0.1875</v>
      </c>
      <c r="J1161" s="131">
        <f>INDEX('Base de données Mono'!L:L,MATCH(B1161,'Base de données Mono'!D:D,0))</f>
        <v>0.83333333333333337</v>
      </c>
      <c r="K1161" s="131">
        <f>INDEX('Base de données Mono'!M:M,MATCH(B1161,'Base de données Mono'!D:D,0))</f>
        <v>0.25</v>
      </c>
      <c r="L1161" s="131">
        <f>INDEX('Base de données Mono'!N:N,MATCH(B1161,'Base de données Mono'!D:D,0))</f>
        <v>0.79166666666666663</v>
      </c>
      <c r="M1161" s="33" t="s">
        <v>46</v>
      </c>
      <c r="N1161" s="33">
        <f>IF(AND(E1161="Electricité",M1161="Hiver"),INDEX('Base de données Mono'!E:E,MATCH(B1161,'Base de données Mono'!D:D,0)),IF(AND(E1161="Electricité",M1161="Mi-saison"),INDEX('Base de données Mono'!F:F,MATCH(B1161,'Base de données Mono'!D:D,0)),IF(AND(E1161="Electricité",M1161="Eté"),INDEX('Base de données Mono'!G:G,MATCH(B1161,'Base de données Mono'!D:D,0)),IF(AND(E1161="Gaz",M1161="Hiver"),INDEX('Base de données Mono'!J:J,MATCH(B1161,'Base de données Mono'!D:D,0)),IF(AND(E1161="Gaz",M1161="Mi-saison"),INDEX('Base de données Mono'!#REF!,MATCH(B1161,'Base de données Mono'!D:D,0)),IF(AND(E1161="Gaz",M1161="Eté"),INDEX('Base de données Mono'!#REF!,MATCH(B1161,'Base de données Mono'!D:D,0)),"-"))))))</f>
        <v>60</v>
      </c>
      <c r="O1161" s="123">
        <v>45397</v>
      </c>
      <c r="P1161" s="123">
        <v>45399</v>
      </c>
      <c r="Q1161" s="34">
        <v>90</v>
      </c>
      <c r="R1161" s="33">
        <f t="shared" ref="R1161:R1167" si="218">IF(Q1161="","",Q1161-N1161)</f>
        <v>30</v>
      </c>
      <c r="S1161" s="34">
        <v>1</v>
      </c>
      <c r="T1161" s="34">
        <f t="shared" si="184"/>
        <v>2</v>
      </c>
      <c r="U1161" s="33">
        <f t="shared" ref="U1161:U1167" si="219">R1161*S1161*T1161</f>
        <v>60</v>
      </c>
      <c r="V1161" s="38" t="s">
        <v>827</v>
      </c>
      <c r="W1161" s="39">
        <f t="shared" ref="W1161:W1167" si="220">IFERROR(IF(E1161="Gaz","-",R1161/N1161),"-")</f>
        <v>0.5</v>
      </c>
      <c r="X1161" s="40" t="s">
        <v>304</v>
      </c>
      <c r="Y1161" s="40" t="s">
        <v>284</v>
      </c>
      <c r="Z1161" s="40" t="s">
        <v>307</v>
      </c>
      <c r="AA1161" s="33" t="s">
        <v>313</v>
      </c>
      <c r="AB1161" s="95"/>
      <c r="AC1161" s="95"/>
    </row>
    <row r="1162" spans="1:29" ht="14.45" hidden="1" customHeight="1" x14ac:dyDescent="0.25">
      <c r="A1162" s="36" t="str">
        <f>INDEX('Base de données Mono'!C:C,MATCH(B1162,'Base de données Mono'!D:D,0))</f>
        <v>AIX SEXTIUS</v>
      </c>
      <c r="B1162" t="s">
        <v>3</v>
      </c>
      <c r="C1162" s="36" t="str">
        <f>INDEX('Base de données Mono'!B:B,MATCH(B1162,'Base de données Mono'!D:D,0))</f>
        <v>SES8</v>
      </c>
      <c r="D1162" s="36" t="str">
        <f>INDEX('Base de données Mono'!A:A,MATCH(B1162,'Base de données Mono'!D:D,0))</f>
        <v>JG</v>
      </c>
      <c r="E1162" s="37" t="s">
        <v>303</v>
      </c>
      <c r="F1162" s="41">
        <f t="shared" si="216"/>
        <v>16</v>
      </c>
      <c r="G1162" s="41">
        <f t="shared" si="217"/>
        <v>4</v>
      </c>
      <c r="I1162" s="131">
        <f>INDEX('Base de données Mono'!K:K,MATCH(B1162,'Base de données Mono'!D:D,0))</f>
        <v>0.1875</v>
      </c>
      <c r="J1162" s="131">
        <f>INDEX('Base de données Mono'!L:L,MATCH(B1162,'Base de données Mono'!D:D,0))</f>
        <v>0.83333333333333337</v>
      </c>
      <c r="K1162" s="131">
        <f>INDEX('Base de données Mono'!M:M,MATCH(B1162,'Base de données Mono'!D:D,0))</f>
        <v>0.25</v>
      </c>
      <c r="L1162" s="131">
        <f>INDEX('Base de données Mono'!N:N,MATCH(B1162,'Base de données Mono'!D:D,0))</f>
        <v>0.79166666666666663</v>
      </c>
      <c r="M1162" s="33" t="s">
        <v>46</v>
      </c>
      <c r="N1162" s="33">
        <f>IF(AND(E1162="Electricité",M1162="Hiver"),INDEX('Base de données Mono'!E:E,MATCH(B1162,'Base de données Mono'!D:D,0)),IF(AND(E1162="Electricité",M1162="Mi-saison"),INDEX('Base de données Mono'!F:F,MATCH(B1162,'Base de données Mono'!D:D,0)),IF(AND(E1162="Electricité",M1162="Eté"),INDEX('Base de données Mono'!G:G,MATCH(B1162,'Base de données Mono'!D:D,0)),IF(AND(E1162="Gaz",M1162="Hiver"),INDEX('Base de données Mono'!J:J,MATCH(B1162,'Base de données Mono'!D:D,0)),IF(AND(E1162="Gaz",M1162="Mi-saison"),INDEX('Base de données Mono'!#REF!,MATCH(B1162,'Base de données Mono'!D:D,0)),IF(AND(E1162="Gaz",M1162="Eté"),INDEX('Base de données Mono'!#REF!,MATCH(B1162,'Base de données Mono'!D:D,0)),"-"))))))</f>
        <v>60</v>
      </c>
      <c r="O1162" s="123">
        <v>45399</v>
      </c>
      <c r="P1162" s="123">
        <v>45400</v>
      </c>
      <c r="Q1162" s="34">
        <v>100</v>
      </c>
      <c r="R1162" s="33">
        <f t="shared" si="218"/>
        <v>40</v>
      </c>
      <c r="S1162" s="34">
        <v>2.6</v>
      </c>
      <c r="T1162" s="34">
        <f t="shared" si="184"/>
        <v>1</v>
      </c>
      <c r="U1162" s="33">
        <f t="shared" si="219"/>
        <v>104</v>
      </c>
      <c r="V1162" s="38" t="s">
        <v>827</v>
      </c>
      <c r="W1162" s="39">
        <f t="shared" si="220"/>
        <v>0.66666666666666663</v>
      </c>
      <c r="X1162" s="40" t="s">
        <v>304</v>
      </c>
      <c r="Y1162" s="40" t="s">
        <v>284</v>
      </c>
      <c r="Z1162" s="40" t="s">
        <v>307</v>
      </c>
      <c r="AA1162" s="33" t="s">
        <v>313</v>
      </c>
      <c r="AB1162" s="95"/>
      <c r="AC1162" s="95"/>
    </row>
    <row r="1163" spans="1:29" ht="14.45" hidden="1" customHeight="1" x14ac:dyDescent="0.25">
      <c r="A1163" s="36" t="str">
        <f>INDEX('Base de données Mono'!C:C,MATCH(B1163,'Base de données Mono'!D:D,0))</f>
        <v>AIX SEXTIUS</v>
      </c>
      <c r="B1163" t="s">
        <v>3</v>
      </c>
      <c r="C1163" s="36" t="str">
        <f>INDEX('Base de données Mono'!B:B,MATCH(B1163,'Base de données Mono'!D:D,0))</f>
        <v>SES8</v>
      </c>
      <c r="D1163" s="36" t="str">
        <f>INDEX('Base de données Mono'!A:A,MATCH(B1163,'Base de données Mono'!D:D,0))</f>
        <v>JG</v>
      </c>
      <c r="E1163" s="37" t="s">
        <v>303</v>
      </c>
      <c r="F1163" s="41">
        <f t="shared" si="216"/>
        <v>16</v>
      </c>
      <c r="G1163" s="41">
        <f t="shared" si="217"/>
        <v>4</v>
      </c>
      <c r="I1163" s="131">
        <f>INDEX('Base de données Mono'!K:K,MATCH(B1163,'Base de données Mono'!D:D,0))</f>
        <v>0.1875</v>
      </c>
      <c r="J1163" s="131">
        <f>INDEX('Base de données Mono'!L:L,MATCH(B1163,'Base de données Mono'!D:D,0))</f>
        <v>0.83333333333333337</v>
      </c>
      <c r="K1163" s="131">
        <f>INDEX('Base de données Mono'!M:M,MATCH(B1163,'Base de données Mono'!D:D,0))</f>
        <v>0.25</v>
      </c>
      <c r="L1163" s="131">
        <f>INDEX('Base de données Mono'!N:N,MATCH(B1163,'Base de données Mono'!D:D,0))</f>
        <v>0.79166666666666663</v>
      </c>
      <c r="M1163" s="33" t="s">
        <v>46</v>
      </c>
      <c r="N1163" s="33">
        <f>IF(AND(E1163="Electricité",M1163="Hiver"),INDEX('Base de données Mono'!E:E,MATCH(B1163,'Base de données Mono'!D:D,0)),IF(AND(E1163="Electricité",M1163="Mi-saison"),INDEX('Base de données Mono'!F:F,MATCH(B1163,'Base de données Mono'!D:D,0)),IF(AND(E1163="Electricité",M1163="Eté"),INDEX('Base de données Mono'!G:G,MATCH(B1163,'Base de données Mono'!D:D,0)),IF(AND(E1163="Gaz",M1163="Hiver"),INDEX('Base de données Mono'!J:J,MATCH(B1163,'Base de données Mono'!D:D,0)),IF(AND(E1163="Gaz",M1163="Mi-saison"),INDEX('Base de données Mono'!#REF!,MATCH(B1163,'Base de données Mono'!D:D,0)),IF(AND(E1163="Gaz",M1163="Eté"),INDEX('Base de données Mono'!#REF!,MATCH(B1163,'Base de données Mono'!D:D,0)),"-"))))))</f>
        <v>60</v>
      </c>
      <c r="O1163" s="123">
        <v>45399</v>
      </c>
      <c r="P1163" s="123">
        <v>45400</v>
      </c>
      <c r="Q1163" s="34">
        <v>75</v>
      </c>
      <c r="R1163" s="33">
        <f t="shared" si="218"/>
        <v>15</v>
      </c>
      <c r="S1163" s="34">
        <v>5.9</v>
      </c>
      <c r="T1163" s="34">
        <f t="shared" si="184"/>
        <v>1</v>
      </c>
      <c r="U1163" s="33">
        <f t="shared" si="219"/>
        <v>88.5</v>
      </c>
      <c r="V1163" s="38" t="s">
        <v>827</v>
      </c>
      <c r="W1163" s="39">
        <f t="shared" si="220"/>
        <v>0.25</v>
      </c>
      <c r="X1163" s="40" t="s">
        <v>304</v>
      </c>
      <c r="Y1163" s="40" t="s">
        <v>283</v>
      </c>
      <c r="Z1163" s="40" t="s">
        <v>749</v>
      </c>
      <c r="AA1163" s="33" t="s">
        <v>749</v>
      </c>
      <c r="AB1163" s="95"/>
      <c r="AC1163" s="95"/>
    </row>
    <row r="1164" spans="1:29" ht="14.45" hidden="1" customHeight="1" x14ac:dyDescent="0.25">
      <c r="A1164" s="36" t="str">
        <f>INDEX('Base de données Mono'!C:C,MATCH(B1164,'Base de données Mono'!D:D,0))</f>
        <v>AIX SEXTIUS</v>
      </c>
      <c r="B1164" t="s">
        <v>3</v>
      </c>
      <c r="C1164" s="36" t="str">
        <f>INDEX('Base de données Mono'!B:B,MATCH(B1164,'Base de données Mono'!D:D,0))</f>
        <v>SES8</v>
      </c>
      <c r="D1164" s="36" t="str">
        <f>INDEX('Base de données Mono'!A:A,MATCH(B1164,'Base de données Mono'!D:D,0))</f>
        <v>JG</v>
      </c>
      <c r="E1164" s="37" t="s">
        <v>303</v>
      </c>
      <c r="F1164" s="41">
        <f t="shared" si="216"/>
        <v>16</v>
      </c>
      <c r="G1164" s="41">
        <f t="shared" si="217"/>
        <v>4</v>
      </c>
      <c r="I1164" s="131">
        <f>INDEX('Base de données Mono'!K:K,MATCH(B1164,'Base de données Mono'!D:D,0))</f>
        <v>0.1875</v>
      </c>
      <c r="J1164" s="131">
        <f>INDEX('Base de données Mono'!L:L,MATCH(B1164,'Base de données Mono'!D:D,0))</f>
        <v>0.83333333333333337</v>
      </c>
      <c r="K1164" s="131">
        <f>INDEX('Base de données Mono'!M:M,MATCH(B1164,'Base de données Mono'!D:D,0))</f>
        <v>0.25</v>
      </c>
      <c r="L1164" s="131">
        <f>INDEX('Base de données Mono'!N:N,MATCH(B1164,'Base de données Mono'!D:D,0))</f>
        <v>0.79166666666666663</v>
      </c>
      <c r="M1164" s="33" t="s">
        <v>46</v>
      </c>
      <c r="N1164" s="33">
        <f>IF(AND(E1164="Electricité",M1164="Hiver"),INDEX('Base de données Mono'!E:E,MATCH(B1164,'Base de données Mono'!D:D,0)),IF(AND(E1164="Electricité",M1164="Mi-saison"),INDEX('Base de données Mono'!F:F,MATCH(B1164,'Base de données Mono'!D:D,0)),IF(AND(E1164="Electricité",M1164="Eté"),INDEX('Base de données Mono'!G:G,MATCH(B1164,'Base de données Mono'!D:D,0)),IF(AND(E1164="Gaz",M1164="Hiver"),INDEX('Base de données Mono'!J:J,MATCH(B1164,'Base de données Mono'!D:D,0)),IF(AND(E1164="Gaz",M1164="Mi-saison"),INDEX('Base de données Mono'!#REF!,MATCH(B1164,'Base de données Mono'!D:D,0)),IF(AND(E1164="Gaz",M1164="Eté"),INDEX('Base de données Mono'!#REF!,MATCH(B1164,'Base de données Mono'!D:D,0)),"-"))))))</f>
        <v>60</v>
      </c>
      <c r="O1164" s="123">
        <v>45401</v>
      </c>
      <c r="P1164" s="123">
        <v>45402</v>
      </c>
      <c r="Q1164" s="34">
        <v>85</v>
      </c>
      <c r="R1164" s="33">
        <f t="shared" si="218"/>
        <v>25</v>
      </c>
      <c r="S1164" s="34">
        <v>8.5</v>
      </c>
      <c r="T1164" s="34">
        <f t="shared" si="184"/>
        <v>1</v>
      </c>
      <c r="U1164" s="33">
        <f t="shared" si="219"/>
        <v>212.5</v>
      </c>
      <c r="V1164" s="38" t="s">
        <v>827</v>
      </c>
      <c r="W1164" s="39">
        <f t="shared" si="220"/>
        <v>0.41666666666666669</v>
      </c>
      <c r="X1164" s="40" t="s">
        <v>304</v>
      </c>
      <c r="Y1164" s="40" t="s">
        <v>283</v>
      </c>
      <c r="Z1164" s="40" t="s">
        <v>749</v>
      </c>
      <c r="AA1164" s="33" t="s">
        <v>749</v>
      </c>
      <c r="AB1164" s="95"/>
      <c r="AC1164" s="95" t="s">
        <v>849</v>
      </c>
    </row>
    <row r="1165" spans="1:29" ht="14.45" hidden="1" customHeight="1" x14ac:dyDescent="0.25">
      <c r="A1165" s="36" t="str">
        <f>INDEX('Base de données Mono'!C:C,MATCH(B1165,'Base de données Mono'!D:D,0))</f>
        <v>AIX SEXTIUS</v>
      </c>
      <c r="B1165" t="s">
        <v>3</v>
      </c>
      <c r="C1165" s="36" t="str">
        <f>INDEX('Base de données Mono'!B:B,MATCH(B1165,'Base de données Mono'!D:D,0))</f>
        <v>SES8</v>
      </c>
      <c r="D1165" s="36" t="str">
        <f>INDEX('Base de données Mono'!A:A,MATCH(B1165,'Base de données Mono'!D:D,0))</f>
        <v>JG</v>
      </c>
      <c r="E1165" s="37" t="s">
        <v>303</v>
      </c>
      <c r="F1165" s="41">
        <f t="shared" si="216"/>
        <v>16</v>
      </c>
      <c r="G1165" s="41">
        <f t="shared" si="217"/>
        <v>4</v>
      </c>
      <c r="I1165" s="131">
        <f>INDEX('Base de données Mono'!K:K,MATCH(B1165,'Base de données Mono'!D:D,0))</f>
        <v>0.1875</v>
      </c>
      <c r="J1165" s="131">
        <f>INDEX('Base de données Mono'!L:L,MATCH(B1165,'Base de données Mono'!D:D,0))</f>
        <v>0.83333333333333337</v>
      </c>
      <c r="K1165" s="131">
        <f>INDEX('Base de données Mono'!M:M,MATCH(B1165,'Base de données Mono'!D:D,0))</f>
        <v>0.25</v>
      </c>
      <c r="L1165" s="131">
        <f>INDEX('Base de données Mono'!N:N,MATCH(B1165,'Base de données Mono'!D:D,0))</f>
        <v>0.79166666666666663</v>
      </c>
      <c r="M1165" s="33" t="s">
        <v>46</v>
      </c>
      <c r="N1165" s="33">
        <f>IF(AND(E1165="Electricité",M1165="Hiver"),INDEX('Base de données Mono'!E:E,MATCH(B1165,'Base de données Mono'!D:D,0)),IF(AND(E1165="Electricité",M1165="Mi-saison"),INDEX('Base de données Mono'!F:F,MATCH(B1165,'Base de données Mono'!D:D,0)),IF(AND(E1165="Electricité",M1165="Eté"),INDEX('Base de données Mono'!G:G,MATCH(B1165,'Base de données Mono'!D:D,0)),IF(AND(E1165="Gaz",M1165="Hiver"),INDEX('Base de données Mono'!J:J,MATCH(B1165,'Base de données Mono'!D:D,0)),IF(AND(E1165="Gaz",M1165="Mi-saison"),INDEX('Base de données Mono'!#REF!,MATCH(B1165,'Base de données Mono'!D:D,0)),IF(AND(E1165="Gaz",M1165="Eté"),INDEX('Base de données Mono'!#REF!,MATCH(B1165,'Base de données Mono'!D:D,0)),"-"))))))</f>
        <v>60</v>
      </c>
      <c r="O1165" s="123">
        <v>45402</v>
      </c>
      <c r="P1165" s="123">
        <v>45403</v>
      </c>
      <c r="Q1165" s="34">
        <v>90</v>
      </c>
      <c r="R1165" s="33">
        <f t="shared" si="218"/>
        <v>30</v>
      </c>
      <c r="S1165" s="34">
        <v>1</v>
      </c>
      <c r="T1165" s="34">
        <f t="shared" si="184"/>
        <v>1</v>
      </c>
      <c r="U1165" s="33">
        <f t="shared" si="219"/>
        <v>30</v>
      </c>
      <c r="V1165" s="38" t="s">
        <v>827</v>
      </c>
      <c r="W1165" s="39">
        <f t="shared" si="220"/>
        <v>0.5</v>
      </c>
      <c r="X1165" s="40" t="s">
        <v>304</v>
      </c>
      <c r="Y1165" s="40" t="s">
        <v>284</v>
      </c>
      <c r="Z1165" s="40" t="s">
        <v>307</v>
      </c>
      <c r="AA1165" s="33" t="s">
        <v>313</v>
      </c>
      <c r="AB1165" s="95"/>
      <c r="AC1165" s="95"/>
    </row>
    <row r="1166" spans="1:29" ht="14.45" customHeight="1" x14ac:dyDescent="0.25">
      <c r="A1166" s="36" t="str">
        <f>INDEX('Base de données Mono'!C:C,MATCH(B1166,'Base de données Mono'!D:D,0))</f>
        <v>AIX SEXTIUS</v>
      </c>
      <c r="B1166" t="s">
        <v>3</v>
      </c>
      <c r="C1166" s="36" t="str">
        <f>INDEX('Base de données Mono'!B:B,MATCH(B1166,'Base de données Mono'!D:D,0))</f>
        <v>SES8</v>
      </c>
      <c r="D1166" s="36" t="str">
        <f>INDEX('Base de données Mono'!A:A,MATCH(B1166,'Base de données Mono'!D:D,0))</f>
        <v>JG</v>
      </c>
      <c r="E1166" s="37" t="s">
        <v>303</v>
      </c>
      <c r="F1166" s="41">
        <f t="shared" si="216"/>
        <v>17</v>
      </c>
      <c r="G1166" s="41">
        <f t="shared" si="217"/>
        <v>4</v>
      </c>
      <c r="I1166" s="131">
        <f>INDEX('Base de données Mono'!K:K,MATCH(B1166,'Base de données Mono'!D:D,0))</f>
        <v>0.1875</v>
      </c>
      <c r="J1166" s="131">
        <f>INDEX('Base de données Mono'!L:L,MATCH(B1166,'Base de données Mono'!D:D,0))</f>
        <v>0.83333333333333337</v>
      </c>
      <c r="K1166" s="131">
        <f>INDEX('Base de données Mono'!M:M,MATCH(B1166,'Base de données Mono'!D:D,0))</f>
        <v>0.25</v>
      </c>
      <c r="L1166" s="131">
        <f>INDEX('Base de données Mono'!N:N,MATCH(B1166,'Base de données Mono'!D:D,0))</f>
        <v>0.79166666666666663</v>
      </c>
      <c r="M1166" s="33" t="s">
        <v>46</v>
      </c>
      <c r="N1166" s="33">
        <f>IF(AND(E1166="Electricité",M1166="Hiver"),INDEX('Base de données Mono'!E:E,MATCH(B1166,'Base de données Mono'!D:D,0)),IF(AND(E1166="Electricité",M1166="Mi-saison"),INDEX('Base de données Mono'!F:F,MATCH(B1166,'Base de données Mono'!D:D,0)),IF(AND(E1166="Electricité",M1166="Eté"),INDEX('Base de données Mono'!G:G,MATCH(B1166,'Base de données Mono'!D:D,0)),IF(AND(E1166="Gaz",M1166="Hiver"),INDEX('Base de données Mono'!J:J,MATCH(B1166,'Base de données Mono'!D:D,0)),IF(AND(E1166="Gaz",M1166="Mi-saison"),INDEX('Base de données Mono'!#REF!,MATCH(B1166,'Base de données Mono'!D:D,0)),IF(AND(E1166="Gaz",M1166="Eté"),INDEX('Base de données Mono'!#REF!,MATCH(B1166,'Base de données Mono'!D:D,0)),"-"))))))</f>
        <v>60</v>
      </c>
      <c r="O1166" s="123">
        <v>45404</v>
      </c>
      <c r="P1166" s="123">
        <v>45410</v>
      </c>
      <c r="Q1166" s="34">
        <v>90</v>
      </c>
      <c r="R1166" s="33">
        <f t="shared" si="218"/>
        <v>30</v>
      </c>
      <c r="S1166" s="34">
        <v>1</v>
      </c>
      <c r="T1166" s="34">
        <f>P1166-O1166</f>
        <v>6</v>
      </c>
      <c r="U1166" s="33">
        <f t="shared" si="219"/>
        <v>180</v>
      </c>
      <c r="V1166" s="38" t="s">
        <v>827</v>
      </c>
      <c r="W1166" s="39">
        <f t="shared" si="220"/>
        <v>0.5</v>
      </c>
      <c r="X1166" s="40" t="s">
        <v>304</v>
      </c>
      <c r="Y1166" s="40" t="s">
        <v>284</v>
      </c>
      <c r="Z1166" s="40" t="s">
        <v>307</v>
      </c>
      <c r="AA1166" s="33" t="s">
        <v>313</v>
      </c>
      <c r="AB1166" s="95"/>
      <c r="AC1166" s="95"/>
    </row>
    <row r="1167" spans="1:29" ht="14.45" hidden="1" customHeight="1" x14ac:dyDescent="0.25">
      <c r="A1167" s="36" t="str">
        <f>INDEX('Base de données Mono'!C:C,MATCH(B1167,'Base de données Mono'!D:D,0))</f>
        <v>AIX SEXTIUS</v>
      </c>
      <c r="B1167" t="s">
        <v>3</v>
      </c>
      <c r="C1167" s="36" t="str">
        <f>INDEX('Base de données Mono'!B:B,MATCH(B1167,'Base de données Mono'!D:D,0))</f>
        <v>SES8</v>
      </c>
      <c r="D1167" s="36" t="str">
        <f>INDEX('Base de données Mono'!A:A,MATCH(B1167,'Base de données Mono'!D:D,0))</f>
        <v>JG</v>
      </c>
      <c r="E1167" s="37" t="s">
        <v>303</v>
      </c>
      <c r="F1167" s="41">
        <f t="shared" si="216"/>
        <v>18</v>
      </c>
      <c r="G1167" s="41">
        <f t="shared" si="217"/>
        <v>4</v>
      </c>
      <c r="I1167" s="131">
        <f>INDEX('Base de données Mono'!K:K,MATCH(B1167,'Base de données Mono'!D:D,0))</f>
        <v>0.1875</v>
      </c>
      <c r="J1167" s="131">
        <f>INDEX('Base de données Mono'!L:L,MATCH(B1167,'Base de données Mono'!D:D,0))</f>
        <v>0.83333333333333337</v>
      </c>
      <c r="K1167" s="131">
        <f>INDEX('Base de données Mono'!M:M,MATCH(B1167,'Base de données Mono'!D:D,0))</f>
        <v>0.25</v>
      </c>
      <c r="L1167" s="131">
        <f>INDEX('Base de données Mono'!N:N,MATCH(B1167,'Base de données Mono'!D:D,0))</f>
        <v>0.79166666666666663</v>
      </c>
      <c r="M1167" s="33" t="s">
        <v>46</v>
      </c>
      <c r="N1167" s="33">
        <f>IF(AND(E1167="Electricité",M1167="Hiver"),INDEX('Base de données Mono'!E:E,MATCH(B1167,'Base de données Mono'!D:D,0)),IF(AND(E1167="Electricité",M1167="Mi-saison"),INDEX('Base de données Mono'!F:F,MATCH(B1167,'Base de données Mono'!D:D,0)),IF(AND(E1167="Electricité",M1167="Eté"),INDEX('Base de données Mono'!G:G,MATCH(B1167,'Base de données Mono'!D:D,0)),IF(AND(E1167="Gaz",M1167="Hiver"),INDEX('Base de données Mono'!J:J,MATCH(B1167,'Base de données Mono'!D:D,0)),IF(AND(E1167="Gaz",M1167="Mi-saison"),INDEX('Base de données Mono'!#REF!,MATCH(B1167,'Base de données Mono'!D:D,0)),IF(AND(E1167="Gaz",M1167="Eté"),INDEX('Base de données Mono'!#REF!,MATCH(B1167,'Base de données Mono'!D:D,0)),"-"))))))</f>
        <v>60</v>
      </c>
      <c r="O1167" s="123">
        <v>45411</v>
      </c>
      <c r="P1167" s="123">
        <v>45413</v>
      </c>
      <c r="Q1167" s="34">
        <v>100</v>
      </c>
      <c r="R1167" s="33">
        <f t="shared" si="218"/>
        <v>40</v>
      </c>
      <c r="S1167" s="34">
        <v>1</v>
      </c>
      <c r="T1167" s="34">
        <f>P1167-O1167</f>
        <v>2</v>
      </c>
      <c r="U1167" s="33">
        <f t="shared" si="219"/>
        <v>80</v>
      </c>
      <c r="V1167" s="38" t="s">
        <v>827</v>
      </c>
      <c r="W1167" s="39">
        <f t="shared" si="220"/>
        <v>0.66666666666666663</v>
      </c>
      <c r="X1167" s="40" t="s">
        <v>304</v>
      </c>
      <c r="Y1167" s="40" t="s">
        <v>284</v>
      </c>
      <c r="Z1167" s="40" t="s">
        <v>307</v>
      </c>
      <c r="AA1167" s="33" t="s">
        <v>313</v>
      </c>
      <c r="AB1167" s="95"/>
      <c r="AC1167" s="95"/>
    </row>
    <row r="1168" spans="1:29" ht="14.45" hidden="1" customHeight="1" x14ac:dyDescent="0.25">
      <c r="A1168" s="36" t="str">
        <f>INDEX('Base de données Mono'!C:C,MATCH(B1168,'Base de données Mono'!D:D,0))</f>
        <v>AIX SEXTIUS</v>
      </c>
      <c r="B1168" t="s">
        <v>3</v>
      </c>
      <c r="C1168" s="36" t="str">
        <f>INDEX('Base de données Mono'!B:B,MATCH(B1168,'Base de données Mono'!D:D,0))</f>
        <v>SES8</v>
      </c>
      <c r="D1168" s="36" t="str">
        <f>INDEX('Base de données Mono'!A:A,MATCH(B1168,'Base de données Mono'!D:D,0))</f>
        <v>JG</v>
      </c>
      <c r="E1168" s="37" t="s">
        <v>303</v>
      </c>
      <c r="F1168" s="41">
        <f t="shared" si="187"/>
        <v>18</v>
      </c>
      <c r="G1168" s="41">
        <f t="shared" si="188"/>
        <v>4</v>
      </c>
      <c r="I1168" s="131">
        <f>INDEX('Base de données Mono'!K:K,MATCH(B1168,'Base de données Mono'!D:D,0))</f>
        <v>0.1875</v>
      </c>
      <c r="J1168" s="131">
        <f>INDEX('Base de données Mono'!L:L,MATCH(B1168,'Base de données Mono'!D:D,0))</f>
        <v>0.83333333333333337</v>
      </c>
      <c r="K1168" s="131">
        <f>INDEX('Base de données Mono'!M:M,MATCH(B1168,'Base de données Mono'!D:D,0))</f>
        <v>0.25</v>
      </c>
      <c r="L1168" s="131">
        <f>INDEX('Base de données Mono'!N:N,MATCH(B1168,'Base de données Mono'!D:D,0))</f>
        <v>0.79166666666666663</v>
      </c>
      <c r="M1168" s="33" t="s">
        <v>46</v>
      </c>
      <c r="N1168" s="33">
        <f>IF(AND(E1168="Electricité",M1168="Hiver"),INDEX('Base de données Mono'!E:E,MATCH(B1168,'Base de données Mono'!D:D,0)),IF(AND(E1168="Electricité",M1168="Mi-saison"),INDEX('Base de données Mono'!F:F,MATCH(B1168,'Base de données Mono'!D:D,0)),IF(AND(E1168="Electricité",M1168="Eté"),INDEX('Base de données Mono'!G:G,MATCH(B1168,'Base de données Mono'!D:D,0)),IF(AND(E1168="Gaz",M1168="Hiver"),INDEX('Base de données Mono'!J:J,MATCH(B1168,'Base de données Mono'!D:D,0)),IF(AND(E1168="Gaz",M1168="Mi-saison"),INDEX('Base de données Mono'!#REF!,MATCH(B1168,'Base de données Mono'!D:D,0)),IF(AND(E1168="Gaz",M1168="Eté"),INDEX('Base de données Mono'!#REF!,MATCH(B1168,'Base de données Mono'!D:D,0)),"-"))))))</f>
        <v>60</v>
      </c>
      <c r="O1168" s="123">
        <v>45411</v>
      </c>
      <c r="P1168" s="123">
        <v>45413</v>
      </c>
      <c r="Q1168" s="34">
        <v>65</v>
      </c>
      <c r="R1168" s="33">
        <f t="shared" si="189"/>
        <v>5</v>
      </c>
      <c r="S1168" s="34">
        <v>7.5</v>
      </c>
      <c r="T1168" s="34">
        <f t="shared" si="184"/>
        <v>2</v>
      </c>
      <c r="U1168" s="33">
        <f t="shared" si="190"/>
        <v>75</v>
      </c>
      <c r="V1168" s="38" t="s">
        <v>827</v>
      </c>
      <c r="W1168" s="39">
        <f t="shared" si="191"/>
        <v>8.3333333333333329E-2</v>
      </c>
      <c r="X1168" s="40" t="s">
        <v>304</v>
      </c>
      <c r="Y1168" s="40" t="s">
        <v>283</v>
      </c>
      <c r="Z1168" s="40" t="s">
        <v>749</v>
      </c>
      <c r="AA1168" s="33" t="s">
        <v>749</v>
      </c>
      <c r="AB1168" s="95"/>
      <c r="AC1168" s="95"/>
    </row>
    <row r="1169" spans="1:29" ht="14.45" hidden="1" customHeight="1" x14ac:dyDescent="0.25">
      <c r="A1169" s="36" t="str">
        <f>INDEX('Base de données Mono'!C:C,MATCH(B1169,'Base de données Mono'!D:D,0))</f>
        <v>VILLEJUIF</v>
      </c>
      <c r="B1169" t="s">
        <v>273</v>
      </c>
      <c r="C1169" s="36" t="str">
        <f>INDEX('Base de données Mono'!B:B,MATCH(B1169,'Base de données Mono'!D:D,0))</f>
        <v>SES8</v>
      </c>
      <c r="D1169" s="36" t="str">
        <f>INDEX('Base de données Mono'!A:A,MATCH(B1169,'Base de données Mono'!D:D,0))</f>
        <v>JG</v>
      </c>
      <c r="E1169" s="37" t="s">
        <v>303</v>
      </c>
      <c r="F1169" s="41">
        <f t="shared" si="187"/>
        <v>16</v>
      </c>
      <c r="G1169" s="41">
        <f t="shared" si="188"/>
        <v>4</v>
      </c>
      <c r="I1169" s="131">
        <f>INDEX('Base de données Mono'!K:K,MATCH(B1169,'Base de données Mono'!D:D,0))</f>
        <v>0.23611111111111113</v>
      </c>
      <c r="J1169" s="131">
        <f>INDEX('Base de données Mono'!L:L,MATCH(B1169,'Base de données Mono'!D:D,0))</f>
        <v>0.85416666666666663</v>
      </c>
      <c r="K1169" s="131">
        <f>INDEX('Base de données Mono'!M:M,MATCH(B1169,'Base de données Mono'!D:D,0))</f>
        <v>0.31944444444444448</v>
      </c>
      <c r="L1169" s="131">
        <f>INDEX('Base de données Mono'!N:N,MATCH(B1169,'Base de données Mono'!D:D,0))</f>
        <v>0.55208333333333337</v>
      </c>
      <c r="M1169" s="33" t="s">
        <v>46</v>
      </c>
      <c r="N1169" s="33">
        <f>IF(AND(E1169="Electricité",M1169="Hiver"),INDEX('Base de données Mono'!E:E,MATCH(B1169,'Base de données Mono'!D:D,0)),IF(AND(E1169="Electricité",M1169="Mi-saison"),INDEX('Base de données Mono'!F:F,MATCH(B1169,'Base de données Mono'!D:D,0)),IF(AND(E1169="Electricité",M1169="Eté"),INDEX('Base de données Mono'!G:G,MATCH(B1169,'Base de données Mono'!D:D,0)),IF(AND(E1169="Gaz",M1169="Hiver"),INDEX('Base de données Mono'!J:J,MATCH(B1169,'Base de données Mono'!D:D,0)),IF(AND(E1169="Gaz",M1169="Mi-saison"),INDEX('Base de données Mono'!#REF!,MATCH(B1169,'Base de données Mono'!D:D,0)),IF(AND(E1169="Gaz",M1169="Eté"),INDEX('Base de données Mono'!#REF!,MATCH(B1169,'Base de données Mono'!D:D,0)),"-"))))))</f>
        <v>45</v>
      </c>
      <c r="O1169" s="123">
        <v>45396</v>
      </c>
      <c r="P1169" s="123">
        <v>45397</v>
      </c>
      <c r="Q1169" s="34">
        <v>50</v>
      </c>
      <c r="R1169" s="33">
        <f t="shared" si="189"/>
        <v>5</v>
      </c>
      <c r="S1169" s="34">
        <v>6</v>
      </c>
      <c r="T1169" s="34">
        <f t="shared" ref="T1169:T1198" si="221">P1169-O1169</f>
        <v>1</v>
      </c>
      <c r="U1169" s="33">
        <f t="shared" si="190"/>
        <v>30</v>
      </c>
      <c r="V1169" s="38" t="s">
        <v>827</v>
      </c>
      <c r="W1169" s="39">
        <f t="shared" si="191"/>
        <v>0.1111111111111111</v>
      </c>
      <c r="X1169" s="40" t="s">
        <v>304</v>
      </c>
      <c r="Y1169" s="40" t="s">
        <v>284</v>
      </c>
      <c r="Z1169" s="40" t="s">
        <v>305</v>
      </c>
      <c r="AA1169" s="33" t="s">
        <v>771</v>
      </c>
      <c r="AB1169" s="95"/>
      <c r="AC1169" s="95"/>
    </row>
    <row r="1170" spans="1:29" ht="14.45" hidden="1" customHeight="1" x14ac:dyDescent="0.25">
      <c r="A1170" s="36" t="str">
        <f>INDEX('Base de données Mono'!C:C,MATCH(B1170,'Base de données Mono'!D:D,0))</f>
        <v>VILLEJUIF</v>
      </c>
      <c r="B1170" t="s">
        <v>273</v>
      </c>
      <c r="C1170" s="36" t="str">
        <f>INDEX('Base de données Mono'!B:B,MATCH(B1170,'Base de données Mono'!D:D,0))</f>
        <v>SES8</v>
      </c>
      <c r="D1170" s="36" t="str">
        <f>INDEX('Base de données Mono'!A:A,MATCH(B1170,'Base de données Mono'!D:D,0))</f>
        <v>JG</v>
      </c>
      <c r="E1170" s="37" t="s">
        <v>303</v>
      </c>
      <c r="F1170" s="41">
        <f t="shared" si="187"/>
        <v>16</v>
      </c>
      <c r="G1170" s="41">
        <f t="shared" si="188"/>
        <v>4</v>
      </c>
      <c r="I1170" s="131">
        <f>INDEX('Base de données Mono'!K:K,MATCH(B1170,'Base de données Mono'!D:D,0))</f>
        <v>0.23611111111111113</v>
      </c>
      <c r="J1170" s="131">
        <f>INDEX('Base de données Mono'!L:L,MATCH(B1170,'Base de données Mono'!D:D,0))</f>
        <v>0.85416666666666663</v>
      </c>
      <c r="K1170" s="131">
        <f>INDEX('Base de données Mono'!M:M,MATCH(B1170,'Base de données Mono'!D:D,0))</f>
        <v>0.31944444444444448</v>
      </c>
      <c r="L1170" s="131">
        <f>INDEX('Base de données Mono'!N:N,MATCH(B1170,'Base de données Mono'!D:D,0))</f>
        <v>0.55208333333333337</v>
      </c>
      <c r="M1170" s="33" t="s">
        <v>46</v>
      </c>
      <c r="N1170" s="33">
        <f>IF(AND(E1170="Electricité",M1170="Hiver"),INDEX('Base de données Mono'!E:E,MATCH(B1170,'Base de données Mono'!D:D,0)),IF(AND(E1170="Electricité",M1170="Mi-saison"),INDEX('Base de données Mono'!F:F,MATCH(B1170,'Base de données Mono'!D:D,0)),IF(AND(E1170="Electricité",M1170="Eté"),INDEX('Base de données Mono'!G:G,MATCH(B1170,'Base de données Mono'!D:D,0)),IF(AND(E1170="Gaz",M1170="Hiver"),INDEX('Base de données Mono'!J:J,MATCH(B1170,'Base de données Mono'!D:D,0)),IF(AND(E1170="Gaz",M1170="Mi-saison"),INDEX('Base de données Mono'!#REF!,MATCH(B1170,'Base de données Mono'!D:D,0)),IF(AND(E1170="Gaz",M1170="Eté"),INDEX('Base de données Mono'!#REF!,MATCH(B1170,'Base de données Mono'!D:D,0)),"-"))))))</f>
        <v>45</v>
      </c>
      <c r="O1170" s="123">
        <v>45397</v>
      </c>
      <c r="P1170" s="123">
        <v>45403</v>
      </c>
      <c r="Q1170" s="34">
        <v>50</v>
      </c>
      <c r="R1170" s="33">
        <f t="shared" si="189"/>
        <v>5</v>
      </c>
      <c r="S1170" s="34">
        <v>2</v>
      </c>
      <c r="T1170" s="34">
        <f t="shared" si="221"/>
        <v>6</v>
      </c>
      <c r="U1170" s="33">
        <f t="shared" si="190"/>
        <v>60</v>
      </c>
      <c r="V1170" s="38" t="s">
        <v>827</v>
      </c>
      <c r="W1170" s="39">
        <f t="shared" si="191"/>
        <v>0.1111111111111111</v>
      </c>
      <c r="X1170" s="40" t="s">
        <v>304</v>
      </c>
      <c r="Y1170" s="40" t="s">
        <v>284</v>
      </c>
      <c r="Z1170" s="40" t="s">
        <v>305</v>
      </c>
      <c r="AA1170" s="33" t="s">
        <v>771</v>
      </c>
      <c r="AB1170" s="95"/>
      <c r="AC1170" s="95"/>
    </row>
    <row r="1171" spans="1:29" ht="14.45" hidden="1" customHeight="1" x14ac:dyDescent="0.25">
      <c r="A1171" s="36" t="str">
        <f>INDEX('Base de données Mono'!C:C,MATCH(B1171,'Base de données Mono'!D:D,0))</f>
        <v>VILLEJUIF</v>
      </c>
      <c r="B1171" t="s">
        <v>273</v>
      </c>
      <c r="C1171" s="36" t="str">
        <f>INDEX('Base de données Mono'!B:B,MATCH(B1171,'Base de données Mono'!D:D,0))</f>
        <v>SES8</v>
      </c>
      <c r="D1171" s="36" t="str">
        <f>INDEX('Base de données Mono'!A:A,MATCH(B1171,'Base de données Mono'!D:D,0))</f>
        <v>JG</v>
      </c>
      <c r="E1171" s="37" t="s">
        <v>303</v>
      </c>
      <c r="F1171" s="41">
        <f t="shared" si="187"/>
        <v>16</v>
      </c>
      <c r="G1171" s="41">
        <f t="shared" si="188"/>
        <v>4</v>
      </c>
      <c r="I1171" s="131">
        <f>INDEX('Base de données Mono'!K:K,MATCH(B1171,'Base de données Mono'!D:D,0))</f>
        <v>0.23611111111111113</v>
      </c>
      <c r="J1171" s="131">
        <f>INDEX('Base de données Mono'!L:L,MATCH(B1171,'Base de données Mono'!D:D,0))</f>
        <v>0.85416666666666663</v>
      </c>
      <c r="K1171" s="131">
        <f>INDEX('Base de données Mono'!M:M,MATCH(B1171,'Base de données Mono'!D:D,0))</f>
        <v>0.31944444444444448</v>
      </c>
      <c r="L1171" s="131">
        <f>INDEX('Base de données Mono'!N:N,MATCH(B1171,'Base de données Mono'!D:D,0))</f>
        <v>0.55208333333333337</v>
      </c>
      <c r="M1171" s="33" t="s">
        <v>46</v>
      </c>
      <c r="N1171" s="33">
        <f>IF(AND(E1171="Electricité",M1171="Hiver"),INDEX('Base de données Mono'!E:E,MATCH(B1171,'Base de données Mono'!D:D,0)),IF(AND(E1171="Electricité",M1171="Mi-saison"),INDEX('Base de données Mono'!F:F,MATCH(B1171,'Base de données Mono'!D:D,0)),IF(AND(E1171="Electricité",M1171="Eté"),INDEX('Base de données Mono'!G:G,MATCH(B1171,'Base de données Mono'!D:D,0)),IF(AND(E1171="Gaz",M1171="Hiver"),INDEX('Base de données Mono'!J:J,MATCH(B1171,'Base de données Mono'!D:D,0)),IF(AND(E1171="Gaz",M1171="Mi-saison"),INDEX('Base de données Mono'!#REF!,MATCH(B1171,'Base de données Mono'!D:D,0)),IF(AND(E1171="Gaz",M1171="Eté"),INDEX('Base de données Mono'!#REF!,MATCH(B1171,'Base de données Mono'!D:D,0)),"-"))))))</f>
        <v>45</v>
      </c>
      <c r="O1171" s="123">
        <v>45397</v>
      </c>
      <c r="P1171" s="123">
        <v>45403</v>
      </c>
      <c r="Q1171" s="34">
        <v>80</v>
      </c>
      <c r="R1171" s="33">
        <f t="shared" ref="R1171:R1172" si="222">IF(Q1171="","",Q1171-N1171)</f>
        <v>35</v>
      </c>
      <c r="S1171" s="34">
        <v>0.3</v>
      </c>
      <c r="T1171" s="34">
        <f t="shared" ref="T1171:T1172" si="223">P1171-O1171</f>
        <v>6</v>
      </c>
      <c r="U1171" s="33">
        <f t="shared" si="190"/>
        <v>63</v>
      </c>
      <c r="V1171" s="38" t="s">
        <v>827</v>
      </c>
      <c r="W1171" s="39">
        <f t="shared" si="191"/>
        <v>0.77777777777777779</v>
      </c>
      <c r="X1171" s="40" t="s">
        <v>304</v>
      </c>
      <c r="Y1171" s="40" t="s">
        <v>284</v>
      </c>
      <c r="Z1171" s="40" t="s">
        <v>307</v>
      </c>
      <c r="AA1171" s="33" t="s">
        <v>313</v>
      </c>
      <c r="AB1171" s="95"/>
      <c r="AC1171" s="95"/>
    </row>
    <row r="1172" spans="1:29" ht="14.45" hidden="1" customHeight="1" x14ac:dyDescent="0.25">
      <c r="A1172" s="36" t="str">
        <f>INDEX('Base de données Mono'!C:C,MATCH(B1172,'Base de données Mono'!D:D,0))</f>
        <v>VILLEJUIF</v>
      </c>
      <c r="B1172" t="s">
        <v>273</v>
      </c>
      <c r="C1172" s="36" t="str">
        <f>INDEX('Base de données Mono'!B:B,MATCH(B1172,'Base de données Mono'!D:D,0))</f>
        <v>SES8</v>
      </c>
      <c r="D1172" s="36" t="str">
        <f>INDEX('Base de données Mono'!A:A,MATCH(B1172,'Base de données Mono'!D:D,0))</f>
        <v>JG</v>
      </c>
      <c r="E1172" s="37" t="s">
        <v>303</v>
      </c>
      <c r="F1172" s="41">
        <f t="shared" si="187"/>
        <v>16</v>
      </c>
      <c r="G1172" s="41">
        <f t="shared" si="188"/>
        <v>4</v>
      </c>
      <c r="I1172" s="131">
        <f>INDEX('Base de données Mono'!K:K,MATCH(B1172,'Base de données Mono'!D:D,0))</f>
        <v>0.23611111111111113</v>
      </c>
      <c r="J1172" s="131">
        <f>INDEX('Base de données Mono'!L:L,MATCH(B1172,'Base de données Mono'!D:D,0))</f>
        <v>0.85416666666666663</v>
      </c>
      <c r="K1172" s="131">
        <f>INDEX('Base de données Mono'!M:M,MATCH(B1172,'Base de données Mono'!D:D,0))</f>
        <v>0.31944444444444448</v>
      </c>
      <c r="L1172" s="131">
        <f>INDEX('Base de données Mono'!N:N,MATCH(B1172,'Base de données Mono'!D:D,0))</f>
        <v>0.55208333333333337</v>
      </c>
      <c r="M1172" s="33" t="s">
        <v>46</v>
      </c>
      <c r="N1172" s="33">
        <f>IF(AND(E1172="Electricité",M1172="Hiver"),INDEX('Base de données Mono'!E:E,MATCH(B1172,'Base de données Mono'!D:D,0)),IF(AND(E1172="Electricité",M1172="Mi-saison"),INDEX('Base de données Mono'!F:F,MATCH(B1172,'Base de données Mono'!D:D,0)),IF(AND(E1172="Electricité",M1172="Eté"),INDEX('Base de données Mono'!G:G,MATCH(B1172,'Base de données Mono'!D:D,0)),IF(AND(E1172="Gaz",M1172="Hiver"),INDEX('Base de données Mono'!J:J,MATCH(B1172,'Base de données Mono'!D:D,0)),IF(AND(E1172="Gaz",M1172="Mi-saison"),INDEX('Base de données Mono'!#REF!,MATCH(B1172,'Base de données Mono'!D:D,0)),IF(AND(E1172="Gaz",M1172="Eté"),INDEX('Base de données Mono'!#REF!,MATCH(B1172,'Base de données Mono'!D:D,0)),"-"))))))</f>
        <v>45</v>
      </c>
      <c r="O1172" s="123">
        <v>45402</v>
      </c>
      <c r="P1172" s="123">
        <v>45403</v>
      </c>
      <c r="Q1172" s="34">
        <v>60</v>
      </c>
      <c r="R1172" s="33">
        <f t="shared" si="222"/>
        <v>15</v>
      </c>
      <c r="S1172" s="34">
        <v>2.6</v>
      </c>
      <c r="T1172" s="34">
        <f t="shared" si="223"/>
        <v>1</v>
      </c>
      <c r="U1172" s="33">
        <f t="shared" si="190"/>
        <v>39</v>
      </c>
      <c r="V1172" s="38" t="s">
        <v>827</v>
      </c>
      <c r="W1172" s="39">
        <f t="shared" si="191"/>
        <v>0.33333333333333331</v>
      </c>
      <c r="X1172" s="40" t="s">
        <v>304</v>
      </c>
      <c r="Y1172" s="40" t="s">
        <v>284</v>
      </c>
      <c r="Z1172" s="40" t="s">
        <v>305</v>
      </c>
      <c r="AA1172" s="33" t="s">
        <v>771</v>
      </c>
      <c r="AB1172" s="95"/>
      <c r="AC1172" s="95"/>
    </row>
    <row r="1173" spans="1:29" ht="14.45" hidden="1" customHeight="1" x14ac:dyDescent="0.25">
      <c r="A1173" s="36" t="str">
        <f>INDEX('Base de données Mono'!C:C,MATCH(B1173,'Base de données Mono'!D:D,0))</f>
        <v>BOULOGNE SEMBAT</v>
      </c>
      <c r="B1173" t="s">
        <v>8</v>
      </c>
      <c r="C1173" s="36" t="str">
        <f>INDEX('Base de données Mono'!B:B,MATCH(B1173,'Base de données Mono'!D:D,0))</f>
        <v>SES8</v>
      </c>
      <c r="D1173" s="36" t="str">
        <f>INDEX('Base de données Mono'!A:A,MATCH(B1173,'Base de données Mono'!D:D,0))</f>
        <v>AD</v>
      </c>
      <c r="E1173" s="37" t="s">
        <v>303</v>
      </c>
      <c r="F1173" s="41">
        <f t="shared" si="187"/>
        <v>16</v>
      </c>
      <c r="G1173" s="41">
        <f t="shared" si="188"/>
        <v>4</v>
      </c>
      <c r="I1173" s="131">
        <f>INDEX('Base de données Mono'!K:K,MATCH(B1173,'Base de données Mono'!D:D,0))</f>
        <v>0.20138888888888887</v>
      </c>
      <c r="J1173" s="131">
        <f>INDEX('Base de données Mono'!L:L,MATCH(B1173,'Base de données Mono'!D:D,0))</f>
        <v>0.97916666666666663</v>
      </c>
      <c r="K1173" s="131">
        <f>INDEX('Base de données Mono'!M:M,MATCH(B1173,'Base de données Mono'!D:D,0))</f>
        <v>0.2638888888888889</v>
      </c>
      <c r="L1173" s="131">
        <f>INDEX('Base de données Mono'!N:N,MATCH(B1173,'Base de données Mono'!D:D,0))</f>
        <v>0.85416666666666663</v>
      </c>
      <c r="M1173" s="33" t="s">
        <v>46</v>
      </c>
      <c r="N1173" s="33">
        <f>IF(AND(E1173="Electricité",M1173="Hiver"),INDEX('Base de données Mono'!E:E,MATCH(B1173,'Base de données Mono'!D:D,0)),IF(AND(E1173="Electricité",M1173="Mi-saison"),INDEX('Base de données Mono'!F:F,MATCH(B1173,'Base de données Mono'!D:D,0)),IF(AND(E1173="Electricité",M1173="Eté"),INDEX('Base de données Mono'!G:G,MATCH(B1173,'Base de données Mono'!D:D,0)),IF(AND(E1173="Gaz",M1173="Hiver"),INDEX('Base de données Mono'!J:J,MATCH(B1173,'Base de données Mono'!D:D,0)),IF(AND(E1173="Gaz",M1173="Mi-saison"),INDEX('Base de données Mono'!#REF!,MATCH(B1173,'Base de données Mono'!D:D,0)),IF(AND(E1173="Gaz",M1173="Eté"),INDEX('Base de données Mono'!#REF!,MATCH(B1173,'Base de données Mono'!D:D,0)),"-"))))))</f>
        <v>85</v>
      </c>
      <c r="O1173" s="123">
        <v>45396</v>
      </c>
      <c r="P1173" s="123">
        <v>45402</v>
      </c>
      <c r="Q1173" s="34">
        <v>95</v>
      </c>
      <c r="R1173" s="33">
        <f t="shared" si="189"/>
        <v>10</v>
      </c>
      <c r="S1173" s="34">
        <v>1</v>
      </c>
      <c r="T1173" s="34">
        <f t="shared" si="221"/>
        <v>6</v>
      </c>
      <c r="U1173" s="33">
        <f t="shared" si="190"/>
        <v>60</v>
      </c>
      <c r="V1173" s="38" t="s">
        <v>827</v>
      </c>
      <c r="W1173" s="39">
        <f t="shared" si="191"/>
        <v>0.11764705882352941</v>
      </c>
      <c r="X1173" s="40" t="s">
        <v>304</v>
      </c>
      <c r="Y1173" s="40" t="s">
        <v>283</v>
      </c>
      <c r="Z1173" s="40" t="s">
        <v>749</v>
      </c>
      <c r="AA1173" s="33" t="s">
        <v>749</v>
      </c>
      <c r="AB1173" s="95"/>
      <c r="AC1173" s="95"/>
    </row>
    <row r="1174" spans="1:29" ht="14.45" hidden="1" customHeight="1" x14ac:dyDescent="0.25">
      <c r="A1174" s="36" t="str">
        <f>INDEX('Base de données Mono'!C:C,MATCH(B1174,'Base de données Mono'!D:D,0))</f>
        <v>BOULOGNE SEMBAT</v>
      </c>
      <c r="B1174" t="s">
        <v>8</v>
      </c>
      <c r="C1174" s="36" t="str">
        <f>INDEX('Base de données Mono'!B:B,MATCH(B1174,'Base de données Mono'!D:D,0))</f>
        <v>SES8</v>
      </c>
      <c r="D1174" s="36" t="str">
        <f>INDEX('Base de données Mono'!A:A,MATCH(B1174,'Base de données Mono'!D:D,0))</f>
        <v>AD</v>
      </c>
      <c r="E1174" s="37" t="s">
        <v>303</v>
      </c>
      <c r="F1174" s="41">
        <f t="shared" si="187"/>
        <v>16</v>
      </c>
      <c r="G1174" s="41">
        <f t="shared" si="188"/>
        <v>4</v>
      </c>
      <c r="I1174" s="131">
        <f>INDEX('Base de données Mono'!K:K,MATCH(B1174,'Base de données Mono'!D:D,0))</f>
        <v>0.20138888888888887</v>
      </c>
      <c r="J1174" s="131">
        <f>INDEX('Base de données Mono'!L:L,MATCH(B1174,'Base de données Mono'!D:D,0))</f>
        <v>0.97916666666666663</v>
      </c>
      <c r="K1174" s="131">
        <f>INDEX('Base de données Mono'!M:M,MATCH(B1174,'Base de données Mono'!D:D,0))</f>
        <v>0.2638888888888889</v>
      </c>
      <c r="L1174" s="131">
        <f>INDEX('Base de données Mono'!N:N,MATCH(B1174,'Base de données Mono'!D:D,0))</f>
        <v>0.85416666666666663</v>
      </c>
      <c r="M1174" s="33" t="s">
        <v>46</v>
      </c>
      <c r="N1174" s="33">
        <f>IF(AND(E1174="Electricité",M1174="Hiver"),INDEX('Base de données Mono'!E:E,MATCH(B1174,'Base de données Mono'!D:D,0)),IF(AND(E1174="Electricité",M1174="Mi-saison"),INDEX('Base de données Mono'!F:F,MATCH(B1174,'Base de données Mono'!D:D,0)),IF(AND(E1174="Electricité",M1174="Eté"),INDEX('Base de données Mono'!G:G,MATCH(B1174,'Base de données Mono'!D:D,0)),IF(AND(E1174="Gaz",M1174="Hiver"),INDEX('Base de données Mono'!J:J,MATCH(B1174,'Base de données Mono'!D:D,0)),IF(AND(E1174="Gaz",M1174="Mi-saison"),INDEX('Base de données Mono'!#REF!,MATCH(B1174,'Base de données Mono'!D:D,0)),IF(AND(E1174="Gaz",M1174="Eté"),INDEX('Base de données Mono'!#REF!,MATCH(B1174,'Base de données Mono'!D:D,0)),"-"))))))</f>
        <v>85</v>
      </c>
      <c r="O1174" s="123">
        <v>45396</v>
      </c>
      <c r="P1174" s="123">
        <v>45402</v>
      </c>
      <c r="Q1174" s="34">
        <v>130</v>
      </c>
      <c r="R1174" s="33">
        <f t="shared" si="189"/>
        <v>45</v>
      </c>
      <c r="S1174" s="34">
        <v>1</v>
      </c>
      <c r="T1174" s="34">
        <f t="shared" si="221"/>
        <v>6</v>
      </c>
      <c r="U1174" s="33">
        <f t="shared" si="190"/>
        <v>270</v>
      </c>
      <c r="V1174" s="38" t="s">
        <v>827</v>
      </c>
      <c r="W1174" s="39">
        <f t="shared" si="191"/>
        <v>0.52941176470588236</v>
      </c>
      <c r="X1174" s="40" t="s">
        <v>304</v>
      </c>
      <c r="Y1174" s="40" t="s">
        <v>284</v>
      </c>
      <c r="Z1174" s="40" t="s">
        <v>307</v>
      </c>
      <c r="AA1174" s="33" t="s">
        <v>414</v>
      </c>
      <c r="AB1174" s="95"/>
      <c r="AC1174" s="95" t="s">
        <v>851</v>
      </c>
    </row>
    <row r="1175" spans="1:29" ht="14.45" hidden="1" customHeight="1" x14ac:dyDescent="0.25">
      <c r="A1175" s="36" t="str">
        <f>INDEX('Base de données Mono'!C:C,MATCH(B1175,'Base de données Mono'!D:D,0))</f>
        <v>BOULOGNE SEMBAT</v>
      </c>
      <c r="B1175" t="s">
        <v>8</v>
      </c>
      <c r="C1175" s="36" t="str">
        <f>INDEX('Base de données Mono'!B:B,MATCH(B1175,'Base de données Mono'!D:D,0))</f>
        <v>SES8</v>
      </c>
      <c r="D1175" s="36" t="str">
        <f>INDEX('Base de données Mono'!A:A,MATCH(B1175,'Base de données Mono'!D:D,0))</f>
        <v>AD</v>
      </c>
      <c r="E1175" s="37" t="s">
        <v>303</v>
      </c>
      <c r="F1175" s="41">
        <f t="shared" si="187"/>
        <v>16</v>
      </c>
      <c r="G1175" s="41">
        <f t="shared" si="188"/>
        <v>4</v>
      </c>
      <c r="I1175" s="131">
        <f>INDEX('Base de données Mono'!K:K,MATCH(B1175,'Base de données Mono'!D:D,0))</f>
        <v>0.20138888888888887</v>
      </c>
      <c r="J1175" s="131">
        <f>INDEX('Base de données Mono'!L:L,MATCH(B1175,'Base de données Mono'!D:D,0))</f>
        <v>0.97916666666666663</v>
      </c>
      <c r="K1175" s="131">
        <f>INDEX('Base de données Mono'!M:M,MATCH(B1175,'Base de données Mono'!D:D,0))</f>
        <v>0.2638888888888889</v>
      </c>
      <c r="L1175" s="131">
        <f>INDEX('Base de données Mono'!N:N,MATCH(B1175,'Base de données Mono'!D:D,0))</f>
        <v>0.85416666666666663</v>
      </c>
      <c r="M1175" s="33" t="s">
        <v>46</v>
      </c>
      <c r="N1175" s="33">
        <f>IF(AND(E1175="Electricité",M1175="Hiver"),INDEX('Base de données Mono'!E:E,MATCH(B1175,'Base de données Mono'!D:D,0)),IF(AND(E1175="Electricité",M1175="Mi-saison"),INDEX('Base de données Mono'!F:F,MATCH(B1175,'Base de données Mono'!D:D,0)),IF(AND(E1175="Electricité",M1175="Eté"),INDEX('Base de données Mono'!G:G,MATCH(B1175,'Base de données Mono'!D:D,0)),IF(AND(E1175="Gaz",M1175="Hiver"),INDEX('Base de données Mono'!J:J,MATCH(B1175,'Base de données Mono'!D:D,0)),IF(AND(E1175="Gaz",M1175="Mi-saison"),INDEX('Base de données Mono'!#REF!,MATCH(B1175,'Base de données Mono'!D:D,0)),IF(AND(E1175="Gaz",M1175="Eté"),INDEX('Base de données Mono'!#REF!,MATCH(B1175,'Base de données Mono'!D:D,0)),"-"))))))</f>
        <v>85</v>
      </c>
      <c r="O1175" s="123">
        <v>45402</v>
      </c>
      <c r="P1175" s="123">
        <v>45403</v>
      </c>
      <c r="Q1175" s="34">
        <v>130</v>
      </c>
      <c r="R1175" s="33">
        <f t="shared" si="189"/>
        <v>45</v>
      </c>
      <c r="S1175" s="34">
        <v>1.3</v>
      </c>
      <c r="T1175" s="34">
        <f t="shared" si="221"/>
        <v>1</v>
      </c>
      <c r="U1175" s="33">
        <f t="shared" si="190"/>
        <v>58.5</v>
      </c>
      <c r="V1175" s="38" t="s">
        <v>827</v>
      </c>
      <c r="W1175" s="39">
        <f t="shared" si="191"/>
        <v>0.52941176470588236</v>
      </c>
      <c r="X1175" s="40" t="s">
        <v>304</v>
      </c>
      <c r="Y1175" s="40" t="s">
        <v>284</v>
      </c>
      <c r="Z1175" s="40" t="s">
        <v>307</v>
      </c>
      <c r="AA1175" s="33" t="s">
        <v>414</v>
      </c>
      <c r="AB1175" s="95"/>
      <c r="AC1175" s="95"/>
    </row>
    <row r="1176" spans="1:29" ht="14.45" hidden="1" customHeight="1" x14ac:dyDescent="0.25">
      <c r="A1176" s="36" t="str">
        <f>INDEX('Base de données Mono'!C:C,MATCH(B1176,'Base de données Mono'!D:D,0))</f>
        <v>CAEN</v>
      </c>
      <c r="B1176" t="s">
        <v>10</v>
      </c>
      <c r="C1176" s="36" t="str">
        <f>INDEX('Base de données Mono'!B:B,MATCH(B1176,'Base de données Mono'!D:D,0))</f>
        <v>SES8</v>
      </c>
      <c r="D1176" s="36" t="str">
        <f>INDEX('Base de données Mono'!A:A,MATCH(B1176,'Base de données Mono'!D:D,0))</f>
        <v>AD</v>
      </c>
      <c r="E1176" s="37" t="s">
        <v>303</v>
      </c>
      <c r="F1176" s="41">
        <f t="shared" si="187"/>
        <v>16</v>
      </c>
      <c r="G1176" s="41">
        <f t="shared" si="188"/>
        <v>4</v>
      </c>
      <c r="I1176" s="131">
        <f>INDEX('Base de données Mono'!K:K,MATCH(B1176,'Base de données Mono'!D:D,0))</f>
        <v>0.22222222222222221</v>
      </c>
      <c r="J1176" s="131">
        <f>INDEX('Base de données Mono'!L:L,MATCH(B1176,'Base de données Mono'!D:D,0))</f>
        <v>0.875</v>
      </c>
      <c r="K1176" s="131">
        <f>INDEX('Base de données Mono'!M:M,MATCH(B1176,'Base de données Mono'!D:D,0))</f>
        <v>0.29166666666666702</v>
      </c>
      <c r="L1176" s="131">
        <f>INDEX('Base de données Mono'!N:N,MATCH(B1176,'Base de données Mono'!D:D,0))</f>
        <v>0.54166666666666663</v>
      </c>
      <c r="M1176" s="33" t="s">
        <v>46</v>
      </c>
      <c r="N1176" s="33">
        <f>IF(AND(E1176="Electricité",M1176="Hiver"),INDEX('Base de données Mono'!E:E,MATCH(B1176,'Base de données Mono'!D:D,0)),IF(AND(E1176="Electricité",M1176="Mi-saison"),INDEX('Base de données Mono'!F:F,MATCH(B1176,'Base de données Mono'!D:D,0)),IF(AND(E1176="Electricité",M1176="Eté"),INDEX('Base de données Mono'!G:G,MATCH(B1176,'Base de données Mono'!D:D,0)),IF(AND(E1176="Gaz",M1176="Hiver"),INDEX('Base de données Mono'!J:J,MATCH(B1176,'Base de données Mono'!D:D,0)),IF(AND(E1176="Gaz",M1176="Mi-saison"),INDEX('Base de données Mono'!#REF!,MATCH(B1176,'Base de données Mono'!D:D,0)),IF(AND(E1176="Gaz",M1176="Eté"),INDEX('Base de données Mono'!#REF!,MATCH(B1176,'Base de données Mono'!D:D,0)),"-"))))))</f>
        <v>75</v>
      </c>
      <c r="O1176" s="123">
        <v>45397</v>
      </c>
      <c r="P1176" s="123">
        <v>45401</v>
      </c>
      <c r="Q1176" s="34">
        <v>85</v>
      </c>
      <c r="R1176" s="33">
        <f t="shared" si="189"/>
        <v>10</v>
      </c>
      <c r="S1176" s="34">
        <v>3</v>
      </c>
      <c r="T1176" s="34">
        <f t="shared" si="221"/>
        <v>4</v>
      </c>
      <c r="U1176" s="33">
        <f t="shared" si="190"/>
        <v>120</v>
      </c>
      <c r="V1176" s="38" t="s">
        <v>827</v>
      </c>
      <c r="W1176" s="39">
        <f t="shared" si="191"/>
        <v>0.13333333333333333</v>
      </c>
      <c r="X1176" s="40" t="s">
        <v>304</v>
      </c>
      <c r="Y1176" s="40" t="s">
        <v>284</v>
      </c>
      <c r="Z1176" s="40" t="s">
        <v>305</v>
      </c>
      <c r="AA1176" s="33" t="s">
        <v>771</v>
      </c>
      <c r="AB1176" s="95"/>
      <c r="AC1176" s="95"/>
    </row>
    <row r="1177" spans="1:29" ht="14.45" hidden="1" customHeight="1" x14ac:dyDescent="0.25">
      <c r="A1177" s="36" t="str">
        <f>INDEX('Base de données Mono'!C:C,MATCH(B1177,'Base de données Mono'!D:D,0))</f>
        <v>LE HAVRE</v>
      </c>
      <c r="B1177" t="s">
        <v>152</v>
      </c>
      <c r="C1177" s="36" t="str">
        <f>INDEX('Base de données Mono'!B:B,MATCH(B1177,'Base de données Mono'!D:D,0))</f>
        <v>SES8</v>
      </c>
      <c r="D1177" s="36" t="str">
        <f>INDEX('Base de données Mono'!A:A,MATCH(B1177,'Base de données Mono'!D:D,0))</f>
        <v>AD</v>
      </c>
      <c r="E1177" s="37" t="s">
        <v>303</v>
      </c>
      <c r="F1177" s="41">
        <f t="shared" si="187"/>
        <v>16</v>
      </c>
      <c r="G1177" s="41">
        <f t="shared" si="188"/>
        <v>4</v>
      </c>
      <c r="I1177" s="131">
        <f>INDEX('Base de données Mono'!K:K,MATCH(B1177,'Base de données Mono'!D:D,0))</f>
        <v>0.1875</v>
      </c>
      <c r="J1177" s="131">
        <f>INDEX('Base de données Mono'!L:L,MATCH(B1177,'Base de données Mono'!D:D,0))</f>
        <v>0.88541666666666663</v>
      </c>
      <c r="K1177" s="131" t="str">
        <f>INDEX('Base de données Mono'!M:M,MATCH(B1177,'Base de données Mono'!D:D,0))</f>
        <v>-</v>
      </c>
      <c r="L1177" s="131" t="str">
        <f>INDEX('Base de données Mono'!N:N,MATCH(B1177,'Base de données Mono'!D:D,0))</f>
        <v>-</v>
      </c>
      <c r="M1177" s="33" t="s">
        <v>46</v>
      </c>
      <c r="N1177" s="33">
        <f>IF(AND(E1177="Electricité",M1177="Hiver"),INDEX('Base de données Mono'!E:E,MATCH(B1177,'Base de données Mono'!D:D,0)),IF(AND(E1177="Electricité",M1177="Mi-saison"),INDEX('Base de données Mono'!F:F,MATCH(B1177,'Base de données Mono'!D:D,0)),IF(AND(E1177="Electricité",M1177="Eté"),INDEX('Base de données Mono'!G:G,MATCH(B1177,'Base de données Mono'!D:D,0)),IF(AND(E1177="Gaz",M1177="Hiver"),INDEX('Base de données Mono'!J:J,MATCH(B1177,'Base de données Mono'!D:D,0)),IF(AND(E1177="Gaz",M1177="Mi-saison"),INDEX('Base de données Mono'!#REF!,MATCH(B1177,'Base de données Mono'!D:D,0)),IF(AND(E1177="Gaz",M1177="Eté"),INDEX('Base de données Mono'!#REF!,MATCH(B1177,'Base de données Mono'!D:D,0)),"-"))))))</f>
        <v>60</v>
      </c>
      <c r="O1177" s="123">
        <v>45396</v>
      </c>
      <c r="P1177" s="123">
        <v>45403</v>
      </c>
      <c r="Q1177" s="34">
        <v>70</v>
      </c>
      <c r="R1177" s="33">
        <f t="shared" si="189"/>
        <v>10</v>
      </c>
      <c r="S1177" s="34">
        <v>2.5</v>
      </c>
      <c r="T1177" s="34">
        <f t="shared" si="221"/>
        <v>7</v>
      </c>
      <c r="U1177" s="33">
        <f t="shared" si="190"/>
        <v>175</v>
      </c>
      <c r="V1177" s="38" t="s">
        <v>827</v>
      </c>
      <c r="W1177" s="39">
        <f t="shared" si="191"/>
        <v>0.16666666666666666</v>
      </c>
      <c r="X1177" s="40" t="s">
        <v>304</v>
      </c>
      <c r="Y1177" s="40" t="s">
        <v>284</v>
      </c>
      <c r="Z1177" s="40" t="s">
        <v>305</v>
      </c>
      <c r="AA1177" s="33" t="s">
        <v>771</v>
      </c>
      <c r="AB1177" s="95"/>
      <c r="AC1177" s="95"/>
    </row>
    <row r="1178" spans="1:29" ht="14.45" hidden="1" customHeight="1" x14ac:dyDescent="0.25">
      <c r="A1178" s="36" t="str">
        <f>INDEX('Base de données Mono'!C:C,MATCH(B1178,'Base de données Mono'!D:D,0))</f>
        <v>LE HAVRE</v>
      </c>
      <c r="B1178" t="s">
        <v>152</v>
      </c>
      <c r="C1178" s="36" t="str">
        <f>INDEX('Base de données Mono'!B:B,MATCH(B1178,'Base de données Mono'!D:D,0))</f>
        <v>SES8</v>
      </c>
      <c r="D1178" s="36" t="str">
        <f>INDEX('Base de données Mono'!A:A,MATCH(B1178,'Base de données Mono'!D:D,0))</f>
        <v>AD</v>
      </c>
      <c r="E1178" s="37" t="s">
        <v>303</v>
      </c>
      <c r="F1178" s="41">
        <f t="shared" si="187"/>
        <v>16</v>
      </c>
      <c r="G1178" s="41">
        <f t="shared" si="188"/>
        <v>4</v>
      </c>
      <c r="I1178" s="131">
        <f>INDEX('Base de données Mono'!K:K,MATCH(B1178,'Base de données Mono'!D:D,0))</f>
        <v>0.1875</v>
      </c>
      <c r="J1178" s="131">
        <f>INDEX('Base de données Mono'!L:L,MATCH(B1178,'Base de données Mono'!D:D,0))</f>
        <v>0.88541666666666663</v>
      </c>
      <c r="K1178" s="131" t="str">
        <f>INDEX('Base de données Mono'!M:M,MATCH(B1178,'Base de données Mono'!D:D,0))</f>
        <v>-</v>
      </c>
      <c r="L1178" s="131" t="str">
        <f>INDEX('Base de données Mono'!N:N,MATCH(B1178,'Base de données Mono'!D:D,0))</f>
        <v>-</v>
      </c>
      <c r="M1178" s="33" t="s">
        <v>46</v>
      </c>
      <c r="N1178" s="33">
        <f>IF(AND(E1178="Electricité",M1178="Hiver"),INDEX('Base de données Mono'!E:E,MATCH(B1178,'Base de données Mono'!D:D,0)),IF(AND(E1178="Electricité",M1178="Mi-saison"),INDEX('Base de données Mono'!F:F,MATCH(B1178,'Base de données Mono'!D:D,0)),IF(AND(E1178="Electricité",M1178="Eté"),INDEX('Base de données Mono'!G:G,MATCH(B1178,'Base de données Mono'!D:D,0)),IF(AND(E1178="Gaz",M1178="Hiver"),INDEX('Base de données Mono'!J:J,MATCH(B1178,'Base de données Mono'!D:D,0)),IF(AND(E1178="Gaz",M1178="Mi-saison"),INDEX('Base de données Mono'!#REF!,MATCH(B1178,'Base de données Mono'!D:D,0)),IF(AND(E1178="Gaz",M1178="Eté"),INDEX('Base de données Mono'!#REF!,MATCH(B1178,'Base de données Mono'!D:D,0)),"-"))))))</f>
        <v>60</v>
      </c>
      <c r="O1178" s="123">
        <v>45403</v>
      </c>
      <c r="P1178" s="123">
        <v>45403</v>
      </c>
      <c r="Q1178" s="34">
        <v>65</v>
      </c>
      <c r="R1178" s="33">
        <f t="shared" si="189"/>
        <v>5</v>
      </c>
      <c r="S1178" s="34">
        <v>16</v>
      </c>
      <c r="T1178" s="34">
        <v>1</v>
      </c>
      <c r="U1178" s="33">
        <f t="shared" si="190"/>
        <v>80</v>
      </c>
      <c r="V1178" s="38" t="s">
        <v>827</v>
      </c>
      <c r="W1178" s="39">
        <f t="shared" si="191"/>
        <v>8.3333333333333329E-2</v>
      </c>
      <c r="X1178" s="40" t="s">
        <v>730</v>
      </c>
      <c r="Y1178" s="40" t="s">
        <v>284</v>
      </c>
      <c r="Z1178" s="40" t="s">
        <v>305</v>
      </c>
      <c r="AA1178" s="33" t="s">
        <v>771</v>
      </c>
      <c r="AB1178" s="95"/>
      <c r="AC1178" s="95"/>
    </row>
    <row r="1179" spans="1:29" ht="14.45" hidden="1" customHeight="1" x14ac:dyDescent="0.25">
      <c r="A1179" s="36" t="str">
        <f>INDEX('Base de données Mono'!C:C,MATCH(B1179,'Base de données Mono'!D:D,0))</f>
        <v>SABLONS</v>
      </c>
      <c r="B1179" t="s">
        <v>32</v>
      </c>
      <c r="C1179" s="36" t="str">
        <f>INDEX('Base de données Mono'!B:B,MATCH(B1179,'Base de données Mono'!D:D,0))</f>
        <v>SES8</v>
      </c>
      <c r="D1179" s="36" t="str">
        <f>INDEX('Base de données Mono'!A:A,MATCH(B1179,'Base de données Mono'!D:D,0))</f>
        <v>AD</v>
      </c>
      <c r="E1179" s="37" t="s">
        <v>303</v>
      </c>
      <c r="F1179" s="41">
        <f t="shared" si="187"/>
        <v>16</v>
      </c>
      <c r="G1179" s="41">
        <f t="shared" si="188"/>
        <v>4</v>
      </c>
      <c r="I1179" s="131">
        <f>INDEX('Base de données Mono'!K:K,MATCH(B1179,'Base de données Mono'!D:D,0))</f>
        <v>0.23611111111111113</v>
      </c>
      <c r="J1179" s="131">
        <f>INDEX('Base de données Mono'!L:L,MATCH(B1179,'Base de données Mono'!D:D,0))</f>
        <v>0.91666666666666663</v>
      </c>
      <c r="K1179" s="131">
        <f>INDEX('Base de données Mono'!M:M,MATCH(B1179,'Base de données Mono'!D:D,0))</f>
        <v>0.25694444444444448</v>
      </c>
      <c r="L1179" s="131">
        <f>INDEX('Base de données Mono'!N:N,MATCH(B1179,'Base de données Mono'!D:D,0))</f>
        <v>0.60069444444444442</v>
      </c>
      <c r="M1179" s="33" t="s">
        <v>46</v>
      </c>
      <c r="N1179" s="33">
        <f>IF(AND(E1179="Electricité",M1179="Hiver"),INDEX('Base de données Mono'!E:E,MATCH(B1179,'Base de données Mono'!D:D,0)),IF(AND(E1179="Electricité",M1179="Mi-saison"),INDEX('Base de données Mono'!F:F,MATCH(B1179,'Base de données Mono'!D:D,0)),IF(AND(E1179="Electricité",M1179="Eté"),INDEX('Base de données Mono'!G:G,MATCH(B1179,'Base de données Mono'!D:D,0)),IF(AND(E1179="Gaz",M1179="Hiver"),INDEX('Base de données Mono'!J:J,MATCH(B1179,'Base de données Mono'!D:D,0)),IF(AND(E1179="Gaz",M1179="Mi-saison"),INDEX('Base de données Mono'!#REF!,MATCH(B1179,'Base de données Mono'!D:D,0)),IF(AND(E1179="Gaz",M1179="Eté"),INDEX('Base de données Mono'!#REF!,MATCH(B1179,'Base de données Mono'!D:D,0)),"-"))))))</f>
        <v>70</v>
      </c>
      <c r="O1179" s="123">
        <v>45396</v>
      </c>
      <c r="P1179" s="123">
        <v>45397</v>
      </c>
      <c r="Q1179" s="34">
        <v>100</v>
      </c>
      <c r="R1179" s="33">
        <f t="shared" si="189"/>
        <v>30</v>
      </c>
      <c r="S1179" s="34">
        <v>7.6</v>
      </c>
      <c r="T1179" s="34">
        <f t="shared" si="221"/>
        <v>1</v>
      </c>
      <c r="U1179" s="33">
        <f t="shared" si="190"/>
        <v>228</v>
      </c>
      <c r="V1179" s="38" t="s">
        <v>827</v>
      </c>
      <c r="W1179" s="39">
        <f t="shared" si="191"/>
        <v>0.42857142857142855</v>
      </c>
      <c r="X1179" s="40" t="s">
        <v>304</v>
      </c>
      <c r="Y1179" s="40" t="s">
        <v>284</v>
      </c>
      <c r="Z1179" s="40" t="s">
        <v>305</v>
      </c>
      <c r="AA1179" s="33" t="s">
        <v>771</v>
      </c>
      <c r="AB1179" s="95"/>
      <c r="AC1179" s="95"/>
    </row>
    <row r="1180" spans="1:29" ht="14.45" hidden="1" customHeight="1" x14ac:dyDescent="0.25">
      <c r="A1180" s="36" t="str">
        <f>INDEX('Base de données Mono'!C:C,MATCH(B1180,'Base de données Mono'!D:D,0))</f>
        <v>SABLONS</v>
      </c>
      <c r="B1180" t="s">
        <v>32</v>
      </c>
      <c r="C1180" s="36" t="str">
        <f>INDEX('Base de données Mono'!B:B,MATCH(B1180,'Base de données Mono'!D:D,0))</f>
        <v>SES8</v>
      </c>
      <c r="D1180" s="36" t="str">
        <f>INDEX('Base de données Mono'!A:A,MATCH(B1180,'Base de données Mono'!D:D,0))</f>
        <v>AD</v>
      </c>
      <c r="E1180" s="37" t="s">
        <v>303</v>
      </c>
      <c r="F1180" s="41">
        <f t="shared" si="187"/>
        <v>16</v>
      </c>
      <c r="G1180" s="41">
        <f t="shared" si="188"/>
        <v>4</v>
      </c>
      <c r="I1180" s="131">
        <f>INDEX('Base de données Mono'!K:K,MATCH(B1180,'Base de données Mono'!D:D,0))</f>
        <v>0.23611111111111113</v>
      </c>
      <c r="J1180" s="131">
        <f>INDEX('Base de données Mono'!L:L,MATCH(B1180,'Base de données Mono'!D:D,0))</f>
        <v>0.91666666666666663</v>
      </c>
      <c r="K1180" s="131">
        <f>INDEX('Base de données Mono'!M:M,MATCH(B1180,'Base de données Mono'!D:D,0))</f>
        <v>0.25694444444444448</v>
      </c>
      <c r="L1180" s="131">
        <f>INDEX('Base de données Mono'!N:N,MATCH(B1180,'Base de données Mono'!D:D,0))</f>
        <v>0.60069444444444442</v>
      </c>
      <c r="M1180" s="33" t="s">
        <v>46</v>
      </c>
      <c r="N1180" s="33">
        <f>IF(AND(E1180="Electricité",M1180="Hiver"),INDEX('Base de données Mono'!E:E,MATCH(B1180,'Base de données Mono'!D:D,0)),IF(AND(E1180="Electricité",M1180="Mi-saison"),INDEX('Base de données Mono'!F:F,MATCH(B1180,'Base de données Mono'!D:D,0)),IF(AND(E1180="Electricité",M1180="Eté"),INDEX('Base de données Mono'!G:G,MATCH(B1180,'Base de données Mono'!D:D,0)),IF(AND(E1180="Gaz",M1180="Hiver"),INDEX('Base de données Mono'!J:J,MATCH(B1180,'Base de données Mono'!D:D,0)),IF(AND(E1180="Gaz",M1180="Mi-saison"),INDEX('Base de données Mono'!#REF!,MATCH(B1180,'Base de données Mono'!D:D,0)),IF(AND(E1180="Gaz",M1180="Eté"),INDEX('Base de données Mono'!#REF!,MATCH(B1180,'Base de données Mono'!D:D,0)),"-"))))))</f>
        <v>70</v>
      </c>
      <c r="O1180" s="123">
        <v>45397</v>
      </c>
      <c r="P1180" s="123">
        <v>45400</v>
      </c>
      <c r="Q1180" s="34">
        <v>90</v>
      </c>
      <c r="R1180" s="33">
        <f t="shared" si="189"/>
        <v>20</v>
      </c>
      <c r="S1180" s="34">
        <v>7.6</v>
      </c>
      <c r="T1180" s="34">
        <f t="shared" si="221"/>
        <v>3</v>
      </c>
      <c r="U1180" s="33">
        <f t="shared" si="190"/>
        <v>456</v>
      </c>
      <c r="V1180" s="38" t="s">
        <v>827</v>
      </c>
      <c r="W1180" s="39">
        <f t="shared" si="191"/>
        <v>0.2857142857142857</v>
      </c>
      <c r="X1180" s="40" t="s">
        <v>304</v>
      </c>
      <c r="Y1180" s="40" t="s">
        <v>284</v>
      </c>
      <c r="Z1180" s="40" t="s">
        <v>305</v>
      </c>
      <c r="AA1180" s="33" t="s">
        <v>771</v>
      </c>
      <c r="AB1180" s="95"/>
      <c r="AC1180" s="95"/>
    </row>
    <row r="1181" spans="1:29" ht="14.45" hidden="1" customHeight="1" x14ac:dyDescent="0.25">
      <c r="A1181" s="36" t="str">
        <f>INDEX('Base de données Mono'!C:C,MATCH(B1181,'Base de données Mono'!D:D,0))</f>
        <v>SABLONS</v>
      </c>
      <c r="B1181" t="s">
        <v>32</v>
      </c>
      <c r="C1181" s="36" t="str">
        <f>INDEX('Base de données Mono'!B:B,MATCH(B1181,'Base de données Mono'!D:D,0))</f>
        <v>SES8</v>
      </c>
      <c r="D1181" s="36" t="str">
        <f>INDEX('Base de données Mono'!A:A,MATCH(B1181,'Base de données Mono'!D:D,0))</f>
        <v>AD</v>
      </c>
      <c r="E1181" s="37" t="s">
        <v>303</v>
      </c>
      <c r="F1181" s="41">
        <f t="shared" si="187"/>
        <v>16</v>
      </c>
      <c r="G1181" s="41">
        <f t="shared" si="188"/>
        <v>4</v>
      </c>
      <c r="I1181" s="131">
        <f>INDEX('Base de données Mono'!K:K,MATCH(B1181,'Base de données Mono'!D:D,0))</f>
        <v>0.23611111111111113</v>
      </c>
      <c r="J1181" s="131">
        <f>INDEX('Base de données Mono'!L:L,MATCH(B1181,'Base de données Mono'!D:D,0))</f>
        <v>0.91666666666666663</v>
      </c>
      <c r="K1181" s="131">
        <f>INDEX('Base de données Mono'!M:M,MATCH(B1181,'Base de données Mono'!D:D,0))</f>
        <v>0.25694444444444448</v>
      </c>
      <c r="L1181" s="131">
        <f>INDEX('Base de données Mono'!N:N,MATCH(B1181,'Base de données Mono'!D:D,0))</f>
        <v>0.60069444444444442</v>
      </c>
      <c r="M1181" s="33" t="s">
        <v>46</v>
      </c>
      <c r="N1181" s="33">
        <f>IF(AND(E1181="Electricité",M1181="Hiver"),INDEX('Base de données Mono'!E:E,MATCH(B1181,'Base de données Mono'!D:D,0)),IF(AND(E1181="Electricité",M1181="Mi-saison"),INDEX('Base de données Mono'!F:F,MATCH(B1181,'Base de données Mono'!D:D,0)),IF(AND(E1181="Electricité",M1181="Eté"),INDEX('Base de données Mono'!G:G,MATCH(B1181,'Base de données Mono'!D:D,0)),IF(AND(E1181="Gaz",M1181="Hiver"),INDEX('Base de données Mono'!J:J,MATCH(B1181,'Base de données Mono'!D:D,0)),IF(AND(E1181="Gaz",M1181="Mi-saison"),INDEX('Base de données Mono'!#REF!,MATCH(B1181,'Base de données Mono'!D:D,0)),IF(AND(E1181="Gaz",M1181="Eté"),INDEX('Base de données Mono'!#REF!,MATCH(B1181,'Base de données Mono'!D:D,0)),"-"))))))</f>
        <v>70</v>
      </c>
      <c r="O1181" s="123">
        <v>45400</v>
      </c>
      <c r="P1181" s="123">
        <v>45403</v>
      </c>
      <c r="Q1181" s="34">
        <v>85</v>
      </c>
      <c r="R1181" s="33">
        <f t="shared" si="189"/>
        <v>15</v>
      </c>
      <c r="S1181" s="34">
        <v>7.6</v>
      </c>
      <c r="T1181" s="34">
        <f t="shared" si="221"/>
        <v>3</v>
      </c>
      <c r="U1181" s="33">
        <f t="shared" si="190"/>
        <v>342</v>
      </c>
      <c r="V1181" s="38" t="s">
        <v>827</v>
      </c>
      <c r="W1181" s="39">
        <f t="shared" si="191"/>
        <v>0.21428571428571427</v>
      </c>
      <c r="X1181" s="40" t="s">
        <v>304</v>
      </c>
      <c r="Y1181" s="40" t="s">
        <v>284</v>
      </c>
      <c r="Z1181" s="40" t="s">
        <v>305</v>
      </c>
      <c r="AA1181" s="33" t="s">
        <v>771</v>
      </c>
      <c r="AB1181" s="95"/>
      <c r="AC1181" s="95"/>
    </row>
    <row r="1182" spans="1:29" ht="14.45" hidden="1" customHeight="1" x14ac:dyDescent="0.25">
      <c r="A1182" s="36" t="str">
        <f>INDEX('Base de données Mono'!C:C,MATCH(B1182,'Base de données Mono'!D:D,0))</f>
        <v>SAINT RAPHAEL</v>
      </c>
      <c r="B1182" t="s">
        <v>36</v>
      </c>
      <c r="C1182" s="36" t="str">
        <f>INDEX('Base de données Mono'!B:B,MATCH(B1182,'Base de données Mono'!D:D,0))</f>
        <v>SES8</v>
      </c>
      <c r="D1182" s="36" t="str">
        <f>INDEX('Base de données Mono'!A:A,MATCH(B1182,'Base de données Mono'!D:D,0))</f>
        <v>JG</v>
      </c>
      <c r="E1182" s="37" t="s">
        <v>303</v>
      </c>
      <c r="F1182" s="41">
        <f t="shared" si="187"/>
        <v>16</v>
      </c>
      <c r="G1182" s="41">
        <f t="shared" si="188"/>
        <v>4</v>
      </c>
      <c r="I1182" s="131">
        <f>INDEX('Base de données Mono'!K:K,MATCH(B1182,'Base de données Mono'!D:D,0))</f>
        <v>0.20833333333333334</v>
      </c>
      <c r="J1182" s="131">
        <f>INDEX('Base de données Mono'!L:L,MATCH(B1182,'Base de données Mono'!D:D,0))</f>
        <v>0.85416666666666663</v>
      </c>
      <c r="K1182" s="131">
        <f>INDEX('Base de données Mono'!M:M,MATCH(B1182,'Base de données Mono'!D:D,0))</f>
        <v>0.3125</v>
      </c>
      <c r="L1182" s="131">
        <f>INDEX('Base de données Mono'!N:N,MATCH(B1182,'Base de données Mono'!D:D,0))</f>
        <v>0.55902777777777779</v>
      </c>
      <c r="M1182" s="33" t="s">
        <v>46</v>
      </c>
      <c r="N1182" s="33">
        <f>IF(AND(E1182="Electricité",M1182="Hiver"),INDEX('Base de données Mono'!E:E,MATCH(B1182,'Base de données Mono'!D:D,0)),IF(AND(E1182="Electricité",M1182="Mi-saison"),INDEX('Base de données Mono'!F:F,MATCH(B1182,'Base de données Mono'!D:D,0)),IF(AND(E1182="Electricité",M1182="Eté"),INDEX('Base de données Mono'!G:G,MATCH(B1182,'Base de données Mono'!D:D,0)),IF(AND(E1182="Gaz",M1182="Hiver"),INDEX('Base de données Mono'!J:J,MATCH(B1182,'Base de données Mono'!D:D,0)),IF(AND(E1182="Gaz",M1182="Mi-saison"),INDEX('Base de données Mono'!#REF!,MATCH(B1182,'Base de données Mono'!D:D,0)),IF(AND(E1182="Gaz",M1182="Eté"),INDEX('Base de données Mono'!#REF!,MATCH(B1182,'Base de données Mono'!D:D,0)),"-"))))))</f>
        <v>35</v>
      </c>
      <c r="O1182" s="123">
        <v>45396</v>
      </c>
      <c r="P1182" s="123">
        <v>45403</v>
      </c>
      <c r="Q1182" s="34">
        <v>60</v>
      </c>
      <c r="R1182" s="33">
        <f t="shared" si="189"/>
        <v>25</v>
      </c>
      <c r="S1182" s="34">
        <v>2.5</v>
      </c>
      <c r="T1182" s="34">
        <f t="shared" si="221"/>
        <v>7</v>
      </c>
      <c r="U1182" s="33">
        <f t="shared" si="190"/>
        <v>437.5</v>
      </c>
      <c r="V1182" s="38" t="s">
        <v>827</v>
      </c>
      <c r="W1182" s="39">
        <f t="shared" si="191"/>
        <v>0.7142857142857143</v>
      </c>
      <c r="X1182" s="40" t="s">
        <v>304</v>
      </c>
      <c r="Y1182" s="40" t="s">
        <v>284</v>
      </c>
      <c r="Z1182" s="40" t="s">
        <v>307</v>
      </c>
      <c r="AA1182" s="33" t="s">
        <v>313</v>
      </c>
      <c r="AB1182" s="95"/>
      <c r="AC1182" s="95"/>
    </row>
    <row r="1183" spans="1:29" ht="14.45" hidden="1" customHeight="1" x14ac:dyDescent="0.25">
      <c r="A1183" s="36" t="str">
        <f>INDEX('Base de données Mono'!C:C,MATCH(B1183,'Base de données Mono'!D:D,0))</f>
        <v>CHAVILLE</v>
      </c>
      <c r="B1183" t="s">
        <v>12</v>
      </c>
      <c r="C1183" s="36" t="str">
        <f>INDEX('Base de données Mono'!B:B,MATCH(B1183,'Base de données Mono'!D:D,0))</f>
        <v>SES8</v>
      </c>
      <c r="D1183" s="36" t="str">
        <f>INDEX('Base de données Mono'!A:A,MATCH(B1183,'Base de données Mono'!D:D,0))</f>
        <v>AD</v>
      </c>
      <c r="E1183" s="37" t="s">
        <v>303</v>
      </c>
      <c r="F1183" s="41">
        <f t="shared" ref="F1183:F1198" si="224">IF(O1183="","-",IF(AND(X1183="Nuit",WEEKDAY(O1183,2)=7,O1183&lt;&gt;P1183),WEEKNUM(O1183,2),WEEKNUM(O1183,2)-1))+1</f>
        <v>16</v>
      </c>
      <c r="G1183" s="41">
        <f t="shared" ref="G1183:G1198" si="225">IF(O1183="","-",MONTH(O1183))</f>
        <v>4</v>
      </c>
      <c r="I1183" s="131">
        <f>INDEX('Base de données Mono'!K:K,MATCH(B1183,'Base de données Mono'!D:D,0))</f>
        <v>0.25</v>
      </c>
      <c r="J1183" s="131">
        <f>INDEX('Base de données Mono'!L:L,MATCH(B1183,'Base de données Mono'!D:D,0))</f>
        <v>0.89583333333333337</v>
      </c>
      <c r="K1183" s="131">
        <f>INDEX('Base de données Mono'!M:M,MATCH(B1183,'Base de données Mono'!D:D,0))</f>
        <v>0.29166666666666702</v>
      </c>
      <c r="L1183" s="131">
        <f>INDEX('Base de données Mono'!N:N,MATCH(B1183,'Base de données Mono'!D:D,0))</f>
        <v>0.80208333333333337</v>
      </c>
      <c r="M1183" s="33" t="s">
        <v>46</v>
      </c>
      <c r="N1183" s="33">
        <f>IF(AND(E1183="Electricité",M1183="Hiver"),INDEX('Base de données Mono'!E:E,MATCH(B1183,'Base de données Mono'!D:D,0)),IF(AND(E1183="Electricité",M1183="Mi-saison"),INDEX('Base de données Mono'!F:F,MATCH(B1183,'Base de données Mono'!D:D,0)),IF(AND(E1183="Electricité",M1183="Eté"),INDEX('Base de données Mono'!G:G,MATCH(B1183,'Base de données Mono'!D:D,0)),IF(AND(E1183="Gaz",M1183="Hiver"),INDEX('Base de données Mono'!J:J,MATCH(B1183,'Base de données Mono'!D:D,0)),IF(AND(E1183="Gaz",M1183="Mi-saison"),INDEX('Base de données Mono'!#REF!,MATCH(B1183,'Base de données Mono'!D:D,0)),IF(AND(E1183="Gaz",M1183="Eté"),INDEX('Base de données Mono'!#REF!,MATCH(B1183,'Base de données Mono'!D:D,0)),"-"))))))</f>
        <v>80</v>
      </c>
      <c r="O1183" s="123">
        <v>45396</v>
      </c>
      <c r="P1183" s="123">
        <v>45398</v>
      </c>
      <c r="Q1183" s="34">
        <v>120</v>
      </c>
      <c r="R1183" s="33">
        <f t="shared" ref="R1183:R1198" si="226">IF(Q1183="","",Q1183-N1183)</f>
        <v>40</v>
      </c>
      <c r="S1183" s="34">
        <v>0.5</v>
      </c>
      <c r="T1183" s="34">
        <f t="shared" si="221"/>
        <v>2</v>
      </c>
      <c r="U1183" s="33">
        <f t="shared" ref="U1183:U1198" si="227">R1183*S1183*T1183</f>
        <v>40</v>
      </c>
      <c r="V1183" s="38" t="s">
        <v>827</v>
      </c>
      <c r="W1183" s="39">
        <f t="shared" ref="W1183:W1198" si="228">IFERROR(IF(E1183="Gaz","-",R1183/N1183),"-")</f>
        <v>0.5</v>
      </c>
      <c r="X1183" s="40" t="s">
        <v>304</v>
      </c>
      <c r="Y1183" s="40" t="s">
        <v>284</v>
      </c>
      <c r="Z1183" s="40" t="s">
        <v>307</v>
      </c>
      <c r="AA1183" s="33" t="s">
        <v>414</v>
      </c>
      <c r="AB1183" s="95"/>
      <c r="AC1183" s="95"/>
    </row>
    <row r="1184" spans="1:29" ht="14.45" hidden="1" customHeight="1" x14ac:dyDescent="0.25">
      <c r="A1184" s="36" t="str">
        <f>INDEX('Base de données Mono'!C:C,MATCH(B1184,'Base de données Mono'!D:D,0))</f>
        <v>CHAVILLE</v>
      </c>
      <c r="B1184" t="s">
        <v>12</v>
      </c>
      <c r="C1184" s="36" t="str">
        <f>INDEX('Base de données Mono'!B:B,MATCH(B1184,'Base de données Mono'!D:D,0))</f>
        <v>SES8</v>
      </c>
      <c r="D1184" s="36" t="str">
        <f>INDEX('Base de données Mono'!A:A,MATCH(B1184,'Base de données Mono'!D:D,0))</f>
        <v>AD</v>
      </c>
      <c r="E1184" s="37" t="s">
        <v>303</v>
      </c>
      <c r="F1184" s="41">
        <f t="shared" si="224"/>
        <v>16</v>
      </c>
      <c r="G1184" s="41">
        <f t="shared" si="225"/>
        <v>4</v>
      </c>
      <c r="I1184" s="131">
        <f>INDEX('Base de données Mono'!K:K,MATCH(B1184,'Base de données Mono'!D:D,0))</f>
        <v>0.25</v>
      </c>
      <c r="J1184" s="131">
        <f>INDEX('Base de données Mono'!L:L,MATCH(B1184,'Base de données Mono'!D:D,0))</f>
        <v>0.89583333333333337</v>
      </c>
      <c r="K1184" s="131">
        <f>INDEX('Base de données Mono'!M:M,MATCH(B1184,'Base de données Mono'!D:D,0))</f>
        <v>0.29166666666666702</v>
      </c>
      <c r="L1184" s="131">
        <f>INDEX('Base de données Mono'!N:N,MATCH(B1184,'Base de données Mono'!D:D,0))</f>
        <v>0.80208333333333337</v>
      </c>
      <c r="M1184" s="33" t="s">
        <v>46</v>
      </c>
      <c r="N1184" s="33">
        <f>IF(AND(E1184="Electricité",M1184="Hiver"),INDEX('Base de données Mono'!E:E,MATCH(B1184,'Base de données Mono'!D:D,0)),IF(AND(E1184="Electricité",M1184="Mi-saison"),INDEX('Base de données Mono'!F:F,MATCH(B1184,'Base de données Mono'!D:D,0)),IF(AND(E1184="Electricité",M1184="Eté"),INDEX('Base de données Mono'!G:G,MATCH(B1184,'Base de données Mono'!D:D,0)),IF(AND(E1184="Gaz",M1184="Hiver"),INDEX('Base de données Mono'!J:J,MATCH(B1184,'Base de données Mono'!D:D,0)),IF(AND(E1184="Gaz",M1184="Mi-saison"),INDEX('Base de données Mono'!#REF!,MATCH(B1184,'Base de données Mono'!D:D,0)),IF(AND(E1184="Gaz",M1184="Eté"),INDEX('Base de données Mono'!#REF!,MATCH(B1184,'Base de données Mono'!D:D,0)),"-"))))))</f>
        <v>80</v>
      </c>
      <c r="O1184" s="123">
        <v>45398</v>
      </c>
      <c r="P1184" s="123">
        <v>45403</v>
      </c>
      <c r="Q1184" s="34">
        <v>110</v>
      </c>
      <c r="R1184" s="33">
        <f t="shared" si="226"/>
        <v>30</v>
      </c>
      <c r="S1184" s="34">
        <v>0.5</v>
      </c>
      <c r="T1184" s="34">
        <f t="shared" si="221"/>
        <v>5</v>
      </c>
      <c r="U1184" s="33">
        <f t="shared" si="227"/>
        <v>75</v>
      </c>
      <c r="V1184" s="38" t="s">
        <v>827</v>
      </c>
      <c r="W1184" s="39">
        <f t="shared" si="228"/>
        <v>0.375</v>
      </c>
      <c r="X1184" s="40" t="s">
        <v>304</v>
      </c>
      <c r="Y1184" s="40" t="s">
        <v>284</v>
      </c>
      <c r="Z1184" s="40" t="s">
        <v>307</v>
      </c>
      <c r="AA1184" s="33" t="s">
        <v>414</v>
      </c>
      <c r="AB1184" s="95"/>
      <c r="AC1184" s="95"/>
    </row>
    <row r="1185" spans="1:29" ht="14.45" hidden="1" customHeight="1" x14ac:dyDescent="0.25">
      <c r="A1185" s="36" t="str">
        <f>INDEX('Base de données Mono'!C:C,MATCH(B1185,'Base de données Mono'!D:D,0))</f>
        <v>VANNES</v>
      </c>
      <c r="B1185" t="s">
        <v>260</v>
      </c>
      <c r="C1185" s="36" t="str">
        <f>INDEX('Base de données Mono'!B:B,MATCH(B1185,'Base de données Mono'!D:D,0))</f>
        <v>SES8</v>
      </c>
      <c r="D1185" s="36" t="str">
        <f>INDEX('Base de données Mono'!A:A,MATCH(B1185,'Base de données Mono'!D:D,0))</f>
        <v>AD</v>
      </c>
      <c r="E1185" s="37" t="s">
        <v>303</v>
      </c>
      <c r="F1185" s="41">
        <f t="shared" si="224"/>
        <v>16</v>
      </c>
      <c r="G1185" s="41">
        <f t="shared" si="225"/>
        <v>4</v>
      </c>
      <c r="I1185" s="131">
        <f>INDEX('Base de données Mono'!K:K,MATCH(B1185,'Base de données Mono'!D:D,0))</f>
        <v>0.24305555555555555</v>
      </c>
      <c r="J1185" s="131">
        <f>INDEX('Base de données Mono'!L:L,MATCH(B1185,'Base de données Mono'!D:D,0))</f>
        <v>0.83333333333333337</v>
      </c>
      <c r="K1185" s="131">
        <f>INDEX('Base de données Mono'!M:M,MATCH(B1185,'Base de données Mono'!D:D,0))</f>
        <v>0.34722222222222227</v>
      </c>
      <c r="L1185" s="131">
        <f>INDEX('Base de données Mono'!N:N,MATCH(B1185,'Base de données Mono'!D:D,0))</f>
        <v>0.57986111111111105</v>
      </c>
      <c r="M1185" s="33" t="s">
        <v>46</v>
      </c>
      <c r="N1185" s="33">
        <f>IF(AND(E1185="Electricité",M1185="Hiver"),INDEX('Base de données Mono'!E:E,MATCH(B1185,'Base de données Mono'!D:D,0)),IF(AND(E1185="Electricité",M1185="Mi-saison"),INDEX('Base de données Mono'!F:F,MATCH(B1185,'Base de données Mono'!D:D,0)),IF(AND(E1185="Electricité",M1185="Eté"),INDEX('Base de données Mono'!G:G,MATCH(B1185,'Base de données Mono'!D:D,0)),IF(AND(E1185="Gaz",M1185="Hiver"),INDEX('Base de données Mono'!J:J,MATCH(B1185,'Base de données Mono'!D:D,0)),IF(AND(E1185="Gaz",M1185="Mi-saison"),INDEX('Base de données Mono'!#REF!,MATCH(B1185,'Base de données Mono'!D:D,0)),IF(AND(E1185="Gaz",M1185="Eté"),INDEX('Base de données Mono'!#REF!,MATCH(B1185,'Base de données Mono'!D:D,0)),"-"))))))</f>
        <v>45</v>
      </c>
      <c r="O1185" s="123">
        <v>45396</v>
      </c>
      <c r="P1185" s="123">
        <v>45400</v>
      </c>
      <c r="Q1185" s="34">
        <v>50</v>
      </c>
      <c r="R1185" s="33">
        <f t="shared" si="226"/>
        <v>5</v>
      </c>
      <c r="S1185" s="34">
        <v>2</v>
      </c>
      <c r="T1185" s="34">
        <f t="shared" si="221"/>
        <v>4</v>
      </c>
      <c r="U1185" s="33">
        <f t="shared" si="227"/>
        <v>40</v>
      </c>
      <c r="V1185" s="38" t="s">
        <v>827</v>
      </c>
      <c r="W1185" s="39">
        <f t="shared" si="228"/>
        <v>0.1111111111111111</v>
      </c>
      <c r="X1185" s="40" t="s">
        <v>304</v>
      </c>
      <c r="Y1185" s="40" t="s">
        <v>284</v>
      </c>
      <c r="Z1185" s="40" t="s">
        <v>305</v>
      </c>
      <c r="AA1185" s="33" t="s">
        <v>771</v>
      </c>
      <c r="AB1185" s="95"/>
      <c r="AC1185" s="95"/>
    </row>
    <row r="1186" spans="1:29" ht="14.45" hidden="1" customHeight="1" x14ac:dyDescent="0.25">
      <c r="A1186" s="36" t="str">
        <f>INDEX('Base de données Mono'!C:C,MATCH(B1186,'Base de données Mono'!D:D,0))</f>
        <v>VANNES</v>
      </c>
      <c r="B1186" t="s">
        <v>260</v>
      </c>
      <c r="C1186" s="36" t="str">
        <f>INDEX('Base de données Mono'!B:B,MATCH(B1186,'Base de données Mono'!D:D,0))</f>
        <v>SES8</v>
      </c>
      <c r="D1186" s="36" t="str">
        <f>INDEX('Base de données Mono'!A:A,MATCH(B1186,'Base de données Mono'!D:D,0))</f>
        <v>AD</v>
      </c>
      <c r="E1186" s="37" t="s">
        <v>303</v>
      </c>
      <c r="F1186" s="41">
        <f t="shared" ref="F1186" si="229">IF(O1186="","-",IF(AND(X1186="Nuit",WEEKDAY(O1186,2)=7,O1186&lt;&gt;P1186),WEEKNUM(O1186,2),WEEKNUM(O1186,2)-1))+1</f>
        <v>16</v>
      </c>
      <c r="G1186" s="41">
        <f t="shared" ref="G1186" si="230">IF(O1186="","-",MONTH(O1186))</f>
        <v>4</v>
      </c>
      <c r="I1186" s="131">
        <f>INDEX('Base de données Mono'!K:K,MATCH(B1186,'Base de données Mono'!D:D,0))</f>
        <v>0.24305555555555555</v>
      </c>
      <c r="J1186" s="131">
        <f>INDEX('Base de données Mono'!L:L,MATCH(B1186,'Base de données Mono'!D:D,0))</f>
        <v>0.83333333333333337</v>
      </c>
      <c r="K1186" s="131">
        <f>INDEX('Base de données Mono'!M:M,MATCH(B1186,'Base de données Mono'!D:D,0))</f>
        <v>0.34722222222222227</v>
      </c>
      <c r="L1186" s="131">
        <f>INDEX('Base de données Mono'!N:N,MATCH(B1186,'Base de données Mono'!D:D,0))</f>
        <v>0.57986111111111105</v>
      </c>
      <c r="M1186" s="33" t="s">
        <v>46</v>
      </c>
      <c r="N1186" s="33">
        <f>IF(AND(E1186="Electricité",M1186="Hiver"),INDEX('Base de données Mono'!E:E,MATCH(B1186,'Base de données Mono'!D:D,0)),IF(AND(E1186="Electricité",M1186="Mi-saison"),INDEX('Base de données Mono'!F:F,MATCH(B1186,'Base de données Mono'!D:D,0)),IF(AND(E1186="Electricité",M1186="Eté"),INDEX('Base de données Mono'!G:G,MATCH(B1186,'Base de données Mono'!D:D,0)),IF(AND(E1186="Gaz",M1186="Hiver"),INDEX('Base de données Mono'!J:J,MATCH(B1186,'Base de données Mono'!D:D,0)),IF(AND(E1186="Gaz",M1186="Mi-saison"),INDEX('Base de données Mono'!#REF!,MATCH(B1186,'Base de données Mono'!D:D,0)),IF(AND(E1186="Gaz",M1186="Eté"),INDEX('Base de données Mono'!#REF!,MATCH(B1186,'Base de données Mono'!D:D,0)),"-"))))))</f>
        <v>45</v>
      </c>
      <c r="O1186" s="123">
        <v>45396</v>
      </c>
      <c r="P1186" s="123">
        <v>45400</v>
      </c>
      <c r="Q1186" s="34">
        <v>70</v>
      </c>
      <c r="R1186" s="33">
        <f t="shared" ref="R1186" si="231">IF(Q1186="","",Q1186-N1186)</f>
        <v>25</v>
      </c>
      <c r="S1186" s="34">
        <v>0.3</v>
      </c>
      <c r="T1186" s="34">
        <f t="shared" ref="T1186" si="232">P1186-O1186</f>
        <v>4</v>
      </c>
      <c r="U1186" s="33">
        <f t="shared" ref="U1186" si="233">R1186*S1186*T1186</f>
        <v>30</v>
      </c>
      <c r="V1186" s="38" t="s">
        <v>827</v>
      </c>
      <c r="W1186" s="39">
        <f t="shared" ref="W1186" si="234">IFERROR(IF(E1186="Gaz","-",R1186/N1186),"-")</f>
        <v>0.55555555555555558</v>
      </c>
      <c r="X1186" s="40" t="s">
        <v>304</v>
      </c>
      <c r="Y1186" s="40" t="s">
        <v>284</v>
      </c>
      <c r="Z1186" s="40" t="s">
        <v>307</v>
      </c>
      <c r="AA1186" s="33" t="s">
        <v>414</v>
      </c>
      <c r="AB1186" s="95"/>
      <c r="AC1186" s="95"/>
    </row>
    <row r="1187" spans="1:29" ht="14.45" hidden="1" customHeight="1" x14ac:dyDescent="0.25">
      <c r="A1187" s="36" t="str">
        <f>INDEX('Base de données Mono'!C:C,MATCH(B1187,'Base de données Mono'!D:D,0))</f>
        <v>VANNES</v>
      </c>
      <c r="B1187" t="s">
        <v>260</v>
      </c>
      <c r="C1187" s="36" t="str">
        <f>INDEX('Base de données Mono'!B:B,MATCH(B1187,'Base de données Mono'!D:D,0))</f>
        <v>SES8</v>
      </c>
      <c r="D1187" s="36" t="str">
        <f>INDEX('Base de données Mono'!A:A,MATCH(B1187,'Base de données Mono'!D:D,0))</f>
        <v>AD</v>
      </c>
      <c r="E1187" s="37" t="s">
        <v>303</v>
      </c>
      <c r="F1187" s="41">
        <f t="shared" si="224"/>
        <v>16</v>
      </c>
      <c r="G1187" s="41">
        <f t="shared" si="225"/>
        <v>4</v>
      </c>
      <c r="I1187" s="131">
        <f>INDEX('Base de données Mono'!K:K,MATCH(B1187,'Base de données Mono'!D:D,0))</f>
        <v>0.24305555555555555</v>
      </c>
      <c r="J1187" s="131">
        <f>INDEX('Base de données Mono'!L:L,MATCH(B1187,'Base de données Mono'!D:D,0))</f>
        <v>0.83333333333333337</v>
      </c>
      <c r="K1187" s="131">
        <f>INDEX('Base de données Mono'!M:M,MATCH(B1187,'Base de données Mono'!D:D,0))</f>
        <v>0.34722222222222227</v>
      </c>
      <c r="L1187" s="131">
        <f>INDEX('Base de données Mono'!N:N,MATCH(B1187,'Base de données Mono'!D:D,0))</f>
        <v>0.57986111111111105</v>
      </c>
      <c r="M1187" s="33" t="s">
        <v>46</v>
      </c>
      <c r="N1187" s="33">
        <f>IF(AND(E1187="Electricité",M1187="Hiver"),INDEX('Base de données Mono'!E:E,MATCH(B1187,'Base de données Mono'!D:D,0)),IF(AND(E1187="Electricité",M1187="Mi-saison"),INDEX('Base de données Mono'!F:F,MATCH(B1187,'Base de données Mono'!D:D,0)),IF(AND(E1187="Electricité",M1187="Eté"),INDEX('Base de données Mono'!G:G,MATCH(B1187,'Base de données Mono'!D:D,0)),IF(AND(E1187="Gaz",M1187="Hiver"),INDEX('Base de données Mono'!J:J,MATCH(B1187,'Base de données Mono'!D:D,0)),IF(AND(E1187="Gaz",M1187="Mi-saison"),INDEX('Base de données Mono'!#REF!,MATCH(B1187,'Base de données Mono'!D:D,0)),IF(AND(E1187="Gaz",M1187="Eté"),INDEX('Base de données Mono'!#REF!,MATCH(B1187,'Base de données Mono'!D:D,0)),"-"))))))</f>
        <v>45</v>
      </c>
      <c r="O1187" s="123">
        <v>45400</v>
      </c>
      <c r="P1187" s="123">
        <v>45401</v>
      </c>
      <c r="Q1187" s="34">
        <v>80</v>
      </c>
      <c r="R1187" s="33">
        <f t="shared" si="226"/>
        <v>35</v>
      </c>
      <c r="S1187" s="34">
        <v>9</v>
      </c>
      <c r="T1187" s="34">
        <f t="shared" si="221"/>
        <v>1</v>
      </c>
      <c r="U1187" s="33">
        <f t="shared" si="227"/>
        <v>315</v>
      </c>
      <c r="V1187" s="38" t="s">
        <v>827</v>
      </c>
      <c r="W1187" s="39">
        <f t="shared" si="228"/>
        <v>0.77777777777777779</v>
      </c>
      <c r="X1187" s="40" t="s">
        <v>304</v>
      </c>
      <c r="Y1187" s="40" t="s">
        <v>284</v>
      </c>
      <c r="Z1187" s="40" t="s">
        <v>311</v>
      </c>
      <c r="AA1187" s="33" t="s">
        <v>775</v>
      </c>
      <c r="AB1187" s="95"/>
      <c r="AC1187" s="95"/>
    </row>
    <row r="1188" spans="1:29" ht="14.45" hidden="1" customHeight="1" x14ac:dyDescent="0.25">
      <c r="A1188" s="36" t="str">
        <f>INDEX('Base de données Mono'!C:C,MATCH(B1188,'Base de données Mono'!D:D,0))</f>
        <v>VANNES</v>
      </c>
      <c r="B1188" t="s">
        <v>260</v>
      </c>
      <c r="C1188" s="36" t="str">
        <f>INDEX('Base de données Mono'!B:B,MATCH(B1188,'Base de données Mono'!D:D,0))</f>
        <v>SES8</v>
      </c>
      <c r="D1188" s="36" t="str">
        <f>INDEX('Base de données Mono'!A:A,MATCH(B1188,'Base de données Mono'!D:D,0))</f>
        <v>AD</v>
      </c>
      <c r="E1188" s="37" t="s">
        <v>303</v>
      </c>
      <c r="F1188" s="41">
        <f t="shared" ref="F1188" si="235">IF(O1188="","-",IF(AND(X1188="Nuit",WEEKDAY(O1188,2)=7,O1188&lt;&gt;P1188),WEEKNUM(O1188,2),WEEKNUM(O1188,2)-1))+1</f>
        <v>16</v>
      </c>
      <c r="G1188" s="41">
        <f t="shared" ref="G1188" si="236">IF(O1188="","-",MONTH(O1188))</f>
        <v>4</v>
      </c>
      <c r="I1188" s="131">
        <f>INDEX('Base de données Mono'!K:K,MATCH(B1188,'Base de données Mono'!D:D,0))</f>
        <v>0.24305555555555555</v>
      </c>
      <c r="J1188" s="131">
        <f>INDEX('Base de données Mono'!L:L,MATCH(B1188,'Base de données Mono'!D:D,0))</f>
        <v>0.83333333333333337</v>
      </c>
      <c r="K1188" s="131">
        <f>INDEX('Base de données Mono'!M:M,MATCH(B1188,'Base de données Mono'!D:D,0))</f>
        <v>0.34722222222222227</v>
      </c>
      <c r="L1188" s="131">
        <f>INDEX('Base de données Mono'!N:N,MATCH(B1188,'Base de données Mono'!D:D,0))</f>
        <v>0.57986111111111105</v>
      </c>
      <c r="M1188" s="33" t="s">
        <v>46</v>
      </c>
      <c r="N1188" s="33">
        <f>IF(AND(E1188="Electricité",M1188="Hiver"),INDEX('Base de données Mono'!E:E,MATCH(B1188,'Base de données Mono'!D:D,0)),IF(AND(E1188="Electricité",M1188="Mi-saison"),INDEX('Base de données Mono'!F:F,MATCH(B1188,'Base de données Mono'!D:D,0)),IF(AND(E1188="Electricité",M1188="Eté"),INDEX('Base de données Mono'!G:G,MATCH(B1188,'Base de données Mono'!D:D,0)),IF(AND(E1188="Gaz",M1188="Hiver"),INDEX('Base de données Mono'!J:J,MATCH(B1188,'Base de données Mono'!D:D,0)),IF(AND(E1188="Gaz",M1188="Mi-saison"),INDEX('Base de données Mono'!#REF!,MATCH(B1188,'Base de données Mono'!D:D,0)),IF(AND(E1188="Gaz",M1188="Eté"),INDEX('Base de données Mono'!#REF!,MATCH(B1188,'Base de données Mono'!D:D,0)),"-"))))))</f>
        <v>45</v>
      </c>
      <c r="O1188" s="123">
        <v>45401</v>
      </c>
      <c r="P1188" s="123">
        <v>45402</v>
      </c>
      <c r="Q1188" s="34">
        <v>50</v>
      </c>
      <c r="R1188" s="33">
        <f t="shared" ref="R1188:R1189" si="237">IF(Q1188="","",Q1188-N1188)</f>
        <v>5</v>
      </c>
      <c r="S1188" s="34">
        <v>2</v>
      </c>
      <c r="T1188" s="34">
        <f t="shared" ref="T1188:T1189" si="238">P1188-O1188</f>
        <v>1</v>
      </c>
      <c r="U1188" s="33">
        <f t="shared" ref="U1188:U1189" si="239">R1188*S1188*T1188</f>
        <v>10</v>
      </c>
      <c r="V1188" s="38" t="s">
        <v>827</v>
      </c>
      <c r="W1188" s="39">
        <f t="shared" ref="W1188:W1189" si="240">IFERROR(IF(E1188="Gaz","-",R1188/N1188),"-")</f>
        <v>0.1111111111111111</v>
      </c>
      <c r="X1188" s="40" t="s">
        <v>304</v>
      </c>
      <c r="Y1188" s="40" t="s">
        <v>284</v>
      </c>
      <c r="Z1188" s="40" t="s">
        <v>305</v>
      </c>
      <c r="AA1188" s="33" t="s">
        <v>771</v>
      </c>
      <c r="AB1188" s="95"/>
      <c r="AC1188" s="95"/>
    </row>
    <row r="1189" spans="1:29" ht="14.45" hidden="1" customHeight="1" x14ac:dyDescent="0.25">
      <c r="A1189" s="36" t="str">
        <f>INDEX('Base de données Mono'!C:C,MATCH(B1189,'Base de données Mono'!D:D,0))</f>
        <v>VANNES</v>
      </c>
      <c r="B1189" t="s">
        <v>260</v>
      </c>
      <c r="C1189" s="36" t="str">
        <f>INDEX('Base de données Mono'!B:B,MATCH(B1189,'Base de données Mono'!D:D,0))</f>
        <v>SES8</v>
      </c>
      <c r="D1189" s="36" t="str">
        <f>INDEX('Base de données Mono'!A:A,MATCH(B1189,'Base de données Mono'!D:D,0))</f>
        <v>AD</v>
      </c>
      <c r="E1189" s="37" t="s">
        <v>303</v>
      </c>
      <c r="F1189" s="41">
        <f t="shared" si="224"/>
        <v>16</v>
      </c>
      <c r="G1189" s="41">
        <f t="shared" si="225"/>
        <v>4</v>
      </c>
      <c r="I1189" s="131">
        <f>INDEX('Base de données Mono'!K:K,MATCH(B1189,'Base de données Mono'!D:D,0))</f>
        <v>0.24305555555555555</v>
      </c>
      <c r="J1189" s="131">
        <f>INDEX('Base de données Mono'!L:L,MATCH(B1189,'Base de données Mono'!D:D,0))</f>
        <v>0.83333333333333337</v>
      </c>
      <c r="K1189" s="131">
        <f>INDEX('Base de données Mono'!M:M,MATCH(B1189,'Base de données Mono'!D:D,0))</f>
        <v>0.34722222222222227</v>
      </c>
      <c r="L1189" s="131">
        <f>INDEX('Base de données Mono'!N:N,MATCH(B1189,'Base de données Mono'!D:D,0))</f>
        <v>0.57986111111111105</v>
      </c>
      <c r="M1189" s="33" t="s">
        <v>46</v>
      </c>
      <c r="N1189" s="33">
        <f>IF(AND(E1189="Electricité",M1189="Hiver"),INDEX('Base de données Mono'!E:E,MATCH(B1189,'Base de données Mono'!D:D,0)),IF(AND(E1189="Electricité",M1189="Mi-saison"),INDEX('Base de données Mono'!F:F,MATCH(B1189,'Base de données Mono'!D:D,0)),IF(AND(E1189="Electricité",M1189="Eté"),INDEX('Base de données Mono'!G:G,MATCH(B1189,'Base de données Mono'!D:D,0)),IF(AND(E1189="Gaz",M1189="Hiver"),INDEX('Base de données Mono'!J:J,MATCH(B1189,'Base de données Mono'!D:D,0)),IF(AND(E1189="Gaz",M1189="Mi-saison"),INDEX('Base de données Mono'!#REF!,MATCH(B1189,'Base de données Mono'!D:D,0)),IF(AND(E1189="Gaz",M1189="Eté"),INDEX('Base de données Mono'!#REF!,MATCH(B1189,'Base de données Mono'!D:D,0)),"-"))))))</f>
        <v>45</v>
      </c>
      <c r="O1189" s="123">
        <v>45401</v>
      </c>
      <c r="P1189" s="123">
        <v>45402</v>
      </c>
      <c r="Q1189" s="34">
        <v>70</v>
      </c>
      <c r="R1189" s="33">
        <f t="shared" si="237"/>
        <v>25</v>
      </c>
      <c r="S1189" s="34">
        <v>0.3</v>
      </c>
      <c r="T1189" s="34">
        <f t="shared" si="238"/>
        <v>1</v>
      </c>
      <c r="U1189" s="33">
        <f t="shared" si="239"/>
        <v>7.5</v>
      </c>
      <c r="V1189" s="38" t="s">
        <v>827</v>
      </c>
      <c r="W1189" s="39">
        <f t="shared" si="240"/>
        <v>0.55555555555555558</v>
      </c>
      <c r="X1189" s="40" t="s">
        <v>304</v>
      </c>
      <c r="Y1189" s="40" t="s">
        <v>284</v>
      </c>
      <c r="Z1189" s="40" t="s">
        <v>307</v>
      </c>
      <c r="AA1189" s="33" t="s">
        <v>414</v>
      </c>
      <c r="AB1189" s="95"/>
      <c r="AC1189" s="95"/>
    </row>
    <row r="1190" spans="1:29" ht="14.45" hidden="1" customHeight="1" x14ac:dyDescent="0.25">
      <c r="A1190" s="36" t="str">
        <f>INDEX('Base de données Mono'!C:C,MATCH(B1190,'Base de données Mono'!D:D,0))</f>
        <v>ASNIERES MARCHE</v>
      </c>
      <c r="B1190" t="s">
        <v>5</v>
      </c>
      <c r="C1190" s="36" t="str">
        <f>INDEX('Base de données Mono'!B:B,MATCH(B1190,'Base de données Mono'!D:D,0))</f>
        <v>SES8</v>
      </c>
      <c r="D1190" s="36" t="str">
        <f>INDEX('Base de données Mono'!A:A,MATCH(B1190,'Base de données Mono'!D:D,0))</f>
        <v>AD</v>
      </c>
      <c r="E1190" s="37" t="s">
        <v>303</v>
      </c>
      <c r="F1190" s="41">
        <f>IF(O1190="","-",IF(AND(X1190="Nuit",WEEKDAY(O1190,2)=7,O1190&lt;&gt;P1190),WEEKNUM(O1190,2),WEEKNUM(O1190,2)-1))+1</f>
        <v>16</v>
      </c>
      <c r="G1190" s="41">
        <f>IF(O1190="","-",MONTH(O1190))</f>
        <v>4</v>
      </c>
      <c r="I1190" s="131">
        <f>INDEX('Base de données Mono'!K:K,MATCH(B1190,'Base de données Mono'!D:D,0))</f>
        <v>0.20833333333333334</v>
      </c>
      <c r="J1190" s="131">
        <f>INDEX('Base de données Mono'!L:L,MATCH(B1190,'Base de données Mono'!D:D,0))</f>
        <v>0.83333333333333337</v>
      </c>
      <c r="K1190" s="131">
        <f>INDEX('Base de données Mono'!M:M,MATCH(B1190,'Base de données Mono'!D:D,0))</f>
        <v>0.25</v>
      </c>
      <c r="L1190" s="131">
        <f>INDEX('Base de données Mono'!N:N,MATCH(B1190,'Base de données Mono'!D:D,0))</f>
        <v>0.79166666666666663</v>
      </c>
      <c r="M1190" s="33" t="s">
        <v>46</v>
      </c>
      <c r="N1190" s="33">
        <f>IF(AND(E1190="Electricité",M1190="Hiver"),INDEX('Base de données Mono'!E:E,MATCH(B1190,'Base de données Mono'!D:D,0)),IF(AND(E1190="Electricité",M1190="Mi-saison"),INDEX('Base de données Mono'!F:F,MATCH(B1190,'Base de données Mono'!D:D,0)),IF(AND(E1190="Electricité",M1190="Eté"),INDEX('Base de données Mono'!G:G,MATCH(B1190,'Base de données Mono'!D:D,0)),IF(AND(E1190="Gaz",M1190="Hiver"),INDEX('Base de données Mono'!J:J,MATCH(B1190,'Base de données Mono'!D:D,0)),IF(AND(E1190="Gaz",M1190="Mi-saison"),INDEX('Base de données Mono'!#REF!,MATCH(B1190,'Base de données Mono'!D:D,0)),IF(AND(E1190="Gaz",M1190="Eté"),INDEX('Base de données Mono'!#REF!,MATCH(B1190,'Base de données Mono'!D:D,0)),"-"))))))</f>
        <v>45</v>
      </c>
      <c r="O1190" s="123">
        <v>45397</v>
      </c>
      <c r="P1190" s="123">
        <v>45403</v>
      </c>
      <c r="Q1190" s="34">
        <v>80</v>
      </c>
      <c r="R1190" s="33">
        <f>IF(Q1190="","",Q1190-N1190)</f>
        <v>35</v>
      </c>
      <c r="S1190" s="34">
        <v>0.8</v>
      </c>
      <c r="T1190" s="34">
        <f>P1190-O1190</f>
        <v>6</v>
      </c>
      <c r="U1190" s="33">
        <f>R1190*S1190*T1190</f>
        <v>168</v>
      </c>
      <c r="V1190" s="38" t="s">
        <v>827</v>
      </c>
      <c r="W1190" s="39">
        <f>IFERROR(IF(E1190="Gaz","-",R1190/N1190),"-")</f>
        <v>0.77777777777777779</v>
      </c>
      <c r="X1190" s="40" t="s">
        <v>304</v>
      </c>
      <c r="Y1190" s="40" t="s">
        <v>284</v>
      </c>
      <c r="Z1190" s="40" t="s">
        <v>307</v>
      </c>
      <c r="AA1190" s="33" t="s">
        <v>313</v>
      </c>
      <c r="AB1190" s="95"/>
      <c r="AC1190" s="95"/>
    </row>
    <row r="1191" spans="1:29" ht="14.45" hidden="1" customHeight="1" x14ac:dyDescent="0.25">
      <c r="A1191" s="36" t="str">
        <f>INDEX('Base de données Mono'!C:C,MATCH(B1191,'Base de données Mono'!D:D,0))</f>
        <v>VINCI COURBEVOIE</v>
      </c>
      <c r="B1191" t="s">
        <v>279</v>
      </c>
      <c r="C1191" s="36" t="str">
        <f>INDEX('Base de données Mono'!B:B,MATCH(B1191,'Base de données Mono'!D:D,0))</f>
        <v>SES8</v>
      </c>
      <c r="D1191" s="36" t="str">
        <f>INDEX('Base de données Mono'!A:A,MATCH(B1191,'Base de données Mono'!D:D,0))</f>
        <v>AD</v>
      </c>
      <c r="E1191" s="37" t="s">
        <v>303</v>
      </c>
      <c r="F1191" s="41">
        <f t="shared" si="224"/>
        <v>16</v>
      </c>
      <c r="G1191" s="41">
        <f t="shared" si="225"/>
        <v>4</v>
      </c>
      <c r="I1191" s="131">
        <f>INDEX('Base de données Mono'!K:K,MATCH(B1191,'Base de données Mono'!D:D,0))</f>
        <v>0.25</v>
      </c>
      <c r="J1191" s="131">
        <f>INDEX('Base de données Mono'!L:L,MATCH(B1191,'Base de données Mono'!D:D,0))</f>
        <v>0.91666666666666663</v>
      </c>
      <c r="K1191" s="131">
        <f>INDEX('Base de données Mono'!M:M,MATCH(B1191,'Base de données Mono'!D:D,0))</f>
        <v>0.27777777777777779</v>
      </c>
      <c r="L1191" s="131">
        <f>INDEX('Base de données Mono'!N:N,MATCH(B1191,'Base de données Mono'!D:D,0))</f>
        <v>0.5625</v>
      </c>
      <c r="M1191" s="33" t="s">
        <v>46</v>
      </c>
      <c r="N1191" s="33">
        <f>IF(AND(E1191="Electricité",M1191="Hiver"),INDEX('Base de données Mono'!E:E,MATCH(B1191,'Base de données Mono'!D:D,0)),IF(AND(E1191="Electricité",M1191="Mi-saison"),INDEX('Base de données Mono'!F:F,MATCH(B1191,'Base de données Mono'!D:D,0)),IF(AND(E1191="Electricité",M1191="Eté"),INDEX('Base de données Mono'!G:G,MATCH(B1191,'Base de données Mono'!D:D,0)),IF(AND(E1191="Gaz",M1191="Hiver"),INDEX('Base de données Mono'!J:J,MATCH(B1191,'Base de données Mono'!D:D,0)),IF(AND(E1191="Gaz",M1191="Mi-saison"),INDEX('Base de données Mono'!#REF!,MATCH(B1191,'Base de données Mono'!D:D,0)),IF(AND(E1191="Gaz",M1191="Eté"),INDEX('Base de données Mono'!#REF!,MATCH(B1191,'Base de données Mono'!D:D,0)),"-"))))))</f>
        <v>75</v>
      </c>
      <c r="O1191" s="123">
        <v>45396</v>
      </c>
      <c r="P1191" s="123">
        <v>45403</v>
      </c>
      <c r="Q1191" s="34">
        <v>85</v>
      </c>
      <c r="R1191" s="33">
        <f t="shared" si="226"/>
        <v>10</v>
      </c>
      <c r="S1191" s="34">
        <v>2.5</v>
      </c>
      <c r="T1191" s="34">
        <f t="shared" si="221"/>
        <v>7</v>
      </c>
      <c r="U1191" s="33">
        <f t="shared" si="227"/>
        <v>175</v>
      </c>
      <c r="V1191" s="38" t="s">
        <v>827</v>
      </c>
      <c r="W1191" s="39">
        <f t="shared" si="228"/>
        <v>0.13333333333333333</v>
      </c>
      <c r="X1191" s="40" t="s">
        <v>304</v>
      </c>
      <c r="Y1191" s="40" t="s">
        <v>284</v>
      </c>
      <c r="Z1191" s="40" t="s">
        <v>305</v>
      </c>
      <c r="AA1191" s="33" t="s">
        <v>771</v>
      </c>
      <c r="AB1191" s="95"/>
      <c r="AC1191" s="95"/>
    </row>
    <row r="1192" spans="1:29" ht="14.45" hidden="1" customHeight="1" x14ac:dyDescent="0.25">
      <c r="A1192" s="36" t="str">
        <f>INDEX('Base de données Mono'!C:C,MATCH(B1192,'Base de données Mono'!D:D,0))</f>
        <v>RENNES COLOMBIA</v>
      </c>
      <c r="B1192" t="s">
        <v>30</v>
      </c>
      <c r="C1192" s="36" t="str">
        <f>INDEX('Base de données Mono'!B:B,MATCH(B1192,'Base de données Mono'!D:D,0))</f>
        <v>SES8</v>
      </c>
      <c r="D1192" s="36" t="str">
        <f>INDEX('Base de données Mono'!A:A,MATCH(B1192,'Base de données Mono'!D:D,0))</f>
        <v>AD</v>
      </c>
      <c r="E1192" s="37" t="s">
        <v>303</v>
      </c>
      <c r="F1192" s="41">
        <f t="shared" si="224"/>
        <v>16</v>
      </c>
      <c r="G1192" s="41">
        <f t="shared" si="225"/>
        <v>4</v>
      </c>
      <c r="I1192" s="131">
        <f>INDEX('Base de données Mono'!K:K,MATCH(B1192,'Base de données Mono'!D:D,0))</f>
        <v>0.22916666666666666</v>
      </c>
      <c r="J1192" s="131">
        <f>INDEX('Base de données Mono'!L:L,MATCH(B1192,'Base de données Mono'!D:D,0))</f>
        <v>0.86458333333333337</v>
      </c>
      <c r="K1192" s="131" t="str">
        <f>INDEX('Base de données Mono'!M:M,MATCH(B1192,'Base de données Mono'!D:D,0))</f>
        <v>-</v>
      </c>
      <c r="L1192" s="131" t="str">
        <f>INDEX('Base de données Mono'!N:N,MATCH(B1192,'Base de données Mono'!D:D,0))</f>
        <v>-</v>
      </c>
      <c r="M1192" s="33" t="s">
        <v>46</v>
      </c>
      <c r="N1192" s="33">
        <f>IF(AND(E1192="Electricité",M1192="Hiver"),INDEX('Base de données Mono'!E:E,MATCH(B1192,'Base de données Mono'!D:D,0)),IF(AND(E1192="Electricité",M1192="Mi-saison"),INDEX('Base de données Mono'!F:F,MATCH(B1192,'Base de données Mono'!D:D,0)),IF(AND(E1192="Electricité",M1192="Eté"),INDEX('Base de données Mono'!G:G,MATCH(B1192,'Base de données Mono'!D:D,0)),IF(AND(E1192="Gaz",M1192="Hiver"),INDEX('Base de données Mono'!J:J,MATCH(B1192,'Base de données Mono'!D:D,0)),IF(AND(E1192="Gaz",M1192="Mi-saison"),INDEX('Base de données Mono'!#REF!,MATCH(B1192,'Base de données Mono'!D:D,0)),IF(AND(E1192="Gaz",M1192="Eté"),INDEX('Base de données Mono'!#REF!,MATCH(B1192,'Base de données Mono'!D:D,0)),"-"))))))</f>
        <v>60</v>
      </c>
      <c r="O1192" s="123">
        <v>45396</v>
      </c>
      <c r="P1192" s="123">
        <v>45397</v>
      </c>
      <c r="Q1192" s="34">
        <v>80</v>
      </c>
      <c r="R1192" s="33">
        <f t="shared" si="226"/>
        <v>20</v>
      </c>
      <c r="S1192" s="34">
        <v>8.6999999999999993</v>
      </c>
      <c r="T1192" s="34">
        <f t="shared" si="221"/>
        <v>1</v>
      </c>
      <c r="U1192" s="33">
        <f t="shared" si="227"/>
        <v>174</v>
      </c>
      <c r="V1192" s="38" t="s">
        <v>827</v>
      </c>
      <c r="W1192" s="39">
        <f t="shared" si="228"/>
        <v>0.33333333333333331</v>
      </c>
      <c r="X1192" s="40" t="s">
        <v>304</v>
      </c>
      <c r="Y1192" s="40" t="s">
        <v>284</v>
      </c>
      <c r="Z1192" s="40" t="s">
        <v>305</v>
      </c>
      <c r="AA1192" s="33" t="s">
        <v>771</v>
      </c>
      <c r="AB1192" s="95"/>
      <c r="AC1192" s="95" t="s">
        <v>842</v>
      </c>
    </row>
    <row r="1193" spans="1:29" ht="14.45" hidden="1" customHeight="1" x14ac:dyDescent="0.25">
      <c r="A1193" s="36" t="str">
        <f>INDEX('Base de données Mono'!C:C,MATCH(B1193,'Base de données Mono'!D:D,0))</f>
        <v>RENNES COLOMBIA</v>
      </c>
      <c r="B1193" t="s">
        <v>30</v>
      </c>
      <c r="C1193" s="36" t="str">
        <f>INDEX('Base de données Mono'!B:B,MATCH(B1193,'Base de données Mono'!D:D,0))</f>
        <v>SES8</v>
      </c>
      <c r="D1193" s="36" t="str">
        <f>INDEX('Base de données Mono'!A:A,MATCH(B1193,'Base de données Mono'!D:D,0))</f>
        <v>AD</v>
      </c>
      <c r="E1193" s="37" t="s">
        <v>303</v>
      </c>
      <c r="F1193" s="41">
        <f t="shared" si="224"/>
        <v>16</v>
      </c>
      <c r="G1193" s="41">
        <f t="shared" si="225"/>
        <v>4</v>
      </c>
      <c r="I1193" s="131">
        <f>INDEX('Base de données Mono'!K:K,MATCH(B1193,'Base de données Mono'!D:D,0))</f>
        <v>0.22916666666666666</v>
      </c>
      <c r="J1193" s="131">
        <f>INDEX('Base de données Mono'!L:L,MATCH(B1193,'Base de données Mono'!D:D,0))</f>
        <v>0.86458333333333337</v>
      </c>
      <c r="K1193" s="131" t="str">
        <f>INDEX('Base de données Mono'!M:M,MATCH(B1193,'Base de données Mono'!D:D,0))</f>
        <v>-</v>
      </c>
      <c r="L1193" s="131" t="str">
        <f>INDEX('Base de données Mono'!N:N,MATCH(B1193,'Base de données Mono'!D:D,0))</f>
        <v>-</v>
      </c>
      <c r="M1193" s="33" t="s">
        <v>46</v>
      </c>
      <c r="N1193" s="33">
        <f>IF(AND(E1193="Electricité",M1193="Hiver"),INDEX('Base de données Mono'!E:E,MATCH(B1193,'Base de données Mono'!D:D,0)),IF(AND(E1193="Electricité",M1193="Mi-saison"),INDEX('Base de données Mono'!F:F,MATCH(B1193,'Base de données Mono'!D:D,0)),IF(AND(E1193="Electricité",M1193="Eté"),INDEX('Base de données Mono'!G:G,MATCH(B1193,'Base de données Mono'!D:D,0)),IF(AND(E1193="Gaz",M1193="Hiver"),INDEX('Base de données Mono'!J:J,MATCH(B1193,'Base de données Mono'!D:D,0)),IF(AND(E1193="Gaz",M1193="Mi-saison"),INDEX('Base de données Mono'!#REF!,MATCH(B1193,'Base de données Mono'!D:D,0)),IF(AND(E1193="Gaz",M1193="Eté"),INDEX('Base de données Mono'!#REF!,MATCH(B1193,'Base de données Mono'!D:D,0)),"-"))))))</f>
        <v>60</v>
      </c>
      <c r="O1193" s="123">
        <v>45397</v>
      </c>
      <c r="P1193" s="123">
        <v>45403</v>
      </c>
      <c r="Q1193" s="34">
        <v>70</v>
      </c>
      <c r="R1193" s="33">
        <f t="shared" si="226"/>
        <v>10</v>
      </c>
      <c r="S1193" s="34">
        <v>8</v>
      </c>
      <c r="T1193" s="34">
        <f t="shared" si="221"/>
        <v>6</v>
      </c>
      <c r="U1193" s="33">
        <f t="shared" si="227"/>
        <v>480</v>
      </c>
      <c r="V1193" s="38" t="s">
        <v>827</v>
      </c>
      <c r="W1193" s="39">
        <f t="shared" si="228"/>
        <v>0.16666666666666666</v>
      </c>
      <c r="X1193" s="40" t="s">
        <v>304</v>
      </c>
      <c r="Y1193" s="40" t="s">
        <v>284</v>
      </c>
      <c r="Z1193" s="40" t="s">
        <v>305</v>
      </c>
      <c r="AA1193" s="33" t="s">
        <v>771</v>
      </c>
      <c r="AB1193" s="95"/>
      <c r="AC1193" s="95"/>
    </row>
    <row r="1194" spans="1:29" ht="14.45" hidden="1" customHeight="1" x14ac:dyDescent="0.25">
      <c r="A1194" s="36" t="str">
        <f>INDEX('Base de données Mono'!C:C,MATCH(B1194,'Base de données Mono'!D:D,0))</f>
        <v>COLOMBES</v>
      </c>
      <c r="B1194" t="s">
        <v>14</v>
      </c>
      <c r="C1194" s="36" t="str">
        <f>INDEX('Base de données Mono'!B:B,MATCH(B1194,'Base de données Mono'!D:D,0))</f>
        <v>SES8</v>
      </c>
      <c r="D1194" s="36" t="str">
        <f>INDEX('Base de données Mono'!A:A,MATCH(B1194,'Base de données Mono'!D:D,0))</f>
        <v>AD</v>
      </c>
      <c r="E1194" s="37" t="s">
        <v>303</v>
      </c>
      <c r="F1194" s="41">
        <f>IF(O1194="","-",IF(AND(X1194="Nuit",WEEKDAY(O1194,2)=7,O1194&lt;&gt;P1194),WEEKNUM(O1194,2),WEEKNUM(O1194,2)-1))+1</f>
        <v>16</v>
      </c>
      <c r="G1194" s="41">
        <f>IF(O1194="","-",MONTH(O1194))</f>
        <v>4</v>
      </c>
      <c r="I1194" s="131">
        <f>INDEX('Base de données Mono'!K:K,MATCH(B1194,'Base de données Mono'!D:D,0))</f>
        <v>0.24305555555555555</v>
      </c>
      <c r="J1194" s="131">
        <f>INDEX('Base de données Mono'!L:L,MATCH(B1194,'Base de données Mono'!D:D,0))</f>
        <v>0.89583333333333337</v>
      </c>
      <c r="K1194" s="131">
        <f>INDEX('Base de données Mono'!M:M,MATCH(B1194,'Base de données Mono'!D:D,0))</f>
        <v>0.27083333333333331</v>
      </c>
      <c r="L1194" s="131">
        <f>INDEX('Base de données Mono'!N:N,MATCH(B1194,'Base de données Mono'!D:D,0))</f>
        <v>0.55902777777777779</v>
      </c>
      <c r="M1194" s="33" t="s">
        <v>46</v>
      </c>
      <c r="N1194" s="33">
        <f>IF(AND(E1194="Electricité",M1194="Hiver"),INDEX('Base de données Mono'!E:E,MATCH(B1194,'Base de données Mono'!D:D,0)),IF(AND(E1194="Electricité",M1194="Mi-saison"),INDEX('Base de données Mono'!F:F,MATCH(B1194,'Base de données Mono'!D:D,0)),IF(AND(E1194="Electricité",M1194="Eté"),INDEX('Base de données Mono'!G:G,MATCH(B1194,'Base de données Mono'!D:D,0)),IF(AND(E1194="Gaz",M1194="Hiver"),INDEX('Base de données Mono'!J:J,MATCH(B1194,'Base de données Mono'!D:D,0)),IF(AND(E1194="Gaz",M1194="Mi-saison"),INDEX('Base de données Mono'!#REF!,MATCH(B1194,'Base de données Mono'!D:D,0)),IF(AND(E1194="Gaz",M1194="Eté"),INDEX('Base de données Mono'!#REF!,MATCH(B1194,'Base de données Mono'!D:D,0)),"-"))))))</f>
        <v>75</v>
      </c>
      <c r="O1194" s="123">
        <v>45396</v>
      </c>
      <c r="P1194" s="123">
        <v>45403</v>
      </c>
      <c r="Q1194" s="34">
        <v>85</v>
      </c>
      <c r="R1194" s="33">
        <f>IF(Q1194="","",Q1194-N1194)</f>
        <v>10</v>
      </c>
      <c r="S1194" s="34">
        <v>1</v>
      </c>
      <c r="T1194" s="34">
        <f>P1194-O1194</f>
        <v>7</v>
      </c>
      <c r="U1194" s="33">
        <f>R1194*S1194*T1194</f>
        <v>70</v>
      </c>
      <c r="V1194" s="38" t="s">
        <v>827</v>
      </c>
      <c r="W1194" s="39">
        <f>IFERROR(IF(E1194="Gaz","-",R1194/N1194),"-")</f>
        <v>0.13333333333333333</v>
      </c>
      <c r="X1194" s="40" t="s">
        <v>304</v>
      </c>
      <c r="Y1194" s="40" t="s">
        <v>284</v>
      </c>
      <c r="Z1194" s="40" t="s">
        <v>305</v>
      </c>
      <c r="AA1194" s="33" t="s">
        <v>771</v>
      </c>
      <c r="AB1194" s="95"/>
      <c r="AC1194" s="95"/>
    </row>
    <row r="1195" spans="1:29" ht="14.45" hidden="1" customHeight="1" x14ac:dyDescent="0.25">
      <c r="A1195" s="36" t="str">
        <f>INDEX('Base de données Mono'!C:C,MATCH(B1195,'Base de données Mono'!D:D,0))</f>
        <v>COLOMBES</v>
      </c>
      <c r="B1195" t="s">
        <v>14</v>
      </c>
      <c r="C1195" s="36" t="str">
        <f>INDEX('Base de données Mono'!B:B,MATCH(B1195,'Base de données Mono'!D:D,0))</f>
        <v>SES8</v>
      </c>
      <c r="D1195" s="36" t="str">
        <f>INDEX('Base de données Mono'!A:A,MATCH(B1195,'Base de données Mono'!D:D,0))</f>
        <v>AD</v>
      </c>
      <c r="E1195" s="37" t="s">
        <v>303</v>
      </c>
      <c r="F1195" s="41">
        <f t="shared" si="224"/>
        <v>16</v>
      </c>
      <c r="G1195" s="41">
        <f t="shared" si="225"/>
        <v>4</v>
      </c>
      <c r="I1195" s="131">
        <f>INDEX('Base de données Mono'!K:K,MATCH(B1195,'Base de données Mono'!D:D,0))</f>
        <v>0.24305555555555555</v>
      </c>
      <c r="J1195" s="131">
        <f>INDEX('Base de données Mono'!L:L,MATCH(B1195,'Base de données Mono'!D:D,0))</f>
        <v>0.89583333333333337</v>
      </c>
      <c r="K1195" s="131">
        <f>INDEX('Base de données Mono'!M:M,MATCH(B1195,'Base de données Mono'!D:D,0))</f>
        <v>0.27083333333333331</v>
      </c>
      <c r="L1195" s="131">
        <f>INDEX('Base de données Mono'!N:N,MATCH(B1195,'Base de données Mono'!D:D,0))</f>
        <v>0.55902777777777779</v>
      </c>
      <c r="M1195" s="33" t="s">
        <v>46</v>
      </c>
      <c r="N1195" s="33">
        <f>IF(AND(E1195="Electricité",M1195="Hiver"),INDEX('Base de données Mono'!E:E,MATCH(B1195,'Base de données Mono'!D:D,0)),IF(AND(E1195="Electricité",M1195="Mi-saison"),INDEX('Base de données Mono'!F:F,MATCH(B1195,'Base de données Mono'!D:D,0)),IF(AND(E1195="Electricité",M1195="Eté"),INDEX('Base de données Mono'!G:G,MATCH(B1195,'Base de données Mono'!D:D,0)),IF(AND(E1195="Gaz",M1195="Hiver"),INDEX('Base de données Mono'!J:J,MATCH(B1195,'Base de données Mono'!D:D,0)),IF(AND(E1195="Gaz",M1195="Mi-saison"),INDEX('Base de données Mono'!#REF!,MATCH(B1195,'Base de données Mono'!D:D,0)),IF(AND(E1195="Gaz",M1195="Eté"),INDEX('Base de données Mono'!#REF!,MATCH(B1195,'Base de données Mono'!D:D,0)),"-"))))))</f>
        <v>75</v>
      </c>
      <c r="O1195" s="123">
        <v>45397</v>
      </c>
      <c r="P1195" s="123">
        <v>45403</v>
      </c>
      <c r="Q1195" s="34">
        <v>120</v>
      </c>
      <c r="R1195" s="33">
        <f t="shared" si="226"/>
        <v>45</v>
      </c>
      <c r="S1195" s="34">
        <v>0.5</v>
      </c>
      <c r="T1195" s="34">
        <f>P1195-O1195</f>
        <v>6</v>
      </c>
      <c r="U1195" s="33">
        <f>R1195*S1195*T1195</f>
        <v>135</v>
      </c>
      <c r="V1195" s="38" t="s">
        <v>827</v>
      </c>
      <c r="W1195" s="39">
        <f>IFERROR(IF(E1195="Gaz","-",R1195/N1195),"-")</f>
        <v>0.6</v>
      </c>
      <c r="X1195" s="40" t="s">
        <v>304</v>
      </c>
      <c r="Y1195" s="40" t="s">
        <v>284</v>
      </c>
      <c r="Z1195" s="40" t="s">
        <v>307</v>
      </c>
      <c r="AA1195" s="33" t="s">
        <v>313</v>
      </c>
      <c r="AB1195" s="95"/>
      <c r="AC1195" s="95"/>
    </row>
    <row r="1196" spans="1:29" ht="14.45" hidden="1" customHeight="1" x14ac:dyDescent="0.25">
      <c r="A1196" s="36" t="str">
        <f>INDEX('Base de données Mono'!C:C,MATCH(B1196,'Base de données Mono'!D:D,0))</f>
        <v>BOULOGNE LES PASSAGES</v>
      </c>
      <c r="B1196" t="s">
        <v>7</v>
      </c>
      <c r="C1196" s="36" t="str">
        <f>INDEX('Base de données Mono'!B:B,MATCH(B1196,'Base de données Mono'!D:D,0))</f>
        <v>SES8</v>
      </c>
      <c r="D1196" s="36" t="str">
        <f>INDEX('Base de données Mono'!A:A,MATCH(B1196,'Base de données Mono'!D:D,0))</f>
        <v>AD</v>
      </c>
      <c r="E1196" s="37" t="s">
        <v>303</v>
      </c>
      <c r="F1196" s="41">
        <f t="shared" si="224"/>
        <v>16</v>
      </c>
      <c r="G1196" s="41">
        <f t="shared" si="225"/>
        <v>4</v>
      </c>
      <c r="I1196" s="131">
        <f>INDEX('Base de données Mono'!K:K,MATCH(B1196,'Base de données Mono'!D:D,0))</f>
        <v>0.20833333333333334</v>
      </c>
      <c r="J1196" s="131">
        <f>INDEX('Base de données Mono'!L:L,MATCH(B1196,'Base de données Mono'!D:D,0))</f>
        <v>0.85416666666666663</v>
      </c>
      <c r="K1196" s="131" t="str">
        <f>INDEX('Base de données Mono'!M:M,MATCH(B1196,'Base de données Mono'!D:D,0))</f>
        <v>-</v>
      </c>
      <c r="L1196" s="131" t="str">
        <f>INDEX('Base de données Mono'!N:N,MATCH(B1196,'Base de données Mono'!D:D,0))</f>
        <v>-</v>
      </c>
      <c r="M1196" s="33" t="s">
        <v>46</v>
      </c>
      <c r="N1196" s="33">
        <f>IF(AND(E1196="Electricité",M1196="Hiver"),INDEX('Base de données Mono'!E:E,MATCH(B1196,'Base de données Mono'!D:D,0)),IF(AND(E1196="Electricité",M1196="Mi-saison"),INDEX('Base de données Mono'!F:F,MATCH(B1196,'Base de données Mono'!D:D,0)),IF(AND(E1196="Electricité",M1196="Eté"),INDEX('Base de données Mono'!G:G,MATCH(B1196,'Base de données Mono'!D:D,0)),IF(AND(E1196="Gaz",M1196="Hiver"),INDEX('Base de données Mono'!J:J,MATCH(B1196,'Base de données Mono'!D:D,0)),IF(AND(E1196="Gaz",M1196="Mi-saison"),INDEX('Base de données Mono'!#REF!,MATCH(B1196,'Base de données Mono'!D:D,0)),IF(AND(E1196="Gaz",M1196="Eté"),INDEX('Base de données Mono'!#REF!,MATCH(B1196,'Base de données Mono'!D:D,0)),"-"))))))</f>
        <v>95</v>
      </c>
      <c r="O1196" s="123">
        <v>45396</v>
      </c>
      <c r="P1196" s="123">
        <v>45397</v>
      </c>
      <c r="Q1196" s="34">
        <v>105</v>
      </c>
      <c r="R1196" s="33">
        <f t="shared" si="226"/>
        <v>10</v>
      </c>
      <c r="S1196" s="34">
        <v>8</v>
      </c>
      <c r="T1196" s="34">
        <f t="shared" si="221"/>
        <v>1</v>
      </c>
      <c r="U1196" s="33">
        <f t="shared" si="227"/>
        <v>80</v>
      </c>
      <c r="V1196" s="38" t="s">
        <v>827</v>
      </c>
      <c r="W1196" s="39">
        <f t="shared" si="228"/>
        <v>0.10526315789473684</v>
      </c>
      <c r="X1196" s="40" t="s">
        <v>304</v>
      </c>
      <c r="Y1196" s="40" t="s">
        <v>284</v>
      </c>
      <c r="Z1196" s="40" t="s">
        <v>305</v>
      </c>
      <c r="AA1196" s="33" t="s">
        <v>771</v>
      </c>
      <c r="AB1196" s="95"/>
      <c r="AC1196" s="95"/>
    </row>
    <row r="1197" spans="1:29" ht="14.45" hidden="1" customHeight="1" x14ac:dyDescent="0.25">
      <c r="A1197" s="36" t="str">
        <f>INDEX('Base de données Mono'!C:C,MATCH(B1197,'Base de données Mono'!D:D,0))</f>
        <v>BOULOGNE LES PASSAGES</v>
      </c>
      <c r="B1197" t="s">
        <v>7</v>
      </c>
      <c r="C1197" s="36" t="str">
        <f>INDEX('Base de données Mono'!B:B,MATCH(B1197,'Base de données Mono'!D:D,0))</f>
        <v>SES8</v>
      </c>
      <c r="D1197" s="36" t="str">
        <f>INDEX('Base de données Mono'!A:A,MATCH(B1197,'Base de données Mono'!D:D,0))</f>
        <v>AD</v>
      </c>
      <c r="E1197" s="37" t="s">
        <v>303</v>
      </c>
      <c r="F1197" s="41">
        <f t="shared" si="224"/>
        <v>16</v>
      </c>
      <c r="G1197" s="41">
        <f t="shared" si="225"/>
        <v>4</v>
      </c>
      <c r="I1197" s="131">
        <f>INDEX('Base de données Mono'!K:K,MATCH(B1197,'Base de données Mono'!D:D,0))</f>
        <v>0.20833333333333334</v>
      </c>
      <c r="J1197" s="131">
        <f>INDEX('Base de données Mono'!L:L,MATCH(B1197,'Base de données Mono'!D:D,0))</f>
        <v>0.85416666666666663</v>
      </c>
      <c r="K1197" s="131" t="str">
        <f>INDEX('Base de données Mono'!M:M,MATCH(B1197,'Base de données Mono'!D:D,0))</f>
        <v>-</v>
      </c>
      <c r="L1197" s="131" t="str">
        <f>INDEX('Base de données Mono'!N:N,MATCH(B1197,'Base de données Mono'!D:D,0))</f>
        <v>-</v>
      </c>
      <c r="M1197" s="33" t="s">
        <v>46</v>
      </c>
      <c r="N1197" s="33">
        <f>IF(AND(E1197="Electricité",M1197="Hiver"),INDEX('Base de données Mono'!E:E,MATCH(B1197,'Base de données Mono'!D:D,0)),IF(AND(E1197="Electricité",M1197="Mi-saison"),INDEX('Base de données Mono'!F:F,MATCH(B1197,'Base de données Mono'!D:D,0)),IF(AND(E1197="Electricité",M1197="Eté"),INDEX('Base de données Mono'!G:G,MATCH(B1197,'Base de données Mono'!D:D,0)),IF(AND(E1197="Gaz",M1197="Hiver"),INDEX('Base de données Mono'!J:J,MATCH(B1197,'Base de données Mono'!D:D,0)),IF(AND(E1197="Gaz",M1197="Mi-saison"),INDEX('Base de données Mono'!#REF!,MATCH(B1197,'Base de données Mono'!D:D,0)),IF(AND(E1197="Gaz",M1197="Eté"),INDEX('Base de données Mono'!#REF!,MATCH(B1197,'Base de données Mono'!D:D,0)),"-"))))))</f>
        <v>95</v>
      </c>
      <c r="O1197" s="123">
        <v>45396</v>
      </c>
      <c r="P1197" s="123">
        <v>45403</v>
      </c>
      <c r="Q1197" s="34">
        <v>155</v>
      </c>
      <c r="R1197" s="33">
        <f t="shared" si="226"/>
        <v>60</v>
      </c>
      <c r="S1197" s="34">
        <v>0.8</v>
      </c>
      <c r="T1197" s="34">
        <f t="shared" si="221"/>
        <v>7</v>
      </c>
      <c r="U1197" s="33">
        <f t="shared" si="227"/>
        <v>336</v>
      </c>
      <c r="V1197" s="38" t="s">
        <v>827</v>
      </c>
      <c r="W1197" s="39">
        <f t="shared" si="228"/>
        <v>0.63157894736842102</v>
      </c>
      <c r="X1197" s="40" t="s">
        <v>304</v>
      </c>
      <c r="Y1197" s="40" t="s">
        <v>284</v>
      </c>
      <c r="Z1197" s="40" t="s">
        <v>307</v>
      </c>
      <c r="AA1197" s="33" t="s">
        <v>313</v>
      </c>
      <c r="AB1197" s="95"/>
      <c r="AC1197" s="95"/>
    </row>
    <row r="1198" spans="1:29" ht="14.45" hidden="1" customHeight="1" x14ac:dyDescent="0.25">
      <c r="A1198" s="36" t="str">
        <f>INDEX('Base de données Mono'!C:C,MATCH(B1198,'Base de données Mono'!D:D,0))</f>
        <v>BOULOGNE LES PASSAGES</v>
      </c>
      <c r="B1198" t="s">
        <v>7</v>
      </c>
      <c r="C1198" s="36" t="str">
        <f>INDEX('Base de données Mono'!B:B,MATCH(B1198,'Base de données Mono'!D:D,0))</f>
        <v>SES8</v>
      </c>
      <c r="D1198" s="36" t="str">
        <f>INDEX('Base de données Mono'!A:A,MATCH(B1198,'Base de données Mono'!D:D,0))</f>
        <v>AD</v>
      </c>
      <c r="E1198" s="37" t="s">
        <v>303</v>
      </c>
      <c r="F1198" s="41">
        <f t="shared" si="224"/>
        <v>16</v>
      </c>
      <c r="G1198" s="41">
        <f t="shared" si="225"/>
        <v>4</v>
      </c>
      <c r="I1198" s="131">
        <f>INDEX('Base de données Mono'!K:K,MATCH(B1198,'Base de données Mono'!D:D,0))</f>
        <v>0.20833333333333334</v>
      </c>
      <c r="J1198" s="131">
        <f>INDEX('Base de données Mono'!L:L,MATCH(B1198,'Base de données Mono'!D:D,0))</f>
        <v>0.85416666666666663</v>
      </c>
      <c r="K1198" s="131" t="str">
        <f>INDEX('Base de données Mono'!M:M,MATCH(B1198,'Base de données Mono'!D:D,0))</f>
        <v>-</v>
      </c>
      <c r="L1198" s="131" t="str">
        <f>INDEX('Base de données Mono'!N:N,MATCH(B1198,'Base de données Mono'!D:D,0))</f>
        <v>-</v>
      </c>
      <c r="M1198" s="33" t="s">
        <v>46</v>
      </c>
      <c r="N1198" s="33">
        <f>IF(AND(E1198="Electricité",M1198="Hiver"),INDEX('Base de données Mono'!E:E,MATCH(B1198,'Base de données Mono'!D:D,0)),IF(AND(E1198="Electricité",M1198="Mi-saison"),INDEX('Base de données Mono'!F:F,MATCH(B1198,'Base de données Mono'!D:D,0)),IF(AND(E1198="Electricité",M1198="Eté"),INDEX('Base de données Mono'!G:G,MATCH(B1198,'Base de données Mono'!D:D,0)),IF(AND(E1198="Gaz",M1198="Hiver"),INDEX('Base de données Mono'!J:J,MATCH(B1198,'Base de données Mono'!D:D,0)),IF(AND(E1198="Gaz",M1198="Mi-saison"),INDEX('Base de données Mono'!#REF!,MATCH(B1198,'Base de données Mono'!D:D,0)),IF(AND(E1198="Gaz",M1198="Eté"),INDEX('Base de données Mono'!#REF!,MATCH(B1198,'Base de données Mono'!D:D,0)),"-"))))))</f>
        <v>95</v>
      </c>
      <c r="O1198" s="123">
        <v>45396</v>
      </c>
      <c r="P1198" s="123">
        <v>45403</v>
      </c>
      <c r="Q1198" s="34">
        <v>105</v>
      </c>
      <c r="R1198" s="33">
        <f t="shared" si="226"/>
        <v>10</v>
      </c>
      <c r="S1198" s="34">
        <v>7.7</v>
      </c>
      <c r="T1198" s="34">
        <f t="shared" si="221"/>
        <v>7</v>
      </c>
      <c r="U1198" s="33">
        <f t="shared" si="227"/>
        <v>539</v>
      </c>
      <c r="V1198" s="38" t="s">
        <v>827</v>
      </c>
      <c r="W1198" s="39">
        <f t="shared" si="228"/>
        <v>0.10526315789473684</v>
      </c>
      <c r="X1198" s="40" t="s">
        <v>304</v>
      </c>
      <c r="Y1198" s="40" t="s">
        <v>284</v>
      </c>
      <c r="Z1198" s="40" t="s">
        <v>305</v>
      </c>
      <c r="AA1198" s="33" t="s">
        <v>771</v>
      </c>
      <c r="AB1198" s="95"/>
      <c r="AC1198" s="95"/>
    </row>
    <row r="1199" spans="1:29" ht="14.45" hidden="1" customHeight="1" x14ac:dyDescent="0.25">
      <c r="A1199" s="36" t="str">
        <f>INDEX('Base de données Mono'!C:C,MATCH(B1199,'Base de données Mono'!D:D,0))</f>
        <v>ANNECY COURRIER</v>
      </c>
      <c r="B1199" t="s">
        <v>59</v>
      </c>
      <c r="C1199" s="36" t="str">
        <f>INDEX('Base de données Mono'!B:B,MATCH(B1199,'Base de données Mono'!D:D,0))</f>
        <v>SES8</v>
      </c>
      <c r="D1199" s="36" t="str">
        <f>INDEX('Base de données Mono'!A:A,MATCH(B1199,'Base de données Mono'!D:D,0))</f>
        <v>JG</v>
      </c>
      <c r="E1199" s="37" t="s">
        <v>303</v>
      </c>
      <c r="F1199" s="41">
        <f t="shared" ref="F1199:F1226" si="241">IF(O1199="","-",IF(AND(X1199="Nuit",WEEKDAY(O1199,2)=7,O1199&lt;&gt;P1199),WEEKNUM(O1199,2),WEEKNUM(O1199,2)-1))+1</f>
        <v>16</v>
      </c>
      <c r="G1199" s="41">
        <f t="shared" ref="G1199:G1226" si="242">IF(O1199="","-",MONTH(O1199))</f>
        <v>4</v>
      </c>
      <c r="I1199" s="131">
        <f>INDEX('Base de données Mono'!K:K,MATCH(B1199,'Base de données Mono'!D:D,0))</f>
        <v>0.20833333333333334</v>
      </c>
      <c r="J1199" s="131">
        <f>INDEX('Base de données Mono'!L:L,MATCH(B1199,'Base de données Mono'!D:D,0))</f>
        <v>0.83333333333333304</v>
      </c>
      <c r="K1199" s="131" t="str">
        <f>INDEX('Base de données Mono'!M:M,MATCH(B1199,'Base de données Mono'!D:D,0))</f>
        <v>-</v>
      </c>
      <c r="L1199" s="131" t="str">
        <f>INDEX('Base de données Mono'!N:N,MATCH(B1199,'Base de données Mono'!D:D,0))</f>
        <v>-</v>
      </c>
      <c r="M1199" s="33" t="s">
        <v>46</v>
      </c>
      <c r="N1199" s="33">
        <f>IF(AND(E1199="Electricité",M1199="Hiver"),INDEX('Base de données Mono'!E:E,MATCH(B1199,'Base de données Mono'!D:D,0)),IF(AND(E1199="Electricité",M1199="Mi-saison"),INDEX('Base de données Mono'!F:F,MATCH(B1199,'Base de données Mono'!D:D,0)),IF(AND(E1199="Electricité",M1199="Eté"),INDEX('Base de données Mono'!G:G,MATCH(B1199,'Base de données Mono'!D:D,0)),IF(AND(E1199="Gaz",M1199="Hiver"),INDEX('Base de données Mono'!J:J,MATCH(B1199,'Base de données Mono'!D:D,0)),IF(AND(E1199="Gaz",M1199="Mi-saison"),INDEX('Base de données Mono'!#REF!,MATCH(B1199,'Base de données Mono'!D:D,0)),IF(AND(E1199="Gaz",M1199="Eté"),INDEX('Base de données Mono'!#REF!,MATCH(B1199,'Base de données Mono'!D:D,0)),"-"))))))</f>
        <v>110</v>
      </c>
      <c r="O1199" s="123">
        <v>45396</v>
      </c>
      <c r="P1199" s="123">
        <v>45397</v>
      </c>
      <c r="Q1199" s="34">
        <v>145</v>
      </c>
      <c r="R1199" s="33">
        <f t="shared" ref="R1199:R1226" si="243">IF(Q1199="","",Q1199-N1199)</f>
        <v>35</v>
      </c>
      <c r="S1199" s="34">
        <v>9</v>
      </c>
      <c r="T1199" s="34">
        <f t="shared" ref="T1199:T1243" si="244">P1199-O1199</f>
        <v>1</v>
      </c>
      <c r="U1199" s="33">
        <f t="shared" ref="U1199:U1227" si="245">R1199*S1199*T1199</f>
        <v>315</v>
      </c>
      <c r="V1199" s="38" t="s">
        <v>827</v>
      </c>
      <c r="W1199" s="39">
        <f t="shared" ref="W1199:W1227" si="246">IFERROR(IF(E1199="Gaz","-",R1199/N1199),"-")</f>
        <v>0.31818181818181818</v>
      </c>
      <c r="X1199" s="40" t="s">
        <v>304</v>
      </c>
      <c r="Y1199" s="40" t="s">
        <v>284</v>
      </c>
      <c r="Z1199" s="40" t="s">
        <v>305</v>
      </c>
      <c r="AA1199" s="33" t="s">
        <v>771</v>
      </c>
      <c r="AB1199" s="95"/>
      <c r="AC1199" s="95"/>
    </row>
    <row r="1200" spans="1:29" ht="14.45" hidden="1" customHeight="1" x14ac:dyDescent="0.25">
      <c r="A1200" s="36" t="str">
        <f>INDEX('Base de données Mono'!C:C,MATCH(B1200,'Base de données Mono'!D:D,0))</f>
        <v>ANNECY COURRIER</v>
      </c>
      <c r="B1200" t="s">
        <v>59</v>
      </c>
      <c r="C1200" s="36" t="str">
        <f>INDEX('Base de données Mono'!B:B,MATCH(B1200,'Base de données Mono'!D:D,0))</f>
        <v>SES8</v>
      </c>
      <c r="D1200" s="36" t="str">
        <f>INDEX('Base de données Mono'!A:A,MATCH(B1200,'Base de données Mono'!D:D,0))</f>
        <v>JG</v>
      </c>
      <c r="E1200" s="37" t="s">
        <v>303</v>
      </c>
      <c r="F1200" s="41">
        <f t="shared" si="241"/>
        <v>16</v>
      </c>
      <c r="G1200" s="41">
        <f t="shared" si="242"/>
        <v>4</v>
      </c>
      <c r="I1200" s="131">
        <f>INDEX('Base de données Mono'!K:K,MATCH(B1200,'Base de données Mono'!D:D,0))</f>
        <v>0.20833333333333334</v>
      </c>
      <c r="J1200" s="131">
        <f>INDEX('Base de données Mono'!L:L,MATCH(B1200,'Base de données Mono'!D:D,0))</f>
        <v>0.83333333333333304</v>
      </c>
      <c r="K1200" s="131" t="str">
        <f>INDEX('Base de données Mono'!M:M,MATCH(B1200,'Base de données Mono'!D:D,0))</f>
        <v>-</v>
      </c>
      <c r="L1200" s="131" t="str">
        <f>INDEX('Base de données Mono'!N:N,MATCH(B1200,'Base de données Mono'!D:D,0))</f>
        <v>-</v>
      </c>
      <c r="M1200" s="33" t="s">
        <v>46</v>
      </c>
      <c r="N1200" s="33">
        <f>IF(AND(E1200="Electricité",M1200="Hiver"),INDEX('Base de données Mono'!E:E,MATCH(B1200,'Base de données Mono'!D:D,0)),IF(AND(E1200="Electricité",M1200="Mi-saison"),INDEX('Base de données Mono'!F:F,MATCH(B1200,'Base de données Mono'!D:D,0)),IF(AND(E1200="Electricité",M1200="Eté"),INDEX('Base de données Mono'!G:G,MATCH(B1200,'Base de données Mono'!D:D,0)),IF(AND(E1200="Gaz",M1200="Hiver"),INDEX('Base de données Mono'!J:J,MATCH(B1200,'Base de données Mono'!D:D,0)),IF(AND(E1200="Gaz",M1200="Mi-saison"),INDEX('Base de données Mono'!#REF!,MATCH(B1200,'Base de données Mono'!D:D,0)),IF(AND(E1200="Gaz",M1200="Eté"),INDEX('Base de données Mono'!#REF!,MATCH(B1200,'Base de données Mono'!D:D,0)),"-"))))))</f>
        <v>110</v>
      </c>
      <c r="O1200" s="123">
        <v>45397</v>
      </c>
      <c r="P1200" s="123">
        <v>45403</v>
      </c>
      <c r="Q1200" s="34">
        <v>195</v>
      </c>
      <c r="R1200" s="33">
        <f t="shared" si="243"/>
        <v>85</v>
      </c>
      <c r="S1200" s="34">
        <v>1</v>
      </c>
      <c r="T1200" s="34">
        <f t="shared" si="244"/>
        <v>6</v>
      </c>
      <c r="U1200" s="33">
        <f t="shared" si="245"/>
        <v>510</v>
      </c>
      <c r="V1200" s="38" t="s">
        <v>827</v>
      </c>
      <c r="W1200" s="39">
        <f t="shared" si="246"/>
        <v>0.77272727272727271</v>
      </c>
      <c r="X1200" s="40" t="s">
        <v>304</v>
      </c>
      <c r="Y1200" s="40" t="s">
        <v>284</v>
      </c>
      <c r="Z1200" s="95" t="s">
        <v>307</v>
      </c>
      <c r="AA1200" s="95" t="s">
        <v>313</v>
      </c>
      <c r="AB1200" s="95"/>
      <c r="AC1200" s="95"/>
    </row>
    <row r="1201" spans="1:29" ht="14.45" hidden="1" customHeight="1" x14ac:dyDescent="0.25">
      <c r="A1201" s="36" t="str">
        <f>INDEX('Base de données Mono'!C:C,MATCH(B1201,'Base de données Mono'!D:D,0))</f>
        <v>ANNECY COURRIER</v>
      </c>
      <c r="B1201" t="s">
        <v>59</v>
      </c>
      <c r="C1201" s="36" t="str">
        <f>INDEX('Base de données Mono'!B:B,MATCH(B1201,'Base de données Mono'!D:D,0))</f>
        <v>SES8</v>
      </c>
      <c r="D1201" s="36" t="str">
        <f>INDEX('Base de données Mono'!A:A,MATCH(B1201,'Base de données Mono'!D:D,0))</f>
        <v>JG</v>
      </c>
      <c r="E1201" s="37" t="s">
        <v>303</v>
      </c>
      <c r="F1201" s="41">
        <f t="shared" si="241"/>
        <v>16</v>
      </c>
      <c r="G1201" s="41">
        <f t="shared" si="242"/>
        <v>4</v>
      </c>
      <c r="I1201" s="131">
        <f>INDEX('Base de données Mono'!K:K,MATCH(B1201,'Base de données Mono'!D:D,0))</f>
        <v>0.20833333333333334</v>
      </c>
      <c r="J1201" s="131">
        <f>INDEX('Base de données Mono'!L:L,MATCH(B1201,'Base de données Mono'!D:D,0))</f>
        <v>0.83333333333333304</v>
      </c>
      <c r="K1201" s="131" t="str">
        <f>INDEX('Base de données Mono'!M:M,MATCH(B1201,'Base de données Mono'!D:D,0))</f>
        <v>-</v>
      </c>
      <c r="L1201" s="131" t="str">
        <f>INDEX('Base de données Mono'!N:N,MATCH(B1201,'Base de données Mono'!D:D,0))</f>
        <v>-</v>
      </c>
      <c r="M1201" s="33" t="s">
        <v>46</v>
      </c>
      <c r="N1201" s="33">
        <f>IF(AND(E1201="Electricité",M1201="Hiver"),INDEX('Base de données Mono'!E:E,MATCH(B1201,'Base de données Mono'!D:D,0)),IF(AND(E1201="Electricité",M1201="Mi-saison"),INDEX('Base de données Mono'!F:F,MATCH(B1201,'Base de données Mono'!D:D,0)),IF(AND(E1201="Electricité",M1201="Eté"),INDEX('Base de données Mono'!G:G,MATCH(B1201,'Base de données Mono'!D:D,0)),IF(AND(E1201="Gaz",M1201="Hiver"),INDEX('Base de données Mono'!J:J,MATCH(B1201,'Base de données Mono'!D:D,0)),IF(AND(E1201="Gaz",M1201="Mi-saison"),INDEX('Base de données Mono'!#REF!,MATCH(B1201,'Base de données Mono'!D:D,0)),IF(AND(E1201="Gaz",M1201="Eté"),INDEX('Base de données Mono'!#REF!,MATCH(B1201,'Base de données Mono'!D:D,0)),"-"))))))</f>
        <v>110</v>
      </c>
      <c r="O1201" s="123">
        <v>45397</v>
      </c>
      <c r="P1201" s="123">
        <v>45402</v>
      </c>
      <c r="Q1201" s="34">
        <v>155</v>
      </c>
      <c r="R1201" s="33">
        <f t="shared" si="243"/>
        <v>45</v>
      </c>
      <c r="S1201" s="34">
        <v>8</v>
      </c>
      <c r="T1201" s="34">
        <f t="shared" si="244"/>
        <v>5</v>
      </c>
      <c r="U1201" s="33">
        <f t="shared" si="245"/>
        <v>1800</v>
      </c>
      <c r="V1201" s="38" t="s">
        <v>827</v>
      </c>
      <c r="W1201" s="39">
        <f t="shared" si="246"/>
        <v>0.40909090909090912</v>
      </c>
      <c r="X1201" s="40" t="s">
        <v>304</v>
      </c>
      <c r="Y1201" s="40" t="s">
        <v>284</v>
      </c>
      <c r="Z1201" s="40" t="s">
        <v>305</v>
      </c>
      <c r="AA1201" s="33" t="s">
        <v>771</v>
      </c>
      <c r="AB1201" s="95"/>
      <c r="AC1201" s="95"/>
    </row>
    <row r="1202" spans="1:29" ht="14.45" hidden="1" customHeight="1" x14ac:dyDescent="0.25">
      <c r="A1202" s="36" t="str">
        <f>INDEX('Base de données Mono'!C:C,MATCH(B1202,'Base de données Mono'!D:D,0))</f>
        <v>ANNECY COURRIER</v>
      </c>
      <c r="B1202" t="s">
        <v>59</v>
      </c>
      <c r="C1202" s="36" t="str">
        <f>INDEX('Base de données Mono'!B:B,MATCH(B1202,'Base de données Mono'!D:D,0))</f>
        <v>SES8</v>
      </c>
      <c r="D1202" s="36" t="str">
        <f>INDEX('Base de données Mono'!A:A,MATCH(B1202,'Base de données Mono'!D:D,0))</f>
        <v>JG</v>
      </c>
      <c r="E1202" s="37" t="s">
        <v>303</v>
      </c>
      <c r="F1202" s="41">
        <f t="shared" si="241"/>
        <v>16</v>
      </c>
      <c r="G1202" s="41">
        <f t="shared" si="242"/>
        <v>4</v>
      </c>
      <c r="I1202" s="131">
        <f>INDEX('Base de données Mono'!K:K,MATCH(B1202,'Base de données Mono'!D:D,0))</f>
        <v>0.20833333333333334</v>
      </c>
      <c r="J1202" s="131">
        <f>INDEX('Base de données Mono'!L:L,MATCH(B1202,'Base de données Mono'!D:D,0))</f>
        <v>0.83333333333333304</v>
      </c>
      <c r="K1202" s="131" t="str">
        <f>INDEX('Base de données Mono'!M:M,MATCH(B1202,'Base de données Mono'!D:D,0))</f>
        <v>-</v>
      </c>
      <c r="L1202" s="131" t="str">
        <f>INDEX('Base de données Mono'!N:N,MATCH(B1202,'Base de données Mono'!D:D,0))</f>
        <v>-</v>
      </c>
      <c r="M1202" s="33" t="s">
        <v>46</v>
      </c>
      <c r="N1202" s="33">
        <f>IF(AND(E1202="Electricité",M1202="Hiver"),INDEX('Base de données Mono'!E:E,MATCH(B1202,'Base de données Mono'!D:D,0)),IF(AND(E1202="Electricité",M1202="Mi-saison"),INDEX('Base de données Mono'!F:F,MATCH(B1202,'Base de données Mono'!D:D,0)),IF(AND(E1202="Electricité",M1202="Eté"),INDEX('Base de données Mono'!G:G,MATCH(B1202,'Base de données Mono'!D:D,0)),IF(AND(E1202="Gaz",M1202="Hiver"),INDEX('Base de données Mono'!J:J,MATCH(B1202,'Base de données Mono'!D:D,0)),IF(AND(E1202="Gaz",M1202="Mi-saison"),INDEX('Base de données Mono'!#REF!,MATCH(B1202,'Base de données Mono'!D:D,0)),IF(AND(E1202="Gaz",M1202="Eté"),INDEX('Base de données Mono'!#REF!,MATCH(B1202,'Base de données Mono'!D:D,0)),"-"))))))</f>
        <v>110</v>
      </c>
      <c r="O1202" s="123">
        <v>45402</v>
      </c>
      <c r="P1202" s="123">
        <v>45403</v>
      </c>
      <c r="Q1202" s="34">
        <v>165</v>
      </c>
      <c r="R1202" s="33">
        <f t="shared" si="243"/>
        <v>55</v>
      </c>
      <c r="S1202" s="34">
        <v>2</v>
      </c>
      <c r="T1202" s="34">
        <f t="shared" si="244"/>
        <v>1</v>
      </c>
      <c r="U1202" s="33">
        <f t="shared" si="245"/>
        <v>110</v>
      </c>
      <c r="V1202" s="38" t="s">
        <v>827</v>
      </c>
      <c r="W1202" s="39">
        <f t="shared" si="246"/>
        <v>0.5</v>
      </c>
      <c r="X1202" s="40" t="s">
        <v>304</v>
      </c>
      <c r="Y1202" s="40" t="s">
        <v>284</v>
      </c>
      <c r="Z1202" s="40" t="s">
        <v>305</v>
      </c>
      <c r="AA1202" s="33" t="s">
        <v>771</v>
      </c>
      <c r="AB1202" s="95"/>
      <c r="AC1202" s="95" t="s">
        <v>850</v>
      </c>
    </row>
    <row r="1203" spans="1:29" ht="14.45" hidden="1" customHeight="1" x14ac:dyDescent="0.25">
      <c r="A1203" s="36" t="str">
        <f>INDEX('Base de données Mono'!C:C,MATCH(B1203,'Base de données Mono'!D:D,0))</f>
        <v>ANNECY COURRIER</v>
      </c>
      <c r="B1203" t="s">
        <v>59</v>
      </c>
      <c r="C1203" s="36" t="str">
        <f>INDEX('Base de données Mono'!B:B,MATCH(B1203,'Base de données Mono'!D:D,0))</f>
        <v>SES8</v>
      </c>
      <c r="D1203" s="36" t="str">
        <f>INDEX('Base de données Mono'!A:A,MATCH(B1203,'Base de données Mono'!D:D,0))</f>
        <v>JG</v>
      </c>
      <c r="E1203" s="37" t="s">
        <v>303</v>
      </c>
      <c r="F1203" s="41">
        <f t="shared" si="241"/>
        <v>16</v>
      </c>
      <c r="G1203" s="41">
        <f t="shared" si="242"/>
        <v>4</v>
      </c>
      <c r="I1203" s="131">
        <f>INDEX('Base de données Mono'!K:K,MATCH(B1203,'Base de données Mono'!D:D,0))</f>
        <v>0.20833333333333334</v>
      </c>
      <c r="J1203" s="131">
        <f>INDEX('Base de données Mono'!L:L,MATCH(B1203,'Base de données Mono'!D:D,0))</f>
        <v>0.83333333333333304</v>
      </c>
      <c r="K1203" s="131" t="str">
        <f>INDEX('Base de données Mono'!M:M,MATCH(B1203,'Base de données Mono'!D:D,0))</f>
        <v>-</v>
      </c>
      <c r="L1203" s="131" t="str">
        <f>INDEX('Base de données Mono'!N:N,MATCH(B1203,'Base de données Mono'!D:D,0))</f>
        <v>-</v>
      </c>
      <c r="M1203" s="33" t="s">
        <v>46</v>
      </c>
      <c r="N1203" s="33">
        <f>IF(AND(E1203="Electricité",M1203="Hiver"),INDEX('Base de données Mono'!E:E,MATCH(B1203,'Base de données Mono'!D:D,0)),IF(AND(E1203="Electricité",M1203="Mi-saison"),INDEX('Base de données Mono'!F:F,MATCH(B1203,'Base de données Mono'!D:D,0)),IF(AND(E1203="Electricité",M1203="Eté"),INDEX('Base de données Mono'!G:G,MATCH(B1203,'Base de données Mono'!D:D,0)),IF(AND(E1203="Gaz",M1203="Hiver"),INDEX('Base de données Mono'!J:J,MATCH(B1203,'Base de données Mono'!D:D,0)),IF(AND(E1203="Gaz",M1203="Mi-saison"),INDEX('Base de données Mono'!#REF!,MATCH(B1203,'Base de données Mono'!D:D,0)),IF(AND(E1203="Gaz",M1203="Eté"),INDEX('Base de données Mono'!#REF!,MATCH(B1203,'Base de données Mono'!D:D,0)),"-"))))))</f>
        <v>110</v>
      </c>
      <c r="O1203" s="123">
        <v>45402</v>
      </c>
      <c r="P1203" s="123">
        <v>45403</v>
      </c>
      <c r="Q1203" s="34">
        <v>120</v>
      </c>
      <c r="R1203" s="33">
        <f t="shared" si="243"/>
        <v>10</v>
      </c>
      <c r="S1203" s="34">
        <v>3</v>
      </c>
      <c r="T1203" s="34">
        <f t="shared" si="244"/>
        <v>1</v>
      </c>
      <c r="U1203" s="33">
        <f t="shared" si="245"/>
        <v>30</v>
      </c>
      <c r="V1203" s="38" t="s">
        <v>827</v>
      </c>
      <c r="W1203" s="39">
        <f t="shared" si="246"/>
        <v>9.0909090909090912E-2</v>
      </c>
      <c r="X1203" s="40" t="s">
        <v>304</v>
      </c>
      <c r="Y1203" s="40" t="s">
        <v>284</v>
      </c>
      <c r="Z1203" s="40" t="s">
        <v>305</v>
      </c>
      <c r="AA1203" s="33" t="s">
        <v>771</v>
      </c>
      <c r="AB1203" s="95"/>
      <c r="AC1203" s="95"/>
    </row>
    <row r="1204" spans="1:29" ht="14.45" hidden="1" customHeight="1" x14ac:dyDescent="0.25">
      <c r="A1204" s="36" t="str">
        <f>INDEX('Base de données Mono'!C:C,MATCH(B1204,'Base de données Mono'!D:D,0))</f>
        <v>ANNECY COURRIER</v>
      </c>
      <c r="B1204" t="s">
        <v>59</v>
      </c>
      <c r="C1204" s="36" t="str">
        <f>INDEX('Base de données Mono'!B:B,MATCH(B1204,'Base de données Mono'!D:D,0))</f>
        <v>SES8</v>
      </c>
      <c r="D1204" s="36" t="str">
        <f>INDEX('Base de données Mono'!A:A,MATCH(B1204,'Base de données Mono'!D:D,0))</f>
        <v>JG</v>
      </c>
      <c r="E1204" s="37" t="s">
        <v>303</v>
      </c>
      <c r="F1204" s="41">
        <f t="shared" si="241"/>
        <v>16</v>
      </c>
      <c r="G1204" s="41">
        <f t="shared" si="242"/>
        <v>4</v>
      </c>
      <c r="I1204" s="131">
        <f>INDEX('Base de données Mono'!K:K,MATCH(B1204,'Base de données Mono'!D:D,0))</f>
        <v>0.20833333333333334</v>
      </c>
      <c r="J1204" s="131">
        <f>INDEX('Base de données Mono'!L:L,MATCH(B1204,'Base de données Mono'!D:D,0))</f>
        <v>0.83333333333333304</v>
      </c>
      <c r="K1204" s="131" t="str">
        <f>INDEX('Base de données Mono'!M:M,MATCH(B1204,'Base de données Mono'!D:D,0))</f>
        <v>-</v>
      </c>
      <c r="L1204" s="131" t="str">
        <f>INDEX('Base de données Mono'!N:N,MATCH(B1204,'Base de données Mono'!D:D,0))</f>
        <v>-</v>
      </c>
      <c r="M1204" s="33" t="s">
        <v>46</v>
      </c>
      <c r="N1204" s="33">
        <f>IF(AND(E1204="Electricité",M1204="Hiver"),INDEX('Base de données Mono'!E:E,MATCH(B1204,'Base de données Mono'!D:D,0)),IF(AND(E1204="Electricité",M1204="Mi-saison"),INDEX('Base de données Mono'!F:F,MATCH(B1204,'Base de données Mono'!D:D,0)),IF(AND(E1204="Electricité",M1204="Eté"),INDEX('Base de données Mono'!G:G,MATCH(B1204,'Base de données Mono'!D:D,0)),IF(AND(E1204="Gaz",M1204="Hiver"),INDEX('Base de données Mono'!J:J,MATCH(B1204,'Base de données Mono'!D:D,0)),IF(AND(E1204="Gaz",M1204="Mi-saison"),INDEX('Base de données Mono'!#REF!,MATCH(B1204,'Base de données Mono'!D:D,0)),IF(AND(E1204="Gaz",M1204="Eté"),INDEX('Base de données Mono'!#REF!,MATCH(B1204,'Base de données Mono'!D:D,0)),"-"))))))</f>
        <v>110</v>
      </c>
      <c r="O1204" s="123">
        <v>45402</v>
      </c>
      <c r="P1204" s="123">
        <v>45403</v>
      </c>
      <c r="Q1204" s="34">
        <v>210</v>
      </c>
      <c r="R1204" s="33">
        <f t="shared" si="243"/>
        <v>100</v>
      </c>
      <c r="S1204" s="34">
        <v>3</v>
      </c>
      <c r="T1204" s="34">
        <f t="shared" si="244"/>
        <v>1</v>
      </c>
      <c r="U1204" s="33">
        <f t="shared" si="245"/>
        <v>300</v>
      </c>
      <c r="V1204" s="38" t="s">
        <v>827</v>
      </c>
      <c r="W1204" s="39">
        <f t="shared" si="246"/>
        <v>0.90909090909090906</v>
      </c>
      <c r="X1204" s="40" t="s">
        <v>304</v>
      </c>
      <c r="Y1204" s="40" t="s">
        <v>283</v>
      </c>
      <c r="Z1204" s="40" t="s">
        <v>749</v>
      </c>
      <c r="AA1204" s="33" t="s">
        <v>749</v>
      </c>
      <c r="AB1204" s="95"/>
      <c r="AC1204" s="95"/>
    </row>
    <row r="1205" spans="1:29" ht="14.45" hidden="1" customHeight="1" x14ac:dyDescent="0.25">
      <c r="A1205" s="36" t="str">
        <f>INDEX('Base de données Mono'!C:C,MATCH(B1205,'Base de données Mono'!D:D,0))</f>
        <v>MARSEILLE CANNEBIERE</v>
      </c>
      <c r="B1205" t="s">
        <v>24</v>
      </c>
      <c r="C1205" s="36" t="str">
        <f>INDEX('Base de données Mono'!B:B,MATCH(B1205,'Base de données Mono'!D:D,0))</f>
        <v>SES8</v>
      </c>
      <c r="D1205" s="36" t="str">
        <f>INDEX('Base de données Mono'!A:A,MATCH(B1205,'Base de données Mono'!D:D,0))</f>
        <v>JG</v>
      </c>
      <c r="E1205" s="37" t="s">
        <v>303</v>
      </c>
      <c r="F1205" s="41">
        <f t="shared" ref="F1205" si="247">IF(O1205="","-",IF(AND(X1205="Nuit",WEEKDAY(O1205,2)=7,O1205&lt;&gt;P1205),WEEKNUM(O1205,2),WEEKNUM(O1205,2)-1))+1</f>
        <v>16</v>
      </c>
      <c r="G1205" s="41">
        <f t="shared" ref="G1205" si="248">IF(O1205="","-",MONTH(O1205))</f>
        <v>4</v>
      </c>
      <c r="I1205" s="131">
        <f>INDEX('Base de données Mono'!K:K,MATCH(B1205,'Base de données Mono'!D:D,0))</f>
        <v>0.14583333333333334</v>
      </c>
      <c r="J1205" s="131">
        <f>INDEX('Base de données Mono'!L:L,MATCH(B1205,'Base de données Mono'!D:D,0))</f>
        <v>0.875</v>
      </c>
      <c r="K1205" s="131">
        <f>INDEX('Base de données Mono'!M:M,MATCH(B1205,'Base de données Mono'!D:D,0))</f>
        <v>0.28472222222222221</v>
      </c>
      <c r="L1205" s="131">
        <f>INDEX('Base de données Mono'!N:N,MATCH(B1205,'Base de données Mono'!D:D,0))</f>
        <v>0.54166666666666663</v>
      </c>
      <c r="M1205" s="33" t="s">
        <v>46</v>
      </c>
      <c r="N1205" s="33">
        <f>IF(AND(E1205="Electricité",M1205="Hiver"),INDEX('Base de données Mono'!E:E,MATCH(B1205,'Base de données Mono'!D:D,0)),IF(AND(E1205="Electricité",M1205="Mi-saison"),INDEX('Base de données Mono'!F:F,MATCH(B1205,'Base de données Mono'!D:D,0)),IF(AND(E1205="Electricité",M1205="Eté"),INDEX('Base de données Mono'!G:G,MATCH(B1205,'Base de données Mono'!D:D,0)),IF(AND(E1205="Gaz",M1205="Hiver"),INDEX('Base de données Mono'!J:J,MATCH(B1205,'Base de données Mono'!D:D,0)),IF(AND(E1205="Gaz",M1205="Mi-saison"),INDEX('Base de données Mono'!#REF!,MATCH(B1205,'Base de données Mono'!D:D,0)),IF(AND(E1205="Gaz",M1205="Eté"),INDEX('Base de données Mono'!#REF!,MATCH(B1205,'Base de données Mono'!D:D,0)),"-"))))))</f>
        <v>100</v>
      </c>
      <c r="O1205" s="123">
        <v>45399</v>
      </c>
      <c r="P1205" s="123">
        <v>45401</v>
      </c>
      <c r="Q1205" s="34">
        <v>130</v>
      </c>
      <c r="R1205" s="33">
        <f t="shared" ref="R1205:R1206" si="249">IF(Q1205="","",Q1205-N1205)</f>
        <v>30</v>
      </c>
      <c r="S1205" s="34">
        <v>5</v>
      </c>
      <c r="T1205" s="34">
        <f t="shared" ref="T1205" si="250">P1205-O1205</f>
        <v>2</v>
      </c>
      <c r="U1205" s="33">
        <f t="shared" ref="U1205:U1206" si="251">R1205*S1205*T1205</f>
        <v>300</v>
      </c>
      <c r="V1205" s="38" t="s">
        <v>827</v>
      </c>
      <c r="W1205" s="39">
        <f t="shared" ref="W1205:W1206" si="252">IFERROR(IF(E1205="Gaz","-",R1205/N1205),"-")</f>
        <v>0.3</v>
      </c>
      <c r="X1205" s="40" t="s">
        <v>304</v>
      </c>
      <c r="Y1205" s="40" t="s">
        <v>283</v>
      </c>
      <c r="Z1205" s="40" t="s">
        <v>749</v>
      </c>
      <c r="AA1205" s="33" t="s">
        <v>749</v>
      </c>
      <c r="AB1205" s="95"/>
      <c r="AC1205" s="95" t="s">
        <v>840</v>
      </c>
    </row>
    <row r="1206" spans="1:29" ht="14.45" hidden="1" customHeight="1" x14ac:dyDescent="0.25">
      <c r="A1206" s="36" t="str">
        <f>INDEX('Base de données Mono'!C:C,MATCH(B1206,'Base de données Mono'!D:D,0))</f>
        <v>MARSEILLE CANNEBIERE</v>
      </c>
      <c r="B1206" t="s">
        <v>24</v>
      </c>
      <c r="C1206" s="36" t="str">
        <f>INDEX('Base de données Mono'!B:B,MATCH(B1206,'Base de données Mono'!D:D,0))</f>
        <v>SES8</v>
      </c>
      <c r="D1206" s="36" t="str">
        <f>INDEX('Base de données Mono'!A:A,MATCH(B1206,'Base de données Mono'!D:D,0))</f>
        <v>JG</v>
      </c>
      <c r="E1206" s="37" t="s">
        <v>303</v>
      </c>
      <c r="F1206" s="41">
        <f t="shared" si="241"/>
        <v>16</v>
      </c>
      <c r="G1206" s="41">
        <f t="shared" si="242"/>
        <v>4</v>
      </c>
      <c r="I1206" s="131">
        <f>INDEX('Base de données Mono'!K:K,MATCH(B1206,'Base de données Mono'!D:D,0))</f>
        <v>0.14583333333333334</v>
      </c>
      <c r="J1206" s="131">
        <f>INDEX('Base de données Mono'!L:L,MATCH(B1206,'Base de données Mono'!D:D,0))</f>
        <v>0.875</v>
      </c>
      <c r="K1206" s="131">
        <f>INDEX('Base de données Mono'!M:M,MATCH(B1206,'Base de données Mono'!D:D,0))</f>
        <v>0.28472222222222221</v>
      </c>
      <c r="L1206" s="131">
        <f>INDEX('Base de données Mono'!N:N,MATCH(B1206,'Base de données Mono'!D:D,0))</f>
        <v>0.54166666666666663</v>
      </c>
      <c r="M1206" s="33" t="s">
        <v>46</v>
      </c>
      <c r="N1206" s="33">
        <f>IF(AND(E1206="Electricité",M1206="Hiver"),INDEX('Base de données Mono'!E:E,MATCH(B1206,'Base de données Mono'!D:D,0)),IF(AND(E1206="Electricité",M1206="Mi-saison"),INDEX('Base de données Mono'!F:F,MATCH(B1206,'Base de données Mono'!D:D,0)),IF(AND(E1206="Electricité",M1206="Eté"),INDEX('Base de données Mono'!G:G,MATCH(B1206,'Base de données Mono'!D:D,0)),IF(AND(E1206="Gaz",M1206="Hiver"),INDEX('Base de données Mono'!J:J,MATCH(B1206,'Base de données Mono'!D:D,0)),IF(AND(E1206="Gaz",M1206="Mi-saison"),INDEX('Base de données Mono'!#REF!,MATCH(B1206,'Base de données Mono'!D:D,0)),IF(AND(E1206="Gaz",M1206="Eté"),INDEX('Base de données Mono'!#REF!,MATCH(B1206,'Base de données Mono'!D:D,0)),"-"))))))</f>
        <v>100</v>
      </c>
      <c r="O1206" s="123">
        <v>45403</v>
      </c>
      <c r="P1206" s="123">
        <v>45403</v>
      </c>
      <c r="Q1206" s="34">
        <v>125</v>
      </c>
      <c r="R1206" s="33">
        <f t="shared" si="249"/>
        <v>25</v>
      </c>
      <c r="S1206" s="34">
        <v>6</v>
      </c>
      <c r="T1206" s="34">
        <v>1</v>
      </c>
      <c r="U1206" s="33">
        <f t="shared" si="251"/>
        <v>150</v>
      </c>
      <c r="V1206" s="38" t="s">
        <v>827</v>
      </c>
      <c r="W1206" s="39">
        <f t="shared" si="252"/>
        <v>0.25</v>
      </c>
      <c r="X1206" s="40" t="s">
        <v>730</v>
      </c>
      <c r="Y1206" s="40" t="s">
        <v>283</v>
      </c>
      <c r="Z1206" s="40" t="s">
        <v>749</v>
      </c>
      <c r="AA1206" s="33" t="s">
        <v>749</v>
      </c>
      <c r="AB1206" s="95"/>
      <c r="AC1206" s="95" t="s">
        <v>840</v>
      </c>
    </row>
    <row r="1207" spans="1:29" ht="14.45" hidden="1" customHeight="1" x14ac:dyDescent="0.25">
      <c r="A1207" s="36" t="str">
        <f>INDEX('Base de données Mono'!C:C,MATCH(B1207,'Base de données Mono'!D:D,0))</f>
        <v>POITIERS</v>
      </c>
      <c r="B1207" t="s">
        <v>212</v>
      </c>
      <c r="C1207" s="36" t="str">
        <f>INDEX('Base de données Mono'!B:B,MATCH(B1207,'Base de données Mono'!D:D,0))</f>
        <v>SES8</v>
      </c>
      <c r="D1207" s="36" t="str">
        <f>INDEX('Base de données Mono'!A:A,MATCH(B1207,'Base de données Mono'!D:D,0))</f>
        <v>AD</v>
      </c>
      <c r="E1207" s="37" t="s">
        <v>303</v>
      </c>
      <c r="F1207" s="41">
        <f t="shared" si="241"/>
        <v>16</v>
      </c>
      <c r="G1207" s="41">
        <f t="shared" si="242"/>
        <v>4</v>
      </c>
      <c r="I1207" s="131">
        <f>INDEX('Base de données Mono'!K:K,MATCH(B1207,'Base de données Mono'!D:D,0))</f>
        <v>0.22916666666666666</v>
      </c>
      <c r="J1207" s="131">
        <f>INDEX('Base de données Mono'!L:L,MATCH(B1207,'Base de données Mono'!D:D,0))</f>
        <v>0.875</v>
      </c>
      <c r="K1207" s="131">
        <f>INDEX('Base de données Mono'!M:M,MATCH(B1207,'Base de données Mono'!D:D,0))</f>
        <v>0.22916666666666666</v>
      </c>
      <c r="L1207" s="131">
        <f>INDEX('Base de données Mono'!N:N,MATCH(B1207,'Base de données Mono'!D:D,0))</f>
        <v>0.54166666666666663</v>
      </c>
      <c r="M1207" s="33" t="s">
        <v>46</v>
      </c>
      <c r="N1207" s="33">
        <f>IF(AND(E1207="Electricité",M1207="Hiver"),INDEX('Base de données Mono'!E:E,MATCH(B1207,'Base de données Mono'!D:D,0)),IF(AND(E1207="Electricité",M1207="Mi-saison"),INDEX('Base de données Mono'!F:F,MATCH(B1207,'Base de données Mono'!D:D,0)),IF(AND(E1207="Electricité",M1207="Eté"),INDEX('Base de données Mono'!G:G,MATCH(B1207,'Base de données Mono'!D:D,0)),IF(AND(E1207="Gaz",M1207="Hiver"),INDEX('Base de données Mono'!J:J,MATCH(B1207,'Base de données Mono'!D:D,0)),IF(AND(E1207="Gaz",M1207="Mi-saison"),INDEX('Base de données Mono'!#REF!,MATCH(B1207,'Base de données Mono'!D:D,0)),IF(AND(E1207="Gaz",M1207="Eté"),INDEX('Base de données Mono'!#REF!,MATCH(B1207,'Base de données Mono'!D:D,0)),"-"))))))</f>
        <v>75</v>
      </c>
      <c r="O1207" s="123">
        <v>45396</v>
      </c>
      <c r="P1207" s="123">
        <v>45403</v>
      </c>
      <c r="Q1207" s="34">
        <v>90</v>
      </c>
      <c r="R1207" s="33">
        <f t="shared" si="243"/>
        <v>15</v>
      </c>
      <c r="S1207" s="34">
        <v>8.5</v>
      </c>
      <c r="T1207" s="34">
        <f t="shared" si="244"/>
        <v>7</v>
      </c>
      <c r="U1207" s="33">
        <f t="shared" si="245"/>
        <v>892.5</v>
      </c>
      <c r="V1207" s="38" t="s">
        <v>827</v>
      </c>
      <c r="W1207" s="39">
        <f t="shared" si="246"/>
        <v>0.2</v>
      </c>
      <c r="X1207" s="40" t="s">
        <v>304</v>
      </c>
      <c r="Y1207" s="40" t="s">
        <v>284</v>
      </c>
      <c r="Z1207" s="40" t="s">
        <v>305</v>
      </c>
      <c r="AA1207" s="33" t="s">
        <v>771</v>
      </c>
      <c r="AB1207" s="95"/>
      <c r="AC1207" s="95"/>
    </row>
    <row r="1208" spans="1:29" ht="14.45" hidden="1" customHeight="1" x14ac:dyDescent="0.25">
      <c r="A1208" s="36" t="str">
        <f>INDEX('Base de données Mono'!C:C,MATCH(B1208,'Base de données Mono'!D:D,0))</f>
        <v>MONTREUIL</v>
      </c>
      <c r="B1208" t="s">
        <v>25</v>
      </c>
      <c r="C1208" s="36" t="str">
        <f>INDEX('Base de données Mono'!B:B,MATCH(B1208,'Base de données Mono'!D:D,0))</f>
        <v>SES8</v>
      </c>
      <c r="D1208" s="36" t="str">
        <f>INDEX('Base de données Mono'!A:A,MATCH(B1208,'Base de données Mono'!D:D,0))</f>
        <v>JG</v>
      </c>
      <c r="E1208" s="37" t="s">
        <v>303</v>
      </c>
      <c r="F1208" s="41">
        <f t="shared" si="241"/>
        <v>16</v>
      </c>
      <c r="G1208" s="41">
        <f t="shared" si="242"/>
        <v>4</v>
      </c>
      <c r="I1208" s="131">
        <f>INDEX('Base de données Mono'!K:K,MATCH(B1208,'Base de données Mono'!D:D,0))</f>
        <v>0.24305555555555555</v>
      </c>
      <c r="J1208" s="131">
        <f>INDEX('Base de données Mono'!L:L,MATCH(B1208,'Base de données Mono'!D:D,0))</f>
        <v>0.875</v>
      </c>
      <c r="K1208" s="131">
        <f>INDEX('Base de données Mono'!M:M,MATCH(B1208,'Base de données Mono'!D:D,0))</f>
        <v>0.27083333333333331</v>
      </c>
      <c r="L1208" s="131">
        <f>INDEX('Base de données Mono'!N:N,MATCH(B1208,'Base de données Mono'!D:D,0))</f>
        <v>0.55902777777777779</v>
      </c>
      <c r="M1208" s="33" t="s">
        <v>46</v>
      </c>
      <c r="N1208" s="33">
        <f>IF(AND(E1208="Electricité",M1208="Hiver"),INDEX('Base de données Mono'!E:E,MATCH(B1208,'Base de données Mono'!D:D,0)),IF(AND(E1208="Electricité",M1208="Mi-saison"),INDEX('Base de données Mono'!F:F,MATCH(B1208,'Base de données Mono'!D:D,0)),IF(AND(E1208="Electricité",M1208="Eté"),INDEX('Base de données Mono'!G:G,MATCH(B1208,'Base de données Mono'!D:D,0)),IF(AND(E1208="Gaz",M1208="Hiver"),INDEX('Base de données Mono'!J:J,MATCH(B1208,'Base de données Mono'!D:D,0)),IF(AND(E1208="Gaz",M1208="Mi-saison"),INDEX('Base de données Mono'!#REF!,MATCH(B1208,'Base de données Mono'!D:D,0)),IF(AND(E1208="Gaz",M1208="Eté"),INDEX('Base de données Mono'!#REF!,MATCH(B1208,'Base de données Mono'!D:D,0)),"-"))))))</f>
        <v>95</v>
      </c>
      <c r="O1208" s="123">
        <v>45396</v>
      </c>
      <c r="P1208" s="123">
        <v>45403</v>
      </c>
      <c r="Q1208" s="34">
        <v>110</v>
      </c>
      <c r="R1208" s="33">
        <f t="shared" si="243"/>
        <v>15</v>
      </c>
      <c r="S1208" s="34">
        <v>8.8000000000000007</v>
      </c>
      <c r="T1208" s="34">
        <f t="shared" si="244"/>
        <v>7</v>
      </c>
      <c r="U1208" s="33">
        <f t="shared" si="245"/>
        <v>924</v>
      </c>
      <c r="V1208" s="38" t="s">
        <v>827</v>
      </c>
      <c r="W1208" s="39">
        <f t="shared" si="246"/>
        <v>0.15789473684210525</v>
      </c>
      <c r="X1208" s="40" t="s">
        <v>304</v>
      </c>
      <c r="Y1208" s="40" t="s">
        <v>284</v>
      </c>
      <c r="Z1208" s="40" t="s">
        <v>305</v>
      </c>
      <c r="AA1208" s="33" t="s">
        <v>771</v>
      </c>
      <c r="AB1208" s="95"/>
      <c r="AC1208" s="95"/>
    </row>
    <row r="1209" spans="1:29" ht="14.45" hidden="1" customHeight="1" x14ac:dyDescent="0.25">
      <c r="A1209" s="36" t="str">
        <f>INDEX('Base de données Mono'!C:C,MATCH(B1209,'Base de données Mono'!D:D,0))</f>
        <v>PLACE DES FETES</v>
      </c>
      <c r="B1209" t="s">
        <v>210</v>
      </c>
      <c r="C1209" s="36" t="str">
        <f>INDEX('Base de données Mono'!B:B,MATCH(B1209,'Base de données Mono'!D:D,0))</f>
        <v>SES8</v>
      </c>
      <c r="D1209" s="36" t="str">
        <f>INDEX('Base de données Mono'!A:A,MATCH(B1209,'Base de données Mono'!D:D,0))</f>
        <v>AD</v>
      </c>
      <c r="E1209" s="37" t="s">
        <v>303</v>
      </c>
      <c r="F1209" s="41">
        <f t="shared" si="241"/>
        <v>16</v>
      </c>
      <c r="G1209" s="41">
        <f t="shared" si="242"/>
        <v>4</v>
      </c>
      <c r="I1209" s="131">
        <f>INDEX('Base de données Mono'!K:K,MATCH(B1209,'Base de données Mono'!D:D,0))</f>
        <v>0.22916666666666666</v>
      </c>
      <c r="J1209" s="131">
        <f>INDEX('Base de données Mono'!L:L,MATCH(B1209,'Base de données Mono'!D:D,0))</f>
        <v>0.86111111111111116</v>
      </c>
      <c r="K1209" s="131">
        <f>INDEX('Base de données Mono'!M:M,MATCH(B1209,'Base de données Mono'!D:D,0))</f>
        <v>0.27777777777777779</v>
      </c>
      <c r="L1209" s="131">
        <f>INDEX('Base de données Mono'!N:N,MATCH(B1209,'Base de données Mono'!D:D,0))</f>
        <v>0.77777777777777779</v>
      </c>
      <c r="M1209" s="33" t="s">
        <v>46</v>
      </c>
      <c r="N1209" s="33">
        <f>IF(AND(E1209="Electricité",M1209="Hiver"),INDEX('Base de données Mono'!E:E,MATCH(B1209,'Base de données Mono'!D:D,0)),IF(AND(E1209="Electricité",M1209="Mi-saison"),INDEX('Base de données Mono'!F:F,MATCH(B1209,'Base de données Mono'!D:D,0)),IF(AND(E1209="Electricité",M1209="Eté"),INDEX('Base de données Mono'!G:G,MATCH(B1209,'Base de données Mono'!D:D,0)),IF(AND(E1209="Gaz",M1209="Hiver"),INDEX('Base de données Mono'!J:J,MATCH(B1209,'Base de données Mono'!D:D,0)),IF(AND(E1209="Gaz",M1209="Mi-saison"),INDEX('Base de données Mono'!#REF!,MATCH(B1209,'Base de données Mono'!D:D,0)),IF(AND(E1209="Gaz",M1209="Eté"),INDEX('Base de données Mono'!#REF!,MATCH(B1209,'Base de données Mono'!D:D,0)),"-"))))))</f>
        <v>85</v>
      </c>
      <c r="O1209" s="123">
        <v>45396</v>
      </c>
      <c r="P1209" s="123">
        <v>45402</v>
      </c>
      <c r="Q1209" s="34">
        <v>115</v>
      </c>
      <c r="R1209" s="33">
        <v>30</v>
      </c>
      <c r="S1209" s="34">
        <v>0.5</v>
      </c>
      <c r="T1209" s="34">
        <f t="shared" si="244"/>
        <v>6</v>
      </c>
      <c r="U1209" s="33">
        <v>45</v>
      </c>
      <c r="V1209" s="38" t="s">
        <v>827</v>
      </c>
      <c r="W1209" s="39">
        <v>0.35294117647058826</v>
      </c>
      <c r="X1209" s="40" t="s">
        <v>304</v>
      </c>
      <c r="Y1209" s="40" t="s">
        <v>284</v>
      </c>
      <c r="Z1209" s="40" t="s">
        <v>307</v>
      </c>
      <c r="AA1209" s="95" t="s">
        <v>414</v>
      </c>
      <c r="AB1209" s="95"/>
      <c r="AC1209" s="95"/>
    </row>
    <row r="1210" spans="1:29" ht="14.45" hidden="1" customHeight="1" x14ac:dyDescent="0.25">
      <c r="A1210" s="36" t="str">
        <f>INDEX('Base de données Mono'!C:C,MATCH(B1210,'Base de données Mono'!D:D,0))</f>
        <v>PLACE DES FETES</v>
      </c>
      <c r="B1210" t="s">
        <v>210</v>
      </c>
      <c r="C1210" s="36" t="str">
        <f>INDEX('Base de données Mono'!B:B,MATCH(B1210,'Base de données Mono'!D:D,0))</f>
        <v>SES8</v>
      </c>
      <c r="D1210" s="36" t="str">
        <f>INDEX('Base de données Mono'!A:A,MATCH(B1210,'Base de données Mono'!D:D,0))</f>
        <v>AD</v>
      </c>
      <c r="E1210" s="37" t="s">
        <v>303</v>
      </c>
      <c r="F1210" s="41">
        <f t="shared" si="241"/>
        <v>16</v>
      </c>
      <c r="G1210" s="41">
        <f t="shared" si="242"/>
        <v>4</v>
      </c>
      <c r="I1210" s="131">
        <f>INDEX('Base de données Mono'!K:K,MATCH(B1210,'Base de données Mono'!D:D,0))</f>
        <v>0.22916666666666666</v>
      </c>
      <c r="J1210" s="131">
        <f>INDEX('Base de données Mono'!L:L,MATCH(B1210,'Base de données Mono'!D:D,0))</f>
        <v>0.86111111111111116</v>
      </c>
      <c r="K1210" s="131">
        <f>INDEX('Base de données Mono'!M:M,MATCH(B1210,'Base de données Mono'!D:D,0))</f>
        <v>0.27777777777777779</v>
      </c>
      <c r="L1210" s="131">
        <f>INDEX('Base de données Mono'!N:N,MATCH(B1210,'Base de données Mono'!D:D,0))</f>
        <v>0.77777777777777779</v>
      </c>
      <c r="M1210" s="33" t="s">
        <v>46</v>
      </c>
      <c r="N1210" s="33">
        <f>IF(AND(E1210="Electricité",M1210="Hiver"),INDEX('Base de données Mono'!E:E,MATCH(B1210,'Base de données Mono'!D:D,0)),IF(AND(E1210="Electricité",M1210="Mi-saison"),INDEX('Base de données Mono'!F:F,MATCH(B1210,'Base de données Mono'!D:D,0)),IF(AND(E1210="Electricité",M1210="Eté"),INDEX('Base de données Mono'!G:G,MATCH(B1210,'Base de données Mono'!D:D,0)),IF(AND(E1210="Gaz",M1210="Hiver"),INDEX('Base de données Mono'!J:J,MATCH(B1210,'Base de données Mono'!D:D,0)),IF(AND(E1210="Gaz",M1210="Mi-saison"),INDEX('Base de données Mono'!#REF!,MATCH(B1210,'Base de données Mono'!D:D,0)),IF(AND(E1210="Gaz",M1210="Eté"),INDEX('Base de données Mono'!#REF!,MATCH(B1210,'Base de données Mono'!D:D,0)),"-"))))))</f>
        <v>85</v>
      </c>
      <c r="O1210" s="123">
        <v>45397</v>
      </c>
      <c r="P1210" s="123">
        <v>45403</v>
      </c>
      <c r="Q1210" s="34">
        <v>125</v>
      </c>
      <c r="R1210" s="33">
        <v>40</v>
      </c>
      <c r="S1210" s="34">
        <v>0.3</v>
      </c>
      <c r="T1210" s="34">
        <f t="shared" si="244"/>
        <v>6</v>
      </c>
      <c r="U1210" s="33">
        <v>72</v>
      </c>
      <c r="V1210" s="38" t="s">
        <v>827</v>
      </c>
      <c r="W1210" s="39">
        <v>0.47058823529411764</v>
      </c>
      <c r="X1210" s="40" t="s">
        <v>304</v>
      </c>
      <c r="Y1210" s="40" t="s">
        <v>284</v>
      </c>
      <c r="Z1210" s="40" t="s">
        <v>307</v>
      </c>
      <c r="AA1210" s="33" t="s">
        <v>313</v>
      </c>
      <c r="AB1210" s="95"/>
      <c r="AC1210" s="95"/>
    </row>
    <row r="1211" spans="1:29" hidden="1" x14ac:dyDescent="0.25">
      <c r="A1211" s="36" t="str">
        <f>INDEX('Base de données Mono'!C:C,MATCH(B1211,'Base de données Mono'!D:D,0))</f>
        <v>LES HUISSIERS</v>
      </c>
      <c r="B1211" t="s">
        <v>156</v>
      </c>
      <c r="C1211" s="36" t="str">
        <f>INDEX('Base de données Mono'!B:B,MATCH(B1211,'Base de données Mono'!D:D,0))</f>
        <v>SES8</v>
      </c>
      <c r="D1211" s="36" t="str">
        <f>INDEX('Base de données Mono'!A:A,MATCH(B1211,'Base de données Mono'!D:D,0))</f>
        <v>AD</v>
      </c>
      <c r="E1211" s="37" t="s">
        <v>303</v>
      </c>
      <c r="F1211" s="41">
        <f t="shared" si="241"/>
        <v>16</v>
      </c>
      <c r="G1211" s="41">
        <f t="shared" si="242"/>
        <v>4</v>
      </c>
      <c r="I1211" s="131">
        <f>INDEX('Base de données Mono'!K:K,MATCH(B1211,'Base de données Mono'!D:D,0))</f>
        <v>0.22916666666666666</v>
      </c>
      <c r="J1211" s="131">
        <f>INDEX('Base de données Mono'!L:L,MATCH(B1211,'Base de données Mono'!D:D,0))</f>
        <v>0.89583333333333337</v>
      </c>
      <c r="K1211" s="131">
        <f>INDEX('Base de données Mono'!M:M,MATCH(B1211,'Base de données Mono'!D:D,0))</f>
        <v>0.27777777777777779</v>
      </c>
      <c r="L1211" s="131">
        <f>INDEX('Base de données Mono'!N:N,MATCH(B1211,'Base de données Mono'!D:D,0))</f>
        <v>0.5625</v>
      </c>
      <c r="M1211" s="33" t="s">
        <v>46</v>
      </c>
      <c r="N1211" s="33">
        <f>IF(AND(E1211="Electricité",M1211="Hiver"),INDEX('Base de données Mono'!E:E,MATCH(B1211,'Base de données Mono'!D:D,0)),IF(AND(E1211="Electricité",M1211="Mi-saison"),INDEX('Base de données Mono'!F:F,MATCH(B1211,'Base de données Mono'!D:D,0)),IF(AND(E1211="Electricité",M1211="Eté"),INDEX('Base de données Mono'!G:G,MATCH(B1211,'Base de données Mono'!D:D,0)),IF(AND(E1211="Gaz",M1211="Hiver"),INDEX('Base de données Mono'!J:J,MATCH(B1211,'Base de données Mono'!D:D,0)),IF(AND(E1211="Gaz",M1211="Mi-saison"),INDEX('Base de données Mono'!#REF!,MATCH(B1211,'Base de données Mono'!D:D,0)),IF(AND(E1211="Gaz",M1211="Eté"),INDEX('Base de données Mono'!#REF!,MATCH(B1211,'Base de données Mono'!D:D,0)),"-"))))))</f>
        <v>65</v>
      </c>
      <c r="O1211" s="123">
        <v>45396</v>
      </c>
      <c r="P1211" s="123">
        <v>45397</v>
      </c>
      <c r="Q1211" s="34">
        <v>80</v>
      </c>
      <c r="R1211" s="33">
        <f t="shared" si="243"/>
        <v>15</v>
      </c>
      <c r="S1211" s="34">
        <v>8</v>
      </c>
      <c r="T1211" s="34">
        <f t="shared" si="244"/>
        <v>1</v>
      </c>
      <c r="U1211" s="33">
        <f t="shared" si="245"/>
        <v>120</v>
      </c>
      <c r="V1211" s="38" t="s">
        <v>827</v>
      </c>
      <c r="W1211" s="39">
        <f t="shared" si="246"/>
        <v>0.23076923076923078</v>
      </c>
      <c r="X1211" s="40" t="s">
        <v>304</v>
      </c>
      <c r="Y1211" s="40" t="s">
        <v>284</v>
      </c>
      <c r="Z1211" s="40" t="s">
        <v>305</v>
      </c>
      <c r="AA1211" s="33" t="s">
        <v>771</v>
      </c>
      <c r="AB1211" s="95"/>
      <c r="AC1211" s="95"/>
    </row>
    <row r="1212" spans="1:29" hidden="1" x14ac:dyDescent="0.25">
      <c r="A1212" s="36" t="str">
        <f>INDEX('Base de données Mono'!C:C,MATCH(B1212,'Base de données Mono'!D:D,0))</f>
        <v>LES HUISSIERS</v>
      </c>
      <c r="B1212" t="s">
        <v>156</v>
      </c>
      <c r="C1212" s="36" t="str">
        <f>INDEX('Base de données Mono'!B:B,MATCH(B1212,'Base de données Mono'!D:D,0))</f>
        <v>SES8</v>
      </c>
      <c r="D1212" s="36" t="str">
        <f>INDEX('Base de données Mono'!A:A,MATCH(B1212,'Base de données Mono'!D:D,0))</f>
        <v>AD</v>
      </c>
      <c r="E1212" s="37" t="s">
        <v>303</v>
      </c>
      <c r="F1212" s="41">
        <f t="shared" si="241"/>
        <v>16</v>
      </c>
      <c r="G1212" s="41">
        <f t="shared" si="242"/>
        <v>4</v>
      </c>
      <c r="I1212" s="131">
        <f>INDEX('Base de données Mono'!K:K,MATCH(B1212,'Base de données Mono'!D:D,0))</f>
        <v>0.22916666666666666</v>
      </c>
      <c r="J1212" s="131">
        <f>INDEX('Base de données Mono'!L:L,MATCH(B1212,'Base de données Mono'!D:D,0))</f>
        <v>0.89583333333333337</v>
      </c>
      <c r="K1212" s="131">
        <f>INDEX('Base de données Mono'!M:M,MATCH(B1212,'Base de données Mono'!D:D,0))</f>
        <v>0.27777777777777779</v>
      </c>
      <c r="L1212" s="131">
        <f>INDEX('Base de données Mono'!N:N,MATCH(B1212,'Base de données Mono'!D:D,0))</f>
        <v>0.5625</v>
      </c>
      <c r="M1212" s="33" t="s">
        <v>46</v>
      </c>
      <c r="N1212" s="33">
        <f>IF(AND(E1212="Electricité",M1212="Hiver"),INDEX('Base de données Mono'!E:E,MATCH(B1212,'Base de données Mono'!D:D,0)),IF(AND(E1212="Electricité",M1212="Mi-saison"),INDEX('Base de données Mono'!F:F,MATCH(B1212,'Base de données Mono'!D:D,0)),IF(AND(E1212="Electricité",M1212="Eté"),INDEX('Base de données Mono'!G:G,MATCH(B1212,'Base de données Mono'!D:D,0)),IF(AND(E1212="Gaz",M1212="Hiver"),INDEX('Base de données Mono'!J:J,MATCH(B1212,'Base de données Mono'!D:D,0)),IF(AND(E1212="Gaz",M1212="Mi-saison"),INDEX('Base de données Mono'!#REF!,MATCH(B1212,'Base de données Mono'!D:D,0)),IF(AND(E1212="Gaz",M1212="Eté"),INDEX('Base de données Mono'!#REF!,MATCH(B1212,'Base de données Mono'!D:D,0)),"-"))))))</f>
        <v>65</v>
      </c>
      <c r="O1212" s="123">
        <v>45399</v>
      </c>
      <c r="P1212" s="123">
        <v>45400</v>
      </c>
      <c r="Q1212" s="34">
        <v>70</v>
      </c>
      <c r="R1212" s="33">
        <f>IF(Q1212="","",Q1212-N1212)</f>
        <v>5</v>
      </c>
      <c r="S1212" s="34">
        <v>8</v>
      </c>
      <c r="T1212" s="34">
        <f t="shared" si="244"/>
        <v>1</v>
      </c>
      <c r="U1212" s="33">
        <f t="shared" si="245"/>
        <v>40</v>
      </c>
      <c r="V1212" s="38" t="s">
        <v>827</v>
      </c>
      <c r="W1212" s="39">
        <f t="shared" si="246"/>
        <v>7.6923076923076927E-2</v>
      </c>
      <c r="X1212" s="40" t="s">
        <v>304</v>
      </c>
      <c r="Y1212" s="40" t="s">
        <v>284</v>
      </c>
      <c r="Z1212" s="40" t="s">
        <v>305</v>
      </c>
      <c r="AA1212" s="33" t="s">
        <v>771</v>
      </c>
      <c r="AB1212" s="95"/>
      <c r="AC1212" s="95"/>
    </row>
    <row r="1213" spans="1:29" ht="14.45" hidden="1" customHeight="1" x14ac:dyDescent="0.25">
      <c r="A1213" s="36" t="str">
        <f>INDEX('Base de données Mono'!C:C,MATCH(B1213,'Base de données Mono'!D:D,0))</f>
        <v>ROQUETTE</v>
      </c>
      <c r="B1213" t="s">
        <v>225</v>
      </c>
      <c r="C1213" s="36" t="str">
        <f>INDEX('Base de données Mono'!B:B,MATCH(B1213,'Base de données Mono'!D:D,0))</f>
        <v>SES8</v>
      </c>
      <c r="D1213" s="36" t="str">
        <f>INDEX('Base de données Mono'!A:A,MATCH(B1213,'Base de données Mono'!D:D,0))</f>
        <v>JG</v>
      </c>
      <c r="E1213" s="37" t="s">
        <v>303</v>
      </c>
      <c r="F1213" s="41">
        <f t="shared" si="241"/>
        <v>16</v>
      </c>
      <c r="G1213" s="41">
        <f t="shared" si="242"/>
        <v>4</v>
      </c>
      <c r="I1213" s="131">
        <f>INDEX('Base de données Mono'!K:K,MATCH(B1213,'Base de données Mono'!D:D,0))</f>
        <v>0.25</v>
      </c>
      <c r="J1213" s="131">
        <f>INDEX('Base de données Mono'!L:L,MATCH(B1213,'Base de données Mono'!D:D,0))</f>
        <v>0.91666666666666663</v>
      </c>
      <c r="K1213" s="131">
        <f>INDEX('Base de données Mono'!M:M,MATCH(B1213,'Base de données Mono'!D:D,0))</f>
        <v>0.29166666666666669</v>
      </c>
      <c r="L1213" s="131">
        <f>INDEX('Base de données Mono'!N:N,MATCH(B1213,'Base de données Mono'!D:D,0))</f>
        <v>0.55208333333333337</v>
      </c>
      <c r="M1213" s="33" t="s">
        <v>46</v>
      </c>
      <c r="N1213" s="33">
        <f>IF(AND(E1213="Electricité",M1213="Hiver"),INDEX('Base de données Mono'!E:E,MATCH(B1213,'Base de données Mono'!D:D,0)),IF(AND(E1213="Electricité",M1213="Mi-saison"),INDEX('Base de données Mono'!F:F,MATCH(B1213,'Base de données Mono'!D:D,0)),IF(AND(E1213="Electricité",M1213="Eté"),INDEX('Base de données Mono'!G:G,MATCH(B1213,'Base de données Mono'!D:D,0)),IF(AND(E1213="Gaz",M1213="Hiver"),INDEX('Base de données Mono'!J:J,MATCH(B1213,'Base de données Mono'!D:D,0)),IF(AND(E1213="Gaz",M1213="Mi-saison"),INDEX('Base de données Mono'!#REF!,MATCH(B1213,'Base de données Mono'!D:D,0)),IF(AND(E1213="Gaz",M1213="Eté"),INDEX('Base de données Mono'!#REF!,MATCH(B1213,'Base de données Mono'!D:D,0)),"-"))))))</f>
        <v>60</v>
      </c>
      <c r="O1213" s="123">
        <v>45396</v>
      </c>
      <c r="P1213" s="123">
        <v>45397</v>
      </c>
      <c r="Q1213" s="34">
        <v>75</v>
      </c>
      <c r="R1213" s="33">
        <f t="shared" si="243"/>
        <v>15</v>
      </c>
      <c r="S1213" s="34">
        <v>8</v>
      </c>
      <c r="T1213" s="34">
        <f t="shared" si="244"/>
        <v>1</v>
      </c>
      <c r="U1213" s="33">
        <f t="shared" si="245"/>
        <v>120</v>
      </c>
      <c r="V1213" s="38" t="s">
        <v>827</v>
      </c>
      <c r="W1213" s="39">
        <f t="shared" si="246"/>
        <v>0.25</v>
      </c>
      <c r="X1213" s="40" t="s">
        <v>304</v>
      </c>
      <c r="Y1213" s="40" t="s">
        <v>284</v>
      </c>
      <c r="Z1213" s="40" t="s">
        <v>305</v>
      </c>
      <c r="AA1213" s="33" t="s">
        <v>771</v>
      </c>
      <c r="AB1213" s="95"/>
      <c r="AC1213" s="95"/>
    </row>
    <row r="1214" spans="1:29" ht="14.45" hidden="1" customHeight="1" x14ac:dyDescent="0.25">
      <c r="A1214" s="36" t="str">
        <f>INDEX('Base de données Mono'!C:C,MATCH(B1214,'Base de données Mono'!D:D,0))</f>
        <v>ROQUETTE</v>
      </c>
      <c r="B1214" t="s">
        <v>225</v>
      </c>
      <c r="C1214" s="36" t="str">
        <f>INDEX('Base de données Mono'!B:B,MATCH(B1214,'Base de données Mono'!D:D,0))</f>
        <v>SES8</v>
      </c>
      <c r="D1214" s="36" t="str">
        <f>INDEX('Base de données Mono'!A:A,MATCH(B1214,'Base de données Mono'!D:D,0))</f>
        <v>JG</v>
      </c>
      <c r="E1214" s="37" t="s">
        <v>303</v>
      </c>
      <c r="F1214" s="41">
        <f t="shared" si="241"/>
        <v>16</v>
      </c>
      <c r="G1214" s="41">
        <f t="shared" si="242"/>
        <v>4</v>
      </c>
      <c r="I1214" s="131">
        <f>INDEX('Base de données Mono'!K:K,MATCH(B1214,'Base de données Mono'!D:D,0))</f>
        <v>0.25</v>
      </c>
      <c r="J1214" s="131">
        <f>INDEX('Base de données Mono'!L:L,MATCH(B1214,'Base de données Mono'!D:D,0))</f>
        <v>0.91666666666666663</v>
      </c>
      <c r="K1214" s="131">
        <f>INDEX('Base de données Mono'!M:M,MATCH(B1214,'Base de données Mono'!D:D,0))</f>
        <v>0.29166666666666669</v>
      </c>
      <c r="L1214" s="131">
        <f>INDEX('Base de données Mono'!N:N,MATCH(B1214,'Base de données Mono'!D:D,0))</f>
        <v>0.55208333333333337</v>
      </c>
      <c r="M1214" s="33" t="s">
        <v>46</v>
      </c>
      <c r="N1214" s="33">
        <f>IF(AND(E1214="Electricité",M1214="Hiver"),INDEX('Base de données Mono'!E:E,MATCH(B1214,'Base de données Mono'!D:D,0)),IF(AND(E1214="Electricité",M1214="Mi-saison"),INDEX('Base de données Mono'!F:F,MATCH(B1214,'Base de données Mono'!D:D,0)),IF(AND(E1214="Electricité",M1214="Eté"),INDEX('Base de données Mono'!G:G,MATCH(B1214,'Base de données Mono'!D:D,0)),IF(AND(E1214="Gaz",M1214="Hiver"),INDEX('Base de données Mono'!J:J,MATCH(B1214,'Base de données Mono'!D:D,0)),IF(AND(E1214="Gaz",M1214="Mi-saison"),INDEX('Base de données Mono'!#REF!,MATCH(B1214,'Base de données Mono'!D:D,0)),IF(AND(E1214="Gaz",M1214="Eté"),INDEX('Base de données Mono'!#REF!,MATCH(B1214,'Base de données Mono'!D:D,0)),"-"))))))</f>
        <v>60</v>
      </c>
      <c r="O1214" s="123">
        <v>45397</v>
      </c>
      <c r="P1214" s="123">
        <v>45398</v>
      </c>
      <c r="Q1214" s="34">
        <v>100</v>
      </c>
      <c r="R1214" s="33">
        <f t="shared" si="243"/>
        <v>40</v>
      </c>
      <c r="S1214" s="34">
        <v>8</v>
      </c>
      <c r="T1214" s="34">
        <f t="shared" si="244"/>
        <v>1</v>
      </c>
      <c r="U1214" s="33">
        <f t="shared" si="245"/>
        <v>320</v>
      </c>
      <c r="V1214" s="38" t="s">
        <v>827</v>
      </c>
      <c r="W1214" s="39">
        <f t="shared" si="246"/>
        <v>0.66666666666666663</v>
      </c>
      <c r="X1214" s="40" t="s">
        <v>304</v>
      </c>
      <c r="Y1214" s="40" t="s">
        <v>283</v>
      </c>
      <c r="Z1214" s="40" t="s">
        <v>749</v>
      </c>
      <c r="AA1214" s="33" t="s">
        <v>749</v>
      </c>
      <c r="AB1214" s="95"/>
      <c r="AC1214" s="95"/>
    </row>
    <row r="1215" spans="1:29" ht="14.45" hidden="1" customHeight="1" x14ac:dyDescent="0.25">
      <c r="A1215" s="36" t="str">
        <f>INDEX('Base de données Mono'!C:C,MATCH(B1215,'Base de données Mono'!D:D,0))</f>
        <v>ROQUETTE</v>
      </c>
      <c r="B1215" t="s">
        <v>225</v>
      </c>
      <c r="C1215" s="36" t="str">
        <f>INDEX('Base de données Mono'!B:B,MATCH(B1215,'Base de données Mono'!D:D,0))</f>
        <v>SES8</v>
      </c>
      <c r="D1215" s="36" t="str">
        <f>INDEX('Base de données Mono'!A:A,MATCH(B1215,'Base de données Mono'!D:D,0))</f>
        <v>JG</v>
      </c>
      <c r="E1215" s="37" t="s">
        <v>303</v>
      </c>
      <c r="F1215" s="41">
        <f t="shared" si="241"/>
        <v>16</v>
      </c>
      <c r="G1215" s="41">
        <f t="shared" si="242"/>
        <v>4</v>
      </c>
      <c r="I1215" s="131">
        <f>INDEX('Base de données Mono'!K:K,MATCH(B1215,'Base de données Mono'!D:D,0))</f>
        <v>0.25</v>
      </c>
      <c r="J1215" s="131">
        <f>INDEX('Base de données Mono'!L:L,MATCH(B1215,'Base de données Mono'!D:D,0))</f>
        <v>0.91666666666666663</v>
      </c>
      <c r="K1215" s="131">
        <f>INDEX('Base de données Mono'!M:M,MATCH(B1215,'Base de données Mono'!D:D,0))</f>
        <v>0.29166666666666669</v>
      </c>
      <c r="L1215" s="131">
        <f>INDEX('Base de données Mono'!N:N,MATCH(B1215,'Base de données Mono'!D:D,0))</f>
        <v>0.55208333333333337</v>
      </c>
      <c r="M1215" s="33" t="s">
        <v>46</v>
      </c>
      <c r="N1215" s="33">
        <f>IF(AND(E1215="Electricité",M1215="Hiver"),INDEX('Base de données Mono'!E:E,MATCH(B1215,'Base de données Mono'!D:D,0)),IF(AND(E1215="Electricité",M1215="Mi-saison"),INDEX('Base de données Mono'!F:F,MATCH(B1215,'Base de données Mono'!D:D,0)),IF(AND(E1215="Electricité",M1215="Eté"),INDEX('Base de données Mono'!G:G,MATCH(B1215,'Base de données Mono'!D:D,0)),IF(AND(E1215="Gaz",M1215="Hiver"),INDEX('Base de données Mono'!J:J,MATCH(B1215,'Base de données Mono'!D:D,0)),IF(AND(E1215="Gaz",M1215="Mi-saison"),INDEX('Base de données Mono'!#REF!,MATCH(B1215,'Base de données Mono'!D:D,0)),IF(AND(E1215="Gaz",M1215="Eté"),INDEX('Base de données Mono'!#REF!,MATCH(B1215,'Base de données Mono'!D:D,0)),"-"))))))</f>
        <v>60</v>
      </c>
      <c r="O1215" s="123">
        <v>45398</v>
      </c>
      <c r="P1215" s="123">
        <v>45399</v>
      </c>
      <c r="Q1215" s="34">
        <v>75</v>
      </c>
      <c r="R1215" s="33">
        <f t="shared" si="243"/>
        <v>15</v>
      </c>
      <c r="S1215" s="34">
        <v>8</v>
      </c>
      <c r="T1215" s="34">
        <f t="shared" si="244"/>
        <v>1</v>
      </c>
      <c r="U1215" s="33">
        <f t="shared" si="245"/>
        <v>120</v>
      </c>
      <c r="V1215" s="38" t="s">
        <v>827</v>
      </c>
      <c r="W1215" s="39">
        <f t="shared" si="246"/>
        <v>0.25</v>
      </c>
      <c r="X1215" s="40" t="s">
        <v>304</v>
      </c>
      <c r="Y1215" s="40" t="s">
        <v>284</v>
      </c>
      <c r="Z1215" s="40" t="s">
        <v>305</v>
      </c>
      <c r="AA1215" s="33" t="s">
        <v>771</v>
      </c>
      <c r="AB1215" s="95"/>
      <c r="AC1215" s="95"/>
    </row>
    <row r="1216" spans="1:29" ht="14.45" hidden="1" customHeight="1" x14ac:dyDescent="0.25">
      <c r="A1216" s="36" t="str">
        <f>INDEX('Base de données Mono'!C:C,MATCH(B1216,'Base de données Mono'!D:D,0))</f>
        <v>ROQUETTE</v>
      </c>
      <c r="B1216" t="s">
        <v>225</v>
      </c>
      <c r="C1216" s="36" t="str">
        <f>INDEX('Base de données Mono'!B:B,MATCH(B1216,'Base de données Mono'!D:D,0))</f>
        <v>SES8</v>
      </c>
      <c r="D1216" s="36" t="str">
        <f>INDEX('Base de données Mono'!A:A,MATCH(B1216,'Base de données Mono'!D:D,0))</f>
        <v>JG</v>
      </c>
      <c r="E1216" s="37" t="s">
        <v>303</v>
      </c>
      <c r="F1216" s="41">
        <f t="shared" si="241"/>
        <v>16</v>
      </c>
      <c r="G1216" s="41">
        <f t="shared" si="242"/>
        <v>4</v>
      </c>
      <c r="I1216" s="131">
        <f>INDEX('Base de données Mono'!K:K,MATCH(B1216,'Base de données Mono'!D:D,0))</f>
        <v>0.25</v>
      </c>
      <c r="J1216" s="131">
        <f>INDEX('Base de données Mono'!L:L,MATCH(B1216,'Base de données Mono'!D:D,0))</f>
        <v>0.91666666666666663</v>
      </c>
      <c r="K1216" s="131">
        <f>INDEX('Base de données Mono'!M:M,MATCH(B1216,'Base de données Mono'!D:D,0))</f>
        <v>0.29166666666666669</v>
      </c>
      <c r="L1216" s="131">
        <f>INDEX('Base de données Mono'!N:N,MATCH(B1216,'Base de données Mono'!D:D,0))</f>
        <v>0.55208333333333337</v>
      </c>
      <c r="M1216" s="33" t="s">
        <v>46</v>
      </c>
      <c r="N1216" s="33">
        <f>IF(AND(E1216="Electricité",M1216="Hiver"),INDEX('Base de données Mono'!E:E,MATCH(B1216,'Base de données Mono'!D:D,0)),IF(AND(E1216="Electricité",M1216="Mi-saison"),INDEX('Base de données Mono'!F:F,MATCH(B1216,'Base de données Mono'!D:D,0)),IF(AND(E1216="Electricité",M1216="Eté"),INDEX('Base de données Mono'!G:G,MATCH(B1216,'Base de données Mono'!D:D,0)),IF(AND(E1216="Gaz",M1216="Hiver"),INDEX('Base de données Mono'!J:J,MATCH(B1216,'Base de données Mono'!D:D,0)),IF(AND(E1216="Gaz",M1216="Mi-saison"),INDEX('Base de données Mono'!#REF!,MATCH(B1216,'Base de données Mono'!D:D,0)),IF(AND(E1216="Gaz",M1216="Eté"),INDEX('Base de données Mono'!#REF!,MATCH(B1216,'Base de données Mono'!D:D,0)),"-"))))))</f>
        <v>60</v>
      </c>
      <c r="O1216" s="123">
        <v>45399</v>
      </c>
      <c r="P1216" s="123">
        <v>45400</v>
      </c>
      <c r="Q1216" s="34">
        <v>85</v>
      </c>
      <c r="R1216" s="33">
        <f t="shared" si="243"/>
        <v>25</v>
      </c>
      <c r="S1216" s="34">
        <v>6</v>
      </c>
      <c r="T1216" s="34">
        <f t="shared" si="244"/>
        <v>1</v>
      </c>
      <c r="U1216" s="33">
        <f t="shared" si="245"/>
        <v>150</v>
      </c>
      <c r="V1216" s="38" t="s">
        <v>827</v>
      </c>
      <c r="W1216" s="39">
        <f t="shared" si="246"/>
        <v>0.41666666666666669</v>
      </c>
      <c r="X1216" s="40" t="s">
        <v>304</v>
      </c>
      <c r="Y1216" s="40" t="s">
        <v>284</v>
      </c>
      <c r="Z1216" s="40" t="s">
        <v>305</v>
      </c>
      <c r="AA1216" s="33" t="s">
        <v>771</v>
      </c>
      <c r="AB1216" s="95"/>
      <c r="AC1216" s="95"/>
    </row>
    <row r="1217" spans="1:29" ht="14.45" hidden="1" customHeight="1" x14ac:dyDescent="0.25">
      <c r="A1217" s="36" t="str">
        <f>INDEX('Base de données Mono'!C:C,MATCH(B1217,'Base de données Mono'!D:D,0))</f>
        <v>ROQUETTE</v>
      </c>
      <c r="B1217" t="s">
        <v>225</v>
      </c>
      <c r="C1217" s="36" t="str">
        <f>INDEX('Base de données Mono'!B:B,MATCH(B1217,'Base de données Mono'!D:D,0))</f>
        <v>SES8</v>
      </c>
      <c r="D1217" s="36" t="str">
        <f>INDEX('Base de données Mono'!A:A,MATCH(B1217,'Base de données Mono'!D:D,0))</f>
        <v>JG</v>
      </c>
      <c r="E1217" s="37" t="s">
        <v>303</v>
      </c>
      <c r="F1217" s="41">
        <f t="shared" si="241"/>
        <v>16</v>
      </c>
      <c r="G1217" s="41">
        <f t="shared" si="242"/>
        <v>4</v>
      </c>
      <c r="I1217" s="131">
        <f>INDEX('Base de données Mono'!K:K,MATCH(B1217,'Base de données Mono'!D:D,0))</f>
        <v>0.25</v>
      </c>
      <c r="J1217" s="131">
        <f>INDEX('Base de données Mono'!L:L,MATCH(B1217,'Base de données Mono'!D:D,0))</f>
        <v>0.91666666666666663</v>
      </c>
      <c r="K1217" s="131">
        <f>INDEX('Base de données Mono'!M:M,MATCH(B1217,'Base de données Mono'!D:D,0))</f>
        <v>0.29166666666666669</v>
      </c>
      <c r="L1217" s="131">
        <f>INDEX('Base de données Mono'!N:N,MATCH(B1217,'Base de données Mono'!D:D,0))</f>
        <v>0.55208333333333337</v>
      </c>
      <c r="M1217" s="33" t="s">
        <v>46</v>
      </c>
      <c r="N1217" s="33">
        <f>IF(AND(E1217="Electricité",M1217="Hiver"),INDEX('Base de données Mono'!E:E,MATCH(B1217,'Base de données Mono'!D:D,0)),IF(AND(E1217="Electricité",M1217="Mi-saison"),INDEX('Base de données Mono'!F:F,MATCH(B1217,'Base de données Mono'!D:D,0)),IF(AND(E1217="Electricité",M1217="Eté"),INDEX('Base de données Mono'!G:G,MATCH(B1217,'Base de données Mono'!D:D,0)),IF(AND(E1217="Gaz",M1217="Hiver"),INDEX('Base de données Mono'!J:J,MATCH(B1217,'Base de données Mono'!D:D,0)),IF(AND(E1217="Gaz",M1217="Mi-saison"),INDEX('Base de données Mono'!#REF!,MATCH(B1217,'Base de données Mono'!D:D,0)),IF(AND(E1217="Gaz",M1217="Eté"),INDEX('Base de données Mono'!#REF!,MATCH(B1217,'Base de données Mono'!D:D,0)),"-"))))))</f>
        <v>60</v>
      </c>
      <c r="O1217" s="123">
        <v>45399</v>
      </c>
      <c r="P1217" s="123">
        <v>45400</v>
      </c>
      <c r="Q1217" s="34">
        <v>110</v>
      </c>
      <c r="R1217" s="33">
        <f t="shared" si="243"/>
        <v>50</v>
      </c>
      <c r="S1217" s="34">
        <v>2</v>
      </c>
      <c r="T1217" s="34">
        <f t="shared" si="244"/>
        <v>1</v>
      </c>
      <c r="U1217" s="33">
        <f t="shared" si="245"/>
        <v>100</v>
      </c>
      <c r="V1217" s="38" t="s">
        <v>827</v>
      </c>
      <c r="W1217" s="39">
        <f t="shared" si="246"/>
        <v>0.83333333333333337</v>
      </c>
      <c r="X1217" s="40" t="s">
        <v>304</v>
      </c>
      <c r="Y1217" s="40" t="s">
        <v>284</v>
      </c>
      <c r="Z1217" s="40" t="s">
        <v>311</v>
      </c>
      <c r="AA1217" s="33" t="s">
        <v>775</v>
      </c>
      <c r="AB1217" s="95"/>
      <c r="AC1217" s="95"/>
    </row>
    <row r="1218" spans="1:29" ht="14.45" hidden="1" customHeight="1" x14ac:dyDescent="0.25">
      <c r="A1218" s="36" t="str">
        <f>INDEX('Base de données Mono'!C:C,MATCH(B1218,'Base de données Mono'!D:D,0))</f>
        <v>ROQUETTE</v>
      </c>
      <c r="B1218" t="s">
        <v>225</v>
      </c>
      <c r="C1218" s="36" t="str">
        <f>INDEX('Base de données Mono'!B:B,MATCH(B1218,'Base de données Mono'!D:D,0))</f>
        <v>SES8</v>
      </c>
      <c r="D1218" s="36" t="str">
        <f>INDEX('Base de données Mono'!A:A,MATCH(B1218,'Base de données Mono'!D:D,0))</f>
        <v>JG</v>
      </c>
      <c r="E1218" s="37" t="s">
        <v>303</v>
      </c>
      <c r="F1218" s="41">
        <f t="shared" si="241"/>
        <v>16</v>
      </c>
      <c r="G1218" s="41">
        <f t="shared" si="242"/>
        <v>4</v>
      </c>
      <c r="I1218" s="131">
        <f>INDEX('Base de données Mono'!K:K,MATCH(B1218,'Base de données Mono'!D:D,0))</f>
        <v>0.25</v>
      </c>
      <c r="J1218" s="131">
        <f>INDEX('Base de données Mono'!L:L,MATCH(B1218,'Base de données Mono'!D:D,0))</f>
        <v>0.91666666666666663</v>
      </c>
      <c r="K1218" s="131">
        <f>INDEX('Base de données Mono'!M:M,MATCH(B1218,'Base de données Mono'!D:D,0))</f>
        <v>0.29166666666666669</v>
      </c>
      <c r="L1218" s="131">
        <f>INDEX('Base de données Mono'!N:N,MATCH(B1218,'Base de données Mono'!D:D,0))</f>
        <v>0.55208333333333337</v>
      </c>
      <c r="M1218" s="33" t="s">
        <v>46</v>
      </c>
      <c r="N1218" s="33">
        <f>IF(AND(E1218="Electricité",M1218="Hiver"),INDEX('Base de données Mono'!E:E,MATCH(B1218,'Base de données Mono'!D:D,0)),IF(AND(E1218="Electricité",M1218="Mi-saison"),INDEX('Base de données Mono'!F:F,MATCH(B1218,'Base de données Mono'!D:D,0)),IF(AND(E1218="Electricité",M1218="Eté"),INDEX('Base de données Mono'!G:G,MATCH(B1218,'Base de données Mono'!D:D,0)),IF(AND(E1218="Gaz",M1218="Hiver"),INDEX('Base de données Mono'!J:J,MATCH(B1218,'Base de données Mono'!D:D,0)),IF(AND(E1218="Gaz",M1218="Mi-saison"),INDEX('Base de données Mono'!#REF!,MATCH(B1218,'Base de données Mono'!D:D,0)),IF(AND(E1218="Gaz",M1218="Eté"),INDEX('Base de données Mono'!#REF!,MATCH(B1218,'Base de données Mono'!D:D,0)),"-"))))))</f>
        <v>60</v>
      </c>
      <c r="O1218" s="123">
        <v>45400</v>
      </c>
      <c r="P1218" s="123">
        <v>45401</v>
      </c>
      <c r="Q1218" s="34">
        <v>70</v>
      </c>
      <c r="R1218" s="33">
        <f t="shared" si="243"/>
        <v>10</v>
      </c>
      <c r="S1218" s="34">
        <v>5</v>
      </c>
      <c r="T1218" s="34">
        <f t="shared" si="244"/>
        <v>1</v>
      </c>
      <c r="U1218" s="33">
        <f t="shared" si="245"/>
        <v>50</v>
      </c>
      <c r="V1218" s="38" t="s">
        <v>827</v>
      </c>
      <c r="W1218" s="39">
        <f t="shared" si="246"/>
        <v>0.16666666666666666</v>
      </c>
      <c r="X1218" s="40" t="s">
        <v>304</v>
      </c>
      <c r="Y1218" s="40" t="s">
        <v>284</v>
      </c>
      <c r="Z1218" s="40" t="s">
        <v>305</v>
      </c>
      <c r="AA1218" s="33" t="s">
        <v>771</v>
      </c>
      <c r="AB1218" s="95"/>
      <c r="AC1218" s="95"/>
    </row>
    <row r="1219" spans="1:29" ht="14.45" hidden="1" customHeight="1" x14ac:dyDescent="0.25">
      <c r="A1219" s="36" t="str">
        <f>INDEX('Base de données Mono'!C:C,MATCH(B1219,'Base de données Mono'!D:D,0))</f>
        <v>ROQUETTE</v>
      </c>
      <c r="B1219" t="s">
        <v>225</v>
      </c>
      <c r="C1219" s="36" t="str">
        <f>INDEX('Base de données Mono'!B:B,MATCH(B1219,'Base de données Mono'!D:D,0))</f>
        <v>SES8</v>
      </c>
      <c r="D1219" s="36" t="str">
        <f>INDEX('Base de données Mono'!A:A,MATCH(B1219,'Base de données Mono'!D:D,0))</f>
        <v>JG</v>
      </c>
      <c r="E1219" s="37" t="s">
        <v>303</v>
      </c>
      <c r="F1219" s="41">
        <f t="shared" ref="F1219:F1220" si="253">IF(O1219="","-",IF(AND(X1219="Nuit",WEEKDAY(O1219,2)=7,O1219&lt;&gt;P1219),WEEKNUM(O1219,2),WEEKNUM(O1219,2)-1))+1</f>
        <v>16</v>
      </c>
      <c r="G1219" s="41">
        <f t="shared" ref="G1219:G1220" si="254">IF(O1219="","-",MONTH(O1219))</f>
        <v>4</v>
      </c>
      <c r="I1219" s="131">
        <f>INDEX('Base de données Mono'!K:K,MATCH(B1219,'Base de données Mono'!D:D,0))</f>
        <v>0.25</v>
      </c>
      <c r="J1219" s="131">
        <f>INDEX('Base de données Mono'!L:L,MATCH(B1219,'Base de données Mono'!D:D,0))</f>
        <v>0.91666666666666663</v>
      </c>
      <c r="K1219" s="131">
        <f>INDEX('Base de données Mono'!M:M,MATCH(B1219,'Base de données Mono'!D:D,0))</f>
        <v>0.29166666666666669</v>
      </c>
      <c r="L1219" s="131">
        <f>INDEX('Base de données Mono'!N:N,MATCH(B1219,'Base de données Mono'!D:D,0))</f>
        <v>0.55208333333333337</v>
      </c>
      <c r="M1219" s="33" t="s">
        <v>46</v>
      </c>
      <c r="N1219" s="33">
        <f>IF(AND(E1219="Electricité",M1219="Hiver"),INDEX('Base de données Mono'!E:E,MATCH(B1219,'Base de données Mono'!D:D,0)),IF(AND(E1219="Electricité",M1219="Mi-saison"),INDEX('Base de données Mono'!F:F,MATCH(B1219,'Base de données Mono'!D:D,0)),IF(AND(E1219="Electricité",M1219="Eté"),INDEX('Base de données Mono'!G:G,MATCH(B1219,'Base de données Mono'!D:D,0)),IF(AND(E1219="Gaz",M1219="Hiver"),INDEX('Base de données Mono'!J:J,MATCH(B1219,'Base de données Mono'!D:D,0)),IF(AND(E1219="Gaz",M1219="Mi-saison"),INDEX('Base de données Mono'!#REF!,MATCH(B1219,'Base de données Mono'!D:D,0)),IF(AND(E1219="Gaz",M1219="Eté"),INDEX('Base de données Mono'!#REF!,MATCH(B1219,'Base de données Mono'!D:D,0)),"-"))))))</f>
        <v>60</v>
      </c>
      <c r="O1219" s="123">
        <v>45401</v>
      </c>
      <c r="P1219" s="123">
        <v>45402</v>
      </c>
      <c r="Q1219" s="34">
        <v>70</v>
      </c>
      <c r="R1219" s="33">
        <f t="shared" ref="R1219:R1220" si="255">IF(Q1219="","",Q1219-N1219)</f>
        <v>10</v>
      </c>
      <c r="S1219" s="34">
        <v>6</v>
      </c>
      <c r="T1219" s="34">
        <f t="shared" ref="T1219:T1220" si="256">P1219-O1219</f>
        <v>1</v>
      </c>
      <c r="U1219" s="33">
        <f t="shared" ref="U1219:U1220" si="257">R1219*S1219*T1219</f>
        <v>60</v>
      </c>
      <c r="V1219" s="38" t="s">
        <v>827</v>
      </c>
      <c r="W1219" s="39">
        <f t="shared" ref="W1219:W1220" si="258">IFERROR(IF(E1219="Gaz","-",R1219/N1219),"-")</f>
        <v>0.16666666666666666</v>
      </c>
      <c r="X1219" s="40" t="s">
        <v>304</v>
      </c>
      <c r="Y1219" s="40" t="s">
        <v>284</v>
      </c>
      <c r="Z1219" s="40" t="s">
        <v>305</v>
      </c>
      <c r="AA1219" s="33" t="s">
        <v>771</v>
      </c>
      <c r="AB1219" s="95"/>
      <c r="AC1219" s="95"/>
    </row>
    <row r="1220" spans="1:29" ht="14.45" hidden="1" customHeight="1" x14ac:dyDescent="0.25">
      <c r="A1220" s="36" t="str">
        <f>INDEX('Base de données Mono'!C:C,MATCH(B1220,'Base de données Mono'!D:D,0))</f>
        <v>ROQUETTE</v>
      </c>
      <c r="B1220" t="s">
        <v>225</v>
      </c>
      <c r="C1220" s="36" t="str">
        <f>INDEX('Base de données Mono'!B:B,MATCH(B1220,'Base de données Mono'!D:D,0))</f>
        <v>SES8</v>
      </c>
      <c r="D1220" s="36" t="str">
        <f>INDEX('Base de données Mono'!A:A,MATCH(B1220,'Base de données Mono'!D:D,0))</f>
        <v>JG</v>
      </c>
      <c r="E1220" s="37" t="s">
        <v>303</v>
      </c>
      <c r="F1220" s="41">
        <f t="shared" si="253"/>
        <v>16</v>
      </c>
      <c r="G1220" s="41">
        <f t="shared" si="254"/>
        <v>4</v>
      </c>
      <c r="I1220" s="131">
        <f>INDEX('Base de données Mono'!K:K,MATCH(B1220,'Base de données Mono'!D:D,0))</f>
        <v>0.25</v>
      </c>
      <c r="J1220" s="131">
        <f>INDEX('Base de données Mono'!L:L,MATCH(B1220,'Base de données Mono'!D:D,0))</f>
        <v>0.91666666666666663</v>
      </c>
      <c r="K1220" s="131">
        <f>INDEX('Base de données Mono'!M:M,MATCH(B1220,'Base de données Mono'!D:D,0))</f>
        <v>0.29166666666666669</v>
      </c>
      <c r="L1220" s="131">
        <f>INDEX('Base de données Mono'!N:N,MATCH(B1220,'Base de données Mono'!D:D,0))</f>
        <v>0.55208333333333337</v>
      </c>
      <c r="M1220" s="33" t="s">
        <v>46</v>
      </c>
      <c r="N1220" s="33">
        <f>IF(AND(E1220="Electricité",M1220="Hiver"),INDEX('Base de données Mono'!E:E,MATCH(B1220,'Base de données Mono'!D:D,0)),IF(AND(E1220="Electricité",M1220="Mi-saison"),INDEX('Base de données Mono'!F:F,MATCH(B1220,'Base de données Mono'!D:D,0)),IF(AND(E1220="Electricité",M1220="Eté"),INDEX('Base de données Mono'!G:G,MATCH(B1220,'Base de données Mono'!D:D,0)),IF(AND(E1220="Gaz",M1220="Hiver"),INDEX('Base de données Mono'!J:J,MATCH(B1220,'Base de données Mono'!D:D,0)),IF(AND(E1220="Gaz",M1220="Mi-saison"),INDEX('Base de données Mono'!#REF!,MATCH(B1220,'Base de données Mono'!D:D,0)),IF(AND(E1220="Gaz",M1220="Eté"),INDEX('Base de données Mono'!#REF!,MATCH(B1220,'Base de données Mono'!D:D,0)),"-"))))))</f>
        <v>60</v>
      </c>
      <c r="O1220" s="123">
        <v>45401</v>
      </c>
      <c r="P1220" s="123">
        <v>45402</v>
      </c>
      <c r="Q1220" s="34">
        <v>100</v>
      </c>
      <c r="R1220" s="33">
        <f t="shared" si="255"/>
        <v>40</v>
      </c>
      <c r="S1220" s="34">
        <v>2</v>
      </c>
      <c r="T1220" s="34">
        <f t="shared" si="256"/>
        <v>1</v>
      </c>
      <c r="U1220" s="33">
        <f t="shared" si="257"/>
        <v>80</v>
      </c>
      <c r="V1220" s="38" t="s">
        <v>827</v>
      </c>
      <c r="W1220" s="39">
        <f t="shared" si="258"/>
        <v>0.66666666666666663</v>
      </c>
      <c r="X1220" s="40" t="s">
        <v>304</v>
      </c>
      <c r="Y1220" s="40" t="s">
        <v>284</v>
      </c>
      <c r="Z1220" s="40" t="s">
        <v>311</v>
      </c>
      <c r="AA1220" s="33" t="s">
        <v>775</v>
      </c>
      <c r="AB1220" s="95"/>
      <c r="AC1220" s="95"/>
    </row>
    <row r="1221" spans="1:29" ht="14.45" hidden="1" customHeight="1" x14ac:dyDescent="0.25">
      <c r="A1221" s="36" t="str">
        <f>INDEX('Base de données Mono'!C:C,MATCH(B1221,'Base de données Mono'!D:D,0))</f>
        <v>ROQUETTE</v>
      </c>
      <c r="B1221" t="s">
        <v>225</v>
      </c>
      <c r="C1221" s="36" t="str">
        <f>INDEX('Base de données Mono'!B:B,MATCH(B1221,'Base de données Mono'!D:D,0))</f>
        <v>SES8</v>
      </c>
      <c r="D1221" s="36" t="str">
        <f>INDEX('Base de données Mono'!A:A,MATCH(B1221,'Base de données Mono'!D:D,0))</f>
        <v>JG</v>
      </c>
      <c r="E1221" s="37" t="s">
        <v>303</v>
      </c>
      <c r="F1221" s="41">
        <f t="shared" si="241"/>
        <v>16</v>
      </c>
      <c r="G1221" s="41">
        <f t="shared" si="242"/>
        <v>4</v>
      </c>
      <c r="I1221" s="131">
        <f>INDEX('Base de données Mono'!K:K,MATCH(B1221,'Base de données Mono'!D:D,0))</f>
        <v>0.25</v>
      </c>
      <c r="J1221" s="131">
        <f>INDEX('Base de données Mono'!L:L,MATCH(B1221,'Base de données Mono'!D:D,0))</f>
        <v>0.91666666666666663</v>
      </c>
      <c r="K1221" s="131">
        <f>INDEX('Base de données Mono'!M:M,MATCH(B1221,'Base de données Mono'!D:D,0))</f>
        <v>0.29166666666666669</v>
      </c>
      <c r="L1221" s="131">
        <f>INDEX('Base de données Mono'!N:N,MATCH(B1221,'Base de données Mono'!D:D,0))</f>
        <v>0.55208333333333337</v>
      </c>
      <c r="M1221" s="33" t="s">
        <v>46</v>
      </c>
      <c r="N1221" s="33">
        <f>IF(AND(E1221="Electricité",M1221="Hiver"),INDEX('Base de données Mono'!E:E,MATCH(B1221,'Base de données Mono'!D:D,0)),IF(AND(E1221="Electricité",M1221="Mi-saison"),INDEX('Base de données Mono'!F:F,MATCH(B1221,'Base de données Mono'!D:D,0)),IF(AND(E1221="Electricité",M1221="Eté"),INDEX('Base de données Mono'!G:G,MATCH(B1221,'Base de données Mono'!D:D,0)),IF(AND(E1221="Gaz",M1221="Hiver"),INDEX('Base de données Mono'!J:J,MATCH(B1221,'Base de données Mono'!D:D,0)),IF(AND(E1221="Gaz",M1221="Mi-saison"),INDEX('Base de données Mono'!#REF!,MATCH(B1221,'Base de données Mono'!D:D,0)),IF(AND(E1221="Gaz",M1221="Eté"),INDEX('Base de données Mono'!#REF!,MATCH(B1221,'Base de données Mono'!D:D,0)),"-"))))))</f>
        <v>60</v>
      </c>
      <c r="O1221" s="123">
        <v>45402</v>
      </c>
      <c r="P1221" s="123">
        <v>45403</v>
      </c>
      <c r="Q1221" s="34">
        <v>70</v>
      </c>
      <c r="R1221" s="33">
        <f t="shared" si="243"/>
        <v>10</v>
      </c>
      <c r="S1221" s="34">
        <v>9</v>
      </c>
      <c r="T1221" s="34">
        <f t="shared" si="244"/>
        <v>1</v>
      </c>
      <c r="U1221" s="33">
        <f t="shared" si="245"/>
        <v>90</v>
      </c>
      <c r="V1221" s="38" t="s">
        <v>827</v>
      </c>
      <c r="W1221" s="39">
        <f t="shared" si="246"/>
        <v>0.16666666666666666</v>
      </c>
      <c r="X1221" s="40" t="s">
        <v>304</v>
      </c>
      <c r="Y1221" s="40" t="s">
        <v>284</v>
      </c>
      <c r="Z1221" s="40" t="s">
        <v>305</v>
      </c>
      <c r="AA1221" s="33" t="s">
        <v>771</v>
      </c>
      <c r="AB1221" s="95"/>
      <c r="AC1221" s="95"/>
    </row>
    <row r="1222" spans="1:29" ht="14.45" hidden="1" customHeight="1" x14ac:dyDescent="0.25">
      <c r="A1222" s="36" t="str">
        <f>INDEX('Base de données Mono'!C:C,MATCH(B1222,'Base de données Mono'!D:D,0))</f>
        <v>UNI POTEAU</v>
      </c>
      <c r="B1222" t="s">
        <v>258</v>
      </c>
      <c r="C1222" s="36" t="str">
        <f>INDEX('Base de données Mono'!B:B,MATCH(B1222,'Base de données Mono'!D:D,0))</f>
        <v>SES8</v>
      </c>
      <c r="D1222" s="36" t="str">
        <f>INDEX('Base de données Mono'!A:A,MATCH(B1222,'Base de données Mono'!D:D,0))</f>
        <v>JG</v>
      </c>
      <c r="E1222" s="37" t="s">
        <v>303</v>
      </c>
      <c r="F1222" s="41">
        <f t="shared" si="241"/>
        <v>16</v>
      </c>
      <c r="G1222" s="41">
        <f t="shared" si="242"/>
        <v>4</v>
      </c>
      <c r="I1222" s="131">
        <f>INDEX('Base de données Mono'!K:K,MATCH(B1222,'Base de données Mono'!D:D,0))</f>
        <v>0.20138888888888887</v>
      </c>
      <c r="J1222" s="131">
        <f>INDEX('Base de données Mono'!L:L,MATCH(B1222,'Base de données Mono'!D:D,0))</f>
        <v>0.92013888888888884</v>
      </c>
      <c r="K1222" s="131">
        <f>INDEX('Base de données Mono'!M:M,MATCH(B1222,'Base de données Mono'!D:D,0))</f>
        <v>0.27777777777777779</v>
      </c>
      <c r="L1222" s="131">
        <f>INDEX('Base de données Mono'!N:N,MATCH(B1222,'Base de données Mono'!D:D,0))</f>
        <v>0.55208333333333337</v>
      </c>
      <c r="M1222" s="33" t="s">
        <v>46</v>
      </c>
      <c r="N1222" s="33">
        <f>IF(AND(E1222="Electricité",M1222="Hiver"),INDEX('Base de données Mono'!E:E,MATCH(B1222,'Base de données Mono'!D:D,0)),IF(AND(E1222="Electricité",M1222="Mi-saison"),INDEX('Base de données Mono'!F:F,MATCH(B1222,'Base de données Mono'!D:D,0)),IF(AND(E1222="Electricité",M1222="Eté"),INDEX('Base de données Mono'!G:G,MATCH(B1222,'Base de données Mono'!D:D,0)),IF(AND(E1222="Gaz",M1222="Hiver"),INDEX('Base de données Mono'!J:J,MATCH(B1222,'Base de données Mono'!D:D,0)),IF(AND(E1222="Gaz",M1222="Mi-saison"),INDEX('Base de données Mono'!#REF!,MATCH(B1222,'Base de données Mono'!D:D,0)),IF(AND(E1222="Gaz",M1222="Eté"),INDEX('Base de données Mono'!#REF!,MATCH(B1222,'Base de données Mono'!D:D,0)),"-"))))))</f>
        <v>65</v>
      </c>
      <c r="O1222" s="123">
        <v>45397</v>
      </c>
      <c r="P1222" s="123">
        <v>45398</v>
      </c>
      <c r="Q1222" s="34">
        <v>95</v>
      </c>
      <c r="R1222" s="33">
        <f t="shared" si="243"/>
        <v>30</v>
      </c>
      <c r="S1222" s="34">
        <v>1.8</v>
      </c>
      <c r="T1222" s="34">
        <f t="shared" si="244"/>
        <v>1</v>
      </c>
      <c r="U1222" s="33">
        <f t="shared" si="245"/>
        <v>54</v>
      </c>
      <c r="V1222" s="38" t="s">
        <v>827</v>
      </c>
      <c r="W1222" s="39">
        <f t="shared" si="246"/>
        <v>0.46153846153846156</v>
      </c>
      <c r="X1222" s="40" t="s">
        <v>304</v>
      </c>
      <c r="Y1222" s="40" t="s">
        <v>284</v>
      </c>
      <c r="Z1222" s="40" t="s">
        <v>307</v>
      </c>
      <c r="AA1222" s="33" t="s">
        <v>313</v>
      </c>
      <c r="AB1222" s="95"/>
      <c r="AC1222" s="95"/>
    </row>
    <row r="1223" spans="1:29" ht="14.45" hidden="1" customHeight="1" x14ac:dyDescent="0.25">
      <c r="A1223" s="36" t="str">
        <f>INDEX('Base de données Mono'!C:C,MATCH(B1223,'Base de données Mono'!D:D,0))</f>
        <v>GRENOBLE CASERNE</v>
      </c>
      <c r="B1223" t="s">
        <v>135</v>
      </c>
      <c r="C1223" s="36" t="str">
        <f>INDEX('Base de données Mono'!B:B,MATCH(B1223,'Base de données Mono'!D:D,0))</f>
        <v>SES8</v>
      </c>
      <c r="D1223" s="36" t="str">
        <f>INDEX('Base de données Mono'!A:A,MATCH(B1223,'Base de données Mono'!D:D,0))</f>
        <v>JG</v>
      </c>
      <c r="E1223" s="37" t="s">
        <v>303</v>
      </c>
      <c r="F1223" s="41">
        <f t="shared" si="241"/>
        <v>16</v>
      </c>
      <c r="G1223" s="41">
        <f t="shared" si="242"/>
        <v>4</v>
      </c>
      <c r="I1223" s="131">
        <f>INDEX('Base de données Mono'!K:K,MATCH(B1223,'Base de données Mono'!D:D,0))</f>
        <v>0.22222222222222221</v>
      </c>
      <c r="J1223" s="131">
        <f>INDEX('Base de données Mono'!L:L,MATCH(B1223,'Base de données Mono'!D:D,0))</f>
        <v>0.89583333333333337</v>
      </c>
      <c r="K1223" s="131">
        <f>INDEX('Base de données Mono'!M:M,MATCH(B1223,'Base de données Mono'!D:D,0))</f>
        <v>0.3125</v>
      </c>
      <c r="L1223" s="131">
        <f>INDEX('Base de données Mono'!N:N,MATCH(B1223,'Base de données Mono'!D:D,0))</f>
        <v>0.55208333333333337</v>
      </c>
      <c r="M1223" s="33" t="s">
        <v>46</v>
      </c>
      <c r="N1223" s="33">
        <f>IF(AND(E1223="Electricité",M1223="Hiver"),INDEX('Base de données Mono'!E:E,MATCH(B1223,'Base de données Mono'!D:D,0)),IF(AND(E1223="Electricité",M1223="Mi-saison"),INDEX('Base de données Mono'!F:F,MATCH(B1223,'Base de données Mono'!D:D,0)),IF(AND(E1223="Electricité",M1223="Eté"),INDEX('Base de données Mono'!G:G,MATCH(B1223,'Base de données Mono'!D:D,0)),IF(AND(E1223="Gaz",M1223="Hiver"),INDEX('Base de données Mono'!J:J,MATCH(B1223,'Base de données Mono'!D:D,0)),IF(AND(E1223="Gaz",M1223="Mi-saison"),INDEX('Base de données Mono'!#REF!,MATCH(B1223,'Base de données Mono'!D:D,0)),IF(AND(E1223="Gaz",M1223="Eté"),INDEX('Base de données Mono'!#REF!,MATCH(B1223,'Base de données Mono'!D:D,0)),"-"))))))</f>
        <v>40</v>
      </c>
      <c r="O1223" s="123">
        <v>45398</v>
      </c>
      <c r="P1223" s="123">
        <v>45399</v>
      </c>
      <c r="Q1223" s="34">
        <v>75</v>
      </c>
      <c r="R1223" s="33">
        <f t="shared" si="243"/>
        <v>35</v>
      </c>
      <c r="S1223" s="34">
        <v>1.3</v>
      </c>
      <c r="T1223" s="34">
        <f t="shared" si="244"/>
        <v>1</v>
      </c>
      <c r="U1223" s="33">
        <f t="shared" si="245"/>
        <v>45.5</v>
      </c>
      <c r="V1223" s="38" t="s">
        <v>827</v>
      </c>
      <c r="W1223" s="39">
        <f t="shared" si="246"/>
        <v>0.875</v>
      </c>
      <c r="X1223" s="40" t="s">
        <v>304</v>
      </c>
      <c r="Y1223" s="40" t="s">
        <v>284</v>
      </c>
      <c r="Z1223" s="40" t="s">
        <v>307</v>
      </c>
      <c r="AA1223" s="33" t="s">
        <v>414</v>
      </c>
      <c r="AB1223" s="95"/>
      <c r="AC1223" s="95"/>
    </row>
    <row r="1224" spans="1:29" ht="14.45" hidden="1" customHeight="1" x14ac:dyDescent="0.25">
      <c r="A1224" s="36" t="str">
        <f>INDEX('Base de données Mono'!C:C,MATCH(B1224,'Base de données Mono'!D:D,0))</f>
        <v>TERNES</v>
      </c>
      <c r="B1224" t="s">
        <v>251</v>
      </c>
      <c r="C1224" s="36" t="str">
        <f>INDEX('Base de données Mono'!B:B,MATCH(B1224,'Base de données Mono'!D:D,0))</f>
        <v>SES8</v>
      </c>
      <c r="D1224" s="36" t="str">
        <f>INDEX('Base de données Mono'!A:A,MATCH(B1224,'Base de données Mono'!D:D,0))</f>
        <v>AD</v>
      </c>
      <c r="E1224" s="37" t="s">
        <v>303</v>
      </c>
      <c r="F1224" s="41">
        <f t="shared" si="241"/>
        <v>16</v>
      </c>
      <c r="G1224" s="41">
        <f t="shared" si="242"/>
        <v>4</v>
      </c>
      <c r="I1224" s="131">
        <f>INDEX('Base de données Mono'!K:K,MATCH(B1224,'Base de données Mono'!D:D,0))</f>
        <v>0.1875</v>
      </c>
      <c r="J1224" s="131">
        <f>INDEX('Base de données Mono'!L:L,MATCH(B1224,'Base de données Mono'!D:D,0))</f>
        <v>0.89583333333333337</v>
      </c>
      <c r="K1224" s="131">
        <f>INDEX('Base de données Mono'!M:M,MATCH(B1224,'Base de données Mono'!D:D,0))</f>
        <v>0.22916666666666666</v>
      </c>
      <c r="L1224" s="131">
        <f>INDEX('Base de données Mono'!N:N,MATCH(B1224,'Base de données Mono'!D:D,0))</f>
        <v>0.8125</v>
      </c>
      <c r="M1224" s="33" t="s">
        <v>46</v>
      </c>
      <c r="N1224" s="33">
        <f>IF(AND(E1224="Electricité",M1224="Hiver"),INDEX('Base de données Mono'!E:E,MATCH(B1224,'Base de données Mono'!D:D,0)),IF(AND(E1224="Electricité",M1224="Mi-saison"),INDEX('Base de données Mono'!F:F,MATCH(B1224,'Base de données Mono'!D:D,0)),IF(AND(E1224="Electricité",M1224="Eté"),INDEX('Base de données Mono'!G:G,MATCH(B1224,'Base de données Mono'!D:D,0)),IF(AND(E1224="Gaz",M1224="Hiver"),INDEX('Base de données Mono'!J:J,MATCH(B1224,'Base de données Mono'!D:D,0)),IF(AND(E1224="Gaz",M1224="Mi-saison"),INDEX('Base de données Mono'!#REF!,MATCH(B1224,'Base de données Mono'!D:D,0)),IF(AND(E1224="Gaz",M1224="Eté"),INDEX('Base de données Mono'!#REF!,MATCH(B1224,'Base de données Mono'!D:D,0)),"-"))))))</f>
        <v>80</v>
      </c>
      <c r="O1224" s="123">
        <v>45396</v>
      </c>
      <c r="P1224" s="123">
        <v>45402</v>
      </c>
      <c r="Q1224" s="34">
        <v>110</v>
      </c>
      <c r="R1224" s="33">
        <f t="shared" si="243"/>
        <v>30</v>
      </c>
      <c r="S1224" s="34">
        <v>0.5</v>
      </c>
      <c r="T1224" s="34">
        <f t="shared" si="244"/>
        <v>6</v>
      </c>
      <c r="U1224" s="33">
        <f t="shared" si="245"/>
        <v>90</v>
      </c>
      <c r="V1224" s="38" t="s">
        <v>827</v>
      </c>
      <c r="W1224" s="39">
        <f t="shared" si="246"/>
        <v>0.375</v>
      </c>
      <c r="X1224" s="40" t="s">
        <v>304</v>
      </c>
      <c r="Y1224" s="40" t="s">
        <v>284</v>
      </c>
      <c r="Z1224" s="40" t="s">
        <v>305</v>
      </c>
      <c r="AA1224" s="33" t="s">
        <v>771</v>
      </c>
      <c r="AB1224" s="95"/>
      <c r="AC1224" s="95"/>
    </row>
    <row r="1225" spans="1:29" ht="14.45" hidden="1" customHeight="1" x14ac:dyDescent="0.25">
      <c r="A1225" s="36" t="str">
        <f>INDEX('Base de données Mono'!C:C,MATCH(B1225,'Base de données Mono'!D:D,0))</f>
        <v>TERNES</v>
      </c>
      <c r="B1225" t="s">
        <v>251</v>
      </c>
      <c r="C1225" s="36" t="str">
        <f>INDEX('Base de données Mono'!B:B,MATCH(B1225,'Base de données Mono'!D:D,0))</f>
        <v>SES8</v>
      </c>
      <c r="D1225" s="36" t="str">
        <f>INDEX('Base de données Mono'!A:A,MATCH(B1225,'Base de données Mono'!D:D,0))</f>
        <v>AD</v>
      </c>
      <c r="E1225" s="37" t="s">
        <v>303</v>
      </c>
      <c r="F1225" s="41">
        <f t="shared" si="241"/>
        <v>16</v>
      </c>
      <c r="G1225" s="41">
        <f t="shared" si="242"/>
        <v>4</v>
      </c>
      <c r="I1225" s="131">
        <f>INDEX('Base de données Mono'!K:K,MATCH(B1225,'Base de données Mono'!D:D,0))</f>
        <v>0.1875</v>
      </c>
      <c r="J1225" s="131">
        <f>INDEX('Base de données Mono'!L:L,MATCH(B1225,'Base de données Mono'!D:D,0))</f>
        <v>0.89583333333333337</v>
      </c>
      <c r="K1225" s="131">
        <f>INDEX('Base de données Mono'!M:M,MATCH(B1225,'Base de données Mono'!D:D,0))</f>
        <v>0.22916666666666666</v>
      </c>
      <c r="L1225" s="131">
        <f>INDEX('Base de données Mono'!N:N,MATCH(B1225,'Base de données Mono'!D:D,0))</f>
        <v>0.8125</v>
      </c>
      <c r="M1225" s="33" t="s">
        <v>46</v>
      </c>
      <c r="N1225" s="33">
        <f>IF(AND(E1225="Electricité",M1225="Hiver"),INDEX('Base de données Mono'!E:E,MATCH(B1225,'Base de données Mono'!D:D,0)),IF(AND(E1225="Electricité",M1225="Mi-saison"),INDEX('Base de données Mono'!F:F,MATCH(B1225,'Base de données Mono'!D:D,0)),IF(AND(E1225="Electricité",M1225="Eté"),INDEX('Base de données Mono'!G:G,MATCH(B1225,'Base de données Mono'!D:D,0)),IF(AND(E1225="Gaz",M1225="Hiver"),INDEX('Base de données Mono'!J:J,MATCH(B1225,'Base de données Mono'!D:D,0)),IF(AND(E1225="Gaz",M1225="Mi-saison"),INDEX('Base de données Mono'!#REF!,MATCH(B1225,'Base de données Mono'!D:D,0)),IF(AND(E1225="Gaz",M1225="Eté"),INDEX('Base de données Mono'!#REF!,MATCH(B1225,'Base de données Mono'!D:D,0)),"-"))))))</f>
        <v>80</v>
      </c>
      <c r="O1225" s="123">
        <v>45397</v>
      </c>
      <c r="P1225" s="123">
        <v>45403</v>
      </c>
      <c r="Q1225" s="34">
        <v>120</v>
      </c>
      <c r="R1225" s="33">
        <f t="shared" si="243"/>
        <v>40</v>
      </c>
      <c r="S1225" s="34">
        <v>0.5</v>
      </c>
      <c r="T1225" s="34">
        <f t="shared" si="244"/>
        <v>6</v>
      </c>
      <c r="U1225" s="33">
        <f t="shared" si="245"/>
        <v>120</v>
      </c>
      <c r="V1225" s="38" t="s">
        <v>827</v>
      </c>
      <c r="W1225" s="39">
        <f t="shared" si="246"/>
        <v>0.5</v>
      </c>
      <c r="X1225" s="40" t="s">
        <v>304</v>
      </c>
      <c r="Y1225" s="40" t="s">
        <v>284</v>
      </c>
      <c r="Z1225" s="40" t="s">
        <v>307</v>
      </c>
      <c r="AA1225" s="33" t="s">
        <v>313</v>
      </c>
      <c r="AB1225" s="95"/>
      <c r="AC1225" s="95"/>
    </row>
    <row r="1226" spans="1:29" ht="14.45" hidden="1" customHeight="1" x14ac:dyDescent="0.25">
      <c r="A1226" s="36" t="str">
        <f>INDEX('Base de données Mono'!C:C,MATCH(B1226,'Base de données Mono'!D:D,0))</f>
        <v>LES TOITS DE BOULOGNE</v>
      </c>
      <c r="B1226" t="s">
        <v>158</v>
      </c>
      <c r="C1226" s="36" t="str">
        <f>INDEX('Base de données Mono'!B:B,MATCH(B1226,'Base de données Mono'!D:D,0))</f>
        <v>SES8</v>
      </c>
      <c r="D1226" s="36" t="str">
        <f>INDEX('Base de données Mono'!A:A,MATCH(B1226,'Base de données Mono'!D:D,0))</f>
        <v>AD</v>
      </c>
      <c r="E1226" s="37" t="s">
        <v>303</v>
      </c>
      <c r="F1226" s="41">
        <f t="shared" si="241"/>
        <v>16</v>
      </c>
      <c r="G1226" s="41">
        <f t="shared" si="242"/>
        <v>4</v>
      </c>
      <c r="I1226" s="131">
        <f>INDEX('Base de données Mono'!K:K,MATCH(B1226,'Base de données Mono'!D:D,0))</f>
        <v>0.22916666666666666</v>
      </c>
      <c r="J1226" s="131">
        <f>INDEX('Base de données Mono'!L:L,MATCH(B1226,'Base de données Mono'!D:D,0))</f>
        <v>0.875</v>
      </c>
      <c r="K1226" s="131">
        <f>INDEX('Base de données Mono'!M:M,MATCH(B1226,'Base de données Mono'!D:D,0))</f>
        <v>0.29166666666666669</v>
      </c>
      <c r="L1226" s="131">
        <f>INDEX('Base de données Mono'!N:N,MATCH(B1226,'Base de données Mono'!D:D,0))</f>
        <v>0.83333333333333337</v>
      </c>
      <c r="M1226" s="33" t="s">
        <v>46</v>
      </c>
      <c r="N1226" s="33">
        <f>IF(AND(E1226="Electricité",M1226="Hiver"),INDEX('Base de données Mono'!E:E,MATCH(B1226,'Base de données Mono'!D:D,0)),IF(AND(E1226="Electricité",M1226="Mi-saison"),INDEX('Base de données Mono'!F:F,MATCH(B1226,'Base de données Mono'!D:D,0)),IF(AND(E1226="Electricité",M1226="Eté"),INDEX('Base de données Mono'!G:G,MATCH(B1226,'Base de données Mono'!D:D,0)),IF(AND(E1226="Gaz",M1226="Hiver"),INDEX('Base de données Mono'!J:J,MATCH(B1226,'Base de données Mono'!D:D,0)),IF(AND(E1226="Gaz",M1226="Mi-saison"),INDEX('Base de données Mono'!#REF!,MATCH(B1226,'Base de données Mono'!D:D,0)),IF(AND(E1226="Gaz",M1226="Eté"),INDEX('Base de données Mono'!#REF!,MATCH(B1226,'Base de données Mono'!D:D,0)),"-"))))))</f>
        <v>70</v>
      </c>
      <c r="O1226" s="123">
        <v>45396</v>
      </c>
      <c r="P1226" s="123">
        <v>45397</v>
      </c>
      <c r="Q1226" s="34">
        <v>105</v>
      </c>
      <c r="R1226" s="33">
        <f t="shared" si="243"/>
        <v>35</v>
      </c>
      <c r="S1226" s="34">
        <v>8.5</v>
      </c>
      <c r="T1226" s="34">
        <f>P1226-O1226</f>
        <v>1</v>
      </c>
      <c r="U1226" s="33">
        <f t="shared" si="245"/>
        <v>297.5</v>
      </c>
      <c r="V1226" s="38" t="s">
        <v>827</v>
      </c>
      <c r="W1226" s="39">
        <f t="shared" si="246"/>
        <v>0.5</v>
      </c>
      <c r="X1226" s="40" t="s">
        <v>304</v>
      </c>
      <c r="Y1226" s="40" t="s">
        <v>284</v>
      </c>
      <c r="Z1226" s="40" t="s">
        <v>305</v>
      </c>
      <c r="AA1226" s="33" t="s">
        <v>771</v>
      </c>
      <c r="AB1226" s="95"/>
      <c r="AC1226" s="95"/>
    </row>
    <row r="1227" spans="1:29" ht="14.45" hidden="1" customHeight="1" x14ac:dyDescent="0.25">
      <c r="A1227" s="36" t="str">
        <f>INDEX('Base de données Mono'!C:C,MATCH(B1227,'Base de données Mono'!D:D,0))</f>
        <v>LES TOITS DE BOULOGNE</v>
      </c>
      <c r="B1227" t="s">
        <v>158</v>
      </c>
      <c r="C1227" s="36" t="str">
        <f>INDEX('Base de données Mono'!B:B,MATCH(B1227,'Base de données Mono'!D:D,0))</f>
        <v>SES8</v>
      </c>
      <c r="D1227" s="36" t="str">
        <f>INDEX('Base de données Mono'!A:A,MATCH(B1227,'Base de données Mono'!D:D,0))</f>
        <v>AD</v>
      </c>
      <c r="E1227" s="37" t="s">
        <v>303</v>
      </c>
      <c r="F1227" s="41">
        <f>IF(O1227="","-",IF(AND(X1227="Nuit",WEEKDAY(O1227,2)=7,O1227&lt;&gt;P1227),WEEKNUM(O1227,2),WEEKNUM(O1227,2)-1))+1</f>
        <v>16</v>
      </c>
      <c r="G1227" s="41">
        <f>IF(O1227="","-",MONTH(O1227))</f>
        <v>4</v>
      </c>
      <c r="I1227" s="131">
        <f>INDEX('Base de données Mono'!K:K,MATCH(B1227,'Base de données Mono'!D:D,0))</f>
        <v>0.22916666666666666</v>
      </c>
      <c r="J1227" s="131">
        <f>INDEX('Base de données Mono'!L:L,MATCH(B1227,'Base de données Mono'!D:D,0))</f>
        <v>0.875</v>
      </c>
      <c r="K1227" s="131">
        <f>INDEX('Base de données Mono'!M:M,MATCH(B1227,'Base de données Mono'!D:D,0))</f>
        <v>0.29166666666666669</v>
      </c>
      <c r="L1227" s="131">
        <f>INDEX('Base de données Mono'!N:N,MATCH(B1227,'Base de données Mono'!D:D,0))</f>
        <v>0.83333333333333337</v>
      </c>
      <c r="M1227" s="33" t="s">
        <v>46</v>
      </c>
      <c r="N1227" s="33">
        <f>IF(AND(E1227="Electricité",M1227="Hiver"),INDEX('Base de données Mono'!E:E,MATCH(B1227,'Base de données Mono'!D:D,0)),IF(AND(E1227="Electricité",M1227="Mi-saison"),INDEX('Base de données Mono'!F:F,MATCH(B1227,'Base de données Mono'!D:D,0)),IF(AND(E1227="Electricité",M1227="Eté"),INDEX('Base de données Mono'!G:G,MATCH(B1227,'Base de données Mono'!D:D,0)),IF(AND(E1227="Gaz",M1227="Hiver"),INDEX('Base de données Mono'!J:J,MATCH(B1227,'Base de données Mono'!D:D,0)),IF(AND(E1227="Gaz",M1227="Mi-saison"),INDEX('Base de données Mono'!#REF!,MATCH(B1227,'Base de données Mono'!D:D,0)),IF(AND(E1227="Gaz",M1227="Eté"),INDEX('Base de données Mono'!#REF!,MATCH(B1227,'Base de données Mono'!D:D,0)),"-"))))))</f>
        <v>70</v>
      </c>
      <c r="O1227" s="123">
        <v>45397</v>
      </c>
      <c r="P1227" s="123">
        <v>45403</v>
      </c>
      <c r="Q1227" s="34">
        <v>135</v>
      </c>
      <c r="R1227" s="33">
        <f>IF(Q1227="","",Q1227-N1227)</f>
        <v>65</v>
      </c>
      <c r="S1227" s="34">
        <v>0.5</v>
      </c>
      <c r="T1227" s="34">
        <f>P1227-O1227</f>
        <v>6</v>
      </c>
      <c r="U1227" s="33">
        <f t="shared" si="245"/>
        <v>195</v>
      </c>
      <c r="V1227" s="38" t="s">
        <v>827</v>
      </c>
      <c r="W1227" s="39">
        <f t="shared" si="246"/>
        <v>0.9285714285714286</v>
      </c>
      <c r="X1227" s="40" t="s">
        <v>304</v>
      </c>
      <c r="Y1227" s="40" t="s">
        <v>284</v>
      </c>
      <c r="Z1227" s="40" t="s">
        <v>307</v>
      </c>
      <c r="AA1227" s="33" t="s">
        <v>313</v>
      </c>
      <c r="AB1227" s="95"/>
      <c r="AC1227" s="95"/>
    </row>
    <row r="1228" spans="1:29" ht="14.45" hidden="1" customHeight="1" x14ac:dyDescent="0.25">
      <c r="A1228" s="36" t="str">
        <f>INDEX('Base de données Mono'!C:C,MATCH(B1228,'Base de données Mono'!D:D,0))</f>
        <v>LES TOITS DE BOULOGNE</v>
      </c>
      <c r="B1228" t="s">
        <v>158</v>
      </c>
      <c r="C1228" s="36" t="str">
        <f>INDEX('Base de données Mono'!B:B,MATCH(B1228,'Base de données Mono'!D:D,0))</f>
        <v>SES8</v>
      </c>
      <c r="D1228" s="36" t="str">
        <f>INDEX('Base de données Mono'!A:A,MATCH(B1228,'Base de données Mono'!D:D,0))</f>
        <v>AD</v>
      </c>
      <c r="E1228" s="37" t="s">
        <v>303</v>
      </c>
      <c r="F1228" s="41">
        <f>IF(O1228="","-",IF(AND(X1228="Nuit",WEEKDAY(O1228,2)=7,O1228&lt;&gt;P1228),WEEKNUM(O1228,2),WEEKNUM(O1228,2)-1))+1</f>
        <v>16</v>
      </c>
      <c r="G1228" s="41">
        <f>IF(O1228="","-",MONTH(O1228))</f>
        <v>4</v>
      </c>
      <c r="I1228" s="131">
        <f>INDEX('Base de données Mono'!K:K,MATCH(B1228,'Base de données Mono'!D:D,0))</f>
        <v>0.22916666666666666</v>
      </c>
      <c r="J1228" s="131">
        <f>INDEX('Base de données Mono'!L:L,MATCH(B1228,'Base de données Mono'!D:D,0))</f>
        <v>0.875</v>
      </c>
      <c r="K1228" s="131">
        <f>INDEX('Base de données Mono'!M:M,MATCH(B1228,'Base de données Mono'!D:D,0))</f>
        <v>0.29166666666666669</v>
      </c>
      <c r="L1228" s="131">
        <f>INDEX('Base de données Mono'!N:N,MATCH(B1228,'Base de données Mono'!D:D,0))</f>
        <v>0.83333333333333337</v>
      </c>
      <c r="M1228" s="33" t="s">
        <v>46</v>
      </c>
      <c r="N1228" s="33">
        <f>IF(AND(E1228="Electricité",M1228="Hiver"),INDEX('Base de données Mono'!E:E,MATCH(B1228,'Base de données Mono'!D:D,0)),IF(AND(E1228="Electricité",M1228="Mi-saison"),INDEX('Base de données Mono'!F:F,MATCH(B1228,'Base de données Mono'!D:D,0)),IF(AND(E1228="Electricité",M1228="Eté"),INDEX('Base de données Mono'!G:G,MATCH(B1228,'Base de données Mono'!D:D,0)),IF(AND(E1228="Gaz",M1228="Hiver"),INDEX('Base de données Mono'!J:J,MATCH(B1228,'Base de données Mono'!D:D,0)),IF(AND(E1228="Gaz",M1228="Mi-saison"),INDEX('Base de données Mono'!#REF!,MATCH(B1228,'Base de données Mono'!D:D,0)),IF(AND(E1228="Gaz",M1228="Eté"),INDEX('Base de données Mono'!#REF!,MATCH(B1228,'Base de données Mono'!D:D,0)),"-"))))))</f>
        <v>70</v>
      </c>
      <c r="O1228" s="123">
        <v>45397</v>
      </c>
      <c r="P1228" s="123">
        <v>45402</v>
      </c>
      <c r="Q1228" s="34">
        <v>95</v>
      </c>
      <c r="R1228" s="33">
        <f>IF(Q1228="","",Q1228-N1228)</f>
        <v>25</v>
      </c>
      <c r="S1228" s="34">
        <v>8</v>
      </c>
      <c r="T1228" s="34">
        <f>P1228-O1228</f>
        <v>5</v>
      </c>
      <c r="U1228" s="33">
        <f>R1228*S1228*T1228</f>
        <v>1000</v>
      </c>
      <c r="V1228" s="38" t="s">
        <v>827</v>
      </c>
      <c r="W1228" s="39">
        <f>IFERROR(IF(E1228="Gaz","-",R1228/N1228),"-")</f>
        <v>0.35714285714285715</v>
      </c>
      <c r="X1228" s="40" t="s">
        <v>304</v>
      </c>
      <c r="Y1228" s="40" t="s">
        <v>284</v>
      </c>
      <c r="Z1228" s="40" t="s">
        <v>305</v>
      </c>
      <c r="AA1228" s="33" t="s">
        <v>771</v>
      </c>
      <c r="AB1228" s="95"/>
      <c r="AC1228" s="95"/>
    </row>
    <row r="1229" spans="1:29" ht="14.45" hidden="1" customHeight="1" x14ac:dyDescent="0.25">
      <c r="A1229" s="36" t="str">
        <f>INDEX('Base de données Mono'!C:C,MATCH(B1229,'Base de données Mono'!D:D,0))</f>
        <v>LES TOITS DE BOULOGNE</v>
      </c>
      <c r="B1229" t="s">
        <v>158</v>
      </c>
      <c r="C1229" s="36" t="str">
        <f>INDEX('Base de données Mono'!B:B,MATCH(B1229,'Base de données Mono'!D:D,0))</f>
        <v>SES8</v>
      </c>
      <c r="D1229" s="36" t="str">
        <f>INDEX('Base de données Mono'!A:A,MATCH(B1229,'Base de données Mono'!D:D,0))</f>
        <v>AD</v>
      </c>
      <c r="E1229" s="37" t="s">
        <v>303</v>
      </c>
      <c r="F1229" s="41">
        <f t="shared" ref="F1229:F1251" si="259">IF(O1229="","-",IF(AND(X1229="Nuit",WEEKDAY(O1229,2)=7,O1229&lt;&gt;P1229),WEEKNUM(O1229,2),WEEKNUM(O1229,2)-1))+1</f>
        <v>16</v>
      </c>
      <c r="G1229" s="41">
        <f t="shared" ref="G1229:G1251" si="260">IF(O1229="","-",MONTH(O1229))</f>
        <v>4</v>
      </c>
      <c r="I1229" s="131">
        <f>INDEX('Base de données Mono'!K:K,MATCH(B1229,'Base de données Mono'!D:D,0))</f>
        <v>0.22916666666666666</v>
      </c>
      <c r="J1229" s="131">
        <f>INDEX('Base de données Mono'!L:L,MATCH(B1229,'Base de données Mono'!D:D,0))</f>
        <v>0.875</v>
      </c>
      <c r="K1229" s="131">
        <f>INDEX('Base de données Mono'!M:M,MATCH(B1229,'Base de données Mono'!D:D,0))</f>
        <v>0.29166666666666669</v>
      </c>
      <c r="L1229" s="131">
        <f>INDEX('Base de données Mono'!N:N,MATCH(B1229,'Base de données Mono'!D:D,0))</f>
        <v>0.83333333333333337</v>
      </c>
      <c r="M1229" s="33" t="s">
        <v>46</v>
      </c>
      <c r="N1229" s="33">
        <f>IF(AND(E1229="Electricité",M1229="Hiver"),INDEX('Base de données Mono'!E:E,MATCH(B1229,'Base de données Mono'!D:D,0)),IF(AND(E1229="Electricité",M1229="Mi-saison"),INDEX('Base de données Mono'!F:F,MATCH(B1229,'Base de données Mono'!D:D,0)),IF(AND(E1229="Electricité",M1229="Eté"),INDEX('Base de données Mono'!G:G,MATCH(B1229,'Base de données Mono'!D:D,0)),IF(AND(E1229="Gaz",M1229="Hiver"),INDEX('Base de données Mono'!J:J,MATCH(B1229,'Base de données Mono'!D:D,0)),IF(AND(E1229="Gaz",M1229="Mi-saison"),INDEX('Base de données Mono'!#REF!,MATCH(B1229,'Base de données Mono'!D:D,0)),IF(AND(E1229="Gaz",M1229="Eté"),INDEX('Base de données Mono'!#REF!,MATCH(B1229,'Base de données Mono'!D:D,0)),"-"))))))</f>
        <v>70</v>
      </c>
      <c r="O1229" s="123">
        <v>45402</v>
      </c>
      <c r="P1229" s="123">
        <v>45403</v>
      </c>
      <c r="Q1229" s="34">
        <v>95</v>
      </c>
      <c r="R1229" s="33">
        <f t="shared" ref="R1229:R1251" si="261">IF(Q1229="","",Q1229-N1229)</f>
        <v>25</v>
      </c>
      <c r="S1229" s="34">
        <v>9.5</v>
      </c>
      <c r="T1229" s="34">
        <f t="shared" si="244"/>
        <v>1</v>
      </c>
      <c r="U1229" s="33">
        <f t="shared" ref="U1229:U1251" si="262">R1229*S1229*T1229</f>
        <v>237.5</v>
      </c>
      <c r="V1229" s="38" t="s">
        <v>827</v>
      </c>
      <c r="W1229" s="39">
        <f t="shared" ref="W1229:W1251" si="263">IFERROR(IF(E1229="Gaz","-",R1229/N1229),"-")</f>
        <v>0.35714285714285715</v>
      </c>
      <c r="X1229" s="40" t="s">
        <v>304</v>
      </c>
      <c r="Y1229" s="40" t="s">
        <v>284</v>
      </c>
      <c r="Z1229" s="40" t="s">
        <v>305</v>
      </c>
      <c r="AA1229" s="33" t="s">
        <v>771</v>
      </c>
      <c r="AB1229" s="95"/>
      <c r="AC1229" s="95"/>
    </row>
    <row r="1230" spans="1:29" ht="14.45" hidden="1" customHeight="1" x14ac:dyDescent="0.25">
      <c r="A1230" s="36" t="str">
        <f>INDEX('Base de données Mono'!C:C,MATCH(B1230,'Base de données Mono'!D:D,0))</f>
        <v>ITALIE</v>
      </c>
      <c r="B1230" t="s">
        <v>147</v>
      </c>
      <c r="C1230" s="36" t="str">
        <f>INDEX('Base de données Mono'!B:B,MATCH(B1230,'Base de données Mono'!D:D,0))</f>
        <v>SES8</v>
      </c>
      <c r="D1230" s="36" t="str">
        <f>INDEX('Base de données Mono'!A:A,MATCH(B1230,'Base de données Mono'!D:D,0))</f>
        <v>JG</v>
      </c>
      <c r="E1230" s="37" t="s">
        <v>303</v>
      </c>
      <c r="F1230" s="41">
        <f t="shared" si="259"/>
        <v>16</v>
      </c>
      <c r="G1230" s="41">
        <f t="shared" si="260"/>
        <v>4</v>
      </c>
      <c r="I1230" s="131">
        <f>INDEX('Base de données Mono'!K:K,MATCH(B1230,'Base de données Mono'!D:D,0))</f>
        <v>0.24305555555555555</v>
      </c>
      <c r="J1230" s="131">
        <f>INDEX('Base de données Mono'!L:L,MATCH(B1230,'Base de données Mono'!D:D,0))</f>
        <v>0.9375</v>
      </c>
      <c r="K1230" s="131" t="str">
        <f>INDEX('Base de données Mono'!M:M,MATCH(B1230,'Base de données Mono'!D:D,0))</f>
        <v>-</v>
      </c>
      <c r="L1230" s="131" t="str">
        <f>INDEX('Base de données Mono'!N:N,MATCH(B1230,'Base de données Mono'!D:D,0))</f>
        <v>-</v>
      </c>
      <c r="M1230" s="33" t="s">
        <v>46</v>
      </c>
      <c r="N1230" s="33">
        <f>IF(AND(E1230="Electricité",M1230="Hiver"),INDEX('Base de données Mono'!E:E,MATCH(B1230,'Base de données Mono'!D:D,0)),IF(AND(E1230="Electricité",M1230="Mi-saison"),INDEX('Base de données Mono'!F:F,MATCH(B1230,'Base de données Mono'!D:D,0)),IF(AND(E1230="Electricité",M1230="Eté"),INDEX('Base de données Mono'!G:G,MATCH(B1230,'Base de données Mono'!D:D,0)),IF(AND(E1230="Gaz",M1230="Hiver"),INDEX('Base de données Mono'!J:J,MATCH(B1230,'Base de données Mono'!D:D,0)),IF(AND(E1230="Gaz",M1230="Mi-saison"),INDEX('Base de données Mono'!#REF!,MATCH(B1230,'Base de données Mono'!D:D,0)),IF(AND(E1230="Gaz",M1230="Eté"),INDEX('Base de données Mono'!#REF!,MATCH(B1230,'Base de données Mono'!D:D,0)),"-"))))))</f>
        <v>110</v>
      </c>
      <c r="O1230" s="123">
        <v>45401</v>
      </c>
      <c r="P1230" s="123">
        <v>45403</v>
      </c>
      <c r="Q1230" s="34">
        <v>125</v>
      </c>
      <c r="R1230" s="33">
        <f t="shared" si="261"/>
        <v>15</v>
      </c>
      <c r="S1230" s="34">
        <v>5</v>
      </c>
      <c r="T1230" s="34">
        <f t="shared" si="244"/>
        <v>2</v>
      </c>
      <c r="U1230" s="33">
        <f t="shared" si="262"/>
        <v>150</v>
      </c>
      <c r="V1230" s="38" t="s">
        <v>827</v>
      </c>
      <c r="W1230" s="39">
        <f t="shared" si="263"/>
        <v>0.13636363636363635</v>
      </c>
      <c r="X1230" s="40" t="s">
        <v>304</v>
      </c>
      <c r="Y1230" s="40" t="s">
        <v>284</v>
      </c>
      <c r="Z1230" s="40" t="s">
        <v>305</v>
      </c>
      <c r="AA1230" s="33" t="s">
        <v>771</v>
      </c>
      <c r="AB1230" s="95"/>
      <c r="AC1230" s="95"/>
    </row>
    <row r="1231" spans="1:29" ht="14.45" hidden="1" customHeight="1" x14ac:dyDescent="0.25">
      <c r="A1231" s="36" t="str">
        <f>INDEX('Base de données Mono'!C:C,MATCH(B1231,'Base de données Mono'!D:D,0))</f>
        <v>VAUGIRARD</v>
      </c>
      <c r="B1231" t="s">
        <v>262</v>
      </c>
      <c r="C1231" s="36" t="str">
        <f>INDEX('Base de données Mono'!B:B,MATCH(B1231,'Base de données Mono'!D:D,0))</f>
        <v>SES8</v>
      </c>
      <c r="D1231" s="36" t="str">
        <f>INDEX('Base de données Mono'!A:A,MATCH(B1231,'Base de données Mono'!D:D,0))</f>
        <v>AD</v>
      </c>
      <c r="E1231" s="37" t="s">
        <v>303</v>
      </c>
      <c r="F1231" s="41">
        <f t="shared" si="259"/>
        <v>16</v>
      </c>
      <c r="G1231" s="41">
        <f t="shared" si="260"/>
        <v>4</v>
      </c>
      <c r="I1231" s="131">
        <f>INDEX('Base de données Mono'!K:K,MATCH(B1231,'Base de données Mono'!D:D,0))</f>
        <v>0.20138888888888887</v>
      </c>
      <c r="J1231" s="131">
        <f>INDEX('Base de données Mono'!L:L,MATCH(B1231,'Base de données Mono'!D:D,0))</f>
        <v>0.92708333333333337</v>
      </c>
      <c r="K1231" s="131">
        <f>INDEX('Base de données Mono'!M:M,MATCH(B1231,'Base de données Mono'!D:D,0))</f>
        <v>0.2638888888888889</v>
      </c>
      <c r="L1231" s="131">
        <f>INDEX('Base de données Mono'!N:N,MATCH(B1231,'Base de données Mono'!D:D,0))</f>
        <v>0.5625</v>
      </c>
      <c r="M1231" s="33" t="s">
        <v>46</v>
      </c>
      <c r="N1231" s="33">
        <f>IF(AND(E1231="Electricité",M1231="Hiver"),INDEX('Base de données Mono'!E:E,MATCH(B1231,'Base de données Mono'!D:D,0)),IF(AND(E1231="Electricité",M1231="Mi-saison"),INDEX('Base de données Mono'!F:F,MATCH(B1231,'Base de données Mono'!D:D,0)),IF(AND(E1231="Electricité",M1231="Eté"),INDEX('Base de données Mono'!G:G,MATCH(B1231,'Base de données Mono'!D:D,0)),IF(AND(E1231="Gaz",M1231="Hiver"),INDEX('Base de données Mono'!J:J,MATCH(B1231,'Base de données Mono'!D:D,0)),IF(AND(E1231="Gaz",M1231="Mi-saison"),INDEX('Base de données Mono'!#REF!,MATCH(B1231,'Base de données Mono'!D:D,0)),IF(AND(E1231="Gaz",M1231="Eté"),INDEX('Base de données Mono'!#REF!,MATCH(B1231,'Base de données Mono'!D:D,0)),"-"))))))</f>
        <v>80</v>
      </c>
      <c r="O1231" s="123">
        <v>45396</v>
      </c>
      <c r="P1231" s="123">
        <v>45401</v>
      </c>
      <c r="Q1231" s="34">
        <v>165</v>
      </c>
      <c r="R1231" s="33">
        <f t="shared" si="261"/>
        <v>85</v>
      </c>
      <c r="S1231" s="34">
        <v>6.5</v>
      </c>
      <c r="T1231" s="34">
        <f t="shared" si="244"/>
        <v>5</v>
      </c>
      <c r="U1231" s="33">
        <f t="shared" si="262"/>
        <v>2762.5</v>
      </c>
      <c r="V1231" s="38" t="s">
        <v>827</v>
      </c>
      <c r="W1231" s="39">
        <f t="shared" si="263"/>
        <v>1.0625</v>
      </c>
      <c r="X1231" s="40" t="s">
        <v>304</v>
      </c>
      <c r="Y1231" s="40" t="s">
        <v>284</v>
      </c>
      <c r="Z1231" s="40" t="s">
        <v>311</v>
      </c>
      <c r="AA1231" s="33" t="s">
        <v>775</v>
      </c>
      <c r="AB1231" s="95"/>
      <c r="AC1231" s="95"/>
    </row>
    <row r="1232" spans="1:29" ht="14.45" hidden="1" customHeight="1" x14ac:dyDescent="0.25">
      <c r="A1232" s="36" t="str">
        <f>INDEX('Base de données Mono'!C:C,MATCH(B1232,'Base de données Mono'!D:D,0))</f>
        <v>VAUGIRARD</v>
      </c>
      <c r="B1232" t="s">
        <v>262</v>
      </c>
      <c r="C1232" s="36" t="str">
        <f>INDEX('Base de données Mono'!B:B,MATCH(B1232,'Base de données Mono'!D:D,0))</f>
        <v>SES8</v>
      </c>
      <c r="D1232" s="36" t="str">
        <f>INDEX('Base de données Mono'!A:A,MATCH(B1232,'Base de données Mono'!D:D,0))</f>
        <v>AD</v>
      </c>
      <c r="E1232" s="37" t="s">
        <v>303</v>
      </c>
      <c r="F1232" s="41">
        <f t="shared" ref="F1232" si="264">IF(O1232="","-",IF(AND(X1232="Nuit",WEEKDAY(O1232,2)=7,O1232&lt;&gt;P1232),WEEKNUM(O1232,2),WEEKNUM(O1232,2)-1))+1</f>
        <v>16</v>
      </c>
      <c r="G1232" s="41">
        <f t="shared" ref="G1232" si="265">IF(O1232="","-",MONTH(O1232))</f>
        <v>4</v>
      </c>
      <c r="I1232" s="131">
        <f>INDEX('Base de données Mono'!K:K,MATCH(B1232,'Base de données Mono'!D:D,0))</f>
        <v>0.20138888888888887</v>
      </c>
      <c r="J1232" s="131">
        <f>INDEX('Base de données Mono'!L:L,MATCH(B1232,'Base de données Mono'!D:D,0))</f>
        <v>0.92708333333333337</v>
      </c>
      <c r="K1232" s="131">
        <f>INDEX('Base de données Mono'!M:M,MATCH(B1232,'Base de données Mono'!D:D,0))</f>
        <v>0.2638888888888889</v>
      </c>
      <c r="L1232" s="131">
        <f>INDEX('Base de données Mono'!N:N,MATCH(B1232,'Base de données Mono'!D:D,0))</f>
        <v>0.5625</v>
      </c>
      <c r="M1232" s="33" t="s">
        <v>46</v>
      </c>
      <c r="N1232" s="33">
        <f>IF(AND(E1232="Electricité",M1232="Hiver"),INDEX('Base de données Mono'!E:E,MATCH(B1232,'Base de données Mono'!D:D,0)),IF(AND(E1232="Electricité",M1232="Mi-saison"),INDEX('Base de données Mono'!F:F,MATCH(B1232,'Base de données Mono'!D:D,0)),IF(AND(E1232="Electricité",M1232="Eté"),INDEX('Base de données Mono'!G:G,MATCH(B1232,'Base de données Mono'!D:D,0)),IF(AND(E1232="Gaz",M1232="Hiver"),INDEX('Base de données Mono'!J:J,MATCH(B1232,'Base de données Mono'!D:D,0)),IF(AND(E1232="Gaz",M1232="Mi-saison"),INDEX('Base de données Mono'!#REF!,MATCH(B1232,'Base de données Mono'!D:D,0)),IF(AND(E1232="Gaz",M1232="Eté"),INDEX('Base de données Mono'!#REF!,MATCH(B1232,'Base de données Mono'!D:D,0)),"-"))))))</f>
        <v>80</v>
      </c>
      <c r="O1232" s="123">
        <v>45401</v>
      </c>
      <c r="P1232" s="123">
        <v>45402</v>
      </c>
      <c r="Q1232" s="34">
        <v>165</v>
      </c>
      <c r="R1232" s="33">
        <f t="shared" ref="R1232" si="266">IF(Q1232="","",Q1232-N1232)</f>
        <v>85</v>
      </c>
      <c r="S1232" s="34">
        <v>0.5</v>
      </c>
      <c r="T1232" s="34">
        <f t="shared" ref="T1232" si="267">P1232-O1232</f>
        <v>1</v>
      </c>
      <c r="U1232" s="33">
        <f t="shared" ref="U1232" si="268">R1232*S1232*T1232</f>
        <v>42.5</v>
      </c>
      <c r="V1232" s="38" t="s">
        <v>827</v>
      </c>
      <c r="W1232" s="39">
        <f t="shared" ref="W1232" si="269">IFERROR(IF(E1232="Gaz","-",R1232/N1232),"-")</f>
        <v>1.0625</v>
      </c>
      <c r="X1232" s="40" t="s">
        <v>304</v>
      </c>
      <c r="Y1232" s="40" t="s">
        <v>284</v>
      </c>
      <c r="Z1232" s="40" t="s">
        <v>311</v>
      </c>
      <c r="AA1232" s="33" t="s">
        <v>775</v>
      </c>
      <c r="AB1232" s="95"/>
      <c r="AC1232" s="95"/>
    </row>
    <row r="1233" spans="1:29" ht="14.45" hidden="1" customHeight="1" x14ac:dyDescent="0.25">
      <c r="A1233" s="36" t="str">
        <f>INDEX('Base de données Mono'!C:C,MATCH(B1233,'Base de données Mono'!D:D,0))</f>
        <v>VAUGIRARD</v>
      </c>
      <c r="B1233" t="s">
        <v>262</v>
      </c>
      <c r="C1233" s="36" t="str">
        <f>INDEX('Base de données Mono'!B:B,MATCH(B1233,'Base de données Mono'!D:D,0))</f>
        <v>SES8</v>
      </c>
      <c r="D1233" s="36" t="str">
        <f>INDEX('Base de données Mono'!A:A,MATCH(B1233,'Base de données Mono'!D:D,0))</f>
        <v>AD</v>
      </c>
      <c r="E1233" s="37" t="s">
        <v>303</v>
      </c>
      <c r="F1233" s="41">
        <f t="shared" si="259"/>
        <v>16</v>
      </c>
      <c r="G1233" s="41">
        <f t="shared" si="260"/>
        <v>4</v>
      </c>
      <c r="I1233" s="131">
        <f>INDEX('Base de données Mono'!K:K,MATCH(B1233,'Base de données Mono'!D:D,0))</f>
        <v>0.20138888888888887</v>
      </c>
      <c r="J1233" s="131">
        <f>INDEX('Base de données Mono'!L:L,MATCH(B1233,'Base de données Mono'!D:D,0))</f>
        <v>0.92708333333333337</v>
      </c>
      <c r="K1233" s="131">
        <f>INDEX('Base de données Mono'!M:M,MATCH(B1233,'Base de données Mono'!D:D,0))</f>
        <v>0.2638888888888889</v>
      </c>
      <c r="L1233" s="131">
        <f>INDEX('Base de données Mono'!N:N,MATCH(B1233,'Base de données Mono'!D:D,0))</f>
        <v>0.5625</v>
      </c>
      <c r="M1233" s="33" t="s">
        <v>46</v>
      </c>
      <c r="N1233" s="33">
        <f>IF(AND(E1233="Electricité",M1233="Hiver"),INDEX('Base de données Mono'!E:E,MATCH(B1233,'Base de données Mono'!D:D,0)),IF(AND(E1233="Electricité",M1233="Mi-saison"),INDEX('Base de données Mono'!F:F,MATCH(B1233,'Base de données Mono'!D:D,0)),IF(AND(E1233="Electricité",M1233="Eté"),INDEX('Base de données Mono'!G:G,MATCH(B1233,'Base de données Mono'!D:D,0)),IF(AND(E1233="Gaz",M1233="Hiver"),INDEX('Base de données Mono'!J:J,MATCH(B1233,'Base de données Mono'!D:D,0)),IF(AND(E1233="Gaz",M1233="Mi-saison"),INDEX('Base de données Mono'!#REF!,MATCH(B1233,'Base de données Mono'!D:D,0)),IF(AND(E1233="Gaz",M1233="Eté"),INDEX('Base de données Mono'!#REF!,MATCH(B1233,'Base de données Mono'!D:D,0)),"-"))))))</f>
        <v>80</v>
      </c>
      <c r="O1233" s="123">
        <v>45402</v>
      </c>
      <c r="P1233" s="123">
        <v>45403</v>
      </c>
      <c r="Q1233" s="34">
        <v>155</v>
      </c>
      <c r="R1233" s="33">
        <f t="shared" si="261"/>
        <v>75</v>
      </c>
      <c r="S1233" s="34">
        <v>1.3</v>
      </c>
      <c r="T1233" s="34">
        <f t="shared" si="244"/>
        <v>1</v>
      </c>
      <c r="U1233" s="33">
        <f t="shared" si="262"/>
        <v>97.5</v>
      </c>
      <c r="V1233" s="38" t="s">
        <v>827</v>
      </c>
      <c r="W1233" s="39">
        <f t="shared" si="263"/>
        <v>0.9375</v>
      </c>
      <c r="X1233" s="40" t="s">
        <v>304</v>
      </c>
      <c r="Y1233" s="40" t="s">
        <v>284</v>
      </c>
      <c r="Z1233" s="40" t="s">
        <v>311</v>
      </c>
      <c r="AA1233" s="33" t="s">
        <v>775</v>
      </c>
      <c r="AB1233" s="95"/>
      <c r="AC1233" s="95"/>
    </row>
    <row r="1234" spans="1:29" ht="14.45" hidden="1" customHeight="1" x14ac:dyDescent="0.25">
      <c r="A1234" s="36" t="str">
        <f>INDEX('Base de données Mono'!C:C,MATCH(B1234,'Base de données Mono'!D:D,0))</f>
        <v>SAINT MAUR</v>
      </c>
      <c r="B1234" t="s">
        <v>235</v>
      </c>
      <c r="C1234" s="36" t="str">
        <f>INDEX('Base de données Mono'!B:B,MATCH(B1234,'Base de données Mono'!D:D,0))</f>
        <v>SES8</v>
      </c>
      <c r="D1234" s="36" t="str">
        <f>INDEX('Base de données Mono'!A:A,MATCH(B1234,'Base de données Mono'!D:D,0))</f>
        <v>JG</v>
      </c>
      <c r="E1234" s="37" t="s">
        <v>303</v>
      </c>
      <c r="F1234" s="41">
        <f t="shared" si="259"/>
        <v>16</v>
      </c>
      <c r="G1234" s="41">
        <f t="shared" si="260"/>
        <v>4</v>
      </c>
      <c r="I1234" s="131">
        <f>INDEX('Base de données Mono'!K:K,MATCH(B1234,'Base de données Mono'!D:D,0))</f>
        <v>0.24305555555555555</v>
      </c>
      <c r="J1234" s="131">
        <f>INDEX('Base de données Mono'!L:L,MATCH(B1234,'Base de données Mono'!D:D,0))</f>
        <v>0.875</v>
      </c>
      <c r="K1234" s="131">
        <f>INDEX('Base de données Mono'!M:M,MATCH(B1234,'Base de données Mono'!D:D,0))</f>
        <v>0.28472222222222221</v>
      </c>
      <c r="L1234" s="131">
        <f>INDEX('Base de données Mono'!N:N,MATCH(B1234,'Base de données Mono'!D:D,0))</f>
        <v>0.55208333333333337</v>
      </c>
      <c r="M1234" s="33" t="s">
        <v>46</v>
      </c>
      <c r="N1234" s="33">
        <f>IF(AND(E1234="Electricité",M1234="Hiver"),INDEX('Base de données Mono'!E:E,MATCH(B1234,'Base de données Mono'!D:D,0)),IF(AND(E1234="Electricité",M1234="Mi-saison"),INDEX('Base de données Mono'!F:F,MATCH(B1234,'Base de données Mono'!D:D,0)),IF(AND(E1234="Electricité",M1234="Eté"),INDEX('Base de données Mono'!G:G,MATCH(B1234,'Base de données Mono'!D:D,0)),IF(AND(E1234="Gaz",M1234="Hiver"),INDEX('Base de données Mono'!J:J,MATCH(B1234,'Base de données Mono'!D:D,0)),IF(AND(E1234="Gaz",M1234="Mi-saison"),INDEX('Base de données Mono'!#REF!,MATCH(B1234,'Base de données Mono'!D:D,0)),IF(AND(E1234="Gaz",M1234="Eté"),INDEX('Base de données Mono'!#REF!,MATCH(B1234,'Base de données Mono'!D:D,0)),"-"))))))</f>
        <v>50</v>
      </c>
      <c r="O1234" s="123">
        <v>45396</v>
      </c>
      <c r="P1234" s="123">
        <v>45401</v>
      </c>
      <c r="Q1234" s="34">
        <v>60</v>
      </c>
      <c r="R1234" s="33">
        <f t="shared" si="261"/>
        <v>10</v>
      </c>
      <c r="S1234" s="34">
        <v>8.8000000000000007</v>
      </c>
      <c r="T1234" s="34">
        <f t="shared" si="244"/>
        <v>5</v>
      </c>
      <c r="U1234" s="33">
        <f t="shared" si="262"/>
        <v>440</v>
      </c>
      <c r="V1234" s="38" t="s">
        <v>827</v>
      </c>
      <c r="W1234" s="39">
        <f t="shared" si="263"/>
        <v>0.2</v>
      </c>
      <c r="X1234" s="40" t="s">
        <v>304</v>
      </c>
      <c r="Y1234" s="40" t="s">
        <v>284</v>
      </c>
      <c r="Z1234" s="40" t="s">
        <v>305</v>
      </c>
      <c r="AA1234" s="33" t="s">
        <v>771</v>
      </c>
      <c r="AB1234" s="95"/>
      <c r="AC1234" s="95"/>
    </row>
    <row r="1235" spans="1:29" ht="14.45" hidden="1" customHeight="1" x14ac:dyDescent="0.25">
      <c r="A1235" s="36" t="str">
        <f>INDEX('Base de données Mono'!C:C,MATCH(B1235,'Base de données Mono'!D:D,0))</f>
        <v>SAINT MAUR</v>
      </c>
      <c r="B1235" t="s">
        <v>235</v>
      </c>
      <c r="C1235" s="36" t="str">
        <f>INDEX('Base de données Mono'!B:B,MATCH(B1235,'Base de données Mono'!D:D,0))</f>
        <v>SES8</v>
      </c>
      <c r="D1235" s="36" t="str">
        <f>INDEX('Base de données Mono'!A:A,MATCH(B1235,'Base de données Mono'!D:D,0))</f>
        <v>JG</v>
      </c>
      <c r="E1235" s="37" t="s">
        <v>303</v>
      </c>
      <c r="F1235" s="41">
        <f t="shared" si="259"/>
        <v>16</v>
      </c>
      <c r="G1235" s="41">
        <f t="shared" si="260"/>
        <v>4</v>
      </c>
      <c r="I1235" s="131">
        <f>INDEX('Base de données Mono'!K:K,MATCH(B1235,'Base de données Mono'!D:D,0))</f>
        <v>0.24305555555555555</v>
      </c>
      <c r="J1235" s="131">
        <f>INDEX('Base de données Mono'!L:L,MATCH(B1235,'Base de données Mono'!D:D,0))</f>
        <v>0.875</v>
      </c>
      <c r="K1235" s="131">
        <f>INDEX('Base de données Mono'!M:M,MATCH(B1235,'Base de données Mono'!D:D,0))</f>
        <v>0.28472222222222221</v>
      </c>
      <c r="L1235" s="131">
        <f>INDEX('Base de données Mono'!N:N,MATCH(B1235,'Base de données Mono'!D:D,0))</f>
        <v>0.55208333333333337</v>
      </c>
      <c r="M1235" s="33" t="s">
        <v>46</v>
      </c>
      <c r="N1235" s="33">
        <f>IF(AND(E1235="Electricité",M1235="Hiver"),INDEX('Base de données Mono'!E:E,MATCH(B1235,'Base de données Mono'!D:D,0)),IF(AND(E1235="Electricité",M1235="Mi-saison"),INDEX('Base de données Mono'!F:F,MATCH(B1235,'Base de données Mono'!D:D,0)),IF(AND(E1235="Electricité",M1235="Eté"),INDEX('Base de données Mono'!G:G,MATCH(B1235,'Base de données Mono'!D:D,0)),IF(AND(E1235="Gaz",M1235="Hiver"),INDEX('Base de données Mono'!J:J,MATCH(B1235,'Base de données Mono'!D:D,0)),IF(AND(E1235="Gaz",M1235="Mi-saison"),INDEX('Base de données Mono'!#REF!,MATCH(B1235,'Base de données Mono'!D:D,0)),IF(AND(E1235="Gaz",M1235="Eté"),INDEX('Base de données Mono'!#REF!,MATCH(B1235,'Base de données Mono'!D:D,0)),"-"))))))</f>
        <v>50</v>
      </c>
      <c r="O1235" s="123">
        <v>45401</v>
      </c>
      <c r="P1235" s="123">
        <v>45402</v>
      </c>
      <c r="Q1235" s="34">
        <v>80</v>
      </c>
      <c r="R1235" s="33">
        <f t="shared" si="261"/>
        <v>30</v>
      </c>
      <c r="S1235" s="34">
        <v>0.6</v>
      </c>
      <c r="T1235" s="34">
        <f t="shared" si="244"/>
        <v>1</v>
      </c>
      <c r="U1235" s="33">
        <f t="shared" si="262"/>
        <v>18</v>
      </c>
      <c r="V1235" s="38" t="s">
        <v>827</v>
      </c>
      <c r="W1235" s="39">
        <f t="shared" si="263"/>
        <v>0.6</v>
      </c>
      <c r="X1235" s="40" t="s">
        <v>304</v>
      </c>
      <c r="Y1235" s="40" t="s">
        <v>284</v>
      </c>
      <c r="Z1235" s="40" t="s">
        <v>307</v>
      </c>
      <c r="AA1235" s="33" t="s">
        <v>414</v>
      </c>
      <c r="AB1235" s="95"/>
      <c r="AC1235" s="95"/>
    </row>
    <row r="1236" spans="1:29" ht="14.45" hidden="1" customHeight="1" x14ac:dyDescent="0.25">
      <c r="A1236" s="36" t="str">
        <f>INDEX('Base de données Mono'!C:C,MATCH(B1236,'Base de données Mono'!D:D,0))</f>
        <v>SAINT MAUR</v>
      </c>
      <c r="B1236" t="s">
        <v>235</v>
      </c>
      <c r="C1236" s="36" t="str">
        <f>INDEX('Base de données Mono'!B:B,MATCH(B1236,'Base de données Mono'!D:D,0))</f>
        <v>SES8</v>
      </c>
      <c r="D1236" s="36" t="str">
        <f>INDEX('Base de données Mono'!A:A,MATCH(B1236,'Base de données Mono'!D:D,0))</f>
        <v>JG</v>
      </c>
      <c r="E1236" s="37" t="s">
        <v>303</v>
      </c>
      <c r="F1236" s="41">
        <f t="shared" si="259"/>
        <v>16</v>
      </c>
      <c r="G1236" s="41">
        <f t="shared" si="260"/>
        <v>4</v>
      </c>
      <c r="I1236" s="131">
        <f>INDEX('Base de données Mono'!K:K,MATCH(B1236,'Base de données Mono'!D:D,0))</f>
        <v>0.24305555555555555</v>
      </c>
      <c r="J1236" s="131">
        <f>INDEX('Base de données Mono'!L:L,MATCH(B1236,'Base de données Mono'!D:D,0))</f>
        <v>0.875</v>
      </c>
      <c r="K1236" s="131">
        <f>INDEX('Base de données Mono'!M:M,MATCH(B1236,'Base de données Mono'!D:D,0))</f>
        <v>0.28472222222222221</v>
      </c>
      <c r="L1236" s="131">
        <f>INDEX('Base de données Mono'!N:N,MATCH(B1236,'Base de données Mono'!D:D,0))</f>
        <v>0.55208333333333337</v>
      </c>
      <c r="M1236" s="33" t="s">
        <v>46</v>
      </c>
      <c r="N1236" s="33">
        <f>IF(AND(E1236="Electricité",M1236="Hiver"),INDEX('Base de données Mono'!E:E,MATCH(B1236,'Base de données Mono'!D:D,0)),IF(AND(E1236="Electricité",M1236="Mi-saison"),INDEX('Base de données Mono'!F:F,MATCH(B1236,'Base de données Mono'!D:D,0)),IF(AND(E1236="Electricité",M1236="Eté"),INDEX('Base de données Mono'!G:G,MATCH(B1236,'Base de données Mono'!D:D,0)),IF(AND(E1236="Gaz",M1236="Hiver"),INDEX('Base de données Mono'!J:J,MATCH(B1236,'Base de données Mono'!D:D,0)),IF(AND(E1236="Gaz",M1236="Mi-saison"),INDEX('Base de données Mono'!#REF!,MATCH(B1236,'Base de données Mono'!D:D,0)),IF(AND(E1236="Gaz",M1236="Eté"),INDEX('Base de données Mono'!#REF!,MATCH(B1236,'Base de données Mono'!D:D,0)),"-"))))))</f>
        <v>50</v>
      </c>
      <c r="O1236" s="123">
        <v>45401</v>
      </c>
      <c r="P1236" s="123">
        <v>45402</v>
      </c>
      <c r="Q1236" s="34">
        <v>60</v>
      </c>
      <c r="R1236" s="33">
        <f t="shared" si="261"/>
        <v>10</v>
      </c>
      <c r="S1236" s="34">
        <v>9.8000000000000007</v>
      </c>
      <c r="T1236" s="34">
        <f t="shared" si="244"/>
        <v>1</v>
      </c>
      <c r="U1236" s="33">
        <f t="shared" si="262"/>
        <v>98</v>
      </c>
      <c r="V1236" s="38" t="s">
        <v>827</v>
      </c>
      <c r="W1236" s="39">
        <f t="shared" si="263"/>
        <v>0.2</v>
      </c>
      <c r="X1236" s="40" t="s">
        <v>304</v>
      </c>
      <c r="Y1236" s="40" t="s">
        <v>284</v>
      </c>
      <c r="Z1236" s="40" t="s">
        <v>305</v>
      </c>
      <c r="AA1236" s="33" t="s">
        <v>771</v>
      </c>
      <c r="AB1236" s="95"/>
      <c r="AC1236" s="95"/>
    </row>
    <row r="1237" spans="1:29" ht="14.45" hidden="1" customHeight="1" x14ac:dyDescent="0.25">
      <c r="A1237" s="36" t="str">
        <f>INDEX('Base de données Mono'!C:C,MATCH(B1237,'Base de données Mono'!D:D,0))</f>
        <v>RUEIL MALMAISON</v>
      </c>
      <c r="B1237" t="s">
        <v>31</v>
      </c>
      <c r="C1237" s="36" t="str">
        <f>INDEX('Base de données Mono'!B:B,MATCH(B1237,'Base de données Mono'!D:D,0))</f>
        <v>SES8</v>
      </c>
      <c r="D1237" s="36" t="str">
        <f>INDEX('Base de données Mono'!A:A,MATCH(B1237,'Base de données Mono'!D:D,0))</f>
        <v>AD</v>
      </c>
      <c r="E1237" s="37" t="s">
        <v>303</v>
      </c>
      <c r="F1237" s="41">
        <f t="shared" si="259"/>
        <v>16</v>
      </c>
      <c r="G1237" s="41">
        <f t="shared" si="260"/>
        <v>4</v>
      </c>
      <c r="I1237" s="131">
        <f>INDEX('Base de données Mono'!K:K,MATCH(B1237,'Base de données Mono'!D:D,0))</f>
        <v>0.26041666666666669</v>
      </c>
      <c r="J1237" s="131">
        <f>INDEX('Base de données Mono'!L:L,MATCH(B1237,'Base de données Mono'!D:D,0))</f>
        <v>0.92708333333333337</v>
      </c>
      <c r="K1237" s="131">
        <f>INDEX('Base de données Mono'!M:M,MATCH(B1237,'Base de données Mono'!D:D,0))</f>
        <v>0.27777777777777779</v>
      </c>
      <c r="L1237" s="131">
        <f>INDEX('Base de données Mono'!N:N,MATCH(B1237,'Base de données Mono'!D:D,0))</f>
        <v>0.59375</v>
      </c>
      <c r="M1237" s="33" t="s">
        <v>46</v>
      </c>
      <c r="N1237" s="33">
        <f>IF(AND(E1237="Electricité",M1237="Hiver"),INDEX('Base de données Mono'!E:E,MATCH(B1237,'Base de données Mono'!D:D,0)),IF(AND(E1237="Electricité",M1237="Mi-saison"),INDEX('Base de données Mono'!F:F,MATCH(B1237,'Base de données Mono'!D:D,0)),IF(AND(E1237="Electricité",M1237="Eté"),INDEX('Base de données Mono'!G:G,MATCH(B1237,'Base de données Mono'!D:D,0)),IF(AND(E1237="Gaz",M1237="Hiver"),INDEX('Base de données Mono'!J:J,MATCH(B1237,'Base de données Mono'!D:D,0)),IF(AND(E1237="Gaz",M1237="Mi-saison"),INDEX('Base de données Mono'!#REF!,MATCH(B1237,'Base de données Mono'!D:D,0)),IF(AND(E1237="Gaz",M1237="Eté"),INDEX('Base de données Mono'!#REF!,MATCH(B1237,'Base de données Mono'!D:D,0)),"-"))))))</f>
        <v>65</v>
      </c>
      <c r="O1237" s="123">
        <v>45396</v>
      </c>
      <c r="P1237" s="123">
        <v>45397</v>
      </c>
      <c r="Q1237" s="34">
        <v>95</v>
      </c>
      <c r="R1237" s="33">
        <f t="shared" si="261"/>
        <v>30</v>
      </c>
      <c r="S1237" s="34">
        <v>4.5</v>
      </c>
      <c r="T1237" s="34">
        <f t="shared" si="244"/>
        <v>1</v>
      </c>
      <c r="U1237" s="33">
        <f t="shared" si="262"/>
        <v>135</v>
      </c>
      <c r="V1237" s="38" t="s">
        <v>827</v>
      </c>
      <c r="W1237" s="39">
        <f t="shared" si="263"/>
        <v>0.46153846153846156</v>
      </c>
      <c r="X1237" s="40" t="s">
        <v>304</v>
      </c>
      <c r="Y1237" s="40" t="s">
        <v>284</v>
      </c>
      <c r="Z1237" s="40" t="s">
        <v>305</v>
      </c>
      <c r="AA1237" s="33" t="s">
        <v>771</v>
      </c>
      <c r="AB1237" s="95"/>
      <c r="AC1237" s="95"/>
    </row>
    <row r="1238" spans="1:29" ht="14.45" hidden="1" customHeight="1" x14ac:dyDescent="0.25">
      <c r="A1238" s="36" t="str">
        <f>INDEX('Base de données Mono'!C:C,MATCH(B1238,'Base de données Mono'!D:D,0))</f>
        <v>RUEIL MALMAISON</v>
      </c>
      <c r="B1238" t="s">
        <v>31</v>
      </c>
      <c r="C1238" s="36" t="str">
        <f>INDEX('Base de données Mono'!B:B,MATCH(B1238,'Base de données Mono'!D:D,0))</f>
        <v>SES8</v>
      </c>
      <c r="D1238" s="36" t="str">
        <f>INDEX('Base de données Mono'!A:A,MATCH(B1238,'Base de données Mono'!D:D,0))</f>
        <v>AD</v>
      </c>
      <c r="E1238" s="37" t="s">
        <v>303</v>
      </c>
      <c r="F1238" s="41">
        <f t="shared" si="259"/>
        <v>16</v>
      </c>
      <c r="G1238" s="41">
        <f t="shared" si="260"/>
        <v>4</v>
      </c>
      <c r="I1238" s="131">
        <f>INDEX('Base de données Mono'!K:K,MATCH(B1238,'Base de données Mono'!D:D,0))</f>
        <v>0.26041666666666669</v>
      </c>
      <c r="J1238" s="131">
        <f>INDEX('Base de données Mono'!L:L,MATCH(B1238,'Base de données Mono'!D:D,0))</f>
        <v>0.92708333333333337</v>
      </c>
      <c r="K1238" s="131">
        <f>INDEX('Base de données Mono'!M:M,MATCH(B1238,'Base de données Mono'!D:D,0))</f>
        <v>0.27777777777777779</v>
      </c>
      <c r="L1238" s="131">
        <f>INDEX('Base de données Mono'!N:N,MATCH(B1238,'Base de données Mono'!D:D,0))</f>
        <v>0.59375</v>
      </c>
      <c r="M1238" s="33" t="s">
        <v>46</v>
      </c>
      <c r="N1238" s="33">
        <f>IF(AND(E1238="Electricité",M1238="Hiver"),INDEX('Base de données Mono'!E:E,MATCH(B1238,'Base de données Mono'!D:D,0)),IF(AND(E1238="Electricité",M1238="Mi-saison"),INDEX('Base de données Mono'!F:F,MATCH(B1238,'Base de données Mono'!D:D,0)),IF(AND(E1238="Electricité",M1238="Eté"),INDEX('Base de données Mono'!G:G,MATCH(B1238,'Base de données Mono'!D:D,0)),IF(AND(E1238="Gaz",M1238="Hiver"),INDEX('Base de données Mono'!J:J,MATCH(B1238,'Base de données Mono'!D:D,0)),IF(AND(E1238="Gaz",M1238="Mi-saison"),INDEX('Base de données Mono'!#REF!,MATCH(B1238,'Base de données Mono'!D:D,0)),IF(AND(E1238="Gaz",M1238="Eté"),INDEX('Base de données Mono'!#REF!,MATCH(B1238,'Base de données Mono'!D:D,0)),"-"))))))</f>
        <v>65</v>
      </c>
      <c r="O1238" s="123">
        <v>45402</v>
      </c>
      <c r="P1238" s="123">
        <v>45403</v>
      </c>
      <c r="Q1238" s="34">
        <v>105</v>
      </c>
      <c r="R1238" s="33">
        <f t="shared" si="261"/>
        <v>40</v>
      </c>
      <c r="S1238" s="34">
        <v>0.5</v>
      </c>
      <c r="T1238" s="34">
        <f t="shared" si="244"/>
        <v>1</v>
      </c>
      <c r="U1238" s="33">
        <f t="shared" si="262"/>
        <v>20</v>
      </c>
      <c r="V1238" s="38" t="s">
        <v>827</v>
      </c>
      <c r="W1238" s="39">
        <f t="shared" si="263"/>
        <v>0.61538461538461542</v>
      </c>
      <c r="X1238" s="40" t="s">
        <v>304</v>
      </c>
      <c r="Y1238" s="40" t="s">
        <v>284</v>
      </c>
      <c r="Z1238" s="40" t="s">
        <v>305</v>
      </c>
      <c r="AA1238" s="33" t="s">
        <v>771</v>
      </c>
      <c r="AB1238" s="95"/>
      <c r="AC1238" s="95"/>
    </row>
    <row r="1239" spans="1:29" ht="14.45" hidden="1" customHeight="1" x14ac:dyDescent="0.25">
      <c r="A1239" s="36" t="str">
        <f>INDEX('Base de données Mono'!C:C,MATCH(B1239,'Base de données Mono'!D:D,0))</f>
        <v>MANTES LA JOLIE</v>
      </c>
      <c r="B1239" t="s">
        <v>23</v>
      </c>
      <c r="C1239" s="36" t="str">
        <f>INDEX('Base de données Mono'!B:B,MATCH(B1239,'Base de données Mono'!D:D,0))</f>
        <v>SES8</v>
      </c>
      <c r="D1239" s="36" t="str">
        <f>INDEX('Base de données Mono'!A:A,MATCH(B1239,'Base de données Mono'!D:D,0))</f>
        <v>AD</v>
      </c>
      <c r="E1239" s="37" t="s">
        <v>303</v>
      </c>
      <c r="F1239" s="41">
        <f t="shared" si="259"/>
        <v>16</v>
      </c>
      <c r="G1239" s="41">
        <f t="shared" si="260"/>
        <v>4</v>
      </c>
      <c r="I1239" s="131">
        <f>INDEX('Base de données Mono'!K:K,MATCH(B1239,'Base de données Mono'!D:D,0))</f>
        <v>0.20138888888888887</v>
      </c>
      <c r="J1239" s="131">
        <f>INDEX('Base de données Mono'!L:L,MATCH(B1239,'Base de données Mono'!D:D,0))</f>
        <v>0.875</v>
      </c>
      <c r="K1239" s="131">
        <f>INDEX('Base de données Mono'!M:M,MATCH(B1239,'Base de données Mono'!D:D,0))</f>
        <v>0.24305555555555555</v>
      </c>
      <c r="L1239" s="131">
        <f>INDEX('Base de données Mono'!N:N,MATCH(B1239,'Base de données Mono'!D:D,0))</f>
        <v>0.83333333333333337</v>
      </c>
      <c r="M1239" s="33" t="s">
        <v>46</v>
      </c>
      <c r="N1239" s="33">
        <f>IF(AND(E1239="Electricité",M1239="Hiver"),INDEX('Base de données Mono'!E:E,MATCH(B1239,'Base de données Mono'!D:D,0)),IF(AND(E1239="Electricité",M1239="Mi-saison"),INDEX('Base de données Mono'!F:F,MATCH(B1239,'Base de données Mono'!D:D,0)),IF(AND(E1239="Electricité",M1239="Eté"),INDEX('Base de données Mono'!G:G,MATCH(B1239,'Base de données Mono'!D:D,0)),IF(AND(E1239="Gaz",M1239="Hiver"),INDEX('Base de données Mono'!J:J,MATCH(B1239,'Base de données Mono'!D:D,0)),IF(AND(E1239="Gaz",M1239="Mi-saison"),INDEX('Base de données Mono'!#REF!,MATCH(B1239,'Base de données Mono'!D:D,0)),IF(AND(E1239="Gaz",M1239="Eté"),INDEX('Base de données Mono'!#REF!,MATCH(B1239,'Base de données Mono'!D:D,0)),"-"))))))</f>
        <v>35</v>
      </c>
      <c r="O1239" s="123">
        <v>45396</v>
      </c>
      <c r="P1239" s="123">
        <v>45397</v>
      </c>
      <c r="Q1239" s="34">
        <v>40</v>
      </c>
      <c r="R1239" s="33">
        <f t="shared" si="261"/>
        <v>5</v>
      </c>
      <c r="S1239" s="34">
        <v>7</v>
      </c>
      <c r="T1239" s="34">
        <f t="shared" si="244"/>
        <v>1</v>
      </c>
      <c r="U1239" s="33">
        <f t="shared" si="262"/>
        <v>35</v>
      </c>
      <c r="V1239" s="38" t="s">
        <v>827</v>
      </c>
      <c r="W1239" s="39">
        <f t="shared" si="263"/>
        <v>0.14285714285714285</v>
      </c>
      <c r="X1239" s="40" t="s">
        <v>304</v>
      </c>
      <c r="Y1239" s="40" t="s">
        <v>283</v>
      </c>
      <c r="Z1239" s="40" t="s">
        <v>749</v>
      </c>
      <c r="AA1239" s="33" t="s">
        <v>749</v>
      </c>
      <c r="AB1239" s="95"/>
      <c r="AC1239" s="95"/>
    </row>
    <row r="1240" spans="1:29" ht="14.45" hidden="1" customHeight="1" x14ac:dyDescent="0.25">
      <c r="A1240" s="36" t="str">
        <f>INDEX('Base de données Mono'!C:C,MATCH(B1240,'Base de données Mono'!D:D,0))</f>
        <v>LYON LA PART DIEU</v>
      </c>
      <c r="B1240" t="s">
        <v>21</v>
      </c>
      <c r="C1240" s="36" t="str">
        <f>INDEX('Base de données Mono'!B:B,MATCH(B1240,'Base de données Mono'!D:D,0))</f>
        <v>SES8</v>
      </c>
      <c r="D1240" s="36" t="str">
        <f>INDEX('Base de données Mono'!A:A,MATCH(B1240,'Base de données Mono'!D:D,0))</f>
        <v>JG</v>
      </c>
      <c r="E1240" s="37" t="s">
        <v>303</v>
      </c>
      <c r="F1240" s="41">
        <f t="shared" si="259"/>
        <v>16</v>
      </c>
      <c r="G1240" s="41">
        <f t="shared" si="260"/>
        <v>4</v>
      </c>
      <c r="I1240" s="131">
        <f>INDEX('Base de données Mono'!K:K,MATCH(B1240,'Base de données Mono'!D:D,0))</f>
        <v>0.1875</v>
      </c>
      <c r="J1240" s="131">
        <f>INDEX('Base de données Mono'!L:L,MATCH(B1240,'Base de données Mono'!D:D,0))</f>
        <v>0.83333333333333337</v>
      </c>
      <c r="K1240" s="131">
        <f>INDEX('Base de données Mono'!M:M,MATCH(B1240,'Base de données Mono'!D:D,0))</f>
        <v>0.25</v>
      </c>
      <c r="L1240" s="131">
        <f>INDEX('Base de données Mono'!N:N,MATCH(B1240,'Base de données Mono'!D:D,0))</f>
        <v>0.5</v>
      </c>
      <c r="M1240" s="33" t="s">
        <v>46</v>
      </c>
      <c r="N1240" s="33">
        <f>IF(AND(E1240="Electricité",M1240="Hiver"),INDEX('Base de données Mono'!E:E,MATCH(B1240,'Base de données Mono'!D:D,0)),IF(AND(E1240="Electricité",M1240="Mi-saison"),INDEX('Base de données Mono'!F:F,MATCH(B1240,'Base de données Mono'!D:D,0)),IF(AND(E1240="Electricité",M1240="Eté"),INDEX('Base de données Mono'!G:G,MATCH(B1240,'Base de données Mono'!D:D,0)),IF(AND(E1240="Gaz",M1240="Hiver"),INDEX('Base de données Mono'!J:J,MATCH(B1240,'Base de données Mono'!D:D,0)),IF(AND(E1240="Gaz",M1240="Mi-saison"),INDEX('Base de données Mono'!#REF!,MATCH(B1240,'Base de données Mono'!D:D,0)),IF(AND(E1240="Gaz",M1240="Eté"),INDEX('Base de données Mono'!#REF!,MATCH(B1240,'Base de données Mono'!D:D,0)),"-"))))))</f>
        <v>45</v>
      </c>
      <c r="O1240" s="123">
        <v>45396</v>
      </c>
      <c r="P1240" s="123">
        <v>45397</v>
      </c>
      <c r="Q1240" s="34">
        <v>60</v>
      </c>
      <c r="R1240" s="33">
        <f t="shared" si="261"/>
        <v>15</v>
      </c>
      <c r="S1240" s="34">
        <v>8.5</v>
      </c>
      <c r="T1240" s="34">
        <f t="shared" si="244"/>
        <v>1</v>
      </c>
      <c r="U1240" s="33">
        <f t="shared" si="262"/>
        <v>127.5</v>
      </c>
      <c r="V1240" s="38" t="s">
        <v>827</v>
      </c>
      <c r="W1240" s="39">
        <f t="shared" si="263"/>
        <v>0.33333333333333331</v>
      </c>
      <c r="X1240" s="40" t="s">
        <v>304</v>
      </c>
      <c r="Y1240" s="40" t="s">
        <v>284</v>
      </c>
      <c r="Z1240" s="40" t="s">
        <v>305</v>
      </c>
      <c r="AA1240" s="33" t="s">
        <v>771</v>
      </c>
      <c r="AB1240" s="95"/>
      <c r="AC1240" s="95"/>
    </row>
    <row r="1241" spans="1:29" ht="14.45" hidden="1" customHeight="1" x14ac:dyDescent="0.25">
      <c r="A1241" s="36" t="str">
        <f>INDEX('Base de données Mono'!C:C,MATCH(B1241,'Base de données Mono'!D:D,0))</f>
        <v>LYON LA PART DIEU</v>
      </c>
      <c r="B1241" t="s">
        <v>21</v>
      </c>
      <c r="C1241" s="36" t="str">
        <f>INDEX('Base de données Mono'!B:B,MATCH(B1241,'Base de données Mono'!D:D,0))</f>
        <v>SES8</v>
      </c>
      <c r="D1241" s="36" t="str">
        <f>INDEX('Base de données Mono'!A:A,MATCH(B1241,'Base de données Mono'!D:D,0))</f>
        <v>JG</v>
      </c>
      <c r="E1241" s="37" t="s">
        <v>303</v>
      </c>
      <c r="F1241" s="41">
        <f t="shared" si="259"/>
        <v>16</v>
      </c>
      <c r="G1241" s="41">
        <f t="shared" si="260"/>
        <v>4</v>
      </c>
      <c r="I1241" s="131">
        <f>INDEX('Base de données Mono'!K:K,MATCH(B1241,'Base de données Mono'!D:D,0))</f>
        <v>0.1875</v>
      </c>
      <c r="J1241" s="131">
        <f>INDEX('Base de données Mono'!L:L,MATCH(B1241,'Base de données Mono'!D:D,0))</f>
        <v>0.83333333333333337</v>
      </c>
      <c r="K1241" s="131">
        <f>INDEX('Base de données Mono'!M:M,MATCH(B1241,'Base de données Mono'!D:D,0))</f>
        <v>0.25</v>
      </c>
      <c r="L1241" s="131">
        <f>INDEX('Base de données Mono'!N:N,MATCH(B1241,'Base de données Mono'!D:D,0))</f>
        <v>0.5</v>
      </c>
      <c r="M1241" s="33" t="s">
        <v>46</v>
      </c>
      <c r="N1241" s="33">
        <f>IF(AND(E1241="Electricité",M1241="Hiver"),INDEX('Base de données Mono'!E:E,MATCH(B1241,'Base de données Mono'!D:D,0)),IF(AND(E1241="Electricité",M1241="Mi-saison"),INDEX('Base de données Mono'!F:F,MATCH(B1241,'Base de données Mono'!D:D,0)),IF(AND(E1241="Electricité",M1241="Eté"),INDEX('Base de données Mono'!G:G,MATCH(B1241,'Base de données Mono'!D:D,0)),IF(AND(E1241="Gaz",M1241="Hiver"),INDEX('Base de données Mono'!J:J,MATCH(B1241,'Base de données Mono'!D:D,0)),IF(AND(E1241="Gaz",M1241="Mi-saison"),INDEX('Base de données Mono'!#REF!,MATCH(B1241,'Base de données Mono'!D:D,0)),IF(AND(E1241="Gaz",M1241="Eté"),INDEX('Base de données Mono'!#REF!,MATCH(B1241,'Base de données Mono'!D:D,0)),"-"))))))</f>
        <v>45</v>
      </c>
      <c r="O1241" s="123">
        <v>45397</v>
      </c>
      <c r="P1241" s="123">
        <v>45403</v>
      </c>
      <c r="Q1241" s="34">
        <v>115</v>
      </c>
      <c r="R1241" s="33">
        <f t="shared" si="261"/>
        <v>70</v>
      </c>
      <c r="S1241" s="34">
        <v>0.8</v>
      </c>
      <c r="T1241" s="34">
        <f t="shared" si="244"/>
        <v>6</v>
      </c>
      <c r="U1241" s="33">
        <f t="shared" si="262"/>
        <v>336</v>
      </c>
      <c r="V1241" s="38" t="s">
        <v>827</v>
      </c>
      <c r="W1241" s="39">
        <f t="shared" si="263"/>
        <v>1.5555555555555556</v>
      </c>
      <c r="X1241" s="40" t="s">
        <v>304</v>
      </c>
      <c r="Y1241" s="40" t="s">
        <v>284</v>
      </c>
      <c r="Z1241" s="40" t="s">
        <v>307</v>
      </c>
      <c r="AA1241" s="33" t="s">
        <v>313</v>
      </c>
      <c r="AB1241" s="95"/>
      <c r="AC1241" s="95"/>
    </row>
    <row r="1242" spans="1:29" ht="14.45" hidden="1" customHeight="1" x14ac:dyDescent="0.25">
      <c r="A1242" s="36" t="str">
        <f>INDEX('Base de données Mono'!C:C,MATCH(B1242,'Base de données Mono'!D:D,0))</f>
        <v>LYON LA PART DIEU</v>
      </c>
      <c r="B1242" t="s">
        <v>21</v>
      </c>
      <c r="C1242" s="36" t="str">
        <f>INDEX('Base de données Mono'!B:B,MATCH(B1242,'Base de données Mono'!D:D,0))</f>
        <v>SES8</v>
      </c>
      <c r="D1242" s="36" t="str">
        <f>INDEX('Base de données Mono'!A:A,MATCH(B1242,'Base de données Mono'!D:D,0))</f>
        <v>JG</v>
      </c>
      <c r="E1242" s="37" t="s">
        <v>303</v>
      </c>
      <c r="F1242" s="41">
        <f t="shared" si="259"/>
        <v>16</v>
      </c>
      <c r="G1242" s="41">
        <f t="shared" si="260"/>
        <v>4</v>
      </c>
      <c r="I1242" s="131">
        <f>INDEX('Base de données Mono'!K:K,MATCH(B1242,'Base de données Mono'!D:D,0))</f>
        <v>0.1875</v>
      </c>
      <c r="J1242" s="131">
        <f>INDEX('Base de données Mono'!L:L,MATCH(B1242,'Base de données Mono'!D:D,0))</f>
        <v>0.83333333333333337</v>
      </c>
      <c r="K1242" s="131">
        <f>INDEX('Base de données Mono'!M:M,MATCH(B1242,'Base de données Mono'!D:D,0))</f>
        <v>0.25</v>
      </c>
      <c r="L1242" s="131">
        <f>INDEX('Base de données Mono'!N:N,MATCH(B1242,'Base de données Mono'!D:D,0))</f>
        <v>0.5</v>
      </c>
      <c r="M1242" s="33" t="s">
        <v>46</v>
      </c>
      <c r="N1242" s="33">
        <f>IF(AND(E1242="Electricité",M1242="Hiver"),INDEX('Base de données Mono'!E:E,MATCH(B1242,'Base de données Mono'!D:D,0)),IF(AND(E1242="Electricité",M1242="Mi-saison"),INDEX('Base de données Mono'!F:F,MATCH(B1242,'Base de données Mono'!D:D,0)),IF(AND(E1242="Electricité",M1242="Eté"),INDEX('Base de données Mono'!G:G,MATCH(B1242,'Base de données Mono'!D:D,0)),IF(AND(E1242="Gaz",M1242="Hiver"),INDEX('Base de données Mono'!J:J,MATCH(B1242,'Base de données Mono'!D:D,0)),IF(AND(E1242="Gaz",M1242="Mi-saison"),INDEX('Base de données Mono'!#REF!,MATCH(B1242,'Base de données Mono'!D:D,0)),IF(AND(E1242="Gaz",M1242="Eté"),INDEX('Base de données Mono'!#REF!,MATCH(B1242,'Base de données Mono'!D:D,0)),"-"))))))</f>
        <v>45</v>
      </c>
      <c r="O1242" s="123">
        <v>45397</v>
      </c>
      <c r="P1242" s="123">
        <v>45403</v>
      </c>
      <c r="Q1242" s="34">
        <v>55</v>
      </c>
      <c r="R1242" s="33">
        <f t="shared" si="261"/>
        <v>10</v>
      </c>
      <c r="S1242" s="34">
        <v>7.7</v>
      </c>
      <c r="T1242" s="34">
        <f t="shared" si="244"/>
        <v>6</v>
      </c>
      <c r="U1242" s="33">
        <f t="shared" si="262"/>
        <v>462</v>
      </c>
      <c r="V1242" s="38" t="s">
        <v>827</v>
      </c>
      <c r="W1242" s="39">
        <f t="shared" si="263"/>
        <v>0.22222222222222221</v>
      </c>
      <c r="X1242" s="40" t="s">
        <v>304</v>
      </c>
      <c r="Y1242" s="40" t="s">
        <v>284</v>
      </c>
      <c r="Z1242" s="40" t="s">
        <v>305</v>
      </c>
      <c r="AA1242" s="33" t="s">
        <v>771</v>
      </c>
      <c r="AB1242" s="95"/>
      <c r="AC1242" s="95"/>
    </row>
    <row r="1243" spans="1:29" ht="14.45" hidden="1" customHeight="1" x14ac:dyDescent="0.25">
      <c r="A1243" s="36" t="str">
        <f>INDEX('Base de données Mono'!C:C,MATCH(B1243,'Base de données Mono'!D:D,0))</f>
        <v>CHAMBERY LES HALLES</v>
      </c>
      <c r="B1243" t="s">
        <v>11</v>
      </c>
      <c r="C1243" s="36" t="str">
        <f>INDEX('Base de données Mono'!B:B,MATCH(B1243,'Base de données Mono'!D:D,0))</f>
        <v>SES8</v>
      </c>
      <c r="D1243" s="36" t="str">
        <f>INDEX('Base de données Mono'!A:A,MATCH(B1243,'Base de données Mono'!D:D,0))</f>
        <v>JG</v>
      </c>
      <c r="E1243" s="37" t="s">
        <v>303</v>
      </c>
      <c r="F1243" s="41">
        <f t="shared" si="259"/>
        <v>16</v>
      </c>
      <c r="G1243" s="41">
        <f t="shared" si="260"/>
        <v>4</v>
      </c>
      <c r="I1243" s="131">
        <f>INDEX('Base de données Mono'!K:K,MATCH(B1243,'Base de données Mono'!D:D,0))</f>
        <v>0.20833333333333334</v>
      </c>
      <c r="J1243" s="131">
        <f>INDEX('Base de données Mono'!L:L,MATCH(B1243,'Base de données Mono'!D:D,0))</f>
        <v>0.86458333333333337</v>
      </c>
      <c r="K1243" s="131">
        <f>INDEX('Base de données Mono'!M:M,MATCH(B1243,'Base de données Mono'!D:D,0))</f>
        <v>0.29166666666666669</v>
      </c>
      <c r="L1243" s="131">
        <f>INDEX('Base de données Mono'!N:N,MATCH(B1243,'Base de données Mono'!D:D,0))</f>
        <v>0.53125</v>
      </c>
      <c r="M1243" s="33" t="s">
        <v>46</v>
      </c>
      <c r="N1243" s="33">
        <f>IF(AND(E1243="Electricité",M1243="Hiver"),INDEX('Base de données Mono'!E:E,MATCH(B1243,'Base de données Mono'!D:D,0)),IF(AND(E1243="Electricité",M1243="Mi-saison"),INDEX('Base de données Mono'!F:F,MATCH(B1243,'Base de données Mono'!D:D,0)),IF(AND(E1243="Electricité",M1243="Eté"),INDEX('Base de données Mono'!G:G,MATCH(B1243,'Base de données Mono'!D:D,0)),IF(AND(E1243="Gaz",M1243="Hiver"),INDEX('Base de données Mono'!J:J,MATCH(B1243,'Base de données Mono'!D:D,0)),IF(AND(E1243="Gaz",M1243="Mi-saison"),INDEX('Base de données Mono'!#REF!,MATCH(B1243,'Base de données Mono'!D:D,0)),IF(AND(E1243="Gaz",M1243="Eté"),INDEX('Base de données Mono'!#REF!,MATCH(B1243,'Base de données Mono'!D:D,0)),"-"))))))</f>
        <v>40</v>
      </c>
      <c r="O1243" s="123">
        <v>45396</v>
      </c>
      <c r="P1243" s="123">
        <v>45403</v>
      </c>
      <c r="Q1243" s="34">
        <v>45</v>
      </c>
      <c r="R1243" s="33">
        <f t="shared" si="261"/>
        <v>5</v>
      </c>
      <c r="S1243" s="34">
        <v>8.1999999999999993</v>
      </c>
      <c r="T1243" s="34">
        <f t="shared" si="244"/>
        <v>7</v>
      </c>
      <c r="U1243" s="33">
        <f t="shared" si="262"/>
        <v>287</v>
      </c>
      <c r="V1243" s="38" t="s">
        <v>827</v>
      </c>
      <c r="W1243" s="39">
        <f t="shared" si="263"/>
        <v>0.125</v>
      </c>
      <c r="X1243" s="40" t="s">
        <v>304</v>
      </c>
      <c r="Y1243" s="40" t="s">
        <v>284</v>
      </c>
      <c r="Z1243" s="40" t="s">
        <v>305</v>
      </c>
      <c r="AA1243" s="33" t="s">
        <v>771</v>
      </c>
      <c r="AB1243" s="95"/>
      <c r="AC1243" s="95"/>
    </row>
    <row r="1244" spans="1:29" ht="14.45" hidden="1" customHeight="1" x14ac:dyDescent="0.25">
      <c r="A1244" s="36" t="str">
        <f>INDEX('Base de données Mono'!C:C,MATCH(B1244,'Base de données Mono'!D:D,0))</f>
        <v>NICE VICTOIRE</v>
      </c>
      <c r="B1244" t="s">
        <v>28</v>
      </c>
      <c r="C1244" s="36" t="str">
        <f>INDEX('Base de données Mono'!B:B,MATCH(B1244,'Base de données Mono'!D:D,0))</f>
        <v>SES8</v>
      </c>
      <c r="D1244" s="36" t="str">
        <f>INDEX('Base de données Mono'!A:A,MATCH(B1244,'Base de données Mono'!D:D,0))</f>
        <v>JG</v>
      </c>
      <c r="E1244" s="37" t="s">
        <v>303</v>
      </c>
      <c r="F1244" s="41">
        <f t="shared" si="259"/>
        <v>16</v>
      </c>
      <c r="G1244" s="41">
        <f t="shared" si="260"/>
        <v>4</v>
      </c>
      <c r="I1244" s="131">
        <f>INDEX('Base de données Mono'!K:K,MATCH(B1244,'Base de données Mono'!D:D,0))</f>
        <v>0.20138888888888887</v>
      </c>
      <c r="J1244" s="131">
        <f>INDEX('Base de données Mono'!L:L,MATCH(B1244,'Base de données Mono'!D:D,0))</f>
        <v>0.89583333333333337</v>
      </c>
      <c r="K1244" s="131">
        <f>INDEX('Base de données Mono'!M:M,MATCH(B1244,'Base de données Mono'!D:D,0))</f>
        <v>0.28472222222222221</v>
      </c>
      <c r="L1244" s="131">
        <f>INDEX('Base de données Mono'!N:N,MATCH(B1244,'Base de données Mono'!D:D,0))</f>
        <v>0.85416666666666663</v>
      </c>
      <c r="M1244" s="33" t="s">
        <v>46</v>
      </c>
      <c r="N1244" s="33">
        <f>IF(AND(E1244="Electricité",M1244="Hiver"),INDEX('Base de données Mono'!E:E,MATCH(B1244,'Base de données Mono'!D:D,0)),IF(AND(E1244="Electricité",M1244="Mi-saison"),INDEX('Base de données Mono'!F:F,MATCH(B1244,'Base de données Mono'!D:D,0)),IF(AND(E1244="Electricité",M1244="Eté"),INDEX('Base de données Mono'!G:G,MATCH(B1244,'Base de données Mono'!D:D,0)),IF(AND(E1244="Gaz",M1244="Hiver"),INDEX('Base de données Mono'!J:J,MATCH(B1244,'Base de données Mono'!D:D,0)),IF(AND(E1244="Gaz",M1244="Mi-saison"),INDEX('Base de données Mono'!#REF!,MATCH(B1244,'Base de données Mono'!D:D,0)),IF(AND(E1244="Gaz",M1244="Eté"),INDEX('Base de données Mono'!#REF!,MATCH(B1244,'Base de données Mono'!D:D,0)),"-"))))))</f>
        <v>110</v>
      </c>
      <c r="O1244" s="123">
        <v>45396</v>
      </c>
      <c r="P1244" s="123">
        <v>45399</v>
      </c>
      <c r="Q1244" s="34">
        <v>120</v>
      </c>
      <c r="R1244" s="33">
        <f t="shared" si="261"/>
        <v>10</v>
      </c>
      <c r="S1244" s="34">
        <v>6.3</v>
      </c>
      <c r="T1244" s="34">
        <f t="shared" ref="T1244:T1293" si="270">P1244-O1244</f>
        <v>3</v>
      </c>
      <c r="U1244" s="33">
        <f t="shared" si="262"/>
        <v>189</v>
      </c>
      <c r="V1244" s="38" t="s">
        <v>827</v>
      </c>
      <c r="W1244" s="39">
        <f t="shared" si="263"/>
        <v>9.0909090909090912E-2</v>
      </c>
      <c r="X1244" s="40" t="s">
        <v>304</v>
      </c>
      <c r="Y1244" s="40" t="s">
        <v>284</v>
      </c>
      <c r="Z1244" s="40" t="s">
        <v>305</v>
      </c>
      <c r="AA1244" s="33" t="s">
        <v>771</v>
      </c>
      <c r="AB1244" s="95"/>
      <c r="AC1244" s="95"/>
    </row>
    <row r="1245" spans="1:29" ht="14.45" hidden="1" customHeight="1" x14ac:dyDescent="0.25">
      <c r="A1245" s="36" t="str">
        <f>INDEX('Base de données Mono'!C:C,MATCH(B1245,'Base de données Mono'!D:D,0))</f>
        <v>NICE VICTOIRE</v>
      </c>
      <c r="B1245" t="s">
        <v>28</v>
      </c>
      <c r="C1245" s="36" t="str">
        <f>INDEX('Base de données Mono'!B:B,MATCH(B1245,'Base de données Mono'!D:D,0))</f>
        <v>SES8</v>
      </c>
      <c r="D1245" s="36" t="str">
        <f>INDEX('Base de données Mono'!A:A,MATCH(B1245,'Base de données Mono'!D:D,0))</f>
        <v>JG</v>
      </c>
      <c r="E1245" s="37" t="s">
        <v>303</v>
      </c>
      <c r="F1245" s="41">
        <f t="shared" si="259"/>
        <v>16</v>
      </c>
      <c r="G1245" s="41">
        <f t="shared" si="260"/>
        <v>4</v>
      </c>
      <c r="I1245" s="131">
        <f>INDEX('Base de données Mono'!K:K,MATCH(B1245,'Base de données Mono'!D:D,0))</f>
        <v>0.20138888888888887</v>
      </c>
      <c r="J1245" s="131">
        <f>INDEX('Base de données Mono'!L:L,MATCH(B1245,'Base de données Mono'!D:D,0))</f>
        <v>0.89583333333333337</v>
      </c>
      <c r="K1245" s="131">
        <f>INDEX('Base de données Mono'!M:M,MATCH(B1245,'Base de données Mono'!D:D,0))</f>
        <v>0.28472222222222221</v>
      </c>
      <c r="L1245" s="131">
        <f>INDEX('Base de données Mono'!N:N,MATCH(B1245,'Base de données Mono'!D:D,0))</f>
        <v>0.85416666666666663</v>
      </c>
      <c r="M1245" s="33" t="s">
        <v>46</v>
      </c>
      <c r="N1245" s="33">
        <f>IF(AND(E1245="Electricité",M1245="Hiver"),INDEX('Base de données Mono'!E:E,MATCH(B1245,'Base de données Mono'!D:D,0)),IF(AND(E1245="Electricité",M1245="Mi-saison"),INDEX('Base de données Mono'!F:F,MATCH(B1245,'Base de données Mono'!D:D,0)),IF(AND(E1245="Electricité",M1245="Eté"),INDEX('Base de données Mono'!G:G,MATCH(B1245,'Base de données Mono'!D:D,0)),IF(AND(E1245="Gaz",M1245="Hiver"),INDEX('Base de données Mono'!J:J,MATCH(B1245,'Base de données Mono'!D:D,0)),IF(AND(E1245="Gaz",M1245="Mi-saison"),INDEX('Base de données Mono'!#REF!,MATCH(B1245,'Base de données Mono'!D:D,0)),IF(AND(E1245="Gaz",M1245="Eté"),INDEX('Base de données Mono'!#REF!,MATCH(B1245,'Base de données Mono'!D:D,0)),"-"))))))</f>
        <v>110</v>
      </c>
      <c r="O1245" s="123">
        <v>45396</v>
      </c>
      <c r="P1245" s="123">
        <v>45402</v>
      </c>
      <c r="Q1245" s="34">
        <v>170</v>
      </c>
      <c r="R1245" s="33">
        <f t="shared" si="261"/>
        <v>60</v>
      </c>
      <c r="S1245" s="34">
        <v>1</v>
      </c>
      <c r="T1245" s="34">
        <f t="shared" si="270"/>
        <v>6</v>
      </c>
      <c r="U1245" s="33">
        <f t="shared" si="262"/>
        <v>360</v>
      </c>
      <c r="V1245" s="38" t="s">
        <v>827</v>
      </c>
      <c r="W1245" s="39">
        <f t="shared" si="263"/>
        <v>0.54545454545454541</v>
      </c>
      <c r="X1245" s="40" t="s">
        <v>304</v>
      </c>
      <c r="Y1245" s="40" t="s">
        <v>284</v>
      </c>
      <c r="Z1245" s="40" t="s">
        <v>307</v>
      </c>
      <c r="AA1245" s="33" t="s">
        <v>414</v>
      </c>
      <c r="AB1245" s="95"/>
      <c r="AC1245" s="95"/>
    </row>
    <row r="1246" spans="1:29" ht="14.45" hidden="1" customHeight="1" x14ac:dyDescent="0.25">
      <c r="A1246" s="36" t="str">
        <f>INDEX('Base de données Mono'!C:C,MATCH(B1246,'Base de données Mono'!D:D,0))</f>
        <v>NICE VICTOIRE</v>
      </c>
      <c r="B1246" t="s">
        <v>28</v>
      </c>
      <c r="C1246" s="36" t="str">
        <f>INDEX('Base de données Mono'!B:B,MATCH(B1246,'Base de données Mono'!D:D,0))</f>
        <v>SES8</v>
      </c>
      <c r="D1246" s="36" t="str">
        <f>INDEX('Base de données Mono'!A:A,MATCH(B1246,'Base de données Mono'!D:D,0))</f>
        <v>JG</v>
      </c>
      <c r="E1246" s="37" t="s">
        <v>303</v>
      </c>
      <c r="F1246" s="41">
        <f t="shared" si="259"/>
        <v>16</v>
      </c>
      <c r="G1246" s="41">
        <f t="shared" si="260"/>
        <v>4</v>
      </c>
      <c r="I1246" s="131">
        <f>INDEX('Base de données Mono'!K:K,MATCH(B1246,'Base de données Mono'!D:D,0))</f>
        <v>0.20138888888888887</v>
      </c>
      <c r="J1246" s="131">
        <f>INDEX('Base de données Mono'!L:L,MATCH(B1246,'Base de données Mono'!D:D,0))</f>
        <v>0.89583333333333337</v>
      </c>
      <c r="K1246" s="131">
        <f>INDEX('Base de données Mono'!M:M,MATCH(B1246,'Base de données Mono'!D:D,0))</f>
        <v>0.28472222222222221</v>
      </c>
      <c r="L1246" s="131">
        <f>INDEX('Base de données Mono'!N:N,MATCH(B1246,'Base de données Mono'!D:D,0))</f>
        <v>0.85416666666666663</v>
      </c>
      <c r="M1246" s="33" t="s">
        <v>46</v>
      </c>
      <c r="N1246" s="33">
        <f>IF(AND(E1246="Electricité",M1246="Hiver"),INDEX('Base de données Mono'!E:E,MATCH(B1246,'Base de données Mono'!D:D,0)),IF(AND(E1246="Electricité",M1246="Mi-saison"),INDEX('Base de données Mono'!F:F,MATCH(B1246,'Base de données Mono'!D:D,0)),IF(AND(E1246="Electricité",M1246="Eté"),INDEX('Base de données Mono'!G:G,MATCH(B1246,'Base de données Mono'!D:D,0)),IF(AND(E1246="Gaz",M1246="Hiver"),INDEX('Base de données Mono'!J:J,MATCH(B1246,'Base de données Mono'!D:D,0)),IF(AND(E1246="Gaz",M1246="Mi-saison"),INDEX('Base de données Mono'!#REF!,MATCH(B1246,'Base de données Mono'!D:D,0)),IF(AND(E1246="Gaz",M1246="Eté"),INDEX('Base de données Mono'!#REF!,MATCH(B1246,'Base de données Mono'!D:D,0)),"-"))))))</f>
        <v>110</v>
      </c>
      <c r="O1246" s="123">
        <v>45399</v>
      </c>
      <c r="P1246" s="123">
        <v>45400</v>
      </c>
      <c r="Q1246" s="34">
        <v>160</v>
      </c>
      <c r="R1246" s="33">
        <f t="shared" si="261"/>
        <v>50</v>
      </c>
      <c r="S1246" s="34">
        <v>6.3</v>
      </c>
      <c r="T1246" s="34">
        <f t="shared" si="270"/>
        <v>1</v>
      </c>
      <c r="U1246" s="33">
        <f t="shared" si="262"/>
        <v>315</v>
      </c>
      <c r="V1246" s="38" t="s">
        <v>827</v>
      </c>
      <c r="W1246" s="39">
        <f t="shared" si="263"/>
        <v>0.45454545454545453</v>
      </c>
      <c r="X1246" s="40" t="s">
        <v>304</v>
      </c>
      <c r="Y1246" s="40" t="s">
        <v>284</v>
      </c>
      <c r="Z1246" s="40" t="s">
        <v>311</v>
      </c>
      <c r="AA1246" s="33" t="s">
        <v>775</v>
      </c>
      <c r="AB1246" s="95"/>
      <c r="AC1246" s="95"/>
    </row>
    <row r="1247" spans="1:29" ht="14.45" hidden="1" customHeight="1" x14ac:dyDescent="0.25">
      <c r="A1247" s="36" t="str">
        <f>INDEX('Base de données Mono'!C:C,MATCH(B1247,'Base de données Mono'!D:D,0))</f>
        <v>COURCELLES</v>
      </c>
      <c r="B1247" t="s">
        <v>112</v>
      </c>
      <c r="C1247" s="36" t="str">
        <f>INDEX('Base de données Mono'!B:B,MATCH(B1247,'Base de données Mono'!D:D,0))</f>
        <v>SES8</v>
      </c>
      <c r="D1247" s="36" t="str">
        <f>INDEX('Base de données Mono'!A:A,MATCH(B1247,'Base de données Mono'!D:D,0))</f>
        <v>AD</v>
      </c>
      <c r="E1247" s="37" t="s">
        <v>303</v>
      </c>
      <c r="F1247" s="41">
        <f t="shared" si="259"/>
        <v>16</v>
      </c>
      <c r="G1247" s="41">
        <f t="shared" si="260"/>
        <v>4</v>
      </c>
      <c r="I1247" s="131">
        <f>INDEX('Base de données Mono'!K:K,MATCH(B1247,'Base de données Mono'!D:D,0))</f>
        <v>0.25</v>
      </c>
      <c r="J1247" s="131">
        <f>INDEX('Base de données Mono'!L:L,MATCH(B1247,'Base de données Mono'!D:D,0))</f>
        <v>0.86458333333333337</v>
      </c>
      <c r="K1247" s="131" t="str">
        <f>INDEX('Base de données Mono'!M:M,MATCH(B1247,'Base de données Mono'!D:D,0))</f>
        <v>-</v>
      </c>
      <c r="L1247" s="131" t="str">
        <f>INDEX('Base de données Mono'!N:N,MATCH(B1247,'Base de données Mono'!D:D,0))</f>
        <v>-</v>
      </c>
      <c r="M1247" s="33" t="s">
        <v>46</v>
      </c>
      <c r="N1247" s="33">
        <f>IF(AND(E1247="Electricité",M1247="Hiver"),INDEX('Base de données Mono'!E:E,MATCH(B1247,'Base de données Mono'!D:D,0)),IF(AND(E1247="Electricité",M1247="Mi-saison"),INDEX('Base de données Mono'!F:F,MATCH(B1247,'Base de données Mono'!D:D,0)),IF(AND(E1247="Electricité",M1247="Eté"),INDEX('Base de données Mono'!G:G,MATCH(B1247,'Base de données Mono'!D:D,0)),IF(AND(E1247="Gaz",M1247="Hiver"),INDEX('Base de données Mono'!J:J,MATCH(B1247,'Base de données Mono'!D:D,0)),IF(AND(E1247="Gaz",M1247="Mi-saison"),INDEX('Base de données Mono'!#REF!,MATCH(B1247,'Base de données Mono'!D:D,0)),IF(AND(E1247="Gaz",M1247="Eté"),INDEX('Base de données Mono'!#REF!,MATCH(B1247,'Base de données Mono'!D:D,0)),"-"))))))</f>
        <v>45</v>
      </c>
      <c r="O1247" s="123">
        <v>45396</v>
      </c>
      <c r="P1247" s="123">
        <v>45402</v>
      </c>
      <c r="Q1247" s="34">
        <v>60</v>
      </c>
      <c r="R1247" s="33">
        <f t="shared" si="261"/>
        <v>15</v>
      </c>
      <c r="S1247" s="34">
        <v>0.5</v>
      </c>
      <c r="T1247" s="34">
        <f t="shared" si="270"/>
        <v>6</v>
      </c>
      <c r="U1247" s="33">
        <f t="shared" si="262"/>
        <v>45</v>
      </c>
      <c r="V1247" s="38" t="s">
        <v>827</v>
      </c>
      <c r="W1247" s="39">
        <f t="shared" si="263"/>
        <v>0.33333333333333331</v>
      </c>
      <c r="X1247" s="40" t="s">
        <v>304</v>
      </c>
      <c r="Y1247" s="40" t="s">
        <v>284</v>
      </c>
      <c r="Z1247" s="40" t="s">
        <v>307</v>
      </c>
      <c r="AA1247" s="33" t="s">
        <v>414</v>
      </c>
      <c r="AB1247" s="95"/>
      <c r="AC1247" s="95"/>
    </row>
    <row r="1248" spans="1:29" ht="14.45" hidden="1" customHeight="1" x14ac:dyDescent="0.25">
      <c r="A1248" s="36" t="str">
        <f>INDEX('Base de données Mono'!C:C,MATCH(B1248,'Base de données Mono'!D:D,0))</f>
        <v>COURCELLES</v>
      </c>
      <c r="B1248" t="s">
        <v>112</v>
      </c>
      <c r="C1248" s="36" t="str">
        <f>INDEX('Base de données Mono'!B:B,MATCH(B1248,'Base de données Mono'!D:D,0))</f>
        <v>SES8</v>
      </c>
      <c r="D1248" s="36" t="str">
        <f>INDEX('Base de données Mono'!A:A,MATCH(B1248,'Base de données Mono'!D:D,0))</f>
        <v>AD</v>
      </c>
      <c r="E1248" s="37" t="s">
        <v>303</v>
      </c>
      <c r="F1248" s="41">
        <f t="shared" si="259"/>
        <v>16</v>
      </c>
      <c r="G1248" s="41">
        <f t="shared" si="260"/>
        <v>4</v>
      </c>
      <c r="I1248" s="131">
        <f>INDEX('Base de données Mono'!K:K,MATCH(B1248,'Base de données Mono'!D:D,0))</f>
        <v>0.25</v>
      </c>
      <c r="J1248" s="131">
        <f>INDEX('Base de données Mono'!L:L,MATCH(B1248,'Base de données Mono'!D:D,0))</f>
        <v>0.86458333333333337</v>
      </c>
      <c r="K1248" s="131" t="str">
        <f>INDEX('Base de données Mono'!M:M,MATCH(B1248,'Base de données Mono'!D:D,0))</f>
        <v>-</v>
      </c>
      <c r="L1248" s="131" t="str">
        <f>INDEX('Base de données Mono'!N:N,MATCH(B1248,'Base de données Mono'!D:D,0))</f>
        <v>-</v>
      </c>
      <c r="M1248" s="33" t="s">
        <v>46</v>
      </c>
      <c r="N1248" s="33">
        <f>IF(AND(E1248="Electricité",M1248="Hiver"),INDEX('Base de données Mono'!E:E,MATCH(B1248,'Base de données Mono'!D:D,0)),IF(AND(E1248="Electricité",M1248="Mi-saison"),INDEX('Base de données Mono'!F:F,MATCH(B1248,'Base de données Mono'!D:D,0)),IF(AND(E1248="Electricité",M1248="Eté"),INDEX('Base de données Mono'!G:G,MATCH(B1248,'Base de données Mono'!D:D,0)),IF(AND(E1248="Gaz",M1248="Hiver"),INDEX('Base de données Mono'!J:J,MATCH(B1248,'Base de données Mono'!D:D,0)),IF(AND(E1248="Gaz",M1248="Mi-saison"),INDEX('Base de données Mono'!#REF!,MATCH(B1248,'Base de données Mono'!D:D,0)),IF(AND(E1248="Gaz",M1248="Eté"),INDEX('Base de données Mono'!#REF!,MATCH(B1248,'Base de données Mono'!D:D,0)),"-"))))))</f>
        <v>45</v>
      </c>
      <c r="O1248" s="123">
        <v>45397</v>
      </c>
      <c r="P1248" s="123">
        <v>45403</v>
      </c>
      <c r="Q1248" s="34">
        <v>75</v>
      </c>
      <c r="R1248" s="33">
        <f t="shared" si="261"/>
        <v>30</v>
      </c>
      <c r="S1248" s="34">
        <v>1.2</v>
      </c>
      <c r="T1248" s="34">
        <f t="shared" si="270"/>
        <v>6</v>
      </c>
      <c r="U1248" s="33">
        <f t="shared" si="262"/>
        <v>216</v>
      </c>
      <c r="V1248" s="38" t="s">
        <v>827</v>
      </c>
      <c r="W1248" s="39">
        <f t="shared" si="263"/>
        <v>0.66666666666666663</v>
      </c>
      <c r="X1248" s="40" t="s">
        <v>304</v>
      </c>
      <c r="Y1248" s="40" t="s">
        <v>284</v>
      </c>
      <c r="Z1248" s="40" t="s">
        <v>307</v>
      </c>
      <c r="AA1248" s="33" t="s">
        <v>313</v>
      </c>
      <c r="AB1248" s="95"/>
      <c r="AC1248" s="95"/>
    </row>
    <row r="1249" spans="1:29" ht="14.45" hidden="1" customHeight="1" x14ac:dyDescent="0.25">
      <c r="A1249" s="36" t="str">
        <f>INDEX('Base de données Mono'!C:C,MATCH(B1249,'Base de données Mono'!D:D,0))</f>
        <v>NICE CIMIEZ</v>
      </c>
      <c r="B1249" t="s">
        <v>194</v>
      </c>
      <c r="C1249" s="36" t="str">
        <f>INDEX('Base de données Mono'!B:B,MATCH(B1249,'Base de données Mono'!D:D,0))</f>
        <v>SES8</v>
      </c>
      <c r="D1249" s="36" t="str">
        <f>INDEX('Base de données Mono'!A:A,MATCH(B1249,'Base de données Mono'!D:D,0))</f>
        <v>JG</v>
      </c>
      <c r="E1249" s="37" t="s">
        <v>303</v>
      </c>
      <c r="F1249" s="41">
        <f t="shared" si="259"/>
        <v>16</v>
      </c>
      <c r="G1249" s="41">
        <f t="shared" si="260"/>
        <v>4</v>
      </c>
      <c r="I1249" s="131">
        <f>INDEX('Base de données Mono'!K:K,MATCH(B1249,'Base de données Mono'!D:D,0))</f>
        <v>0.23611111111111113</v>
      </c>
      <c r="J1249" s="131">
        <f>INDEX('Base de données Mono'!L:L,MATCH(B1249,'Base de données Mono'!D:D,0))</f>
        <v>0.875</v>
      </c>
      <c r="K1249" s="131">
        <f>INDEX('Base de données Mono'!M:M,MATCH(B1249,'Base de données Mono'!D:D,0))</f>
        <v>0.28472222222222221</v>
      </c>
      <c r="L1249" s="131">
        <f>INDEX('Base de données Mono'!N:N,MATCH(B1249,'Base de données Mono'!D:D,0))</f>
        <v>0.54166666666666663</v>
      </c>
      <c r="M1249" s="33" t="s">
        <v>46</v>
      </c>
      <c r="N1249" s="33">
        <f>IF(AND(E1249="Electricité",M1249="Hiver"),INDEX('Base de données Mono'!E:E,MATCH(B1249,'Base de données Mono'!D:D,0)),IF(AND(E1249="Electricité",M1249="Mi-saison"),INDEX('Base de données Mono'!F:F,MATCH(B1249,'Base de données Mono'!D:D,0)),IF(AND(E1249="Electricité",M1249="Eté"),INDEX('Base de données Mono'!G:G,MATCH(B1249,'Base de données Mono'!D:D,0)),IF(AND(E1249="Gaz",M1249="Hiver"),INDEX('Base de données Mono'!J:J,MATCH(B1249,'Base de données Mono'!D:D,0)),IF(AND(E1249="Gaz",M1249="Mi-saison"),INDEX('Base de données Mono'!#REF!,MATCH(B1249,'Base de données Mono'!D:D,0)),IF(AND(E1249="Gaz",M1249="Eté"),INDEX('Base de données Mono'!#REF!,MATCH(B1249,'Base de données Mono'!D:D,0)),"-"))))))</f>
        <v>85</v>
      </c>
      <c r="O1249" s="123">
        <v>45396</v>
      </c>
      <c r="P1249" s="123">
        <v>45398</v>
      </c>
      <c r="Q1249" s="34">
        <v>100</v>
      </c>
      <c r="R1249" s="33">
        <f t="shared" si="261"/>
        <v>15</v>
      </c>
      <c r="S1249" s="34">
        <v>8</v>
      </c>
      <c r="T1249" s="34">
        <f t="shared" si="270"/>
        <v>2</v>
      </c>
      <c r="U1249" s="33">
        <f t="shared" si="262"/>
        <v>240</v>
      </c>
      <c r="V1249" s="38" t="s">
        <v>827</v>
      </c>
      <c r="W1249" s="39">
        <f t="shared" si="263"/>
        <v>0.17647058823529413</v>
      </c>
      <c r="X1249" s="40" t="s">
        <v>304</v>
      </c>
      <c r="Y1249" s="40" t="s">
        <v>284</v>
      </c>
      <c r="Z1249" s="40" t="s">
        <v>305</v>
      </c>
      <c r="AA1249" s="33" t="s">
        <v>771</v>
      </c>
      <c r="AB1249" s="95"/>
      <c r="AC1249" s="95"/>
    </row>
    <row r="1250" spans="1:29" ht="14.45" hidden="1" customHeight="1" x14ac:dyDescent="0.25">
      <c r="A1250" s="36" t="str">
        <f>INDEX('Base de données Mono'!C:C,MATCH(B1250,'Base de données Mono'!D:D,0))</f>
        <v>NICE CIMIEZ</v>
      </c>
      <c r="B1250" t="s">
        <v>194</v>
      </c>
      <c r="C1250" s="36" t="str">
        <f>INDEX('Base de données Mono'!B:B,MATCH(B1250,'Base de données Mono'!D:D,0))</f>
        <v>SES8</v>
      </c>
      <c r="D1250" s="36" t="str">
        <f>INDEX('Base de données Mono'!A:A,MATCH(B1250,'Base de données Mono'!D:D,0))</f>
        <v>JG</v>
      </c>
      <c r="E1250" s="37" t="s">
        <v>303</v>
      </c>
      <c r="F1250" s="41">
        <f t="shared" si="259"/>
        <v>16</v>
      </c>
      <c r="G1250" s="41">
        <f t="shared" si="260"/>
        <v>4</v>
      </c>
      <c r="I1250" s="131">
        <f>INDEX('Base de données Mono'!K:K,MATCH(B1250,'Base de données Mono'!D:D,0))</f>
        <v>0.23611111111111113</v>
      </c>
      <c r="J1250" s="131">
        <f>INDEX('Base de données Mono'!L:L,MATCH(B1250,'Base de données Mono'!D:D,0))</f>
        <v>0.875</v>
      </c>
      <c r="K1250" s="131">
        <f>INDEX('Base de données Mono'!M:M,MATCH(B1250,'Base de données Mono'!D:D,0))</f>
        <v>0.28472222222222221</v>
      </c>
      <c r="L1250" s="131">
        <f>INDEX('Base de données Mono'!N:N,MATCH(B1250,'Base de données Mono'!D:D,0))</f>
        <v>0.54166666666666663</v>
      </c>
      <c r="M1250" s="33" t="s">
        <v>46</v>
      </c>
      <c r="N1250" s="33">
        <f>IF(AND(E1250="Electricité",M1250="Hiver"),INDEX('Base de données Mono'!E:E,MATCH(B1250,'Base de données Mono'!D:D,0)),IF(AND(E1250="Electricité",M1250="Mi-saison"),INDEX('Base de données Mono'!F:F,MATCH(B1250,'Base de données Mono'!D:D,0)),IF(AND(E1250="Electricité",M1250="Eté"),INDEX('Base de données Mono'!G:G,MATCH(B1250,'Base de données Mono'!D:D,0)),IF(AND(E1250="Gaz",M1250="Hiver"),INDEX('Base de données Mono'!J:J,MATCH(B1250,'Base de données Mono'!D:D,0)),IF(AND(E1250="Gaz",M1250="Mi-saison"),INDEX('Base de données Mono'!#REF!,MATCH(B1250,'Base de données Mono'!D:D,0)),IF(AND(E1250="Gaz",M1250="Eté"),INDEX('Base de données Mono'!#REF!,MATCH(B1250,'Base de données Mono'!D:D,0)),"-"))))))</f>
        <v>85</v>
      </c>
      <c r="O1250" s="123">
        <v>45396</v>
      </c>
      <c r="P1250" s="123">
        <v>45402</v>
      </c>
      <c r="Q1250" s="34">
        <v>125</v>
      </c>
      <c r="R1250" s="33">
        <f t="shared" si="261"/>
        <v>40</v>
      </c>
      <c r="S1250" s="34">
        <v>0.6</v>
      </c>
      <c r="T1250" s="34">
        <f t="shared" si="270"/>
        <v>6</v>
      </c>
      <c r="U1250" s="33">
        <f t="shared" si="262"/>
        <v>144</v>
      </c>
      <c r="V1250" s="38" t="s">
        <v>827</v>
      </c>
      <c r="W1250" s="39">
        <f t="shared" si="263"/>
        <v>0.47058823529411764</v>
      </c>
      <c r="X1250" s="40" t="s">
        <v>304</v>
      </c>
      <c r="Y1250" s="40" t="s">
        <v>284</v>
      </c>
      <c r="Z1250" s="40" t="s">
        <v>307</v>
      </c>
      <c r="AA1250" s="33" t="s">
        <v>414</v>
      </c>
      <c r="AB1250" s="95"/>
      <c r="AC1250" s="95"/>
    </row>
    <row r="1251" spans="1:29" ht="14.45" hidden="1" customHeight="1" x14ac:dyDescent="0.25">
      <c r="A1251" s="36" t="str">
        <f>INDEX('Base de données Mono'!C:C,MATCH(B1251,'Base de données Mono'!D:D,0))</f>
        <v>NICE CIMIEZ</v>
      </c>
      <c r="B1251" t="s">
        <v>194</v>
      </c>
      <c r="C1251" s="36" t="str">
        <f>INDEX('Base de données Mono'!B:B,MATCH(B1251,'Base de données Mono'!D:D,0))</f>
        <v>SES8</v>
      </c>
      <c r="D1251" s="36" t="str">
        <f>INDEX('Base de données Mono'!A:A,MATCH(B1251,'Base de données Mono'!D:D,0))</f>
        <v>JG</v>
      </c>
      <c r="E1251" s="37" t="s">
        <v>303</v>
      </c>
      <c r="F1251" s="41">
        <f t="shared" si="259"/>
        <v>16</v>
      </c>
      <c r="G1251" s="41">
        <f t="shared" si="260"/>
        <v>4</v>
      </c>
      <c r="I1251" s="131">
        <f>INDEX('Base de données Mono'!K:K,MATCH(B1251,'Base de données Mono'!D:D,0))</f>
        <v>0.23611111111111113</v>
      </c>
      <c r="J1251" s="131">
        <f>INDEX('Base de données Mono'!L:L,MATCH(B1251,'Base de données Mono'!D:D,0))</f>
        <v>0.875</v>
      </c>
      <c r="K1251" s="131">
        <f>INDEX('Base de données Mono'!M:M,MATCH(B1251,'Base de données Mono'!D:D,0))</f>
        <v>0.28472222222222221</v>
      </c>
      <c r="L1251" s="131">
        <f>INDEX('Base de données Mono'!N:N,MATCH(B1251,'Base de données Mono'!D:D,0))</f>
        <v>0.54166666666666663</v>
      </c>
      <c r="M1251" s="33" t="s">
        <v>46</v>
      </c>
      <c r="N1251" s="33">
        <f>IF(AND(E1251="Electricité",M1251="Hiver"),INDEX('Base de données Mono'!E:E,MATCH(B1251,'Base de données Mono'!D:D,0)),IF(AND(E1251="Electricité",M1251="Mi-saison"),INDEX('Base de données Mono'!F:F,MATCH(B1251,'Base de données Mono'!D:D,0)),IF(AND(E1251="Electricité",M1251="Eté"),INDEX('Base de données Mono'!G:G,MATCH(B1251,'Base de données Mono'!D:D,0)),IF(AND(E1251="Gaz",M1251="Hiver"),INDEX('Base de données Mono'!J:J,MATCH(B1251,'Base de données Mono'!D:D,0)),IF(AND(E1251="Gaz",M1251="Mi-saison"),INDEX('Base de données Mono'!#REF!,MATCH(B1251,'Base de données Mono'!D:D,0)),IF(AND(E1251="Gaz",M1251="Eté"),INDEX('Base de données Mono'!#REF!,MATCH(B1251,'Base de données Mono'!D:D,0)),"-"))))))</f>
        <v>85</v>
      </c>
      <c r="O1251" s="123">
        <v>45398</v>
      </c>
      <c r="P1251" s="123">
        <v>45402</v>
      </c>
      <c r="Q1251" s="34">
        <v>95</v>
      </c>
      <c r="R1251" s="33">
        <f t="shared" si="261"/>
        <v>10</v>
      </c>
      <c r="S1251" s="34">
        <v>8</v>
      </c>
      <c r="T1251" s="34">
        <f t="shared" si="270"/>
        <v>4</v>
      </c>
      <c r="U1251" s="33">
        <f t="shared" si="262"/>
        <v>320</v>
      </c>
      <c r="V1251" s="38" t="s">
        <v>827</v>
      </c>
      <c r="W1251" s="39">
        <f t="shared" si="263"/>
        <v>0.11764705882352941</v>
      </c>
      <c r="X1251" s="40" t="s">
        <v>304</v>
      </c>
      <c r="Y1251" s="40" t="s">
        <v>284</v>
      </c>
      <c r="Z1251" s="40" t="s">
        <v>305</v>
      </c>
      <c r="AA1251" s="33" t="s">
        <v>771</v>
      </c>
      <c r="AB1251" s="95"/>
      <c r="AC1251" s="95"/>
    </row>
    <row r="1252" spans="1:29" ht="14.45" hidden="1" customHeight="1" x14ac:dyDescent="0.25">
      <c r="A1252" s="36" t="str">
        <f>INDEX('Base de données Mono'!C:C,MATCH(B1252,'Base de données Mono'!D:D,0))</f>
        <v>NICE CIMIEZ</v>
      </c>
      <c r="B1252" t="s">
        <v>194</v>
      </c>
      <c r="C1252" s="36" t="str">
        <f>INDEX('Base de données Mono'!B:B,MATCH(B1252,'Base de données Mono'!D:D,0))</f>
        <v>SES8</v>
      </c>
      <c r="D1252" s="36" t="str">
        <f>INDEX('Base de données Mono'!A:A,MATCH(B1252,'Base de données Mono'!D:D,0))</f>
        <v>JG</v>
      </c>
      <c r="E1252" s="37" t="s">
        <v>303</v>
      </c>
      <c r="F1252" s="41">
        <f t="shared" ref="F1252:F1269" si="271">IF(O1252="","-",IF(AND(X1252="Nuit",WEEKDAY(O1252,2)=7,O1252&lt;&gt;P1252),WEEKNUM(O1252,2),WEEKNUM(O1252,2)-1))+1</f>
        <v>16</v>
      </c>
      <c r="G1252" s="41">
        <f t="shared" ref="G1252:G1269" si="272">IF(O1252="","-",MONTH(O1252))</f>
        <v>4</v>
      </c>
      <c r="I1252" s="131">
        <f>INDEX('Base de données Mono'!K:K,MATCH(B1252,'Base de données Mono'!D:D,0))</f>
        <v>0.23611111111111113</v>
      </c>
      <c r="J1252" s="131">
        <f>INDEX('Base de données Mono'!L:L,MATCH(B1252,'Base de données Mono'!D:D,0))</f>
        <v>0.875</v>
      </c>
      <c r="K1252" s="131">
        <f>INDEX('Base de données Mono'!M:M,MATCH(B1252,'Base de données Mono'!D:D,0))</f>
        <v>0.28472222222222221</v>
      </c>
      <c r="L1252" s="131">
        <f>INDEX('Base de données Mono'!N:N,MATCH(B1252,'Base de données Mono'!D:D,0))</f>
        <v>0.54166666666666663</v>
      </c>
      <c r="M1252" s="33" t="s">
        <v>46</v>
      </c>
      <c r="N1252" s="33">
        <f>IF(AND(E1252="Electricité",M1252="Hiver"),INDEX('Base de données Mono'!E:E,MATCH(B1252,'Base de données Mono'!D:D,0)),IF(AND(E1252="Electricité",M1252="Mi-saison"),INDEX('Base de données Mono'!F:F,MATCH(B1252,'Base de données Mono'!D:D,0)),IF(AND(E1252="Electricité",M1252="Eté"),INDEX('Base de données Mono'!G:G,MATCH(B1252,'Base de données Mono'!D:D,0)),IF(AND(E1252="Gaz",M1252="Hiver"),INDEX('Base de données Mono'!J:J,MATCH(B1252,'Base de données Mono'!D:D,0)),IF(AND(E1252="Gaz",M1252="Mi-saison"),INDEX('Base de données Mono'!#REF!,MATCH(B1252,'Base de données Mono'!D:D,0)),IF(AND(E1252="Gaz",M1252="Eté"),INDEX('Base de données Mono'!#REF!,MATCH(B1252,'Base de données Mono'!D:D,0)),"-"))))))</f>
        <v>85</v>
      </c>
      <c r="O1252" s="123">
        <v>45402</v>
      </c>
      <c r="P1252" s="123">
        <v>45403</v>
      </c>
      <c r="Q1252" s="34">
        <v>95</v>
      </c>
      <c r="R1252" s="33">
        <f t="shared" ref="R1252:R1269" si="273">IF(Q1252="","",Q1252-N1252)</f>
        <v>10</v>
      </c>
      <c r="S1252" s="34">
        <v>6.8</v>
      </c>
      <c r="T1252" s="34">
        <f t="shared" si="270"/>
        <v>1</v>
      </c>
      <c r="U1252" s="33">
        <f t="shared" ref="U1252:U1269" si="274">R1252*S1252*T1252</f>
        <v>68</v>
      </c>
      <c r="V1252" s="38" t="s">
        <v>827</v>
      </c>
      <c r="W1252" s="39">
        <f t="shared" ref="W1252:W1269" si="275">IFERROR(IF(E1252="Gaz","-",R1252/N1252),"-")</f>
        <v>0.11764705882352941</v>
      </c>
      <c r="X1252" s="40" t="s">
        <v>304</v>
      </c>
      <c r="Y1252" s="40" t="s">
        <v>284</v>
      </c>
      <c r="Z1252" s="40" t="s">
        <v>305</v>
      </c>
      <c r="AA1252" s="33" t="s">
        <v>771</v>
      </c>
      <c r="AB1252" s="95"/>
      <c r="AC1252" s="95"/>
    </row>
    <row r="1253" spans="1:29" ht="14.45" hidden="1" customHeight="1" x14ac:dyDescent="0.25">
      <c r="A1253" s="36" t="str">
        <f>INDEX('Base de données Mono'!C:C,MATCH(B1253,'Base de données Mono'!D:D,0))</f>
        <v>NICE CIMIEZ</v>
      </c>
      <c r="B1253" t="s">
        <v>194</v>
      </c>
      <c r="C1253" s="36" t="str">
        <f>INDEX('Base de données Mono'!B:B,MATCH(B1253,'Base de données Mono'!D:D,0))</f>
        <v>SES8</v>
      </c>
      <c r="D1253" s="36" t="str">
        <f>INDEX('Base de données Mono'!A:A,MATCH(B1253,'Base de données Mono'!D:D,0))</f>
        <v>JG</v>
      </c>
      <c r="E1253" s="37" t="s">
        <v>303</v>
      </c>
      <c r="F1253" s="41">
        <f t="shared" si="271"/>
        <v>16</v>
      </c>
      <c r="G1253" s="41">
        <f t="shared" si="272"/>
        <v>4</v>
      </c>
      <c r="I1253" s="131">
        <f>INDEX('Base de données Mono'!K:K,MATCH(B1253,'Base de données Mono'!D:D,0))</f>
        <v>0.23611111111111113</v>
      </c>
      <c r="J1253" s="131">
        <f>INDEX('Base de données Mono'!L:L,MATCH(B1253,'Base de données Mono'!D:D,0))</f>
        <v>0.875</v>
      </c>
      <c r="K1253" s="131">
        <f>INDEX('Base de données Mono'!M:M,MATCH(B1253,'Base de données Mono'!D:D,0))</f>
        <v>0.28472222222222221</v>
      </c>
      <c r="L1253" s="131">
        <f>INDEX('Base de données Mono'!N:N,MATCH(B1253,'Base de données Mono'!D:D,0))</f>
        <v>0.54166666666666663</v>
      </c>
      <c r="M1253" s="33" t="s">
        <v>46</v>
      </c>
      <c r="N1253" s="33">
        <f>IF(AND(E1253="Electricité",M1253="Hiver"),INDEX('Base de données Mono'!E:E,MATCH(B1253,'Base de données Mono'!D:D,0)),IF(AND(E1253="Electricité",M1253="Mi-saison"),INDEX('Base de données Mono'!F:F,MATCH(B1253,'Base de données Mono'!D:D,0)),IF(AND(E1253="Electricité",M1253="Eté"),INDEX('Base de données Mono'!G:G,MATCH(B1253,'Base de données Mono'!D:D,0)),IF(AND(E1253="Gaz",M1253="Hiver"),INDEX('Base de données Mono'!J:J,MATCH(B1253,'Base de données Mono'!D:D,0)),IF(AND(E1253="Gaz",M1253="Mi-saison"),INDEX('Base de données Mono'!#REF!,MATCH(B1253,'Base de données Mono'!D:D,0)),IF(AND(E1253="Gaz",M1253="Eté"),INDEX('Base de données Mono'!#REF!,MATCH(B1253,'Base de données Mono'!D:D,0)),"-"))))))</f>
        <v>85</v>
      </c>
      <c r="O1253" s="123">
        <v>45402</v>
      </c>
      <c r="P1253" s="123">
        <v>45403</v>
      </c>
      <c r="Q1253" s="34">
        <v>115</v>
      </c>
      <c r="R1253" s="33">
        <f t="shared" si="273"/>
        <v>30</v>
      </c>
      <c r="S1253" s="34">
        <v>1.8</v>
      </c>
      <c r="T1253" s="34">
        <f t="shared" si="270"/>
        <v>1</v>
      </c>
      <c r="U1253" s="33">
        <f t="shared" si="274"/>
        <v>54</v>
      </c>
      <c r="V1253" s="38" t="s">
        <v>827</v>
      </c>
      <c r="W1253" s="39">
        <f t="shared" si="275"/>
        <v>0.35294117647058826</v>
      </c>
      <c r="X1253" s="40" t="s">
        <v>304</v>
      </c>
      <c r="Y1253" s="40" t="s">
        <v>284</v>
      </c>
      <c r="Z1253" s="40" t="s">
        <v>307</v>
      </c>
      <c r="AA1253" s="33" t="s">
        <v>414</v>
      </c>
      <c r="AB1253" s="95"/>
      <c r="AC1253" s="95"/>
    </row>
    <row r="1254" spans="1:29" ht="14.45" hidden="1" customHeight="1" x14ac:dyDescent="0.25">
      <c r="A1254" s="36" t="str">
        <f>INDEX('Base de données Mono'!C:C,MATCH(B1254,'Base de données Mono'!D:D,0))</f>
        <v>CHALON SUR SAONE</v>
      </c>
      <c r="B1254" t="s">
        <v>98</v>
      </c>
      <c r="C1254" s="36" t="str">
        <f>INDEX('Base de données Mono'!B:B,MATCH(B1254,'Base de données Mono'!D:D,0))</f>
        <v>SES8</v>
      </c>
      <c r="D1254" s="36" t="str">
        <f>INDEX('Base de données Mono'!A:A,MATCH(B1254,'Base de données Mono'!D:D,0))</f>
        <v>JG</v>
      </c>
      <c r="E1254" s="37" t="s">
        <v>303</v>
      </c>
      <c r="F1254" s="41">
        <f t="shared" si="271"/>
        <v>16</v>
      </c>
      <c r="G1254" s="41">
        <f t="shared" si="272"/>
        <v>4</v>
      </c>
      <c r="I1254" s="131">
        <f>INDEX('Base de données Mono'!K:K,MATCH(B1254,'Base de données Mono'!D:D,0))</f>
        <v>0.25</v>
      </c>
      <c r="J1254" s="131">
        <f>INDEX('Base de données Mono'!L:L,MATCH(B1254,'Base de données Mono'!D:D,0))</f>
        <v>0.83333333333333304</v>
      </c>
      <c r="K1254" s="131" t="str">
        <f>INDEX('Base de données Mono'!M:M,MATCH(B1254,'Base de données Mono'!D:D,0))</f>
        <v>-</v>
      </c>
      <c r="L1254" s="131" t="str">
        <f>INDEX('Base de données Mono'!N:N,MATCH(B1254,'Base de données Mono'!D:D,0))</f>
        <v>-</v>
      </c>
      <c r="M1254" s="33" t="s">
        <v>46</v>
      </c>
      <c r="N1254" s="33">
        <f>IF(AND(E1254="Electricité",M1254="Hiver"),INDEX('Base de données Mono'!E:E,MATCH(B1254,'Base de données Mono'!D:D,0)),IF(AND(E1254="Electricité",M1254="Mi-saison"),INDEX('Base de données Mono'!F:F,MATCH(B1254,'Base de données Mono'!D:D,0)),IF(AND(E1254="Electricité",M1254="Eté"),INDEX('Base de données Mono'!G:G,MATCH(B1254,'Base de données Mono'!D:D,0)),IF(AND(E1254="Gaz",M1254="Hiver"),INDEX('Base de données Mono'!J:J,MATCH(B1254,'Base de données Mono'!D:D,0)),IF(AND(E1254="Gaz",M1254="Mi-saison"),INDEX('Base de données Mono'!#REF!,MATCH(B1254,'Base de données Mono'!D:D,0)),IF(AND(E1254="Gaz",M1254="Eté"),INDEX('Base de données Mono'!#REF!,MATCH(B1254,'Base de données Mono'!D:D,0)),"-"))))))</f>
        <v>45</v>
      </c>
      <c r="O1254" s="123">
        <v>45396</v>
      </c>
      <c r="P1254" s="123">
        <v>45397</v>
      </c>
      <c r="Q1254" s="34">
        <v>60</v>
      </c>
      <c r="R1254" s="33">
        <f t="shared" si="273"/>
        <v>15</v>
      </c>
      <c r="S1254" s="34">
        <v>2</v>
      </c>
      <c r="T1254" s="34">
        <f t="shared" si="270"/>
        <v>1</v>
      </c>
      <c r="U1254" s="33">
        <f t="shared" si="274"/>
        <v>30</v>
      </c>
      <c r="V1254" s="38" t="s">
        <v>827</v>
      </c>
      <c r="W1254" s="39">
        <f t="shared" si="275"/>
        <v>0.33333333333333331</v>
      </c>
      <c r="X1254" s="40" t="s">
        <v>304</v>
      </c>
      <c r="Y1254" s="40" t="s">
        <v>283</v>
      </c>
      <c r="Z1254" s="40" t="s">
        <v>749</v>
      </c>
      <c r="AA1254" s="33" t="s">
        <v>749</v>
      </c>
      <c r="AB1254" s="95"/>
      <c r="AC1254" s="95"/>
    </row>
    <row r="1255" spans="1:29" ht="14.45" hidden="1" customHeight="1" x14ac:dyDescent="0.25">
      <c r="A1255" s="36" t="str">
        <f>INDEX('Base de données Mono'!C:C,MATCH(B1255,'Base de données Mono'!D:D,0))</f>
        <v>CHALON SUR SAONE</v>
      </c>
      <c r="B1255" t="s">
        <v>98</v>
      </c>
      <c r="C1255" s="36" t="str">
        <f>INDEX('Base de données Mono'!B:B,MATCH(B1255,'Base de données Mono'!D:D,0))</f>
        <v>SES8</v>
      </c>
      <c r="D1255" s="36" t="str">
        <f>INDEX('Base de données Mono'!A:A,MATCH(B1255,'Base de données Mono'!D:D,0))</f>
        <v>JG</v>
      </c>
      <c r="E1255" s="37" t="s">
        <v>303</v>
      </c>
      <c r="F1255" s="41">
        <f t="shared" si="271"/>
        <v>16</v>
      </c>
      <c r="G1255" s="41">
        <f t="shared" si="272"/>
        <v>4</v>
      </c>
      <c r="I1255" s="131">
        <f>INDEX('Base de données Mono'!K:K,MATCH(B1255,'Base de données Mono'!D:D,0))</f>
        <v>0.25</v>
      </c>
      <c r="J1255" s="131">
        <f>INDEX('Base de données Mono'!L:L,MATCH(B1255,'Base de données Mono'!D:D,0))</f>
        <v>0.83333333333333304</v>
      </c>
      <c r="K1255" s="131" t="str">
        <f>INDEX('Base de données Mono'!M:M,MATCH(B1255,'Base de données Mono'!D:D,0))</f>
        <v>-</v>
      </c>
      <c r="L1255" s="131" t="str">
        <f>INDEX('Base de données Mono'!N:N,MATCH(B1255,'Base de données Mono'!D:D,0))</f>
        <v>-</v>
      </c>
      <c r="M1255" s="33" t="s">
        <v>46</v>
      </c>
      <c r="N1255" s="33">
        <f>IF(AND(E1255="Electricité",M1255="Hiver"),INDEX('Base de données Mono'!E:E,MATCH(B1255,'Base de données Mono'!D:D,0)),IF(AND(E1255="Electricité",M1255="Mi-saison"),INDEX('Base de données Mono'!F:F,MATCH(B1255,'Base de données Mono'!D:D,0)),IF(AND(E1255="Electricité",M1255="Eté"),INDEX('Base de données Mono'!G:G,MATCH(B1255,'Base de données Mono'!D:D,0)),IF(AND(E1255="Gaz",M1255="Hiver"),INDEX('Base de données Mono'!J:J,MATCH(B1255,'Base de données Mono'!D:D,0)),IF(AND(E1255="Gaz",M1255="Mi-saison"),INDEX('Base de données Mono'!#REF!,MATCH(B1255,'Base de données Mono'!D:D,0)),IF(AND(E1255="Gaz",M1255="Eté"),INDEX('Base de données Mono'!#REF!,MATCH(B1255,'Base de données Mono'!D:D,0)),"-"))))))</f>
        <v>45</v>
      </c>
      <c r="O1255" s="123">
        <v>45397</v>
      </c>
      <c r="P1255" s="123">
        <v>45402</v>
      </c>
      <c r="Q1255" s="34">
        <v>50</v>
      </c>
      <c r="R1255" s="33">
        <f t="shared" si="273"/>
        <v>5</v>
      </c>
      <c r="S1255" s="34">
        <v>2</v>
      </c>
      <c r="T1255" s="34">
        <f t="shared" si="270"/>
        <v>5</v>
      </c>
      <c r="U1255" s="33">
        <f t="shared" si="274"/>
        <v>50</v>
      </c>
      <c r="V1255" s="38" t="s">
        <v>827</v>
      </c>
      <c r="W1255" s="39">
        <f t="shared" si="275"/>
        <v>0.1111111111111111</v>
      </c>
      <c r="X1255" s="40" t="s">
        <v>304</v>
      </c>
      <c r="Y1255" s="40" t="s">
        <v>284</v>
      </c>
      <c r="Z1255" s="40" t="s">
        <v>305</v>
      </c>
      <c r="AA1255" s="33" t="s">
        <v>771</v>
      </c>
      <c r="AB1255" s="95"/>
      <c r="AC1255" s="95"/>
    </row>
    <row r="1256" spans="1:29" ht="14.45" hidden="1" customHeight="1" x14ac:dyDescent="0.25">
      <c r="A1256" s="36" t="str">
        <f>INDEX('Base de données Mono'!C:C,MATCH(B1256,'Base de données Mono'!D:D,0))</f>
        <v>DIJON</v>
      </c>
      <c r="B1256" t="s">
        <v>119</v>
      </c>
      <c r="C1256" s="36" t="str">
        <f>INDEX('Base de données Mono'!B:B,MATCH(B1256,'Base de données Mono'!D:D,0))</f>
        <v>SES8</v>
      </c>
      <c r="D1256" s="36" t="str">
        <f>INDEX('Base de données Mono'!A:A,MATCH(B1256,'Base de données Mono'!D:D,0))</f>
        <v>JG</v>
      </c>
      <c r="E1256" s="37" t="s">
        <v>303</v>
      </c>
      <c r="F1256" s="41">
        <f t="shared" si="271"/>
        <v>16</v>
      </c>
      <c r="G1256" s="41">
        <f t="shared" si="272"/>
        <v>4</v>
      </c>
      <c r="I1256" s="131">
        <f>INDEX('Base de données Mono'!K:K,MATCH(B1256,'Base de données Mono'!D:D,0))</f>
        <v>0.24305555555555555</v>
      </c>
      <c r="J1256" s="131">
        <f>INDEX('Base de données Mono'!L:L,MATCH(B1256,'Base de données Mono'!D:D,0))</f>
        <v>0.875</v>
      </c>
      <c r="K1256" s="131">
        <f>INDEX('Base de données Mono'!M:M,MATCH(B1256,'Base de données Mono'!D:D,0))</f>
        <v>0.3125</v>
      </c>
      <c r="L1256" s="131">
        <f>INDEX('Base de données Mono'!N:N,MATCH(B1256,'Base de données Mono'!D:D,0))</f>
        <v>0.54166666666666663</v>
      </c>
      <c r="M1256" s="33" t="s">
        <v>46</v>
      </c>
      <c r="N1256" s="33">
        <f>IF(AND(E1256="Electricité",M1256="Hiver"),INDEX('Base de données Mono'!E:E,MATCH(B1256,'Base de données Mono'!D:D,0)),IF(AND(E1256="Electricité",M1256="Mi-saison"),INDEX('Base de données Mono'!F:F,MATCH(B1256,'Base de données Mono'!D:D,0)),IF(AND(E1256="Electricité",M1256="Eté"),INDEX('Base de données Mono'!G:G,MATCH(B1256,'Base de données Mono'!D:D,0)),IF(AND(E1256="Gaz",M1256="Hiver"),INDEX('Base de données Mono'!J:J,MATCH(B1256,'Base de données Mono'!D:D,0)),IF(AND(E1256="Gaz",M1256="Mi-saison"),INDEX('Base de données Mono'!#REF!,MATCH(B1256,'Base de données Mono'!D:D,0)),IF(AND(E1256="Gaz",M1256="Eté"),INDEX('Base de données Mono'!#REF!,MATCH(B1256,'Base de données Mono'!D:D,0)),"-"))))))</f>
        <v>55</v>
      </c>
      <c r="O1256" s="123">
        <v>45396</v>
      </c>
      <c r="P1256" s="123">
        <v>45403</v>
      </c>
      <c r="Q1256" s="34">
        <v>70</v>
      </c>
      <c r="R1256" s="33">
        <f t="shared" si="273"/>
        <v>15</v>
      </c>
      <c r="S1256" s="34">
        <v>8.8000000000000007</v>
      </c>
      <c r="T1256" s="34">
        <f t="shared" si="270"/>
        <v>7</v>
      </c>
      <c r="U1256" s="33">
        <f t="shared" si="274"/>
        <v>924</v>
      </c>
      <c r="V1256" s="38" t="s">
        <v>827</v>
      </c>
      <c r="W1256" s="39">
        <f t="shared" si="275"/>
        <v>0.27272727272727271</v>
      </c>
      <c r="X1256" s="40" t="s">
        <v>304</v>
      </c>
      <c r="Y1256" s="40" t="s">
        <v>284</v>
      </c>
      <c r="Z1256" s="40" t="s">
        <v>305</v>
      </c>
      <c r="AA1256" s="33" t="s">
        <v>771</v>
      </c>
      <c r="AB1256" s="95"/>
      <c r="AC1256" s="95"/>
    </row>
    <row r="1257" spans="1:29" ht="14.45" hidden="1" customHeight="1" x14ac:dyDescent="0.25">
      <c r="A1257" s="36" t="str">
        <f>INDEX('Base de données Mono'!C:C,MATCH(B1257,'Base de données Mono'!D:D,0))</f>
        <v>LYON VALMY</v>
      </c>
      <c r="B1257" t="s">
        <v>22</v>
      </c>
      <c r="C1257" s="36" t="str">
        <f>INDEX('Base de données Mono'!B:B,MATCH(B1257,'Base de données Mono'!D:D,0))</f>
        <v>SES8</v>
      </c>
      <c r="D1257" s="36" t="str">
        <f>INDEX('Base de données Mono'!A:A,MATCH(B1257,'Base de données Mono'!D:D,0))</f>
        <v>JG</v>
      </c>
      <c r="E1257" s="37" t="s">
        <v>303</v>
      </c>
      <c r="F1257" s="41">
        <f t="shared" si="271"/>
        <v>16</v>
      </c>
      <c r="G1257" s="41">
        <f t="shared" si="272"/>
        <v>4</v>
      </c>
      <c r="I1257" s="131">
        <f>INDEX('Base de données Mono'!K:K,MATCH(B1257,'Base de données Mono'!D:D,0))</f>
        <v>0.20833333333333334</v>
      </c>
      <c r="J1257" s="131">
        <f>INDEX('Base de données Mono'!L:L,MATCH(B1257,'Base de données Mono'!D:D,0))</f>
        <v>0.88541666666666663</v>
      </c>
      <c r="K1257" s="131">
        <f>INDEX('Base de données Mono'!M:M,MATCH(B1257,'Base de données Mono'!D:D,0))</f>
        <v>0.31944444444444448</v>
      </c>
      <c r="L1257" s="131">
        <f>INDEX('Base de données Mono'!N:N,MATCH(B1257,'Base de données Mono'!D:D,0))</f>
        <v>0.55208333333333337</v>
      </c>
      <c r="M1257" s="33" t="s">
        <v>46</v>
      </c>
      <c r="N1257" s="33">
        <f>IF(AND(E1257="Electricité",M1257="Hiver"),INDEX('Base de données Mono'!E:E,MATCH(B1257,'Base de données Mono'!D:D,0)),IF(AND(E1257="Electricité",M1257="Mi-saison"),INDEX('Base de données Mono'!F:F,MATCH(B1257,'Base de données Mono'!D:D,0)),IF(AND(E1257="Electricité",M1257="Eté"),INDEX('Base de données Mono'!G:G,MATCH(B1257,'Base de données Mono'!D:D,0)),IF(AND(E1257="Gaz",M1257="Hiver"),INDEX('Base de données Mono'!J:J,MATCH(B1257,'Base de données Mono'!D:D,0)),IF(AND(E1257="Gaz",M1257="Mi-saison"),INDEX('Base de données Mono'!#REF!,MATCH(B1257,'Base de données Mono'!D:D,0)),IF(AND(E1257="Gaz",M1257="Eté"),INDEX('Base de données Mono'!#REF!,MATCH(B1257,'Base de données Mono'!D:D,0)),"-"))))))</f>
        <v>50</v>
      </c>
      <c r="O1257" s="123">
        <v>45396</v>
      </c>
      <c r="P1257" s="123">
        <v>45397</v>
      </c>
      <c r="Q1257" s="34">
        <v>65</v>
      </c>
      <c r="R1257" s="33">
        <f t="shared" si="273"/>
        <v>15</v>
      </c>
      <c r="S1257" s="34">
        <v>7.7</v>
      </c>
      <c r="T1257" s="34">
        <f t="shared" si="270"/>
        <v>1</v>
      </c>
      <c r="U1257" s="33">
        <f t="shared" si="274"/>
        <v>115.5</v>
      </c>
      <c r="V1257" s="38" t="s">
        <v>827</v>
      </c>
      <c r="W1257" s="39">
        <f t="shared" si="275"/>
        <v>0.3</v>
      </c>
      <c r="X1257" s="40" t="s">
        <v>304</v>
      </c>
      <c r="Y1257" s="40" t="s">
        <v>284</v>
      </c>
      <c r="Z1257" s="40" t="s">
        <v>305</v>
      </c>
      <c r="AA1257" s="33" t="s">
        <v>771</v>
      </c>
      <c r="AB1257" s="95"/>
      <c r="AC1257" s="95"/>
    </row>
    <row r="1258" spans="1:29" ht="14.45" hidden="1" customHeight="1" x14ac:dyDescent="0.25">
      <c r="A1258" s="36" t="str">
        <f>INDEX('Base de données Mono'!C:C,MATCH(B1258,'Base de données Mono'!D:D,0))</f>
        <v>LYON VALMY</v>
      </c>
      <c r="B1258" t="s">
        <v>22</v>
      </c>
      <c r="C1258" s="36" t="str">
        <f>INDEX('Base de données Mono'!B:B,MATCH(B1258,'Base de données Mono'!D:D,0))</f>
        <v>SES8</v>
      </c>
      <c r="D1258" s="36" t="str">
        <f>INDEX('Base de données Mono'!A:A,MATCH(B1258,'Base de données Mono'!D:D,0))</f>
        <v>JG</v>
      </c>
      <c r="E1258" s="37" t="s">
        <v>303</v>
      </c>
      <c r="F1258" s="41">
        <f t="shared" ref="F1258" si="276">IF(O1258="","-",IF(AND(X1258="Nuit",WEEKDAY(O1258,2)=7,O1258&lt;&gt;P1258),WEEKNUM(O1258,2),WEEKNUM(O1258,2)-1))+1</f>
        <v>16</v>
      </c>
      <c r="G1258" s="41">
        <f t="shared" ref="G1258" si="277">IF(O1258="","-",MONTH(O1258))</f>
        <v>4</v>
      </c>
      <c r="I1258" s="131">
        <f>INDEX('Base de données Mono'!K:K,MATCH(B1258,'Base de données Mono'!D:D,0))</f>
        <v>0.20833333333333334</v>
      </c>
      <c r="J1258" s="131">
        <f>INDEX('Base de données Mono'!L:L,MATCH(B1258,'Base de données Mono'!D:D,0))</f>
        <v>0.88541666666666663</v>
      </c>
      <c r="K1258" s="131">
        <f>INDEX('Base de données Mono'!M:M,MATCH(B1258,'Base de données Mono'!D:D,0))</f>
        <v>0.31944444444444448</v>
      </c>
      <c r="L1258" s="131">
        <f>INDEX('Base de données Mono'!N:N,MATCH(B1258,'Base de données Mono'!D:D,0))</f>
        <v>0.55208333333333337</v>
      </c>
      <c r="M1258" s="33" t="s">
        <v>46</v>
      </c>
      <c r="N1258" s="33">
        <f>IF(AND(E1258="Electricité",M1258="Hiver"),INDEX('Base de données Mono'!E:E,MATCH(B1258,'Base de données Mono'!D:D,0)),IF(AND(E1258="Electricité",M1258="Mi-saison"),INDEX('Base de données Mono'!F:F,MATCH(B1258,'Base de données Mono'!D:D,0)),IF(AND(E1258="Electricité",M1258="Eté"),INDEX('Base de données Mono'!G:G,MATCH(B1258,'Base de données Mono'!D:D,0)),IF(AND(E1258="Gaz",M1258="Hiver"),INDEX('Base de données Mono'!J:J,MATCH(B1258,'Base de données Mono'!D:D,0)),IF(AND(E1258="Gaz",M1258="Mi-saison"),INDEX('Base de données Mono'!#REF!,MATCH(B1258,'Base de données Mono'!D:D,0)),IF(AND(E1258="Gaz",M1258="Eté"),INDEX('Base de données Mono'!#REF!,MATCH(B1258,'Base de données Mono'!D:D,0)),"-"))))))</f>
        <v>50</v>
      </c>
      <c r="O1258" s="123">
        <v>45397</v>
      </c>
      <c r="P1258" s="123">
        <v>45403</v>
      </c>
      <c r="Q1258" s="34">
        <v>70</v>
      </c>
      <c r="R1258" s="33">
        <f t="shared" ref="R1258" si="278">IF(Q1258="","",Q1258-N1258)</f>
        <v>20</v>
      </c>
      <c r="S1258" s="34">
        <v>0.7</v>
      </c>
      <c r="T1258" s="34">
        <f t="shared" ref="T1258" si="279">P1258-O1258</f>
        <v>6</v>
      </c>
      <c r="U1258" s="33">
        <f t="shared" ref="U1258" si="280">R1258*S1258*T1258</f>
        <v>84</v>
      </c>
      <c r="V1258" s="38" t="s">
        <v>827</v>
      </c>
      <c r="W1258" s="39">
        <f t="shared" ref="W1258" si="281">IFERROR(IF(E1258="Gaz","-",R1258/N1258),"-")</f>
        <v>0.4</v>
      </c>
      <c r="X1258" s="40" t="s">
        <v>304</v>
      </c>
      <c r="Y1258" s="40" t="s">
        <v>284</v>
      </c>
      <c r="Z1258" s="40" t="s">
        <v>307</v>
      </c>
      <c r="AA1258" s="33" t="s">
        <v>313</v>
      </c>
      <c r="AB1258" s="95"/>
      <c r="AC1258" s="95"/>
    </row>
    <row r="1259" spans="1:29" ht="14.45" hidden="1" customHeight="1" x14ac:dyDescent="0.25">
      <c r="A1259" s="36" t="str">
        <f>INDEX('Base de données Mono'!C:C,MATCH(B1259,'Base de données Mono'!D:D,0))</f>
        <v>LYON VALMY</v>
      </c>
      <c r="B1259" t="s">
        <v>22</v>
      </c>
      <c r="C1259" s="36" t="str">
        <f>INDEX('Base de données Mono'!B:B,MATCH(B1259,'Base de données Mono'!D:D,0))</f>
        <v>SES8</v>
      </c>
      <c r="D1259" s="36" t="str">
        <f>INDEX('Base de données Mono'!A:A,MATCH(B1259,'Base de données Mono'!D:D,0))</f>
        <v>JG</v>
      </c>
      <c r="E1259" s="37" t="s">
        <v>303</v>
      </c>
      <c r="F1259" s="41">
        <f t="shared" si="271"/>
        <v>16</v>
      </c>
      <c r="G1259" s="41">
        <f t="shared" si="272"/>
        <v>4</v>
      </c>
      <c r="I1259" s="131">
        <f>INDEX('Base de données Mono'!K:K,MATCH(B1259,'Base de données Mono'!D:D,0))</f>
        <v>0.20833333333333334</v>
      </c>
      <c r="J1259" s="131">
        <f>INDEX('Base de données Mono'!L:L,MATCH(B1259,'Base de données Mono'!D:D,0))</f>
        <v>0.88541666666666663</v>
      </c>
      <c r="K1259" s="131">
        <f>INDEX('Base de données Mono'!M:M,MATCH(B1259,'Base de données Mono'!D:D,0))</f>
        <v>0.31944444444444448</v>
      </c>
      <c r="L1259" s="131">
        <f>INDEX('Base de données Mono'!N:N,MATCH(B1259,'Base de données Mono'!D:D,0))</f>
        <v>0.55208333333333337</v>
      </c>
      <c r="M1259" s="33" t="s">
        <v>46</v>
      </c>
      <c r="N1259" s="33">
        <f>IF(AND(E1259="Electricité",M1259="Hiver"),INDEX('Base de données Mono'!E:E,MATCH(B1259,'Base de données Mono'!D:D,0)),IF(AND(E1259="Electricité",M1259="Mi-saison"),INDEX('Base de données Mono'!F:F,MATCH(B1259,'Base de données Mono'!D:D,0)),IF(AND(E1259="Electricité",M1259="Eté"),INDEX('Base de données Mono'!G:G,MATCH(B1259,'Base de données Mono'!D:D,0)),IF(AND(E1259="Gaz",M1259="Hiver"),INDEX('Base de données Mono'!J:J,MATCH(B1259,'Base de données Mono'!D:D,0)),IF(AND(E1259="Gaz",M1259="Mi-saison"),INDEX('Base de données Mono'!#REF!,MATCH(B1259,'Base de données Mono'!D:D,0)),IF(AND(E1259="Gaz",M1259="Eté"),INDEX('Base de données Mono'!#REF!,MATCH(B1259,'Base de données Mono'!D:D,0)),"-"))))))</f>
        <v>50</v>
      </c>
      <c r="O1259" s="123">
        <v>45397</v>
      </c>
      <c r="P1259" s="123">
        <v>45403</v>
      </c>
      <c r="Q1259" s="34">
        <v>55</v>
      </c>
      <c r="R1259" s="33">
        <f t="shared" si="273"/>
        <v>5</v>
      </c>
      <c r="S1259" s="34">
        <v>7</v>
      </c>
      <c r="T1259" s="34">
        <f t="shared" si="270"/>
        <v>6</v>
      </c>
      <c r="U1259" s="33">
        <f t="shared" si="274"/>
        <v>210</v>
      </c>
      <c r="V1259" s="38" t="s">
        <v>827</v>
      </c>
      <c r="W1259" s="39">
        <f t="shared" si="275"/>
        <v>0.1</v>
      </c>
      <c r="X1259" s="40" t="s">
        <v>304</v>
      </c>
      <c r="Y1259" s="40" t="s">
        <v>284</v>
      </c>
      <c r="Z1259" s="40" t="s">
        <v>305</v>
      </c>
      <c r="AA1259" s="33" t="s">
        <v>771</v>
      </c>
      <c r="AB1259" s="95"/>
      <c r="AC1259" s="95"/>
    </row>
    <row r="1260" spans="1:29" ht="14.45" hidden="1" customHeight="1" x14ac:dyDescent="0.25">
      <c r="A1260" s="36" t="str">
        <f>INDEX('Base de données Mono'!C:C,MATCH(B1260,'Base de données Mono'!D:D,0))</f>
        <v>LYON GBL</v>
      </c>
      <c r="B1260" t="s">
        <v>167</v>
      </c>
      <c r="C1260" s="36" t="str">
        <f>INDEX('Base de données Mono'!B:B,MATCH(B1260,'Base de données Mono'!D:D,0))</f>
        <v>SES8</v>
      </c>
      <c r="D1260" s="36" t="str">
        <f>INDEX('Base de données Mono'!A:A,MATCH(B1260,'Base de données Mono'!D:D,0))</f>
        <v>JG</v>
      </c>
      <c r="E1260" s="37" t="s">
        <v>303</v>
      </c>
      <c r="F1260" s="41">
        <f>IF(O1260="","-",IF(AND(X1260="Nuit",WEEKDAY(O1260,2)=7,O1260&lt;&gt;P1260),WEEKNUM(O1260,2),WEEKNUM(O1260,2)-1))+1</f>
        <v>16</v>
      </c>
      <c r="G1260" s="41">
        <f>IF(O1260="","-",MONTH(O1260))</f>
        <v>4</v>
      </c>
      <c r="I1260" s="131">
        <f>INDEX('Base de données Mono'!K:K,MATCH(B1260,'Base de données Mono'!D:D,0))</f>
        <v>0.19791666666666666</v>
      </c>
      <c r="J1260" s="131">
        <f>INDEX('Base de données Mono'!L:L,MATCH(B1260,'Base de données Mono'!D:D,0))</f>
        <v>0.89583333333333337</v>
      </c>
      <c r="K1260" s="131">
        <f>INDEX('Base de données Mono'!M:M,MATCH(B1260,'Base de données Mono'!D:D,0))</f>
        <v>0.27083333333333331</v>
      </c>
      <c r="L1260" s="131">
        <f>INDEX('Base de données Mono'!N:N,MATCH(B1260,'Base de données Mono'!D:D,0))</f>
        <v>0.54166666666666663</v>
      </c>
      <c r="M1260" s="33" t="s">
        <v>46</v>
      </c>
      <c r="N1260" s="33">
        <f>IF(AND(E1260="Electricité",M1260="Hiver"),INDEX('Base de données Mono'!E:E,MATCH(B1260,'Base de données Mono'!D:D,0)),IF(AND(E1260="Electricité",M1260="Mi-saison"),INDEX('Base de données Mono'!F:F,MATCH(B1260,'Base de données Mono'!D:D,0)),IF(AND(E1260="Electricité",M1260="Eté"),INDEX('Base de données Mono'!G:G,MATCH(B1260,'Base de données Mono'!D:D,0)),IF(AND(E1260="Gaz",M1260="Hiver"),INDEX('Base de données Mono'!J:J,MATCH(B1260,'Base de données Mono'!D:D,0)),IF(AND(E1260="Gaz",M1260="Mi-saison"),INDEX('Base de données Mono'!#REF!,MATCH(B1260,'Base de données Mono'!D:D,0)),IF(AND(E1260="Gaz",M1260="Eté"),INDEX('Base de données Mono'!#REF!,MATCH(B1260,'Base de données Mono'!D:D,0)),"-"))))))</f>
        <v>120</v>
      </c>
      <c r="O1260" s="123">
        <v>45396</v>
      </c>
      <c r="P1260" s="123">
        <v>45397</v>
      </c>
      <c r="Q1260" s="34">
        <v>155</v>
      </c>
      <c r="R1260" s="33">
        <f>IF(Q1260="","",Q1260-N1260)</f>
        <v>35</v>
      </c>
      <c r="S1260" s="34">
        <v>4.7</v>
      </c>
      <c r="T1260" s="34">
        <f>P1260-O1260</f>
        <v>1</v>
      </c>
      <c r="U1260" s="33">
        <f>R1260*S1260*T1260</f>
        <v>164.5</v>
      </c>
      <c r="V1260" s="38" t="s">
        <v>827</v>
      </c>
      <c r="W1260" s="39">
        <f>IFERROR(IF(E1260="Gaz","-",R1260/N1260),"-")</f>
        <v>0.29166666666666669</v>
      </c>
      <c r="X1260" s="40" t="s">
        <v>304</v>
      </c>
      <c r="Y1260" s="40" t="s">
        <v>284</v>
      </c>
      <c r="Z1260" s="40" t="s">
        <v>305</v>
      </c>
      <c r="AA1260" s="33" t="s">
        <v>771</v>
      </c>
      <c r="AB1260" s="95"/>
      <c r="AC1260" s="95"/>
    </row>
    <row r="1261" spans="1:29" ht="14.45" hidden="1" customHeight="1" x14ac:dyDescent="0.25">
      <c r="A1261" s="36" t="str">
        <f>INDEX('Base de données Mono'!C:C,MATCH(B1261,'Base de données Mono'!D:D,0))</f>
        <v>LYON GBL</v>
      </c>
      <c r="B1261" t="s">
        <v>167</v>
      </c>
      <c r="C1261" s="36" t="str">
        <f>INDEX('Base de données Mono'!B:B,MATCH(B1261,'Base de données Mono'!D:D,0))</f>
        <v>SES8</v>
      </c>
      <c r="D1261" s="36" t="str">
        <f>INDEX('Base de données Mono'!A:A,MATCH(B1261,'Base de données Mono'!D:D,0))</f>
        <v>JG</v>
      </c>
      <c r="E1261" s="37" t="s">
        <v>303</v>
      </c>
      <c r="F1261" s="41">
        <f t="shared" ref="F1261" si="282">IF(O1261="","-",IF(AND(X1261="Nuit",WEEKDAY(O1261,2)=7,O1261&lt;&gt;P1261),WEEKNUM(O1261,2),WEEKNUM(O1261,2)-1))+1</f>
        <v>16</v>
      </c>
      <c r="G1261" s="41">
        <f t="shared" ref="G1261" si="283">IF(O1261="","-",MONTH(O1261))</f>
        <v>4</v>
      </c>
      <c r="I1261" s="131">
        <f>INDEX('Base de données Mono'!K:K,MATCH(B1261,'Base de données Mono'!D:D,0))</f>
        <v>0.19791666666666666</v>
      </c>
      <c r="J1261" s="131">
        <f>INDEX('Base de données Mono'!L:L,MATCH(B1261,'Base de données Mono'!D:D,0))</f>
        <v>0.89583333333333337</v>
      </c>
      <c r="K1261" s="131">
        <f>INDEX('Base de données Mono'!M:M,MATCH(B1261,'Base de données Mono'!D:D,0))</f>
        <v>0.27083333333333331</v>
      </c>
      <c r="L1261" s="131">
        <f>INDEX('Base de données Mono'!N:N,MATCH(B1261,'Base de données Mono'!D:D,0))</f>
        <v>0.54166666666666663</v>
      </c>
      <c r="M1261" s="33" t="s">
        <v>46</v>
      </c>
      <c r="N1261" s="33">
        <f>IF(AND(E1261="Electricité",M1261="Hiver"),INDEX('Base de données Mono'!E:E,MATCH(B1261,'Base de données Mono'!D:D,0)),IF(AND(E1261="Electricité",M1261="Mi-saison"),INDEX('Base de données Mono'!F:F,MATCH(B1261,'Base de données Mono'!D:D,0)),IF(AND(E1261="Electricité",M1261="Eté"),INDEX('Base de données Mono'!G:G,MATCH(B1261,'Base de données Mono'!D:D,0)),IF(AND(E1261="Gaz",M1261="Hiver"),INDEX('Base de données Mono'!J:J,MATCH(B1261,'Base de données Mono'!D:D,0)),IF(AND(E1261="Gaz",M1261="Mi-saison"),INDEX('Base de données Mono'!#REF!,MATCH(B1261,'Base de données Mono'!D:D,0)),IF(AND(E1261="Gaz",M1261="Eté"),INDEX('Base de données Mono'!#REF!,MATCH(B1261,'Base de données Mono'!D:D,0)),"-"))))))</f>
        <v>120</v>
      </c>
      <c r="O1261" s="123">
        <v>45397</v>
      </c>
      <c r="P1261" s="123">
        <v>45399</v>
      </c>
      <c r="Q1261" s="34">
        <v>180</v>
      </c>
      <c r="R1261" s="33">
        <f t="shared" ref="R1261" si="284">IF(Q1261="","",Q1261-N1261)</f>
        <v>60</v>
      </c>
      <c r="S1261" s="34">
        <v>7</v>
      </c>
      <c r="T1261" s="34">
        <f t="shared" ref="T1261" si="285">P1261-O1261</f>
        <v>2</v>
      </c>
      <c r="U1261" s="33">
        <f t="shared" ref="U1261" si="286">R1261*S1261*T1261</f>
        <v>840</v>
      </c>
      <c r="V1261" s="38" t="s">
        <v>827</v>
      </c>
      <c r="W1261" s="39">
        <f t="shared" ref="W1261" si="287">IFERROR(IF(E1261="Gaz","-",R1261/N1261),"-")</f>
        <v>0.5</v>
      </c>
      <c r="X1261" s="40" t="s">
        <v>304</v>
      </c>
      <c r="Y1261" s="40" t="s">
        <v>283</v>
      </c>
      <c r="Z1261" s="40" t="s">
        <v>749</v>
      </c>
      <c r="AA1261" s="33" t="s">
        <v>749</v>
      </c>
      <c r="AB1261" s="95"/>
      <c r="AC1261" s="95"/>
    </row>
    <row r="1262" spans="1:29" ht="14.45" hidden="1" customHeight="1" x14ac:dyDescent="0.25">
      <c r="A1262" s="36" t="str">
        <f>INDEX('Base de données Mono'!C:C,MATCH(B1262,'Base de données Mono'!D:D,0))</f>
        <v>LYON GBL</v>
      </c>
      <c r="B1262" t="s">
        <v>167</v>
      </c>
      <c r="C1262" s="36" t="str">
        <f>INDEX('Base de données Mono'!B:B,MATCH(B1262,'Base de données Mono'!D:D,0))</f>
        <v>SES8</v>
      </c>
      <c r="D1262" s="36" t="str">
        <f>INDEX('Base de données Mono'!A:A,MATCH(B1262,'Base de données Mono'!D:D,0))</f>
        <v>JG</v>
      </c>
      <c r="E1262" s="37" t="s">
        <v>303</v>
      </c>
      <c r="F1262" s="41">
        <f t="shared" ref="F1262" si="288">IF(O1262="","-",IF(AND(X1262="Nuit",WEEKDAY(O1262,2)=7,O1262&lt;&gt;P1262),WEEKNUM(O1262,2),WEEKNUM(O1262,2)-1))+1</f>
        <v>16</v>
      </c>
      <c r="G1262" s="41">
        <f t="shared" ref="G1262" si="289">IF(O1262="","-",MONTH(O1262))</f>
        <v>4</v>
      </c>
      <c r="I1262" s="131">
        <f>INDEX('Base de données Mono'!K:K,MATCH(B1262,'Base de données Mono'!D:D,0))</f>
        <v>0.19791666666666666</v>
      </c>
      <c r="J1262" s="131">
        <f>INDEX('Base de données Mono'!L:L,MATCH(B1262,'Base de données Mono'!D:D,0))</f>
        <v>0.89583333333333337</v>
      </c>
      <c r="K1262" s="131">
        <f>INDEX('Base de données Mono'!M:M,MATCH(B1262,'Base de données Mono'!D:D,0))</f>
        <v>0.27083333333333331</v>
      </c>
      <c r="L1262" s="131">
        <f>INDEX('Base de données Mono'!N:N,MATCH(B1262,'Base de données Mono'!D:D,0))</f>
        <v>0.54166666666666663</v>
      </c>
      <c r="M1262" s="33" t="s">
        <v>46</v>
      </c>
      <c r="N1262" s="33">
        <f>IF(AND(E1262="Electricité",M1262="Hiver"),INDEX('Base de données Mono'!E:E,MATCH(B1262,'Base de données Mono'!D:D,0)),IF(AND(E1262="Electricité",M1262="Mi-saison"),INDEX('Base de données Mono'!F:F,MATCH(B1262,'Base de données Mono'!D:D,0)),IF(AND(E1262="Electricité",M1262="Eté"),INDEX('Base de données Mono'!G:G,MATCH(B1262,'Base de données Mono'!D:D,0)),IF(AND(E1262="Gaz",M1262="Hiver"),INDEX('Base de données Mono'!J:J,MATCH(B1262,'Base de données Mono'!D:D,0)),IF(AND(E1262="Gaz",M1262="Mi-saison"),INDEX('Base de données Mono'!#REF!,MATCH(B1262,'Base de données Mono'!D:D,0)),IF(AND(E1262="Gaz",M1262="Eté"),INDEX('Base de données Mono'!#REF!,MATCH(B1262,'Base de données Mono'!D:D,0)),"-"))))))</f>
        <v>120</v>
      </c>
      <c r="O1262" s="123">
        <v>45399</v>
      </c>
      <c r="P1262" s="123">
        <v>45401</v>
      </c>
      <c r="Q1262" s="34">
        <v>195</v>
      </c>
      <c r="R1262" s="33">
        <f t="shared" ref="R1262" si="290">IF(Q1262="","",Q1262-N1262)</f>
        <v>75</v>
      </c>
      <c r="S1262" s="34">
        <v>7</v>
      </c>
      <c r="T1262" s="34">
        <f t="shared" ref="T1262" si="291">P1262-O1262</f>
        <v>2</v>
      </c>
      <c r="U1262" s="33">
        <f t="shared" ref="U1262" si="292">R1262*S1262*T1262</f>
        <v>1050</v>
      </c>
      <c r="V1262" s="38" t="s">
        <v>827</v>
      </c>
      <c r="W1262" s="39">
        <f t="shared" ref="W1262" si="293">IFERROR(IF(E1262="Gaz","-",R1262/N1262),"-")</f>
        <v>0.625</v>
      </c>
      <c r="X1262" s="40" t="s">
        <v>304</v>
      </c>
      <c r="Y1262" s="40" t="s">
        <v>283</v>
      </c>
      <c r="Z1262" s="40" t="s">
        <v>749</v>
      </c>
      <c r="AA1262" s="33" t="s">
        <v>749</v>
      </c>
      <c r="AB1262" s="95"/>
      <c r="AC1262" s="95"/>
    </row>
    <row r="1263" spans="1:29" ht="14.45" hidden="1" customHeight="1" x14ac:dyDescent="0.25">
      <c r="A1263" s="36" t="str">
        <f>INDEX('Base de données Mono'!C:C,MATCH(B1263,'Base de données Mono'!D:D,0))</f>
        <v>LYON GBL</v>
      </c>
      <c r="B1263" t="s">
        <v>167</v>
      </c>
      <c r="C1263" s="36" t="str">
        <f>INDEX('Base de données Mono'!B:B,MATCH(B1263,'Base de données Mono'!D:D,0))</f>
        <v>SES8</v>
      </c>
      <c r="D1263" s="36" t="str">
        <f>INDEX('Base de données Mono'!A:A,MATCH(B1263,'Base de données Mono'!D:D,0))</f>
        <v>JG</v>
      </c>
      <c r="E1263" s="37" t="s">
        <v>303</v>
      </c>
      <c r="F1263" s="41">
        <f t="shared" si="271"/>
        <v>16</v>
      </c>
      <c r="G1263" s="41">
        <f t="shared" si="272"/>
        <v>4</v>
      </c>
      <c r="I1263" s="131">
        <f>INDEX('Base de données Mono'!K:K,MATCH(B1263,'Base de données Mono'!D:D,0))</f>
        <v>0.19791666666666666</v>
      </c>
      <c r="J1263" s="131">
        <f>INDEX('Base de données Mono'!L:L,MATCH(B1263,'Base de données Mono'!D:D,0))</f>
        <v>0.89583333333333337</v>
      </c>
      <c r="K1263" s="131">
        <f>INDEX('Base de données Mono'!M:M,MATCH(B1263,'Base de données Mono'!D:D,0))</f>
        <v>0.27083333333333331</v>
      </c>
      <c r="L1263" s="131">
        <f>INDEX('Base de données Mono'!N:N,MATCH(B1263,'Base de données Mono'!D:D,0))</f>
        <v>0.54166666666666663</v>
      </c>
      <c r="M1263" s="33" t="s">
        <v>46</v>
      </c>
      <c r="N1263" s="33">
        <f>IF(AND(E1263="Electricité",M1263="Hiver"),INDEX('Base de données Mono'!E:E,MATCH(B1263,'Base de données Mono'!D:D,0)),IF(AND(E1263="Electricité",M1263="Mi-saison"),INDEX('Base de données Mono'!F:F,MATCH(B1263,'Base de données Mono'!D:D,0)),IF(AND(E1263="Electricité",M1263="Eté"),INDEX('Base de données Mono'!G:G,MATCH(B1263,'Base de données Mono'!D:D,0)),IF(AND(E1263="Gaz",M1263="Hiver"),INDEX('Base de données Mono'!J:J,MATCH(B1263,'Base de données Mono'!D:D,0)),IF(AND(E1263="Gaz",M1263="Mi-saison"),INDEX('Base de données Mono'!#REF!,MATCH(B1263,'Base de données Mono'!D:D,0)),IF(AND(E1263="Gaz",M1263="Eté"),INDEX('Base de données Mono'!#REF!,MATCH(B1263,'Base de données Mono'!D:D,0)),"-"))))))</f>
        <v>120</v>
      </c>
      <c r="O1263" s="123">
        <v>45401</v>
      </c>
      <c r="P1263" s="123">
        <v>45402</v>
      </c>
      <c r="Q1263" s="34">
        <v>175</v>
      </c>
      <c r="R1263" s="33">
        <f t="shared" si="273"/>
        <v>55</v>
      </c>
      <c r="S1263" s="34">
        <v>7</v>
      </c>
      <c r="T1263" s="34">
        <f t="shared" si="270"/>
        <v>1</v>
      </c>
      <c r="U1263" s="33">
        <f t="shared" si="274"/>
        <v>385</v>
      </c>
      <c r="V1263" s="38" t="s">
        <v>827</v>
      </c>
      <c r="W1263" s="39">
        <f t="shared" si="275"/>
        <v>0.45833333333333331</v>
      </c>
      <c r="X1263" s="40" t="s">
        <v>304</v>
      </c>
      <c r="Y1263" s="40" t="s">
        <v>283</v>
      </c>
      <c r="Z1263" s="40" t="s">
        <v>749</v>
      </c>
      <c r="AA1263" s="33" t="s">
        <v>749</v>
      </c>
      <c r="AB1263" s="95"/>
      <c r="AC1263" s="95"/>
    </row>
    <row r="1264" spans="1:29" ht="14.45" hidden="1" customHeight="1" x14ac:dyDescent="0.25">
      <c r="A1264" s="36" t="str">
        <f>INDEX('Base de données Mono'!C:C,MATCH(B1264,'Base de données Mono'!D:D,0))</f>
        <v>LYON GBL</v>
      </c>
      <c r="B1264" t="s">
        <v>167</v>
      </c>
      <c r="C1264" s="36" t="str">
        <f>INDEX('Base de données Mono'!B:B,MATCH(B1264,'Base de données Mono'!D:D,0))</f>
        <v>SES8</v>
      </c>
      <c r="D1264" s="36" t="str">
        <f>INDEX('Base de données Mono'!A:A,MATCH(B1264,'Base de données Mono'!D:D,0))</f>
        <v>JG</v>
      </c>
      <c r="E1264" s="37" t="s">
        <v>303</v>
      </c>
      <c r="F1264" s="41">
        <f t="shared" si="271"/>
        <v>16</v>
      </c>
      <c r="G1264" s="41">
        <f t="shared" si="272"/>
        <v>4</v>
      </c>
      <c r="I1264" s="131">
        <f>INDEX('Base de données Mono'!K:K,MATCH(B1264,'Base de données Mono'!D:D,0))</f>
        <v>0.19791666666666666</v>
      </c>
      <c r="J1264" s="131">
        <f>INDEX('Base de données Mono'!L:L,MATCH(B1264,'Base de données Mono'!D:D,0))</f>
        <v>0.89583333333333337</v>
      </c>
      <c r="K1264" s="131">
        <f>INDEX('Base de données Mono'!M:M,MATCH(B1264,'Base de données Mono'!D:D,0))</f>
        <v>0.27083333333333331</v>
      </c>
      <c r="L1264" s="131">
        <f>INDEX('Base de données Mono'!N:N,MATCH(B1264,'Base de données Mono'!D:D,0))</f>
        <v>0.54166666666666663</v>
      </c>
      <c r="M1264" s="33" t="s">
        <v>46</v>
      </c>
      <c r="N1264" s="33">
        <f>IF(AND(E1264="Electricité",M1264="Hiver"),INDEX('Base de données Mono'!E:E,MATCH(B1264,'Base de données Mono'!D:D,0)),IF(AND(E1264="Electricité",M1264="Mi-saison"),INDEX('Base de données Mono'!F:F,MATCH(B1264,'Base de données Mono'!D:D,0)),IF(AND(E1264="Electricité",M1264="Eté"),INDEX('Base de données Mono'!G:G,MATCH(B1264,'Base de données Mono'!D:D,0)),IF(AND(E1264="Gaz",M1264="Hiver"),INDEX('Base de données Mono'!J:J,MATCH(B1264,'Base de données Mono'!D:D,0)),IF(AND(E1264="Gaz",M1264="Mi-saison"),INDEX('Base de données Mono'!#REF!,MATCH(B1264,'Base de données Mono'!D:D,0)),IF(AND(E1264="Gaz",M1264="Eté"),INDEX('Base de données Mono'!#REF!,MATCH(B1264,'Base de données Mono'!D:D,0)),"-"))))))</f>
        <v>120</v>
      </c>
      <c r="O1264" s="123">
        <v>45402</v>
      </c>
      <c r="P1264" s="123">
        <v>45403</v>
      </c>
      <c r="Q1264" s="34">
        <v>150</v>
      </c>
      <c r="R1264" s="33">
        <f t="shared" si="273"/>
        <v>30</v>
      </c>
      <c r="S1264" s="34">
        <v>9</v>
      </c>
      <c r="T1264" s="34">
        <f t="shared" si="270"/>
        <v>1</v>
      </c>
      <c r="U1264" s="33">
        <f t="shared" si="274"/>
        <v>270</v>
      </c>
      <c r="V1264" s="38" t="s">
        <v>827</v>
      </c>
      <c r="W1264" s="39">
        <f t="shared" si="275"/>
        <v>0.25</v>
      </c>
      <c r="X1264" s="40" t="s">
        <v>304</v>
      </c>
      <c r="Y1264" s="40" t="s">
        <v>284</v>
      </c>
      <c r="Z1264" s="40" t="s">
        <v>305</v>
      </c>
      <c r="AA1264" s="33" t="s">
        <v>771</v>
      </c>
      <c r="AB1264" s="95"/>
      <c r="AC1264" s="95"/>
    </row>
    <row r="1265" spans="1:29" ht="14.45" hidden="1" customHeight="1" x14ac:dyDescent="0.25">
      <c r="A1265" s="36" t="str">
        <f>INDEX('Base de données Mono'!C:C,MATCH(B1265,'Base de données Mono'!D:D,0))</f>
        <v>LILLE LES TANNEURS</v>
      </c>
      <c r="B1265" t="s">
        <v>160</v>
      </c>
      <c r="C1265" s="36" t="str">
        <f>INDEX('Base de données Mono'!B:B,MATCH(B1265,'Base de données Mono'!D:D,0))</f>
        <v>SES8</v>
      </c>
      <c r="D1265" s="36" t="str">
        <f>INDEX('Base de données Mono'!A:A,MATCH(B1265,'Base de données Mono'!D:D,0))</f>
        <v>JG</v>
      </c>
      <c r="E1265" s="37" t="s">
        <v>303</v>
      </c>
      <c r="F1265" s="41">
        <f t="shared" si="271"/>
        <v>16</v>
      </c>
      <c r="G1265" s="41">
        <f t="shared" si="272"/>
        <v>4</v>
      </c>
      <c r="I1265" s="131">
        <f>INDEX('Base de données Mono'!K:K,MATCH(B1265,'Base de données Mono'!D:D,0))</f>
        <v>0.16666666666666666</v>
      </c>
      <c r="J1265" s="131">
        <f>INDEX('Base de données Mono'!L:L,MATCH(B1265,'Base de données Mono'!D:D,0))</f>
        <v>0.83333333333333337</v>
      </c>
      <c r="K1265" s="131">
        <f>INDEX('Base de données Mono'!M:M,MATCH(B1265,'Base de données Mono'!D:D,0))</f>
        <v>0.29166666666666669</v>
      </c>
      <c r="L1265" s="131">
        <f>INDEX('Base de données Mono'!N:N,MATCH(B1265,'Base de données Mono'!D:D,0))</f>
        <v>0.79166666666666663</v>
      </c>
      <c r="M1265" s="33" t="s">
        <v>46</v>
      </c>
      <c r="N1265" s="33">
        <f>IF(AND(E1265="Electricité",M1265="Hiver"),INDEX('Base de données Mono'!E:E,MATCH(B1265,'Base de données Mono'!D:D,0)),IF(AND(E1265="Electricité",M1265="Mi-saison"),INDEX('Base de données Mono'!F:F,MATCH(B1265,'Base de données Mono'!D:D,0)),IF(AND(E1265="Electricité",M1265="Eté"),INDEX('Base de données Mono'!G:G,MATCH(B1265,'Base de données Mono'!D:D,0)),IF(AND(E1265="Gaz",M1265="Hiver"),INDEX('Base de données Mono'!J:J,MATCH(B1265,'Base de données Mono'!D:D,0)),IF(AND(E1265="Gaz",M1265="Mi-saison"),INDEX('Base de données Mono'!#REF!,MATCH(B1265,'Base de données Mono'!D:D,0)),IF(AND(E1265="Gaz",M1265="Eté"),INDEX('Base de données Mono'!#REF!,MATCH(B1265,'Base de données Mono'!D:D,0)),"-"))))))</f>
        <v>50</v>
      </c>
      <c r="O1265" s="123">
        <v>45396</v>
      </c>
      <c r="P1265" s="123">
        <v>45397</v>
      </c>
      <c r="Q1265" s="34">
        <v>55</v>
      </c>
      <c r="R1265" s="33">
        <f t="shared" si="273"/>
        <v>5</v>
      </c>
      <c r="S1265" s="34">
        <v>8</v>
      </c>
      <c r="T1265" s="34">
        <f t="shared" si="270"/>
        <v>1</v>
      </c>
      <c r="U1265" s="33">
        <f t="shared" si="274"/>
        <v>40</v>
      </c>
      <c r="V1265" s="38" t="s">
        <v>827</v>
      </c>
      <c r="W1265" s="39">
        <f t="shared" si="275"/>
        <v>0.1</v>
      </c>
      <c r="X1265" s="40" t="s">
        <v>304</v>
      </c>
      <c r="Y1265" s="40" t="s">
        <v>284</v>
      </c>
      <c r="Z1265" s="40" t="s">
        <v>305</v>
      </c>
      <c r="AA1265" s="33" t="s">
        <v>771</v>
      </c>
      <c r="AB1265" s="95"/>
      <c r="AC1265" s="95"/>
    </row>
    <row r="1266" spans="1:29" ht="14.45" hidden="1" customHeight="1" x14ac:dyDescent="0.25">
      <c r="A1266" s="36" t="str">
        <f>INDEX('Base de données Mono'!C:C,MATCH(B1266,'Base de données Mono'!D:D,0))</f>
        <v>LILLE LES TANNEURS</v>
      </c>
      <c r="B1266" t="s">
        <v>160</v>
      </c>
      <c r="C1266" s="36" t="str">
        <f>INDEX('Base de données Mono'!B:B,MATCH(B1266,'Base de données Mono'!D:D,0))</f>
        <v>SES8</v>
      </c>
      <c r="D1266" s="36" t="str">
        <f>INDEX('Base de données Mono'!A:A,MATCH(B1266,'Base de données Mono'!D:D,0))</f>
        <v>JG</v>
      </c>
      <c r="E1266" s="37" t="s">
        <v>303</v>
      </c>
      <c r="F1266" s="41">
        <f t="shared" si="271"/>
        <v>16</v>
      </c>
      <c r="G1266" s="41">
        <f t="shared" si="272"/>
        <v>4</v>
      </c>
      <c r="I1266" s="131">
        <f>INDEX('Base de données Mono'!K:K,MATCH(B1266,'Base de données Mono'!D:D,0))</f>
        <v>0.16666666666666666</v>
      </c>
      <c r="J1266" s="131">
        <f>INDEX('Base de données Mono'!L:L,MATCH(B1266,'Base de données Mono'!D:D,0))</f>
        <v>0.83333333333333337</v>
      </c>
      <c r="K1266" s="131">
        <f>INDEX('Base de données Mono'!M:M,MATCH(B1266,'Base de données Mono'!D:D,0))</f>
        <v>0.29166666666666669</v>
      </c>
      <c r="L1266" s="131">
        <f>INDEX('Base de données Mono'!N:N,MATCH(B1266,'Base de données Mono'!D:D,0))</f>
        <v>0.79166666666666663</v>
      </c>
      <c r="M1266" s="33" t="s">
        <v>46</v>
      </c>
      <c r="N1266" s="33">
        <f>IF(AND(E1266="Electricité",M1266="Hiver"),INDEX('Base de données Mono'!E:E,MATCH(B1266,'Base de données Mono'!D:D,0)),IF(AND(E1266="Electricité",M1266="Mi-saison"),INDEX('Base de données Mono'!F:F,MATCH(B1266,'Base de données Mono'!D:D,0)),IF(AND(E1266="Electricité",M1266="Eté"),INDEX('Base de données Mono'!G:G,MATCH(B1266,'Base de données Mono'!D:D,0)),IF(AND(E1266="Gaz",M1266="Hiver"),INDEX('Base de données Mono'!J:J,MATCH(B1266,'Base de données Mono'!D:D,0)),IF(AND(E1266="Gaz",M1266="Mi-saison"),INDEX('Base de données Mono'!#REF!,MATCH(B1266,'Base de données Mono'!D:D,0)),IF(AND(E1266="Gaz",M1266="Eté"),INDEX('Base de données Mono'!#REF!,MATCH(B1266,'Base de données Mono'!D:D,0)),"-"))))))</f>
        <v>50</v>
      </c>
      <c r="O1266" s="123">
        <v>45397</v>
      </c>
      <c r="P1266" s="123">
        <v>45398</v>
      </c>
      <c r="Q1266" s="34">
        <v>90</v>
      </c>
      <c r="R1266" s="33">
        <f t="shared" si="273"/>
        <v>40</v>
      </c>
      <c r="S1266" s="34">
        <v>4.5</v>
      </c>
      <c r="T1266" s="34">
        <f t="shared" si="270"/>
        <v>1</v>
      </c>
      <c r="U1266" s="33">
        <f t="shared" si="274"/>
        <v>180</v>
      </c>
      <c r="V1266" s="38" t="s">
        <v>827</v>
      </c>
      <c r="W1266" s="39">
        <f t="shared" si="275"/>
        <v>0.8</v>
      </c>
      <c r="X1266" s="40" t="s">
        <v>304</v>
      </c>
      <c r="Y1266" s="40" t="s">
        <v>284</v>
      </c>
      <c r="Z1266" s="40" t="s">
        <v>311</v>
      </c>
      <c r="AA1266" s="33" t="s">
        <v>775</v>
      </c>
      <c r="AB1266" s="95"/>
      <c r="AC1266" s="95"/>
    </row>
    <row r="1267" spans="1:29" ht="14.45" hidden="1" customHeight="1" x14ac:dyDescent="0.25">
      <c r="A1267" s="36" t="str">
        <f>INDEX('Base de données Mono'!C:C,MATCH(B1267,'Base de données Mono'!D:D,0))</f>
        <v>LILLE LES TANNEURS</v>
      </c>
      <c r="B1267" t="s">
        <v>160</v>
      </c>
      <c r="C1267" s="36" t="str">
        <f>INDEX('Base de données Mono'!B:B,MATCH(B1267,'Base de données Mono'!D:D,0))</f>
        <v>SES8</v>
      </c>
      <c r="D1267" s="36" t="str">
        <f>INDEX('Base de données Mono'!A:A,MATCH(B1267,'Base de données Mono'!D:D,0))</f>
        <v>JG</v>
      </c>
      <c r="E1267" s="37" t="s">
        <v>303</v>
      </c>
      <c r="F1267" s="41">
        <f t="shared" si="271"/>
        <v>16</v>
      </c>
      <c r="G1267" s="41">
        <f t="shared" si="272"/>
        <v>4</v>
      </c>
      <c r="I1267" s="131">
        <f>INDEX('Base de données Mono'!K:K,MATCH(B1267,'Base de données Mono'!D:D,0))</f>
        <v>0.16666666666666666</v>
      </c>
      <c r="J1267" s="131">
        <f>INDEX('Base de données Mono'!L:L,MATCH(B1267,'Base de données Mono'!D:D,0))</f>
        <v>0.83333333333333337</v>
      </c>
      <c r="K1267" s="131">
        <f>INDEX('Base de données Mono'!M:M,MATCH(B1267,'Base de données Mono'!D:D,0))</f>
        <v>0.29166666666666669</v>
      </c>
      <c r="L1267" s="131">
        <f>INDEX('Base de données Mono'!N:N,MATCH(B1267,'Base de données Mono'!D:D,0))</f>
        <v>0.79166666666666663</v>
      </c>
      <c r="M1267" s="33" t="s">
        <v>46</v>
      </c>
      <c r="N1267" s="33">
        <f>IF(AND(E1267="Electricité",M1267="Hiver"),INDEX('Base de données Mono'!E:E,MATCH(B1267,'Base de données Mono'!D:D,0)),IF(AND(E1267="Electricité",M1267="Mi-saison"),INDEX('Base de données Mono'!F:F,MATCH(B1267,'Base de données Mono'!D:D,0)),IF(AND(E1267="Electricité",M1267="Eté"),INDEX('Base de données Mono'!G:G,MATCH(B1267,'Base de données Mono'!D:D,0)),IF(AND(E1267="Gaz",M1267="Hiver"),INDEX('Base de données Mono'!J:J,MATCH(B1267,'Base de données Mono'!D:D,0)),IF(AND(E1267="Gaz",M1267="Mi-saison"),INDEX('Base de données Mono'!#REF!,MATCH(B1267,'Base de données Mono'!D:D,0)),IF(AND(E1267="Gaz",M1267="Eté"),INDEX('Base de données Mono'!#REF!,MATCH(B1267,'Base de données Mono'!D:D,0)),"-"))))))</f>
        <v>50</v>
      </c>
      <c r="O1267" s="123">
        <v>45397</v>
      </c>
      <c r="P1267" s="123">
        <v>45398</v>
      </c>
      <c r="Q1267" s="34">
        <v>55</v>
      </c>
      <c r="R1267" s="33">
        <f t="shared" si="273"/>
        <v>5</v>
      </c>
      <c r="S1267" s="34">
        <v>3.5</v>
      </c>
      <c r="T1267" s="34">
        <f t="shared" si="270"/>
        <v>1</v>
      </c>
      <c r="U1267" s="33">
        <f t="shared" si="274"/>
        <v>17.5</v>
      </c>
      <c r="V1267" s="38" t="s">
        <v>827</v>
      </c>
      <c r="W1267" s="39">
        <f t="shared" si="275"/>
        <v>0.1</v>
      </c>
      <c r="X1267" s="40" t="s">
        <v>304</v>
      </c>
      <c r="Y1267" s="40" t="s">
        <v>284</v>
      </c>
      <c r="Z1267" s="40" t="s">
        <v>305</v>
      </c>
      <c r="AA1267" s="33" t="s">
        <v>771</v>
      </c>
      <c r="AB1267" s="95"/>
      <c r="AC1267" s="95"/>
    </row>
    <row r="1268" spans="1:29" ht="14.45" hidden="1" customHeight="1" x14ac:dyDescent="0.25">
      <c r="A1268" s="36" t="str">
        <f>INDEX('Base de données Mono'!C:C,MATCH(B1268,'Base de données Mono'!D:D,0))</f>
        <v>LILLE LES TANNEURS</v>
      </c>
      <c r="B1268" t="s">
        <v>160</v>
      </c>
      <c r="C1268" s="36" t="str">
        <f>INDEX('Base de données Mono'!B:B,MATCH(B1268,'Base de données Mono'!D:D,0))</f>
        <v>SES8</v>
      </c>
      <c r="D1268" s="36" t="str">
        <f>INDEX('Base de données Mono'!A:A,MATCH(B1268,'Base de données Mono'!D:D,0))</f>
        <v>JG</v>
      </c>
      <c r="E1268" s="37" t="s">
        <v>303</v>
      </c>
      <c r="F1268" s="41">
        <f t="shared" si="271"/>
        <v>16</v>
      </c>
      <c r="G1268" s="41">
        <f t="shared" si="272"/>
        <v>4</v>
      </c>
      <c r="I1268" s="131">
        <f>INDEX('Base de données Mono'!K:K,MATCH(B1268,'Base de données Mono'!D:D,0))</f>
        <v>0.16666666666666666</v>
      </c>
      <c r="J1268" s="131">
        <f>INDEX('Base de données Mono'!L:L,MATCH(B1268,'Base de données Mono'!D:D,0))</f>
        <v>0.83333333333333337</v>
      </c>
      <c r="K1268" s="131">
        <f>INDEX('Base de données Mono'!M:M,MATCH(B1268,'Base de données Mono'!D:D,0))</f>
        <v>0.29166666666666669</v>
      </c>
      <c r="L1268" s="131">
        <f>INDEX('Base de données Mono'!N:N,MATCH(B1268,'Base de données Mono'!D:D,0))</f>
        <v>0.79166666666666663</v>
      </c>
      <c r="M1268" s="33" t="s">
        <v>46</v>
      </c>
      <c r="N1268" s="33">
        <f>IF(AND(E1268="Electricité",M1268="Hiver"),INDEX('Base de données Mono'!E:E,MATCH(B1268,'Base de données Mono'!D:D,0)),IF(AND(E1268="Electricité",M1268="Mi-saison"),INDEX('Base de données Mono'!F:F,MATCH(B1268,'Base de données Mono'!D:D,0)),IF(AND(E1268="Electricité",M1268="Eté"),INDEX('Base de données Mono'!G:G,MATCH(B1268,'Base de données Mono'!D:D,0)),IF(AND(E1268="Gaz",M1268="Hiver"),INDEX('Base de données Mono'!J:J,MATCH(B1268,'Base de données Mono'!D:D,0)),IF(AND(E1268="Gaz",M1268="Mi-saison"),INDEX('Base de données Mono'!#REF!,MATCH(B1268,'Base de données Mono'!D:D,0)),IF(AND(E1268="Gaz",M1268="Eté"),INDEX('Base de données Mono'!#REF!,MATCH(B1268,'Base de données Mono'!D:D,0)),"-"))))))</f>
        <v>50</v>
      </c>
      <c r="O1268" s="123">
        <v>45398</v>
      </c>
      <c r="P1268" s="123">
        <v>45401</v>
      </c>
      <c r="Q1268" s="34">
        <v>100</v>
      </c>
      <c r="R1268" s="33">
        <f t="shared" si="273"/>
        <v>50</v>
      </c>
      <c r="S1268" s="34">
        <v>1</v>
      </c>
      <c r="T1268" s="34">
        <f t="shared" si="270"/>
        <v>3</v>
      </c>
      <c r="U1268" s="33">
        <f t="shared" si="274"/>
        <v>150</v>
      </c>
      <c r="V1268" s="38" t="s">
        <v>827</v>
      </c>
      <c r="W1268" s="39">
        <f t="shared" si="275"/>
        <v>1</v>
      </c>
      <c r="X1268" s="40" t="s">
        <v>304</v>
      </c>
      <c r="Y1268" s="40" t="s">
        <v>284</v>
      </c>
      <c r="Z1268" s="40" t="s">
        <v>307</v>
      </c>
      <c r="AA1268" s="33" t="s">
        <v>313</v>
      </c>
      <c r="AB1268" s="95"/>
      <c r="AC1268" s="95"/>
    </row>
    <row r="1269" spans="1:29" ht="14.45" hidden="1" customHeight="1" x14ac:dyDescent="0.25">
      <c r="A1269" s="36" t="str">
        <f>INDEX('Base de données Mono'!C:C,MATCH(B1269,'Base de données Mono'!D:D,0))</f>
        <v>LILLE LES TANNEURS</v>
      </c>
      <c r="B1269" t="s">
        <v>160</v>
      </c>
      <c r="C1269" s="36" t="str">
        <f>INDEX('Base de données Mono'!B:B,MATCH(B1269,'Base de données Mono'!D:D,0))</f>
        <v>SES8</v>
      </c>
      <c r="D1269" s="36" t="str">
        <f>INDEX('Base de données Mono'!A:A,MATCH(B1269,'Base de données Mono'!D:D,0))</f>
        <v>JG</v>
      </c>
      <c r="E1269" s="37" t="s">
        <v>303</v>
      </c>
      <c r="F1269" s="41">
        <f t="shared" si="271"/>
        <v>16</v>
      </c>
      <c r="G1269" s="41">
        <f t="shared" si="272"/>
        <v>4</v>
      </c>
      <c r="I1269" s="131">
        <f>INDEX('Base de données Mono'!K:K,MATCH(B1269,'Base de données Mono'!D:D,0))</f>
        <v>0.16666666666666666</v>
      </c>
      <c r="J1269" s="131">
        <f>INDEX('Base de données Mono'!L:L,MATCH(B1269,'Base de données Mono'!D:D,0))</f>
        <v>0.83333333333333337</v>
      </c>
      <c r="K1269" s="131">
        <f>INDEX('Base de données Mono'!M:M,MATCH(B1269,'Base de données Mono'!D:D,0))</f>
        <v>0.29166666666666669</v>
      </c>
      <c r="L1269" s="131">
        <f>INDEX('Base de données Mono'!N:N,MATCH(B1269,'Base de données Mono'!D:D,0))</f>
        <v>0.79166666666666663</v>
      </c>
      <c r="M1269" s="33" t="s">
        <v>46</v>
      </c>
      <c r="N1269" s="33">
        <f>IF(AND(E1269="Electricité",M1269="Hiver"),INDEX('Base de données Mono'!E:E,MATCH(B1269,'Base de données Mono'!D:D,0)),IF(AND(E1269="Electricité",M1269="Mi-saison"),INDEX('Base de données Mono'!F:F,MATCH(B1269,'Base de données Mono'!D:D,0)),IF(AND(E1269="Electricité",M1269="Eté"),INDEX('Base de données Mono'!G:G,MATCH(B1269,'Base de données Mono'!D:D,0)),IF(AND(E1269="Gaz",M1269="Hiver"),INDEX('Base de données Mono'!J:J,MATCH(B1269,'Base de données Mono'!D:D,0)),IF(AND(E1269="Gaz",M1269="Mi-saison"),INDEX('Base de données Mono'!#REF!,MATCH(B1269,'Base de données Mono'!D:D,0)),IF(AND(E1269="Gaz",M1269="Eté"),INDEX('Base de données Mono'!#REF!,MATCH(B1269,'Base de données Mono'!D:D,0)),"-"))))))</f>
        <v>50</v>
      </c>
      <c r="O1269" s="123">
        <v>45398</v>
      </c>
      <c r="P1269" s="123">
        <v>45401</v>
      </c>
      <c r="Q1269" s="34">
        <v>55</v>
      </c>
      <c r="R1269" s="33">
        <f t="shared" si="273"/>
        <v>5</v>
      </c>
      <c r="S1269" s="34">
        <v>7</v>
      </c>
      <c r="T1269" s="34">
        <f t="shared" si="270"/>
        <v>3</v>
      </c>
      <c r="U1269" s="33">
        <f t="shared" si="274"/>
        <v>105</v>
      </c>
      <c r="V1269" s="38" t="s">
        <v>827</v>
      </c>
      <c r="W1269" s="39">
        <f t="shared" si="275"/>
        <v>0.1</v>
      </c>
      <c r="X1269" s="40" t="s">
        <v>304</v>
      </c>
      <c r="Y1269" s="40" t="s">
        <v>284</v>
      </c>
      <c r="Z1269" s="40" t="s">
        <v>305</v>
      </c>
      <c r="AA1269" s="33" t="s">
        <v>771</v>
      </c>
      <c r="AB1269" s="95"/>
      <c r="AC1269" s="95"/>
    </row>
    <row r="1270" spans="1:29" ht="14.45" hidden="1" customHeight="1" x14ac:dyDescent="0.25">
      <c r="A1270" s="36" t="str">
        <f>INDEX('Base de données Mono'!C:C,MATCH(B1270,'Base de données Mono'!D:D,0))</f>
        <v>LILLE LES TANNEURS</v>
      </c>
      <c r="B1270" t="s">
        <v>160</v>
      </c>
      <c r="C1270" s="36" t="str">
        <f>INDEX('Base de données Mono'!B:B,MATCH(B1270,'Base de données Mono'!D:D,0))</f>
        <v>SES8</v>
      </c>
      <c r="D1270" s="36" t="str">
        <f>INDEX('Base de données Mono'!A:A,MATCH(B1270,'Base de données Mono'!D:D,0))</f>
        <v>JG</v>
      </c>
      <c r="E1270" s="37" t="s">
        <v>303</v>
      </c>
      <c r="F1270" s="41">
        <f>IF(O1270="","-",IF(AND(X1270="Nuit",WEEKDAY(O1270,2)=7,O1270&lt;&gt;P1270),WEEKNUM(O1270,2),WEEKNUM(O1270,2)-1))+1</f>
        <v>16</v>
      </c>
      <c r="G1270" s="41">
        <f>IF(O1270="","-",MONTH(O1270))</f>
        <v>4</v>
      </c>
      <c r="I1270" s="131">
        <f>INDEX('Base de données Mono'!K:K,MATCH(B1270,'Base de données Mono'!D:D,0))</f>
        <v>0.16666666666666666</v>
      </c>
      <c r="J1270" s="131">
        <f>INDEX('Base de données Mono'!L:L,MATCH(B1270,'Base de données Mono'!D:D,0))</f>
        <v>0.83333333333333337</v>
      </c>
      <c r="K1270" s="131">
        <f>INDEX('Base de données Mono'!M:M,MATCH(B1270,'Base de données Mono'!D:D,0))</f>
        <v>0.29166666666666669</v>
      </c>
      <c r="L1270" s="131">
        <f>INDEX('Base de données Mono'!N:N,MATCH(B1270,'Base de données Mono'!D:D,0))</f>
        <v>0.79166666666666663</v>
      </c>
      <c r="M1270" s="33" t="s">
        <v>46</v>
      </c>
      <c r="N1270" s="33">
        <f>IF(AND(E1270="Electricité",M1270="Hiver"),INDEX('Base de données Mono'!E:E,MATCH(B1270,'Base de données Mono'!D:D,0)),IF(AND(E1270="Electricité",M1270="Mi-saison"),INDEX('Base de données Mono'!F:F,MATCH(B1270,'Base de données Mono'!D:D,0)),IF(AND(E1270="Electricité",M1270="Eté"),INDEX('Base de données Mono'!G:G,MATCH(B1270,'Base de données Mono'!D:D,0)),IF(AND(E1270="Gaz",M1270="Hiver"),INDEX('Base de données Mono'!J:J,MATCH(B1270,'Base de données Mono'!D:D,0)),IF(AND(E1270="Gaz",M1270="Mi-saison"),INDEX('Base de données Mono'!#REF!,MATCH(B1270,'Base de données Mono'!D:D,0)),IF(AND(E1270="Gaz",M1270="Eté"),INDEX('Base de données Mono'!#REF!,MATCH(B1270,'Base de données Mono'!D:D,0)),"-"))))))</f>
        <v>50</v>
      </c>
      <c r="O1270" s="123">
        <v>45401</v>
      </c>
      <c r="P1270" s="123">
        <v>45403</v>
      </c>
      <c r="Q1270" s="34">
        <v>90</v>
      </c>
      <c r="R1270" s="33">
        <f>IF(Q1270="","",Q1270-N1270)</f>
        <v>40</v>
      </c>
      <c r="S1270" s="34">
        <v>4.5</v>
      </c>
      <c r="T1270" s="34">
        <f>P1270-O1270</f>
        <v>2</v>
      </c>
      <c r="U1270" s="33">
        <f>R1270*S1270*T1270</f>
        <v>360</v>
      </c>
      <c r="V1270" s="38" t="s">
        <v>827</v>
      </c>
      <c r="W1270" s="39">
        <f>IFERROR(IF(E1270="Gaz","-",R1270/N1270),"-")</f>
        <v>0.8</v>
      </c>
      <c r="X1270" s="40" t="s">
        <v>304</v>
      </c>
      <c r="Y1270" s="40" t="s">
        <v>284</v>
      </c>
      <c r="Z1270" s="40" t="s">
        <v>311</v>
      </c>
      <c r="AA1270" s="33" t="s">
        <v>775</v>
      </c>
      <c r="AB1270" s="95"/>
      <c r="AC1270" s="95"/>
    </row>
    <row r="1271" spans="1:29" ht="14.45" hidden="1" customHeight="1" x14ac:dyDescent="0.25">
      <c r="A1271" s="36" t="str">
        <f>INDEX('Base de données Mono'!C:C,MATCH(B1271,'Base de données Mono'!D:D,0))</f>
        <v>DAUMESNIL</v>
      </c>
      <c r="B1271" t="s">
        <v>15</v>
      </c>
      <c r="C1271" s="36" t="str">
        <f>INDEX('Base de données Mono'!B:B,MATCH(B1271,'Base de données Mono'!D:D,0))</f>
        <v>SES8</v>
      </c>
      <c r="D1271" s="36" t="str">
        <f>INDEX('Base de données Mono'!A:A,MATCH(B1271,'Base de données Mono'!D:D,0))</f>
        <v>JG</v>
      </c>
      <c r="E1271" s="37" t="s">
        <v>303</v>
      </c>
      <c r="F1271" s="41">
        <f t="shared" ref="F1271:F1278" si="294">IF(O1271="","-",IF(AND(X1271="Nuit",WEEKDAY(O1271,2)=7,O1271&lt;&gt;P1271),WEEKNUM(O1271,2),WEEKNUM(O1271,2)-1))+1</f>
        <v>16</v>
      </c>
      <c r="G1271" s="41">
        <f t="shared" ref="G1271:G1278" si="295">IF(O1271="","-",MONTH(O1271))</f>
        <v>4</v>
      </c>
      <c r="I1271" s="131">
        <f>INDEX('Base de données Mono'!K:K,MATCH(B1271,'Base de données Mono'!D:D,0))</f>
        <v>0.24305555555555555</v>
      </c>
      <c r="J1271" s="131">
        <f>INDEX('Base de données Mono'!L:L,MATCH(B1271,'Base de données Mono'!D:D,0))</f>
        <v>0.92013888888888884</v>
      </c>
      <c r="K1271" s="131">
        <f>INDEX('Base de données Mono'!M:M,MATCH(B1271,'Base de données Mono'!D:D,0))</f>
        <v>0.28472222222222221</v>
      </c>
      <c r="L1271" s="131">
        <f>INDEX('Base de données Mono'!N:N,MATCH(B1271,'Base de données Mono'!D:D,0))</f>
        <v>0.54166666666666663</v>
      </c>
      <c r="M1271" s="33" t="s">
        <v>46</v>
      </c>
      <c r="N1271" s="33">
        <f>IF(AND(E1271="Electricité",M1271="Hiver"),INDEX('Base de données Mono'!E:E,MATCH(B1271,'Base de données Mono'!D:D,0)),IF(AND(E1271="Electricité",M1271="Mi-saison"),INDEX('Base de données Mono'!F:F,MATCH(B1271,'Base de données Mono'!D:D,0)),IF(AND(E1271="Electricité",M1271="Eté"),INDEX('Base de données Mono'!G:G,MATCH(B1271,'Base de données Mono'!D:D,0)),IF(AND(E1271="Gaz",M1271="Hiver"),INDEX('Base de données Mono'!J:J,MATCH(B1271,'Base de données Mono'!D:D,0)),IF(AND(E1271="Gaz",M1271="Mi-saison"),INDEX('Base de données Mono'!#REF!,MATCH(B1271,'Base de données Mono'!D:D,0)),IF(AND(E1271="Gaz",M1271="Eté"),INDEX('Base de données Mono'!#REF!,MATCH(B1271,'Base de données Mono'!D:D,0)),"-"))))))</f>
        <v>15</v>
      </c>
      <c r="O1271" s="123">
        <v>45396</v>
      </c>
      <c r="P1271" s="123">
        <v>45399</v>
      </c>
      <c r="Q1271" s="34">
        <v>55</v>
      </c>
      <c r="R1271" s="33">
        <f t="shared" ref="R1271:R1278" si="296">IF(Q1271="","",Q1271-N1271)</f>
        <v>40</v>
      </c>
      <c r="S1271" s="34">
        <v>7.7</v>
      </c>
      <c r="T1271" s="34">
        <f t="shared" si="270"/>
        <v>3</v>
      </c>
      <c r="U1271" s="33">
        <f t="shared" ref="U1271:U1278" si="297">R1271*S1271*T1271</f>
        <v>924</v>
      </c>
      <c r="V1271" s="38" t="s">
        <v>827</v>
      </c>
      <c r="W1271" s="39">
        <f t="shared" ref="W1271:W1278" si="298">IFERROR(IF(E1271="Gaz","-",R1271/N1271),"-")</f>
        <v>2.6666666666666665</v>
      </c>
      <c r="X1271" s="40" t="s">
        <v>304</v>
      </c>
      <c r="Y1271" s="40" t="s">
        <v>284</v>
      </c>
      <c r="Z1271" s="40" t="s">
        <v>305</v>
      </c>
      <c r="AA1271" s="33" t="s">
        <v>771</v>
      </c>
      <c r="AB1271" s="95"/>
      <c r="AC1271" s="95"/>
    </row>
    <row r="1272" spans="1:29" ht="14.45" hidden="1" customHeight="1" x14ac:dyDescent="0.25">
      <c r="A1272" s="36" t="str">
        <f>INDEX('Base de données Mono'!C:C,MATCH(B1272,'Base de données Mono'!D:D,0))</f>
        <v>DAUMESNIL</v>
      </c>
      <c r="B1272" t="s">
        <v>15</v>
      </c>
      <c r="C1272" s="36" t="str">
        <f>INDEX('Base de données Mono'!B:B,MATCH(B1272,'Base de données Mono'!D:D,0))</f>
        <v>SES8</v>
      </c>
      <c r="D1272" s="36" t="str">
        <f>INDEX('Base de données Mono'!A:A,MATCH(B1272,'Base de données Mono'!D:D,0))</f>
        <v>JG</v>
      </c>
      <c r="E1272" s="37" t="s">
        <v>303</v>
      </c>
      <c r="F1272" s="41">
        <f t="shared" si="294"/>
        <v>16</v>
      </c>
      <c r="G1272" s="41">
        <f t="shared" si="295"/>
        <v>4</v>
      </c>
      <c r="I1272" s="131">
        <f>INDEX('Base de données Mono'!K:K,MATCH(B1272,'Base de données Mono'!D:D,0))</f>
        <v>0.24305555555555555</v>
      </c>
      <c r="J1272" s="131">
        <f>INDEX('Base de données Mono'!L:L,MATCH(B1272,'Base de données Mono'!D:D,0))</f>
        <v>0.92013888888888884</v>
      </c>
      <c r="K1272" s="131">
        <f>INDEX('Base de données Mono'!M:M,MATCH(B1272,'Base de données Mono'!D:D,0))</f>
        <v>0.28472222222222221</v>
      </c>
      <c r="L1272" s="131">
        <f>INDEX('Base de données Mono'!N:N,MATCH(B1272,'Base de données Mono'!D:D,0))</f>
        <v>0.54166666666666663</v>
      </c>
      <c r="M1272" s="33" t="s">
        <v>46</v>
      </c>
      <c r="N1272" s="33">
        <f>IF(AND(E1272="Electricité",M1272="Hiver"),INDEX('Base de données Mono'!E:E,MATCH(B1272,'Base de données Mono'!D:D,0)),IF(AND(E1272="Electricité",M1272="Mi-saison"),INDEX('Base de données Mono'!F:F,MATCH(B1272,'Base de données Mono'!D:D,0)),IF(AND(E1272="Electricité",M1272="Eté"),INDEX('Base de données Mono'!G:G,MATCH(B1272,'Base de données Mono'!D:D,0)),IF(AND(E1272="Gaz",M1272="Hiver"),INDEX('Base de données Mono'!J:J,MATCH(B1272,'Base de données Mono'!D:D,0)),IF(AND(E1272="Gaz",M1272="Mi-saison"),INDEX('Base de données Mono'!#REF!,MATCH(B1272,'Base de données Mono'!D:D,0)),IF(AND(E1272="Gaz",M1272="Eté"),INDEX('Base de données Mono'!#REF!,MATCH(B1272,'Base de données Mono'!D:D,0)),"-"))))))</f>
        <v>15</v>
      </c>
      <c r="O1272" s="123">
        <v>45399</v>
      </c>
      <c r="P1272" s="123">
        <v>45402</v>
      </c>
      <c r="Q1272" s="34">
        <v>55</v>
      </c>
      <c r="R1272" s="33">
        <f t="shared" si="296"/>
        <v>40</v>
      </c>
      <c r="S1272" s="34">
        <v>3.7</v>
      </c>
      <c r="T1272" s="34">
        <f t="shared" si="270"/>
        <v>3</v>
      </c>
      <c r="U1272" s="33">
        <f t="shared" si="297"/>
        <v>444</v>
      </c>
      <c r="V1272" s="38" t="s">
        <v>827</v>
      </c>
      <c r="W1272" s="39">
        <f t="shared" si="298"/>
        <v>2.6666666666666665</v>
      </c>
      <c r="X1272" s="40" t="s">
        <v>304</v>
      </c>
      <c r="Y1272" s="40" t="s">
        <v>284</v>
      </c>
      <c r="Z1272" s="40" t="s">
        <v>305</v>
      </c>
      <c r="AA1272" s="33" t="s">
        <v>771</v>
      </c>
      <c r="AB1272" s="95"/>
      <c r="AC1272" s="95"/>
    </row>
    <row r="1273" spans="1:29" ht="14.45" hidden="1" customHeight="1" x14ac:dyDescent="0.25">
      <c r="A1273" s="36" t="str">
        <f>INDEX('Base de données Mono'!C:C,MATCH(B1273,'Base de données Mono'!D:D,0))</f>
        <v>DAUMESNIL</v>
      </c>
      <c r="B1273" t="s">
        <v>15</v>
      </c>
      <c r="C1273" s="36" t="str">
        <f>INDEX('Base de données Mono'!B:B,MATCH(B1273,'Base de données Mono'!D:D,0))</f>
        <v>SES8</v>
      </c>
      <c r="D1273" s="36" t="str">
        <f>INDEX('Base de données Mono'!A:A,MATCH(B1273,'Base de données Mono'!D:D,0))</f>
        <v>JG</v>
      </c>
      <c r="E1273" s="37" t="s">
        <v>303</v>
      </c>
      <c r="F1273" s="41">
        <f t="shared" si="294"/>
        <v>16</v>
      </c>
      <c r="G1273" s="41">
        <f t="shared" si="295"/>
        <v>4</v>
      </c>
      <c r="I1273" s="131">
        <f>INDEX('Base de données Mono'!K:K,MATCH(B1273,'Base de données Mono'!D:D,0))</f>
        <v>0.24305555555555555</v>
      </c>
      <c r="J1273" s="131">
        <f>INDEX('Base de données Mono'!L:L,MATCH(B1273,'Base de données Mono'!D:D,0))</f>
        <v>0.92013888888888884</v>
      </c>
      <c r="K1273" s="131">
        <f>INDEX('Base de données Mono'!M:M,MATCH(B1273,'Base de données Mono'!D:D,0))</f>
        <v>0.28472222222222221</v>
      </c>
      <c r="L1273" s="131">
        <f>INDEX('Base de données Mono'!N:N,MATCH(B1273,'Base de données Mono'!D:D,0))</f>
        <v>0.54166666666666663</v>
      </c>
      <c r="M1273" s="33" t="s">
        <v>46</v>
      </c>
      <c r="N1273" s="33">
        <f>IF(AND(E1273="Electricité",M1273="Hiver"),INDEX('Base de données Mono'!E:E,MATCH(B1273,'Base de données Mono'!D:D,0)),IF(AND(E1273="Electricité",M1273="Mi-saison"),INDEX('Base de données Mono'!F:F,MATCH(B1273,'Base de données Mono'!D:D,0)),IF(AND(E1273="Electricité",M1273="Eté"),INDEX('Base de données Mono'!G:G,MATCH(B1273,'Base de données Mono'!D:D,0)),IF(AND(E1273="Gaz",M1273="Hiver"),INDEX('Base de données Mono'!J:J,MATCH(B1273,'Base de données Mono'!D:D,0)),IF(AND(E1273="Gaz",M1273="Mi-saison"),INDEX('Base de données Mono'!#REF!,MATCH(B1273,'Base de données Mono'!D:D,0)),IF(AND(E1273="Gaz",M1273="Eté"),INDEX('Base de données Mono'!#REF!,MATCH(B1273,'Base de données Mono'!D:D,0)),"-"))))))</f>
        <v>15</v>
      </c>
      <c r="O1273" s="123">
        <v>45399</v>
      </c>
      <c r="P1273" s="123">
        <v>45402</v>
      </c>
      <c r="Q1273" s="34">
        <v>75</v>
      </c>
      <c r="R1273" s="33">
        <f t="shared" si="296"/>
        <v>60</v>
      </c>
      <c r="S1273" s="34">
        <v>4</v>
      </c>
      <c r="T1273" s="34">
        <f t="shared" si="270"/>
        <v>3</v>
      </c>
      <c r="U1273" s="33">
        <f t="shared" si="297"/>
        <v>720</v>
      </c>
      <c r="V1273" s="38" t="s">
        <v>827</v>
      </c>
      <c r="W1273" s="39">
        <f t="shared" si="298"/>
        <v>4</v>
      </c>
      <c r="X1273" s="40" t="s">
        <v>304</v>
      </c>
      <c r="Y1273" s="40" t="s">
        <v>283</v>
      </c>
      <c r="Z1273" s="40" t="s">
        <v>749</v>
      </c>
      <c r="AA1273" s="33" t="s">
        <v>749</v>
      </c>
      <c r="AB1273" s="95"/>
      <c r="AC1273" s="95" t="s">
        <v>854</v>
      </c>
    </row>
    <row r="1274" spans="1:29" ht="14.45" hidden="1" customHeight="1" x14ac:dyDescent="0.25">
      <c r="A1274" s="36" t="str">
        <f>INDEX('Base de données Mono'!C:C,MATCH(B1274,'Base de données Mono'!D:D,0))</f>
        <v>DAUMESNIL</v>
      </c>
      <c r="B1274" t="s">
        <v>15</v>
      </c>
      <c r="C1274" s="36" t="str">
        <f>INDEX('Base de données Mono'!B:B,MATCH(B1274,'Base de données Mono'!D:D,0))</f>
        <v>SES8</v>
      </c>
      <c r="D1274" s="36" t="str">
        <f>INDEX('Base de données Mono'!A:A,MATCH(B1274,'Base de données Mono'!D:D,0))</f>
        <v>JG</v>
      </c>
      <c r="E1274" s="37" t="s">
        <v>303</v>
      </c>
      <c r="F1274" s="41">
        <f t="shared" si="294"/>
        <v>16</v>
      </c>
      <c r="G1274" s="41">
        <f t="shared" si="295"/>
        <v>4</v>
      </c>
      <c r="I1274" s="131">
        <f>INDEX('Base de données Mono'!K:K,MATCH(B1274,'Base de données Mono'!D:D,0))</f>
        <v>0.24305555555555555</v>
      </c>
      <c r="J1274" s="131">
        <f>INDEX('Base de données Mono'!L:L,MATCH(B1274,'Base de données Mono'!D:D,0))</f>
        <v>0.92013888888888884</v>
      </c>
      <c r="K1274" s="131">
        <f>INDEX('Base de données Mono'!M:M,MATCH(B1274,'Base de données Mono'!D:D,0))</f>
        <v>0.28472222222222221</v>
      </c>
      <c r="L1274" s="131">
        <f>INDEX('Base de données Mono'!N:N,MATCH(B1274,'Base de données Mono'!D:D,0))</f>
        <v>0.54166666666666663</v>
      </c>
      <c r="M1274" s="33" t="s">
        <v>46</v>
      </c>
      <c r="N1274" s="33">
        <f>IF(AND(E1274="Electricité",M1274="Hiver"),INDEX('Base de données Mono'!E:E,MATCH(B1274,'Base de données Mono'!D:D,0)),IF(AND(E1274="Electricité",M1274="Mi-saison"),INDEX('Base de données Mono'!F:F,MATCH(B1274,'Base de données Mono'!D:D,0)),IF(AND(E1274="Electricité",M1274="Eté"),INDEX('Base de données Mono'!G:G,MATCH(B1274,'Base de données Mono'!D:D,0)),IF(AND(E1274="Gaz",M1274="Hiver"),INDEX('Base de données Mono'!J:J,MATCH(B1274,'Base de données Mono'!D:D,0)),IF(AND(E1274="Gaz",M1274="Mi-saison"),INDEX('Base de données Mono'!#REF!,MATCH(B1274,'Base de données Mono'!D:D,0)),IF(AND(E1274="Gaz",M1274="Eté"),INDEX('Base de données Mono'!#REF!,MATCH(B1274,'Base de données Mono'!D:D,0)),"-"))))))</f>
        <v>15</v>
      </c>
      <c r="O1274" s="123">
        <v>45402</v>
      </c>
      <c r="P1274" s="123">
        <v>45403</v>
      </c>
      <c r="Q1274" s="34">
        <v>80</v>
      </c>
      <c r="R1274" s="33">
        <f t="shared" si="296"/>
        <v>65</v>
      </c>
      <c r="S1274" s="34">
        <v>8.6999999999999993</v>
      </c>
      <c r="T1274" s="34">
        <f t="shared" si="270"/>
        <v>1</v>
      </c>
      <c r="U1274" s="33">
        <f t="shared" si="297"/>
        <v>565.5</v>
      </c>
      <c r="V1274" s="38" t="s">
        <v>827</v>
      </c>
      <c r="W1274" s="39">
        <f t="shared" si="298"/>
        <v>4.333333333333333</v>
      </c>
      <c r="X1274" s="40" t="s">
        <v>304</v>
      </c>
      <c r="Y1274" s="40" t="s">
        <v>283</v>
      </c>
      <c r="Z1274" s="40" t="s">
        <v>749</v>
      </c>
      <c r="AA1274" s="33" t="s">
        <v>749</v>
      </c>
      <c r="AB1274" s="95"/>
      <c r="AC1274" s="95"/>
    </row>
    <row r="1275" spans="1:29" ht="14.45" hidden="1" customHeight="1" x14ac:dyDescent="0.25">
      <c r="A1275" s="36" t="str">
        <f>INDEX('Base de données Mono'!C:C,MATCH(B1275,'Base de données Mono'!D:D,0))</f>
        <v>SETE</v>
      </c>
      <c r="B1275" t="s">
        <v>34</v>
      </c>
      <c r="C1275" s="36" t="str">
        <f>INDEX('Base de données Mono'!B:B,MATCH(B1275,'Base de données Mono'!D:D,0))</f>
        <v>SES8</v>
      </c>
      <c r="D1275" s="36" t="str">
        <f>INDEX('Base de données Mono'!A:A,MATCH(B1275,'Base de données Mono'!D:D,0))</f>
        <v>AD</v>
      </c>
      <c r="E1275" s="37" t="s">
        <v>303</v>
      </c>
      <c r="F1275" s="41">
        <f t="shared" si="294"/>
        <v>16</v>
      </c>
      <c r="G1275" s="41">
        <f t="shared" si="295"/>
        <v>4</v>
      </c>
      <c r="I1275" s="131">
        <f>INDEX('Base de données Mono'!K:K,MATCH(B1275,'Base de données Mono'!D:D,0))</f>
        <v>0.23611111111111113</v>
      </c>
      <c r="J1275" s="131">
        <f>INDEX('Base de données Mono'!L:L,MATCH(B1275,'Base de données Mono'!D:D,0))</f>
        <v>0.85416666666666663</v>
      </c>
      <c r="K1275" s="131">
        <f>INDEX('Base de données Mono'!M:M,MATCH(B1275,'Base de données Mono'!D:D,0))</f>
        <v>0.29166666666666669</v>
      </c>
      <c r="L1275" s="131">
        <f>INDEX('Base de données Mono'!N:N,MATCH(B1275,'Base de données Mono'!D:D,0))</f>
        <v>0.54166666666666663</v>
      </c>
      <c r="M1275" s="33" t="s">
        <v>46</v>
      </c>
      <c r="N1275" s="33">
        <f>IF(AND(E1275="Electricité",M1275="Hiver"),INDEX('Base de données Mono'!E:E,MATCH(B1275,'Base de données Mono'!D:D,0)),IF(AND(E1275="Electricité",M1275="Mi-saison"),INDEX('Base de données Mono'!F:F,MATCH(B1275,'Base de données Mono'!D:D,0)),IF(AND(E1275="Electricité",M1275="Eté"),INDEX('Base de données Mono'!G:G,MATCH(B1275,'Base de données Mono'!D:D,0)),IF(AND(E1275="Gaz",M1275="Hiver"),INDEX('Base de données Mono'!J:J,MATCH(B1275,'Base de données Mono'!D:D,0)),IF(AND(E1275="Gaz",M1275="Mi-saison"),INDEX('Base de données Mono'!#REF!,MATCH(B1275,'Base de données Mono'!D:D,0)),IF(AND(E1275="Gaz",M1275="Eté"),INDEX('Base de données Mono'!#REF!,MATCH(B1275,'Base de données Mono'!D:D,0)),"-"))))))</f>
        <v>45</v>
      </c>
      <c r="O1275" s="123">
        <v>45396</v>
      </c>
      <c r="P1275" s="123">
        <v>45398</v>
      </c>
      <c r="Q1275" s="34">
        <v>50</v>
      </c>
      <c r="R1275" s="33">
        <f t="shared" si="296"/>
        <v>5</v>
      </c>
      <c r="S1275" s="34">
        <v>9</v>
      </c>
      <c r="T1275" s="34">
        <f t="shared" si="270"/>
        <v>2</v>
      </c>
      <c r="U1275" s="33">
        <f t="shared" si="297"/>
        <v>90</v>
      </c>
      <c r="V1275" s="38" t="s">
        <v>827</v>
      </c>
      <c r="W1275" s="39">
        <f t="shared" si="298"/>
        <v>0.1111111111111111</v>
      </c>
      <c r="X1275" s="40" t="s">
        <v>304</v>
      </c>
      <c r="Y1275" s="40" t="s">
        <v>284</v>
      </c>
      <c r="Z1275" s="40" t="s">
        <v>305</v>
      </c>
      <c r="AA1275" s="33" t="s">
        <v>771</v>
      </c>
      <c r="AB1275" s="95"/>
      <c r="AC1275" s="95"/>
    </row>
    <row r="1276" spans="1:29" ht="14.45" hidden="1" customHeight="1" x14ac:dyDescent="0.25">
      <c r="A1276" s="36" t="str">
        <f>INDEX('Base de données Mono'!C:C,MATCH(B1276,'Base de données Mono'!D:D,0))</f>
        <v>SETE</v>
      </c>
      <c r="B1276" t="s">
        <v>34</v>
      </c>
      <c r="C1276" s="36" t="str">
        <f>INDEX('Base de données Mono'!B:B,MATCH(B1276,'Base de données Mono'!D:D,0))</f>
        <v>SES8</v>
      </c>
      <c r="D1276" s="36" t="str">
        <f>INDEX('Base de données Mono'!A:A,MATCH(B1276,'Base de données Mono'!D:D,0))</f>
        <v>AD</v>
      </c>
      <c r="E1276" s="37" t="s">
        <v>303</v>
      </c>
      <c r="F1276" s="41">
        <f t="shared" ref="F1276:F1277" si="299">IF(O1276="","-",IF(AND(X1276="Nuit",WEEKDAY(O1276,2)=7,O1276&lt;&gt;P1276),WEEKNUM(O1276,2),WEEKNUM(O1276,2)-1))+1</f>
        <v>16</v>
      </c>
      <c r="G1276" s="41">
        <f t="shared" ref="G1276:G1277" si="300">IF(O1276="","-",MONTH(O1276))</f>
        <v>4</v>
      </c>
      <c r="I1276" s="131">
        <f>INDEX('Base de données Mono'!K:K,MATCH(B1276,'Base de données Mono'!D:D,0))</f>
        <v>0.23611111111111113</v>
      </c>
      <c r="J1276" s="131">
        <f>INDEX('Base de données Mono'!L:L,MATCH(B1276,'Base de données Mono'!D:D,0))</f>
        <v>0.85416666666666663</v>
      </c>
      <c r="K1276" s="131">
        <f>INDEX('Base de données Mono'!M:M,MATCH(B1276,'Base de données Mono'!D:D,0))</f>
        <v>0.29166666666666669</v>
      </c>
      <c r="L1276" s="131">
        <f>INDEX('Base de données Mono'!N:N,MATCH(B1276,'Base de données Mono'!D:D,0))</f>
        <v>0.54166666666666663</v>
      </c>
      <c r="M1276" s="33" t="s">
        <v>46</v>
      </c>
      <c r="N1276" s="33">
        <f>IF(AND(E1276="Electricité",M1276="Hiver"),INDEX('Base de données Mono'!E:E,MATCH(B1276,'Base de données Mono'!D:D,0)),IF(AND(E1276="Electricité",M1276="Mi-saison"),INDEX('Base de données Mono'!F:F,MATCH(B1276,'Base de données Mono'!D:D,0)),IF(AND(E1276="Electricité",M1276="Eté"),INDEX('Base de données Mono'!G:G,MATCH(B1276,'Base de données Mono'!D:D,0)),IF(AND(E1276="Gaz",M1276="Hiver"),INDEX('Base de données Mono'!J:J,MATCH(B1276,'Base de données Mono'!D:D,0)),IF(AND(E1276="Gaz",M1276="Mi-saison"),INDEX('Base de données Mono'!#REF!,MATCH(B1276,'Base de données Mono'!D:D,0)),IF(AND(E1276="Gaz",M1276="Eté"),INDEX('Base de données Mono'!#REF!,MATCH(B1276,'Base de données Mono'!D:D,0)),"-"))))))</f>
        <v>45</v>
      </c>
      <c r="O1276" s="123">
        <v>45398</v>
      </c>
      <c r="P1276" s="123">
        <v>45401</v>
      </c>
      <c r="Q1276" s="34">
        <v>70</v>
      </c>
      <c r="R1276" s="33">
        <f t="shared" ref="R1276:R1277" si="301">IF(Q1276="","",Q1276-N1276)</f>
        <v>25</v>
      </c>
      <c r="S1276" s="34">
        <v>3</v>
      </c>
      <c r="T1276" s="34">
        <f t="shared" ref="T1276:T1277" si="302">P1276-O1276</f>
        <v>3</v>
      </c>
      <c r="U1276" s="33">
        <f t="shared" ref="U1276:U1277" si="303">R1276*S1276*T1276</f>
        <v>225</v>
      </c>
      <c r="V1276" s="38" t="s">
        <v>827</v>
      </c>
      <c r="W1276" s="39">
        <f t="shared" ref="W1276:W1277" si="304">IFERROR(IF(E1276="Gaz","-",R1276/N1276),"-")</f>
        <v>0.55555555555555558</v>
      </c>
      <c r="X1276" s="40" t="s">
        <v>304</v>
      </c>
      <c r="Y1276" s="40" t="s">
        <v>284</v>
      </c>
      <c r="Z1276" s="40" t="s">
        <v>311</v>
      </c>
      <c r="AA1276" s="33" t="s">
        <v>775</v>
      </c>
      <c r="AB1276" s="95"/>
      <c r="AC1276" s="95"/>
    </row>
    <row r="1277" spans="1:29" ht="14.45" hidden="1" customHeight="1" x14ac:dyDescent="0.25">
      <c r="A1277" s="36" t="str">
        <f>INDEX('Base de données Mono'!C:C,MATCH(B1277,'Base de données Mono'!D:D,0))</f>
        <v>SETE</v>
      </c>
      <c r="B1277" t="s">
        <v>34</v>
      </c>
      <c r="C1277" s="36" t="str">
        <f>INDEX('Base de données Mono'!B:B,MATCH(B1277,'Base de données Mono'!D:D,0))</f>
        <v>SES8</v>
      </c>
      <c r="D1277" s="36" t="str">
        <f>INDEX('Base de données Mono'!A:A,MATCH(B1277,'Base de données Mono'!D:D,0))</f>
        <v>AD</v>
      </c>
      <c r="E1277" s="37" t="s">
        <v>303</v>
      </c>
      <c r="F1277" s="41">
        <f t="shared" si="299"/>
        <v>16</v>
      </c>
      <c r="G1277" s="41">
        <f t="shared" si="300"/>
        <v>4</v>
      </c>
      <c r="I1277" s="131">
        <f>INDEX('Base de données Mono'!K:K,MATCH(B1277,'Base de données Mono'!D:D,0))</f>
        <v>0.23611111111111113</v>
      </c>
      <c r="J1277" s="131">
        <f>INDEX('Base de données Mono'!L:L,MATCH(B1277,'Base de données Mono'!D:D,0))</f>
        <v>0.85416666666666663</v>
      </c>
      <c r="K1277" s="131">
        <f>INDEX('Base de données Mono'!M:M,MATCH(B1277,'Base de données Mono'!D:D,0))</f>
        <v>0.29166666666666669</v>
      </c>
      <c r="L1277" s="131">
        <f>INDEX('Base de données Mono'!N:N,MATCH(B1277,'Base de données Mono'!D:D,0))</f>
        <v>0.54166666666666663</v>
      </c>
      <c r="M1277" s="33" t="s">
        <v>46</v>
      </c>
      <c r="N1277" s="33">
        <f>IF(AND(E1277="Electricité",M1277="Hiver"),INDEX('Base de données Mono'!E:E,MATCH(B1277,'Base de données Mono'!D:D,0)),IF(AND(E1277="Electricité",M1277="Mi-saison"),INDEX('Base de données Mono'!F:F,MATCH(B1277,'Base de données Mono'!D:D,0)),IF(AND(E1277="Electricité",M1277="Eté"),INDEX('Base de données Mono'!G:G,MATCH(B1277,'Base de données Mono'!D:D,0)),IF(AND(E1277="Gaz",M1277="Hiver"),INDEX('Base de données Mono'!J:J,MATCH(B1277,'Base de données Mono'!D:D,0)),IF(AND(E1277="Gaz",M1277="Mi-saison"),INDEX('Base de données Mono'!#REF!,MATCH(B1277,'Base de données Mono'!D:D,0)),IF(AND(E1277="Gaz",M1277="Eté"),INDEX('Base de données Mono'!#REF!,MATCH(B1277,'Base de données Mono'!D:D,0)),"-"))))))</f>
        <v>45</v>
      </c>
      <c r="O1277" s="123">
        <v>45401</v>
      </c>
      <c r="P1277" s="123">
        <v>45403</v>
      </c>
      <c r="Q1277" s="34">
        <v>50</v>
      </c>
      <c r="R1277" s="33">
        <f t="shared" si="301"/>
        <v>5</v>
      </c>
      <c r="S1277" s="34">
        <v>2</v>
      </c>
      <c r="T1277" s="34">
        <f t="shared" si="302"/>
        <v>2</v>
      </c>
      <c r="U1277" s="33">
        <f t="shared" si="303"/>
        <v>20</v>
      </c>
      <c r="V1277" s="38" t="s">
        <v>827</v>
      </c>
      <c r="W1277" s="39">
        <f t="shared" si="304"/>
        <v>0.1111111111111111</v>
      </c>
      <c r="X1277" s="40" t="s">
        <v>304</v>
      </c>
      <c r="Y1277" s="40" t="s">
        <v>284</v>
      </c>
      <c r="Z1277" s="40" t="s">
        <v>305</v>
      </c>
      <c r="AA1277" s="33" t="s">
        <v>771</v>
      </c>
      <c r="AB1277" s="95"/>
      <c r="AC1277" s="95"/>
    </row>
    <row r="1278" spans="1:29" ht="14.45" hidden="1" customHeight="1" x14ac:dyDescent="0.25">
      <c r="A1278" s="36" t="str">
        <f>INDEX('Base de données Mono'!C:C,MATCH(B1278,'Base de données Mono'!D:D,0))</f>
        <v>SETE</v>
      </c>
      <c r="B1278" t="s">
        <v>34</v>
      </c>
      <c r="C1278" s="36" t="str">
        <f>INDEX('Base de données Mono'!B:B,MATCH(B1278,'Base de données Mono'!D:D,0))</f>
        <v>SES8</v>
      </c>
      <c r="D1278" s="36" t="str">
        <f>INDEX('Base de données Mono'!A:A,MATCH(B1278,'Base de données Mono'!D:D,0))</f>
        <v>AD</v>
      </c>
      <c r="E1278" s="37" t="s">
        <v>303</v>
      </c>
      <c r="F1278" s="41">
        <f t="shared" si="294"/>
        <v>16</v>
      </c>
      <c r="G1278" s="41">
        <f t="shared" si="295"/>
        <v>4</v>
      </c>
      <c r="I1278" s="131">
        <f>INDEX('Base de données Mono'!K:K,MATCH(B1278,'Base de données Mono'!D:D,0))</f>
        <v>0.23611111111111113</v>
      </c>
      <c r="J1278" s="131">
        <f>INDEX('Base de données Mono'!L:L,MATCH(B1278,'Base de données Mono'!D:D,0))</f>
        <v>0.85416666666666663</v>
      </c>
      <c r="K1278" s="131">
        <f>INDEX('Base de données Mono'!M:M,MATCH(B1278,'Base de données Mono'!D:D,0))</f>
        <v>0.29166666666666669</v>
      </c>
      <c r="L1278" s="131">
        <f>INDEX('Base de données Mono'!N:N,MATCH(B1278,'Base de données Mono'!D:D,0))</f>
        <v>0.54166666666666663</v>
      </c>
      <c r="M1278" s="33" t="s">
        <v>46</v>
      </c>
      <c r="N1278" s="33">
        <f>IF(AND(E1278="Electricité",M1278="Hiver"),INDEX('Base de données Mono'!E:E,MATCH(B1278,'Base de données Mono'!D:D,0)),IF(AND(E1278="Electricité",M1278="Mi-saison"),INDEX('Base de données Mono'!F:F,MATCH(B1278,'Base de données Mono'!D:D,0)),IF(AND(E1278="Electricité",M1278="Eté"),INDEX('Base de données Mono'!G:G,MATCH(B1278,'Base de données Mono'!D:D,0)),IF(AND(E1278="Gaz",M1278="Hiver"),INDEX('Base de données Mono'!J:J,MATCH(B1278,'Base de données Mono'!D:D,0)),IF(AND(E1278="Gaz",M1278="Mi-saison"),INDEX('Base de données Mono'!#REF!,MATCH(B1278,'Base de données Mono'!D:D,0)),IF(AND(E1278="Gaz",M1278="Eté"),INDEX('Base de données Mono'!#REF!,MATCH(B1278,'Base de données Mono'!D:D,0)),"-"))))))</f>
        <v>45</v>
      </c>
      <c r="O1278" s="123">
        <v>45402</v>
      </c>
      <c r="P1278" s="123">
        <v>45403</v>
      </c>
      <c r="Q1278" s="34">
        <v>60</v>
      </c>
      <c r="R1278" s="33">
        <f t="shared" si="296"/>
        <v>15</v>
      </c>
      <c r="S1278" s="34">
        <v>1.5</v>
      </c>
      <c r="T1278" s="34">
        <f t="shared" si="270"/>
        <v>1</v>
      </c>
      <c r="U1278" s="33">
        <f t="shared" si="297"/>
        <v>22.5</v>
      </c>
      <c r="V1278" s="38" t="s">
        <v>827</v>
      </c>
      <c r="W1278" s="39">
        <f t="shared" si="298"/>
        <v>0.33333333333333331</v>
      </c>
      <c r="X1278" s="40" t="s">
        <v>304</v>
      </c>
      <c r="Y1278" s="40" t="s">
        <v>284</v>
      </c>
      <c r="Z1278" s="40" t="s">
        <v>305</v>
      </c>
      <c r="AA1278" s="33" t="s">
        <v>771</v>
      </c>
      <c r="AB1278" s="95"/>
      <c r="AC1278" s="95"/>
    </row>
    <row r="1279" spans="1:29" ht="14.45" hidden="1" customHeight="1" x14ac:dyDescent="0.25">
      <c r="A1279" s="36" t="str">
        <f>INDEX('Base de données Mono'!C:C,MATCH(B1279,'Base de données Mono'!D:D,0))</f>
        <v>VINCENNES</v>
      </c>
      <c r="B1279" t="s">
        <v>277</v>
      </c>
      <c r="C1279" s="36" t="str">
        <f>INDEX('Base de données Mono'!B:B,MATCH(B1279,'Base de données Mono'!D:D,0))</f>
        <v>SES8</v>
      </c>
      <c r="D1279" s="36" t="str">
        <f>INDEX('Base de données Mono'!A:A,MATCH(B1279,'Base de données Mono'!D:D,0))</f>
        <v>JG</v>
      </c>
      <c r="E1279" s="37" t="s">
        <v>303</v>
      </c>
      <c r="F1279" s="41">
        <f t="shared" ref="F1279:F1290" si="305">IF(O1279="","-",IF(AND(X1279="Nuit",WEEKDAY(O1279,2)=7,O1279&lt;&gt;P1279),WEEKNUM(O1279,2),WEEKNUM(O1279,2)-1))+1</f>
        <v>16</v>
      </c>
      <c r="G1279" s="41">
        <f t="shared" ref="G1279:G1290" si="306">IF(O1279="","-",MONTH(O1279))</f>
        <v>4</v>
      </c>
      <c r="I1279" s="131">
        <f>INDEX('Base de données Mono'!K:K,MATCH(B1279,'Base de données Mono'!D:D,0))</f>
        <v>0.24305555555555555</v>
      </c>
      <c r="J1279" s="131">
        <f>INDEX('Base de données Mono'!L:L,MATCH(B1279,'Base de données Mono'!D:D,0))</f>
        <v>0.91666666666666663</v>
      </c>
      <c r="K1279" s="131">
        <f>INDEX('Base de données Mono'!M:M,MATCH(B1279,'Base de données Mono'!D:D,0))</f>
        <v>0.28472222222222221</v>
      </c>
      <c r="L1279" s="131">
        <f>INDEX('Base de données Mono'!N:N,MATCH(B1279,'Base de données Mono'!D:D,0))</f>
        <v>0.56944444444444442</v>
      </c>
      <c r="M1279" s="33" t="s">
        <v>46</v>
      </c>
      <c r="N1279" s="33">
        <f>IF(AND(E1279="Electricité",M1279="Hiver"),INDEX('Base de données Mono'!E:E,MATCH(B1279,'Base de données Mono'!D:D,0)),IF(AND(E1279="Electricité",M1279="Mi-saison"),INDEX('Base de données Mono'!F:F,MATCH(B1279,'Base de données Mono'!D:D,0)),IF(AND(E1279="Electricité",M1279="Eté"),INDEX('Base de données Mono'!G:G,MATCH(B1279,'Base de données Mono'!D:D,0)),IF(AND(E1279="Gaz",M1279="Hiver"),INDEX('Base de données Mono'!J:J,MATCH(B1279,'Base de données Mono'!D:D,0)),IF(AND(E1279="Gaz",M1279="Mi-saison"),INDEX('Base de données Mono'!#REF!,MATCH(B1279,'Base de données Mono'!D:D,0)),IF(AND(E1279="Gaz",M1279="Eté"),INDEX('Base de données Mono'!#REF!,MATCH(B1279,'Base de données Mono'!D:D,0)),"-"))))))</f>
        <v>45</v>
      </c>
      <c r="O1279" s="123">
        <v>45397</v>
      </c>
      <c r="P1279" s="123">
        <v>45403</v>
      </c>
      <c r="Q1279" s="34">
        <v>70</v>
      </c>
      <c r="R1279" s="33">
        <f t="shared" ref="R1279:R1290" si="307">IF(Q1279="","",Q1279-N1279)</f>
        <v>25</v>
      </c>
      <c r="S1279" s="34">
        <v>1.6</v>
      </c>
      <c r="T1279" s="34">
        <f t="shared" si="270"/>
        <v>6</v>
      </c>
      <c r="U1279" s="33">
        <f t="shared" ref="U1279:U1292" si="308">R1279*S1279*T1279</f>
        <v>240</v>
      </c>
      <c r="V1279" s="38" t="s">
        <v>827</v>
      </c>
      <c r="W1279" s="39">
        <f t="shared" ref="W1279:W1292" si="309">IFERROR(IF(E1279="Gaz","-",R1279/N1279),"-")</f>
        <v>0.55555555555555558</v>
      </c>
      <c r="X1279" s="40" t="s">
        <v>304</v>
      </c>
      <c r="Y1279" s="40" t="s">
        <v>284</v>
      </c>
      <c r="Z1279" s="40" t="s">
        <v>307</v>
      </c>
      <c r="AA1279" s="33" t="s">
        <v>313</v>
      </c>
      <c r="AB1279" s="95"/>
      <c r="AC1279" s="95"/>
    </row>
    <row r="1280" spans="1:29" ht="14.45" hidden="1" customHeight="1" x14ac:dyDescent="0.25">
      <c r="A1280" s="36" t="str">
        <f>INDEX('Base de données Mono'!C:C,MATCH(B1280,'Base de données Mono'!D:D,0))</f>
        <v>VINCENNES</v>
      </c>
      <c r="B1280" t="s">
        <v>277</v>
      </c>
      <c r="C1280" s="36" t="str">
        <f>INDEX('Base de données Mono'!B:B,MATCH(B1280,'Base de données Mono'!D:D,0))</f>
        <v>SES8</v>
      </c>
      <c r="D1280" s="36" t="str">
        <f>INDEX('Base de données Mono'!A:A,MATCH(B1280,'Base de données Mono'!D:D,0))</f>
        <v>JG</v>
      </c>
      <c r="E1280" s="37" t="s">
        <v>303</v>
      </c>
      <c r="F1280" s="41">
        <f t="shared" si="305"/>
        <v>16</v>
      </c>
      <c r="G1280" s="41">
        <f t="shared" si="306"/>
        <v>4</v>
      </c>
      <c r="I1280" s="131">
        <f>INDEX('Base de données Mono'!K:K,MATCH(B1280,'Base de données Mono'!D:D,0))</f>
        <v>0.24305555555555555</v>
      </c>
      <c r="J1280" s="131">
        <f>INDEX('Base de données Mono'!L:L,MATCH(B1280,'Base de données Mono'!D:D,0))</f>
        <v>0.91666666666666663</v>
      </c>
      <c r="K1280" s="131">
        <f>INDEX('Base de données Mono'!M:M,MATCH(B1280,'Base de données Mono'!D:D,0))</f>
        <v>0.28472222222222221</v>
      </c>
      <c r="L1280" s="131">
        <f>INDEX('Base de données Mono'!N:N,MATCH(B1280,'Base de données Mono'!D:D,0))</f>
        <v>0.56944444444444442</v>
      </c>
      <c r="M1280" s="33" t="s">
        <v>46</v>
      </c>
      <c r="N1280" s="33">
        <f>IF(AND(E1280="Electricité",M1280="Hiver"),INDEX('Base de données Mono'!E:E,MATCH(B1280,'Base de données Mono'!D:D,0)),IF(AND(E1280="Electricité",M1280="Mi-saison"),INDEX('Base de données Mono'!F:F,MATCH(B1280,'Base de données Mono'!D:D,0)),IF(AND(E1280="Electricité",M1280="Eté"),INDEX('Base de données Mono'!G:G,MATCH(B1280,'Base de données Mono'!D:D,0)),IF(AND(E1280="Gaz",M1280="Hiver"),INDEX('Base de données Mono'!J:J,MATCH(B1280,'Base de données Mono'!D:D,0)),IF(AND(E1280="Gaz",M1280="Mi-saison"),INDEX('Base de données Mono'!#REF!,MATCH(B1280,'Base de données Mono'!D:D,0)),IF(AND(E1280="Gaz",M1280="Eté"),INDEX('Base de données Mono'!#REF!,MATCH(B1280,'Base de données Mono'!D:D,0)),"-"))))))</f>
        <v>45</v>
      </c>
      <c r="O1280" s="123">
        <v>45396</v>
      </c>
      <c r="P1280" s="123">
        <v>45400</v>
      </c>
      <c r="Q1280" s="34">
        <v>50</v>
      </c>
      <c r="R1280" s="33">
        <f t="shared" si="307"/>
        <v>5</v>
      </c>
      <c r="S1280" s="34">
        <v>0.3</v>
      </c>
      <c r="T1280" s="34">
        <f t="shared" si="270"/>
        <v>4</v>
      </c>
      <c r="U1280" s="33">
        <f t="shared" si="308"/>
        <v>6</v>
      </c>
      <c r="V1280" s="38" t="s">
        <v>827</v>
      </c>
      <c r="W1280" s="39">
        <f t="shared" si="309"/>
        <v>0.1111111111111111</v>
      </c>
      <c r="X1280" s="40" t="s">
        <v>304</v>
      </c>
      <c r="Y1280" s="40" t="s">
        <v>284</v>
      </c>
      <c r="Z1280" s="40" t="s">
        <v>305</v>
      </c>
      <c r="AA1280" s="33" t="s">
        <v>771</v>
      </c>
      <c r="AB1280" s="95"/>
      <c r="AC1280" s="95"/>
    </row>
    <row r="1281" spans="1:29" ht="14.45" hidden="1" customHeight="1" x14ac:dyDescent="0.25">
      <c r="A1281" s="36" t="str">
        <f>INDEX('Base de données Mono'!C:C,MATCH(B1281,'Base de données Mono'!D:D,0))</f>
        <v>LE VESINET</v>
      </c>
      <c r="B1281" t="s">
        <v>19</v>
      </c>
      <c r="C1281" s="36" t="str">
        <f>INDEX('Base de données Mono'!B:B,MATCH(B1281,'Base de données Mono'!D:D,0))</f>
        <v>SES8</v>
      </c>
      <c r="D1281" s="36" t="str">
        <f>INDEX('Base de données Mono'!A:A,MATCH(B1281,'Base de données Mono'!D:D,0))</f>
        <v>AD</v>
      </c>
      <c r="E1281" s="37" t="s">
        <v>303</v>
      </c>
      <c r="F1281" s="41">
        <f t="shared" si="305"/>
        <v>16</v>
      </c>
      <c r="G1281" s="41">
        <f t="shared" si="306"/>
        <v>4</v>
      </c>
      <c r="I1281" s="131">
        <f>INDEX('Base de données Mono'!K:K,MATCH(B1281,'Base de données Mono'!D:D,0))</f>
        <v>0.24305555555555555</v>
      </c>
      <c r="J1281" s="131">
        <f>INDEX('Base de données Mono'!L:L,MATCH(B1281,'Base de données Mono'!D:D,0))</f>
        <v>0.89583333333333337</v>
      </c>
      <c r="K1281" s="131">
        <f>INDEX('Base de données Mono'!M:M,MATCH(B1281,'Base de données Mono'!D:D,0))</f>
        <v>0.29166666666666669</v>
      </c>
      <c r="L1281" s="131">
        <f>INDEX('Base de données Mono'!N:N,MATCH(B1281,'Base de données Mono'!D:D,0))</f>
        <v>0.5625</v>
      </c>
      <c r="M1281" s="33" t="s">
        <v>46</v>
      </c>
      <c r="N1281" s="33">
        <f>IF(AND(E1281="Electricité",M1281="Hiver"),INDEX('Base de données Mono'!E:E,MATCH(B1281,'Base de données Mono'!D:D,0)),IF(AND(E1281="Electricité",M1281="Mi-saison"),INDEX('Base de données Mono'!F:F,MATCH(B1281,'Base de données Mono'!D:D,0)),IF(AND(E1281="Electricité",M1281="Eté"),INDEX('Base de données Mono'!G:G,MATCH(B1281,'Base de données Mono'!D:D,0)),IF(AND(E1281="Gaz",M1281="Hiver"),INDEX('Base de données Mono'!J:J,MATCH(B1281,'Base de données Mono'!D:D,0)),IF(AND(E1281="Gaz",M1281="Mi-saison"),INDEX('Base de données Mono'!#REF!,MATCH(B1281,'Base de données Mono'!D:D,0)),IF(AND(E1281="Gaz",M1281="Eté"),INDEX('Base de données Mono'!#REF!,MATCH(B1281,'Base de données Mono'!D:D,0)),"-"))))))</f>
        <v>45</v>
      </c>
      <c r="O1281" s="123">
        <v>45396</v>
      </c>
      <c r="P1281" s="123">
        <v>45402</v>
      </c>
      <c r="Q1281" s="34">
        <v>80</v>
      </c>
      <c r="R1281" s="33">
        <f t="shared" si="307"/>
        <v>35</v>
      </c>
      <c r="S1281" s="34">
        <v>0.3</v>
      </c>
      <c r="T1281" s="34">
        <f t="shared" si="270"/>
        <v>6</v>
      </c>
      <c r="U1281" s="33">
        <f t="shared" si="308"/>
        <v>63</v>
      </c>
      <c r="V1281" s="38" t="s">
        <v>827</v>
      </c>
      <c r="W1281" s="39">
        <f t="shared" si="309"/>
        <v>0.77777777777777779</v>
      </c>
      <c r="X1281" s="40" t="s">
        <v>304</v>
      </c>
      <c r="Y1281" s="40" t="s">
        <v>284</v>
      </c>
      <c r="Z1281" s="40" t="s">
        <v>307</v>
      </c>
      <c r="AA1281" s="33" t="s">
        <v>414</v>
      </c>
      <c r="AB1281" s="95"/>
      <c r="AC1281" s="95"/>
    </row>
    <row r="1282" spans="1:29" ht="14.45" hidden="1" customHeight="1" x14ac:dyDescent="0.25">
      <c r="A1282" s="36" t="str">
        <f>INDEX('Base de données Mono'!C:C,MATCH(B1282,'Base de données Mono'!D:D,0))</f>
        <v>LE VESINET</v>
      </c>
      <c r="B1282" t="s">
        <v>19</v>
      </c>
      <c r="C1282" s="36" t="str">
        <f>INDEX('Base de données Mono'!B:B,MATCH(B1282,'Base de données Mono'!D:D,0))</f>
        <v>SES8</v>
      </c>
      <c r="D1282" s="36" t="str">
        <f>INDEX('Base de données Mono'!A:A,MATCH(B1282,'Base de données Mono'!D:D,0))</f>
        <v>AD</v>
      </c>
      <c r="E1282" s="37" t="s">
        <v>303</v>
      </c>
      <c r="F1282" s="41">
        <f t="shared" si="305"/>
        <v>16</v>
      </c>
      <c r="G1282" s="41">
        <f t="shared" si="306"/>
        <v>4</v>
      </c>
      <c r="I1282" s="131">
        <f>INDEX('Base de données Mono'!K:K,MATCH(B1282,'Base de données Mono'!D:D,0))</f>
        <v>0.24305555555555555</v>
      </c>
      <c r="J1282" s="131">
        <f>INDEX('Base de données Mono'!L:L,MATCH(B1282,'Base de données Mono'!D:D,0))</f>
        <v>0.89583333333333337</v>
      </c>
      <c r="K1282" s="131">
        <f>INDEX('Base de données Mono'!M:M,MATCH(B1282,'Base de données Mono'!D:D,0))</f>
        <v>0.29166666666666669</v>
      </c>
      <c r="L1282" s="131">
        <f>INDEX('Base de données Mono'!N:N,MATCH(B1282,'Base de données Mono'!D:D,0))</f>
        <v>0.5625</v>
      </c>
      <c r="M1282" s="33" t="s">
        <v>46</v>
      </c>
      <c r="N1282" s="33">
        <f>IF(AND(E1282="Electricité",M1282="Hiver"),INDEX('Base de données Mono'!E:E,MATCH(B1282,'Base de données Mono'!D:D,0)),IF(AND(E1282="Electricité",M1282="Mi-saison"),INDEX('Base de données Mono'!F:F,MATCH(B1282,'Base de données Mono'!D:D,0)),IF(AND(E1282="Electricité",M1282="Eté"),INDEX('Base de données Mono'!G:G,MATCH(B1282,'Base de données Mono'!D:D,0)),IF(AND(E1282="Gaz",M1282="Hiver"),INDEX('Base de données Mono'!J:J,MATCH(B1282,'Base de données Mono'!D:D,0)),IF(AND(E1282="Gaz",M1282="Mi-saison"),INDEX('Base de données Mono'!#REF!,MATCH(B1282,'Base de données Mono'!D:D,0)),IF(AND(E1282="Gaz",M1282="Eté"),INDEX('Base de données Mono'!#REF!,MATCH(B1282,'Base de données Mono'!D:D,0)),"-"))))))</f>
        <v>45</v>
      </c>
      <c r="O1282" s="123">
        <v>45396</v>
      </c>
      <c r="P1282" s="123">
        <v>45402</v>
      </c>
      <c r="Q1282" s="34">
        <v>50</v>
      </c>
      <c r="R1282" s="33">
        <f t="shared" si="307"/>
        <v>5</v>
      </c>
      <c r="S1282" s="34">
        <v>8</v>
      </c>
      <c r="T1282" s="34">
        <f t="shared" si="270"/>
        <v>6</v>
      </c>
      <c r="U1282" s="33">
        <f t="shared" si="308"/>
        <v>240</v>
      </c>
      <c r="V1282" s="38" t="s">
        <v>827</v>
      </c>
      <c r="W1282" s="39">
        <f t="shared" si="309"/>
        <v>0.1111111111111111</v>
      </c>
      <c r="X1282" s="40" t="s">
        <v>304</v>
      </c>
      <c r="Y1282" s="40" t="s">
        <v>284</v>
      </c>
      <c r="Z1282" s="40" t="s">
        <v>305</v>
      </c>
      <c r="AA1282" s="33" t="s">
        <v>771</v>
      </c>
      <c r="AB1282" s="95"/>
      <c r="AC1282" s="95"/>
    </row>
    <row r="1283" spans="1:29" ht="14.45" hidden="1" customHeight="1" x14ac:dyDescent="0.25">
      <c r="A1283" s="36" t="str">
        <f>INDEX('Base de données Mono'!C:C,MATCH(B1283,'Base de données Mono'!D:D,0))</f>
        <v>LE VESINET</v>
      </c>
      <c r="B1283" t="s">
        <v>19</v>
      </c>
      <c r="C1283" s="36" t="str">
        <f>INDEX('Base de données Mono'!B:B,MATCH(B1283,'Base de données Mono'!D:D,0))</f>
        <v>SES8</v>
      </c>
      <c r="D1283" s="36" t="str">
        <f>INDEX('Base de données Mono'!A:A,MATCH(B1283,'Base de données Mono'!D:D,0))</f>
        <v>AD</v>
      </c>
      <c r="E1283" s="37" t="s">
        <v>303</v>
      </c>
      <c r="F1283" s="41">
        <f t="shared" si="305"/>
        <v>16</v>
      </c>
      <c r="G1283" s="41">
        <f t="shared" si="306"/>
        <v>4</v>
      </c>
      <c r="I1283" s="131">
        <f>INDEX('Base de données Mono'!K:K,MATCH(B1283,'Base de données Mono'!D:D,0))</f>
        <v>0.24305555555555555</v>
      </c>
      <c r="J1283" s="131">
        <f>INDEX('Base de données Mono'!L:L,MATCH(B1283,'Base de données Mono'!D:D,0))</f>
        <v>0.89583333333333337</v>
      </c>
      <c r="K1283" s="131">
        <f>INDEX('Base de données Mono'!M:M,MATCH(B1283,'Base de données Mono'!D:D,0))</f>
        <v>0.29166666666666669</v>
      </c>
      <c r="L1283" s="131">
        <f>INDEX('Base de données Mono'!N:N,MATCH(B1283,'Base de données Mono'!D:D,0))</f>
        <v>0.5625</v>
      </c>
      <c r="M1283" s="33" t="s">
        <v>46</v>
      </c>
      <c r="N1283" s="33">
        <f>IF(AND(E1283="Electricité",M1283="Hiver"),INDEX('Base de données Mono'!E:E,MATCH(B1283,'Base de données Mono'!D:D,0)),IF(AND(E1283="Electricité",M1283="Mi-saison"),INDEX('Base de données Mono'!F:F,MATCH(B1283,'Base de données Mono'!D:D,0)),IF(AND(E1283="Electricité",M1283="Eté"),INDEX('Base de données Mono'!G:G,MATCH(B1283,'Base de données Mono'!D:D,0)),IF(AND(E1283="Gaz",M1283="Hiver"),INDEX('Base de données Mono'!J:J,MATCH(B1283,'Base de données Mono'!D:D,0)),IF(AND(E1283="Gaz",M1283="Mi-saison"),INDEX('Base de données Mono'!#REF!,MATCH(B1283,'Base de données Mono'!D:D,0)),IF(AND(E1283="Gaz",M1283="Eté"),INDEX('Base de données Mono'!#REF!,MATCH(B1283,'Base de données Mono'!D:D,0)),"-"))))))</f>
        <v>45</v>
      </c>
      <c r="O1283" s="123">
        <v>45402</v>
      </c>
      <c r="P1283" s="123">
        <v>45403</v>
      </c>
      <c r="Q1283" s="34">
        <v>50</v>
      </c>
      <c r="R1283" s="33">
        <f t="shared" si="307"/>
        <v>5</v>
      </c>
      <c r="S1283" s="34">
        <v>9.3000000000000007</v>
      </c>
      <c r="T1283" s="34">
        <f t="shared" si="270"/>
        <v>1</v>
      </c>
      <c r="U1283" s="33">
        <f t="shared" si="308"/>
        <v>46.5</v>
      </c>
      <c r="V1283" s="38" t="s">
        <v>827</v>
      </c>
      <c r="W1283" s="39">
        <f t="shared" si="309"/>
        <v>0.1111111111111111</v>
      </c>
      <c r="X1283" s="40" t="s">
        <v>304</v>
      </c>
      <c r="Y1283" s="40" t="s">
        <v>284</v>
      </c>
      <c r="Z1283" s="40" t="s">
        <v>305</v>
      </c>
      <c r="AA1283" s="33" t="s">
        <v>771</v>
      </c>
      <c r="AB1283" s="95"/>
      <c r="AC1283" s="95"/>
    </row>
    <row r="1284" spans="1:29" ht="14.45" hidden="1" customHeight="1" x14ac:dyDescent="0.25">
      <c r="A1284" s="36" t="str">
        <f>INDEX('Base de données Mono'!C:C,MATCH(B1284,'Base de données Mono'!D:D,0))</f>
        <v>ALESIA ALI</v>
      </c>
      <c r="B1284" t="s">
        <v>56</v>
      </c>
      <c r="C1284" s="36" t="str">
        <f>INDEX('Base de données Mono'!B:B,MATCH(B1284,'Base de données Mono'!D:D,0))</f>
        <v>SES8</v>
      </c>
      <c r="D1284" s="36" t="str">
        <f>INDEX('Base de données Mono'!A:A,MATCH(B1284,'Base de données Mono'!D:D,0))</f>
        <v>AD</v>
      </c>
      <c r="E1284" s="37" t="s">
        <v>303</v>
      </c>
      <c r="F1284" s="41">
        <f t="shared" si="305"/>
        <v>16</v>
      </c>
      <c r="G1284" s="41">
        <f t="shared" si="306"/>
        <v>4</v>
      </c>
      <c r="I1284" s="131">
        <f>INDEX('Base de données Mono'!K:K,MATCH(B1284,'Base de données Mono'!D:D,0))</f>
        <v>0.20833333333333334</v>
      </c>
      <c r="J1284" s="131">
        <f>INDEX('Base de données Mono'!L:L,MATCH(B1284,'Base de données Mono'!D:D,0))</f>
        <v>0.83333333333333337</v>
      </c>
      <c r="K1284" s="131">
        <f>INDEX('Base de données Mono'!M:M,MATCH(B1284,'Base de données Mono'!D:D,0))</f>
        <v>0.25</v>
      </c>
      <c r="L1284" s="131">
        <f>INDEX('Base de données Mono'!N:N,MATCH(B1284,'Base de données Mono'!D:D,0))</f>
        <v>0.54166666666666663</v>
      </c>
      <c r="M1284" s="33" t="s">
        <v>46</v>
      </c>
      <c r="N1284" s="33">
        <f>IF(AND(E1284="Electricité",M1284="Hiver"),INDEX('Base de données Mono'!E:E,MATCH(B1284,'Base de données Mono'!D:D,0)),IF(AND(E1284="Electricité",M1284="Mi-saison"),INDEX('Base de données Mono'!F:F,MATCH(B1284,'Base de données Mono'!D:D,0)),IF(AND(E1284="Electricité",M1284="Eté"),INDEX('Base de données Mono'!G:G,MATCH(B1284,'Base de données Mono'!D:D,0)),IF(AND(E1284="Gaz",M1284="Hiver"),INDEX('Base de données Mono'!J:J,MATCH(B1284,'Base de données Mono'!D:D,0)),IF(AND(E1284="Gaz",M1284="Mi-saison"),INDEX('Base de données Mono'!#REF!,MATCH(B1284,'Base de données Mono'!D:D,0)),IF(AND(E1284="Gaz",M1284="Eté"),INDEX('Base de données Mono'!#REF!,MATCH(B1284,'Base de données Mono'!D:D,0)),"-"))))))</f>
        <v>55</v>
      </c>
      <c r="O1284" s="123">
        <v>45396</v>
      </c>
      <c r="P1284" s="123">
        <v>45397</v>
      </c>
      <c r="Q1284" s="34">
        <v>60</v>
      </c>
      <c r="R1284" s="33">
        <f t="shared" si="307"/>
        <v>5</v>
      </c>
      <c r="S1284" s="34">
        <v>9</v>
      </c>
      <c r="T1284" s="34">
        <f t="shared" si="270"/>
        <v>1</v>
      </c>
      <c r="U1284" s="33">
        <f t="shared" si="308"/>
        <v>45</v>
      </c>
      <c r="V1284" s="38" t="s">
        <v>827</v>
      </c>
      <c r="W1284" s="39">
        <f t="shared" si="309"/>
        <v>9.0909090909090912E-2</v>
      </c>
      <c r="X1284" s="40" t="s">
        <v>304</v>
      </c>
      <c r="Y1284" s="40" t="s">
        <v>284</v>
      </c>
      <c r="Z1284" s="40" t="s">
        <v>305</v>
      </c>
      <c r="AA1284" s="33" t="s">
        <v>771</v>
      </c>
      <c r="AB1284" s="95"/>
      <c r="AC1284" s="95"/>
    </row>
    <row r="1285" spans="1:29" ht="14.45" hidden="1" customHeight="1" x14ac:dyDescent="0.25">
      <c r="A1285" s="36" t="str">
        <f>INDEX('Base de données Mono'!C:C,MATCH(B1285,'Base de données Mono'!D:D,0))</f>
        <v>ALESIA ALI</v>
      </c>
      <c r="B1285" t="s">
        <v>56</v>
      </c>
      <c r="C1285" s="36" t="str">
        <f>INDEX('Base de données Mono'!B:B,MATCH(B1285,'Base de données Mono'!D:D,0))</f>
        <v>SES8</v>
      </c>
      <c r="D1285" s="36" t="str">
        <f>INDEX('Base de données Mono'!A:A,MATCH(B1285,'Base de données Mono'!D:D,0))</f>
        <v>AD</v>
      </c>
      <c r="E1285" s="37" t="s">
        <v>303</v>
      </c>
      <c r="F1285" s="41">
        <f t="shared" si="305"/>
        <v>16</v>
      </c>
      <c r="G1285" s="41">
        <f t="shared" si="306"/>
        <v>4</v>
      </c>
      <c r="I1285" s="131">
        <f>INDEX('Base de données Mono'!K:K,MATCH(B1285,'Base de données Mono'!D:D,0))</f>
        <v>0.20833333333333334</v>
      </c>
      <c r="J1285" s="131">
        <f>INDEX('Base de données Mono'!L:L,MATCH(B1285,'Base de données Mono'!D:D,0))</f>
        <v>0.83333333333333337</v>
      </c>
      <c r="K1285" s="131">
        <f>INDEX('Base de données Mono'!M:M,MATCH(B1285,'Base de données Mono'!D:D,0))</f>
        <v>0.25</v>
      </c>
      <c r="L1285" s="131">
        <f>INDEX('Base de données Mono'!N:N,MATCH(B1285,'Base de données Mono'!D:D,0))</f>
        <v>0.54166666666666663</v>
      </c>
      <c r="M1285" s="33" t="s">
        <v>46</v>
      </c>
      <c r="N1285" s="33">
        <f>IF(AND(E1285="Electricité",M1285="Hiver"),INDEX('Base de données Mono'!E:E,MATCH(B1285,'Base de données Mono'!D:D,0)),IF(AND(E1285="Electricité",M1285="Mi-saison"),INDEX('Base de données Mono'!F:F,MATCH(B1285,'Base de données Mono'!D:D,0)),IF(AND(E1285="Electricité",M1285="Eté"),INDEX('Base de données Mono'!G:G,MATCH(B1285,'Base de données Mono'!D:D,0)),IF(AND(E1285="Gaz",M1285="Hiver"),INDEX('Base de données Mono'!J:J,MATCH(B1285,'Base de données Mono'!D:D,0)),IF(AND(E1285="Gaz",M1285="Mi-saison"),INDEX('Base de données Mono'!#REF!,MATCH(B1285,'Base de données Mono'!D:D,0)),IF(AND(E1285="Gaz",M1285="Eté"),INDEX('Base de données Mono'!#REF!,MATCH(B1285,'Base de données Mono'!D:D,0)),"-"))))))</f>
        <v>55</v>
      </c>
      <c r="O1285" s="123">
        <v>45397</v>
      </c>
      <c r="P1285" s="123">
        <v>45403</v>
      </c>
      <c r="Q1285" s="34">
        <v>75</v>
      </c>
      <c r="R1285" s="33">
        <f t="shared" si="307"/>
        <v>20</v>
      </c>
      <c r="S1285" s="34">
        <v>1.8</v>
      </c>
      <c r="T1285" s="34">
        <f t="shared" si="270"/>
        <v>6</v>
      </c>
      <c r="U1285" s="33">
        <f t="shared" si="308"/>
        <v>216</v>
      </c>
      <c r="V1285" s="38" t="s">
        <v>827</v>
      </c>
      <c r="W1285" s="39">
        <f t="shared" si="309"/>
        <v>0.36363636363636365</v>
      </c>
      <c r="X1285" s="40" t="s">
        <v>304</v>
      </c>
      <c r="Y1285" s="40" t="s">
        <v>284</v>
      </c>
      <c r="Z1285" s="40" t="s">
        <v>307</v>
      </c>
      <c r="AA1285" s="33" t="s">
        <v>313</v>
      </c>
      <c r="AB1285" s="95"/>
      <c r="AC1285" s="95"/>
    </row>
    <row r="1286" spans="1:29" ht="14.45" hidden="1" customHeight="1" x14ac:dyDescent="0.25">
      <c r="A1286" s="36" t="str">
        <f>INDEX('Base de données Mono'!C:C,MATCH(B1286,'Base de données Mono'!D:D,0))</f>
        <v>ALESIA ALI</v>
      </c>
      <c r="B1286" t="s">
        <v>56</v>
      </c>
      <c r="C1286" s="36" t="str">
        <f>INDEX('Base de données Mono'!B:B,MATCH(B1286,'Base de données Mono'!D:D,0))</f>
        <v>SES8</v>
      </c>
      <c r="D1286" s="36" t="str">
        <f>INDEX('Base de données Mono'!A:A,MATCH(B1286,'Base de données Mono'!D:D,0))</f>
        <v>AD</v>
      </c>
      <c r="E1286" s="37" t="s">
        <v>303</v>
      </c>
      <c r="F1286" s="41">
        <f t="shared" si="305"/>
        <v>16</v>
      </c>
      <c r="G1286" s="41">
        <f t="shared" si="306"/>
        <v>4</v>
      </c>
      <c r="I1286" s="131">
        <f>INDEX('Base de données Mono'!K:K,MATCH(B1286,'Base de données Mono'!D:D,0))</f>
        <v>0.20833333333333334</v>
      </c>
      <c r="J1286" s="131">
        <f>INDEX('Base de données Mono'!L:L,MATCH(B1286,'Base de données Mono'!D:D,0))</f>
        <v>0.83333333333333337</v>
      </c>
      <c r="K1286" s="131">
        <f>INDEX('Base de données Mono'!M:M,MATCH(B1286,'Base de données Mono'!D:D,0))</f>
        <v>0.25</v>
      </c>
      <c r="L1286" s="131">
        <f>INDEX('Base de données Mono'!N:N,MATCH(B1286,'Base de données Mono'!D:D,0))</f>
        <v>0.54166666666666663</v>
      </c>
      <c r="M1286" s="33" t="s">
        <v>46</v>
      </c>
      <c r="N1286" s="33">
        <f>IF(AND(E1286="Electricité",M1286="Hiver"),INDEX('Base de données Mono'!E:E,MATCH(B1286,'Base de données Mono'!D:D,0)),IF(AND(E1286="Electricité",M1286="Mi-saison"),INDEX('Base de données Mono'!F:F,MATCH(B1286,'Base de données Mono'!D:D,0)),IF(AND(E1286="Electricité",M1286="Eté"),INDEX('Base de données Mono'!G:G,MATCH(B1286,'Base de données Mono'!D:D,0)),IF(AND(E1286="Gaz",M1286="Hiver"),INDEX('Base de données Mono'!J:J,MATCH(B1286,'Base de données Mono'!D:D,0)),IF(AND(E1286="Gaz",M1286="Mi-saison"),INDEX('Base de données Mono'!#REF!,MATCH(B1286,'Base de données Mono'!D:D,0)),IF(AND(E1286="Gaz",M1286="Eté"),INDEX('Base de données Mono'!#REF!,MATCH(B1286,'Base de données Mono'!D:D,0)),"-"))))))</f>
        <v>55</v>
      </c>
      <c r="O1286" s="123">
        <v>45397</v>
      </c>
      <c r="P1286" s="123">
        <v>45403</v>
      </c>
      <c r="Q1286" s="34">
        <v>60</v>
      </c>
      <c r="R1286" s="33">
        <f t="shared" si="307"/>
        <v>5</v>
      </c>
      <c r="S1286" s="34">
        <v>0.3</v>
      </c>
      <c r="T1286" s="34">
        <f t="shared" si="270"/>
        <v>6</v>
      </c>
      <c r="U1286" s="33">
        <f t="shared" si="308"/>
        <v>9</v>
      </c>
      <c r="V1286" s="38" t="s">
        <v>827</v>
      </c>
      <c r="W1286" s="39">
        <f t="shared" si="309"/>
        <v>9.0909090909090912E-2</v>
      </c>
      <c r="X1286" s="40" t="s">
        <v>304</v>
      </c>
      <c r="Y1286" s="40" t="s">
        <v>284</v>
      </c>
      <c r="Z1286" s="40" t="s">
        <v>305</v>
      </c>
      <c r="AA1286" s="33" t="s">
        <v>771</v>
      </c>
      <c r="AB1286" s="95"/>
      <c r="AC1286" s="95"/>
    </row>
    <row r="1287" spans="1:29" ht="14.45" hidden="1" customHeight="1" x14ac:dyDescent="0.25">
      <c r="A1287" s="36" t="str">
        <f>INDEX('Base de données Mono'!C:C,MATCH(B1287,'Base de données Mono'!D:D,0))</f>
        <v>LE COURBE</v>
      </c>
      <c r="B1287" t="s">
        <v>20</v>
      </c>
      <c r="C1287" s="36" t="str">
        <f>INDEX('Base de données Mono'!B:B,MATCH(B1287,'Base de données Mono'!D:D,0))</f>
        <v>SES8</v>
      </c>
      <c r="D1287" s="36" t="str">
        <f>INDEX('Base de données Mono'!A:A,MATCH(B1287,'Base de données Mono'!D:D,0))</f>
        <v>AD</v>
      </c>
      <c r="E1287" s="37" t="s">
        <v>303</v>
      </c>
      <c r="F1287" s="41">
        <f t="shared" si="305"/>
        <v>16</v>
      </c>
      <c r="G1287" s="41">
        <f t="shared" si="306"/>
        <v>4</v>
      </c>
      <c r="I1287" s="131">
        <f>INDEX('Base de données Mono'!K:K,MATCH(B1287,'Base de données Mono'!D:D,0))</f>
        <v>0.24305555555555555</v>
      </c>
      <c r="J1287" s="131">
        <f>INDEX('Base de données Mono'!L:L,MATCH(B1287,'Base de données Mono'!D:D,0))</f>
        <v>0.875</v>
      </c>
      <c r="K1287" s="131" t="str">
        <f>INDEX('Base de données Mono'!M:M,MATCH(B1287,'Base de données Mono'!D:D,0))</f>
        <v>-</v>
      </c>
      <c r="L1287" s="131" t="str">
        <f>INDEX('Base de données Mono'!N:N,MATCH(B1287,'Base de données Mono'!D:D,0))</f>
        <v>-</v>
      </c>
      <c r="M1287" s="33" t="s">
        <v>46</v>
      </c>
      <c r="N1287" s="33">
        <f>IF(AND(E1287="Electricité",M1287="Hiver"),INDEX('Base de données Mono'!E:E,MATCH(B1287,'Base de données Mono'!D:D,0)),IF(AND(E1287="Electricité",M1287="Mi-saison"),INDEX('Base de données Mono'!F:F,MATCH(B1287,'Base de données Mono'!D:D,0)),IF(AND(E1287="Electricité",M1287="Eté"),INDEX('Base de données Mono'!G:G,MATCH(B1287,'Base de données Mono'!D:D,0)),IF(AND(E1287="Gaz",M1287="Hiver"),INDEX('Base de données Mono'!J:J,MATCH(B1287,'Base de données Mono'!D:D,0)),IF(AND(E1287="Gaz",M1287="Mi-saison"),INDEX('Base de données Mono'!#REF!,MATCH(B1287,'Base de données Mono'!D:D,0)),IF(AND(E1287="Gaz",M1287="Eté"),INDEX('Base de données Mono'!#REF!,MATCH(B1287,'Base de données Mono'!D:D,0)),"-"))))))</f>
        <v>75</v>
      </c>
      <c r="O1287" s="123">
        <v>45396</v>
      </c>
      <c r="P1287" s="123">
        <v>45397</v>
      </c>
      <c r="Q1287" s="34">
        <v>90</v>
      </c>
      <c r="R1287" s="33">
        <f t="shared" si="307"/>
        <v>15</v>
      </c>
      <c r="S1287" s="34">
        <v>8.3000000000000007</v>
      </c>
      <c r="T1287" s="34">
        <f t="shared" si="270"/>
        <v>1</v>
      </c>
      <c r="U1287" s="33">
        <f t="shared" si="308"/>
        <v>124.50000000000001</v>
      </c>
      <c r="V1287" s="38" t="s">
        <v>827</v>
      </c>
      <c r="W1287" s="39">
        <f t="shared" si="309"/>
        <v>0.2</v>
      </c>
      <c r="X1287" s="40" t="s">
        <v>304</v>
      </c>
      <c r="Y1287" s="40" t="s">
        <v>284</v>
      </c>
      <c r="Z1287" s="40" t="s">
        <v>311</v>
      </c>
      <c r="AA1287" s="33" t="s">
        <v>775</v>
      </c>
      <c r="AB1287" s="95"/>
      <c r="AC1287" s="95"/>
    </row>
    <row r="1288" spans="1:29" ht="14.45" hidden="1" customHeight="1" x14ac:dyDescent="0.25">
      <c r="A1288" s="36" t="str">
        <f>INDEX('Base de données Mono'!C:C,MATCH(B1288,'Base de données Mono'!D:D,0))</f>
        <v>LE COURBE</v>
      </c>
      <c r="B1288" t="s">
        <v>20</v>
      </c>
      <c r="C1288" s="36" t="str">
        <f>INDEX('Base de données Mono'!B:B,MATCH(B1288,'Base de données Mono'!D:D,0))</f>
        <v>SES8</v>
      </c>
      <c r="D1288" s="36" t="str">
        <f>INDEX('Base de données Mono'!A:A,MATCH(B1288,'Base de données Mono'!D:D,0))</f>
        <v>AD</v>
      </c>
      <c r="E1288" s="37" t="s">
        <v>303</v>
      </c>
      <c r="F1288" s="41">
        <f>IF(O1288="","-",IF(AND(X1288="Nuit",WEEKDAY(O1288,2)=7,O1288&lt;&gt;P1288),WEEKNUM(O1288,2),WEEKNUM(O1288,2)-1))+1</f>
        <v>16</v>
      </c>
      <c r="G1288" s="41">
        <f>IF(O1288="","-",MONTH(O1288))</f>
        <v>4</v>
      </c>
      <c r="I1288" s="131">
        <f>INDEX('Base de données Mono'!K:K,MATCH(B1288,'Base de données Mono'!D:D,0))</f>
        <v>0.24305555555555555</v>
      </c>
      <c r="J1288" s="131">
        <f>INDEX('Base de données Mono'!L:L,MATCH(B1288,'Base de données Mono'!D:D,0))</f>
        <v>0.875</v>
      </c>
      <c r="K1288" s="131" t="str">
        <f>INDEX('Base de données Mono'!M:M,MATCH(B1288,'Base de données Mono'!D:D,0))</f>
        <v>-</v>
      </c>
      <c r="L1288" s="131" t="str">
        <f>INDEX('Base de données Mono'!N:N,MATCH(B1288,'Base de données Mono'!D:D,0))</f>
        <v>-</v>
      </c>
      <c r="M1288" s="33" t="s">
        <v>46</v>
      </c>
      <c r="N1288" s="33">
        <f>IF(AND(E1288="Electricité",M1288="Hiver"),INDEX('Base de données Mono'!E:E,MATCH(B1288,'Base de données Mono'!D:D,0)),IF(AND(E1288="Electricité",M1288="Mi-saison"),INDEX('Base de données Mono'!F:F,MATCH(B1288,'Base de données Mono'!D:D,0)),IF(AND(E1288="Electricité",M1288="Eté"),INDEX('Base de données Mono'!G:G,MATCH(B1288,'Base de données Mono'!D:D,0)),IF(AND(E1288="Gaz",M1288="Hiver"),INDEX('Base de données Mono'!J:J,MATCH(B1288,'Base de données Mono'!D:D,0)),IF(AND(E1288="Gaz",M1288="Mi-saison"),INDEX('Base de données Mono'!#REF!,MATCH(B1288,'Base de données Mono'!D:D,0)),IF(AND(E1288="Gaz",M1288="Eté"),INDEX('Base de données Mono'!#REF!,MATCH(B1288,'Base de données Mono'!D:D,0)),"-"))))))</f>
        <v>75</v>
      </c>
      <c r="O1288" s="123">
        <v>45396</v>
      </c>
      <c r="P1288" s="123">
        <v>45398</v>
      </c>
      <c r="Q1288" s="34">
        <v>100</v>
      </c>
      <c r="R1288" s="33">
        <f>IF(Q1288="","",Q1288-N1288)</f>
        <v>25</v>
      </c>
      <c r="S1288" s="34">
        <v>0.5</v>
      </c>
      <c r="T1288" s="34">
        <f>P1288-O1288</f>
        <v>2</v>
      </c>
      <c r="U1288" s="33">
        <f>R1288*S1288*T1288</f>
        <v>25</v>
      </c>
      <c r="V1288" s="38" t="s">
        <v>827</v>
      </c>
      <c r="W1288" s="39">
        <f>IFERROR(IF(E1288="Gaz","-",R1288/N1288),"-")</f>
        <v>0.33333333333333331</v>
      </c>
      <c r="X1288" s="40" t="s">
        <v>304</v>
      </c>
      <c r="Y1288" s="40" t="s">
        <v>284</v>
      </c>
      <c r="Z1288" s="40" t="s">
        <v>307</v>
      </c>
      <c r="AA1288" s="33" t="s">
        <v>414</v>
      </c>
      <c r="AB1288" s="95"/>
      <c r="AC1288" s="95"/>
    </row>
    <row r="1289" spans="1:29" ht="14.45" hidden="1" customHeight="1" x14ac:dyDescent="0.25">
      <c r="A1289" s="36" t="str">
        <f>INDEX('Base de données Mono'!C:C,MATCH(B1289,'Base de données Mono'!D:D,0))</f>
        <v>LE COURBE</v>
      </c>
      <c r="B1289" t="s">
        <v>20</v>
      </c>
      <c r="C1289" s="36" t="str">
        <f>INDEX('Base de données Mono'!B:B,MATCH(B1289,'Base de données Mono'!D:D,0))</f>
        <v>SES8</v>
      </c>
      <c r="D1289" s="36" t="str">
        <f>INDEX('Base de données Mono'!A:A,MATCH(B1289,'Base de données Mono'!D:D,0))</f>
        <v>AD</v>
      </c>
      <c r="E1289" s="37" t="s">
        <v>303</v>
      </c>
      <c r="F1289" s="41">
        <f>IF(O1289="","-",IF(AND(X1289="Nuit",WEEKDAY(O1289,2)=7,O1289&lt;&gt;P1289),WEEKNUM(O1289,2),WEEKNUM(O1289,2)-1))+1</f>
        <v>16</v>
      </c>
      <c r="G1289" s="41">
        <f>IF(O1289="","-",MONTH(O1289))</f>
        <v>4</v>
      </c>
      <c r="I1289" s="131">
        <f>INDEX('Base de données Mono'!K:K,MATCH(B1289,'Base de données Mono'!D:D,0))</f>
        <v>0.24305555555555555</v>
      </c>
      <c r="J1289" s="131">
        <f>INDEX('Base de données Mono'!L:L,MATCH(B1289,'Base de données Mono'!D:D,0))</f>
        <v>0.875</v>
      </c>
      <c r="K1289" s="131" t="str">
        <f>INDEX('Base de données Mono'!M:M,MATCH(B1289,'Base de données Mono'!D:D,0))</f>
        <v>-</v>
      </c>
      <c r="L1289" s="131" t="str">
        <f>INDEX('Base de données Mono'!N:N,MATCH(B1289,'Base de données Mono'!D:D,0))</f>
        <v>-</v>
      </c>
      <c r="M1289" s="33" t="s">
        <v>46</v>
      </c>
      <c r="N1289" s="33">
        <f>IF(AND(E1289="Electricité",M1289="Hiver"),INDEX('Base de données Mono'!E:E,MATCH(B1289,'Base de données Mono'!D:D,0)),IF(AND(E1289="Electricité",M1289="Mi-saison"),INDEX('Base de données Mono'!F:F,MATCH(B1289,'Base de données Mono'!D:D,0)),IF(AND(E1289="Electricité",M1289="Eté"),INDEX('Base de données Mono'!G:G,MATCH(B1289,'Base de données Mono'!D:D,0)),IF(AND(E1289="Gaz",M1289="Hiver"),INDEX('Base de données Mono'!J:J,MATCH(B1289,'Base de données Mono'!D:D,0)),IF(AND(E1289="Gaz",M1289="Mi-saison"),INDEX('Base de données Mono'!#REF!,MATCH(B1289,'Base de données Mono'!D:D,0)),IF(AND(E1289="Gaz",M1289="Eté"),INDEX('Base de données Mono'!#REF!,MATCH(B1289,'Base de données Mono'!D:D,0)),"-"))))))</f>
        <v>75</v>
      </c>
      <c r="O1289" s="123">
        <v>45397</v>
      </c>
      <c r="P1289" s="123">
        <v>45403</v>
      </c>
      <c r="Q1289" s="34">
        <v>105</v>
      </c>
      <c r="R1289" s="33">
        <f>IF(Q1289="","",Q1289-N1289)</f>
        <v>30</v>
      </c>
      <c r="S1289" s="34">
        <v>1</v>
      </c>
      <c r="T1289" s="34">
        <f>P1289-O1289</f>
        <v>6</v>
      </c>
      <c r="U1289" s="33">
        <f>R1289*S1289*T1289</f>
        <v>180</v>
      </c>
      <c r="V1289" s="38" t="s">
        <v>827</v>
      </c>
      <c r="W1289" s="39">
        <f>IFERROR(IF(E1289="Gaz","-",R1289/N1289),"-")</f>
        <v>0.4</v>
      </c>
      <c r="X1289" s="40" t="s">
        <v>304</v>
      </c>
      <c r="Y1289" s="40" t="s">
        <v>284</v>
      </c>
      <c r="Z1289" s="40" t="s">
        <v>307</v>
      </c>
      <c r="AA1289" s="33" t="s">
        <v>313</v>
      </c>
      <c r="AB1289" s="95"/>
      <c r="AC1289" s="95"/>
    </row>
    <row r="1290" spans="1:29" ht="14.45" hidden="1" customHeight="1" x14ac:dyDescent="0.25">
      <c r="A1290" s="36" t="str">
        <f>INDEX('Base de données Mono'!C:C,MATCH(B1290,'Base de données Mono'!D:D,0))</f>
        <v>LE COURBE</v>
      </c>
      <c r="B1290" t="s">
        <v>20</v>
      </c>
      <c r="C1290" s="36" t="str">
        <f>INDEX('Base de données Mono'!B:B,MATCH(B1290,'Base de données Mono'!D:D,0))</f>
        <v>SES8</v>
      </c>
      <c r="D1290" s="36" t="str">
        <f>INDEX('Base de données Mono'!A:A,MATCH(B1290,'Base de données Mono'!D:D,0))</f>
        <v>AD</v>
      </c>
      <c r="E1290" s="37" t="s">
        <v>303</v>
      </c>
      <c r="F1290" s="41">
        <f t="shared" si="305"/>
        <v>16</v>
      </c>
      <c r="G1290" s="41">
        <f t="shared" si="306"/>
        <v>4</v>
      </c>
      <c r="I1290" s="131">
        <f>INDEX('Base de données Mono'!K:K,MATCH(B1290,'Base de données Mono'!D:D,0))</f>
        <v>0.24305555555555555</v>
      </c>
      <c r="J1290" s="131">
        <f>INDEX('Base de données Mono'!L:L,MATCH(B1290,'Base de données Mono'!D:D,0))</f>
        <v>0.875</v>
      </c>
      <c r="K1290" s="131" t="str">
        <f>INDEX('Base de données Mono'!M:M,MATCH(B1290,'Base de données Mono'!D:D,0))</f>
        <v>-</v>
      </c>
      <c r="L1290" s="131" t="str">
        <f>INDEX('Base de données Mono'!N:N,MATCH(B1290,'Base de données Mono'!D:D,0))</f>
        <v>-</v>
      </c>
      <c r="M1290" s="33" t="s">
        <v>46</v>
      </c>
      <c r="N1290" s="33">
        <f>IF(AND(E1290="Electricité",M1290="Hiver"),INDEX('Base de données Mono'!E:E,MATCH(B1290,'Base de données Mono'!D:D,0)),IF(AND(E1290="Electricité",M1290="Mi-saison"),INDEX('Base de données Mono'!F:F,MATCH(B1290,'Base de données Mono'!D:D,0)),IF(AND(E1290="Electricité",M1290="Eté"),INDEX('Base de données Mono'!G:G,MATCH(B1290,'Base de données Mono'!D:D,0)),IF(AND(E1290="Gaz",M1290="Hiver"),INDEX('Base de données Mono'!J:J,MATCH(B1290,'Base de données Mono'!D:D,0)),IF(AND(E1290="Gaz",M1290="Mi-saison"),INDEX('Base de données Mono'!#REF!,MATCH(B1290,'Base de données Mono'!D:D,0)),IF(AND(E1290="Gaz",M1290="Eté"),INDEX('Base de données Mono'!#REF!,MATCH(B1290,'Base de données Mono'!D:D,0)),"-"))))))</f>
        <v>75</v>
      </c>
      <c r="O1290" s="123">
        <v>45399</v>
      </c>
      <c r="P1290" s="123">
        <v>45402</v>
      </c>
      <c r="Q1290" s="34">
        <v>95</v>
      </c>
      <c r="R1290" s="33">
        <f t="shared" si="307"/>
        <v>20</v>
      </c>
      <c r="S1290" s="34">
        <v>0.5</v>
      </c>
      <c r="T1290" s="34">
        <f t="shared" si="270"/>
        <v>3</v>
      </c>
      <c r="U1290" s="33">
        <f t="shared" si="308"/>
        <v>30</v>
      </c>
      <c r="V1290" s="38" t="s">
        <v>827</v>
      </c>
      <c r="W1290" s="39">
        <f t="shared" si="309"/>
        <v>0.26666666666666666</v>
      </c>
      <c r="X1290" s="40" t="s">
        <v>304</v>
      </c>
      <c r="Y1290" s="40" t="s">
        <v>284</v>
      </c>
      <c r="Z1290" s="40" t="s">
        <v>307</v>
      </c>
      <c r="AA1290" s="33" t="s">
        <v>414</v>
      </c>
      <c r="AB1290" s="95"/>
      <c r="AC1290" s="95"/>
    </row>
    <row r="1291" spans="1:29" ht="14.45" hidden="1" customHeight="1" x14ac:dyDescent="0.25">
      <c r="A1291" s="36" t="str">
        <f>INDEX('Base de données Mono'!C:C,MATCH(B1291,'Base de données Mono'!D:D,0))</f>
        <v>AUXERRE</v>
      </c>
      <c r="B1291" t="s">
        <v>399</v>
      </c>
      <c r="C1291" s="36" t="str">
        <f>INDEX('Base de données Mono'!B:B,MATCH(B1291,'Base de données Mono'!D:D,0))</f>
        <v>SES8</v>
      </c>
      <c r="D1291" s="36" t="str">
        <f>INDEX('Base de données Mono'!A:A,MATCH(B1291,'Base de données Mono'!D:D,0))</f>
        <v>JG</v>
      </c>
      <c r="E1291" s="37" t="s">
        <v>303</v>
      </c>
      <c r="F1291" s="41">
        <f t="shared" ref="F1291:F1294" si="310">IF(O1291="","-",IF(AND(X1291="Nuit",WEEKDAY(O1291,2)=7,O1291&lt;&gt;P1291),WEEKNUM(O1291,2),WEEKNUM(O1291,2)-1))+1</f>
        <v>16</v>
      </c>
      <c r="G1291" s="41">
        <f t="shared" ref="G1291:G1294" si="311">IF(O1291="","-",MONTH(O1291))</f>
        <v>4</v>
      </c>
      <c r="I1291" s="131">
        <f>INDEX('Base de données Mono'!K:K,MATCH(B1291,'Base de données Mono'!D:D,0))</f>
        <v>0.1875</v>
      </c>
      <c r="J1291" s="131">
        <f>INDEX('Base de données Mono'!L:L,MATCH(B1291,'Base de données Mono'!D:D,0))</f>
        <v>0.8125</v>
      </c>
      <c r="K1291" s="131">
        <f>INDEX('Base de données Mono'!M:M,MATCH(B1291,'Base de données Mono'!D:D,0))</f>
        <v>0.25</v>
      </c>
      <c r="L1291" s="131">
        <f>INDEX('Base de données Mono'!N:N,MATCH(B1291,'Base de données Mono'!D:D,0))</f>
        <v>0.52083333333333337</v>
      </c>
      <c r="M1291" s="33" t="s">
        <v>46</v>
      </c>
      <c r="N1291" s="33">
        <f>IF(AND(E1291="Electricité",M1291="Hiver"),INDEX('Base de données Mono'!E:E,MATCH(B1291,'Base de données Mono'!D:D,0)),IF(AND(E1291="Electricité",M1291="Mi-saison"),INDEX('Base de données Mono'!F:F,MATCH(B1291,'Base de données Mono'!D:D,0)),IF(AND(E1291="Electricité",M1291="Eté"),INDEX('Base de données Mono'!G:G,MATCH(B1291,'Base de données Mono'!D:D,0)),IF(AND(E1291="Gaz",M1291="Hiver"),INDEX('Base de données Mono'!J:J,MATCH(B1291,'Base de données Mono'!D:D,0)),IF(AND(E1291="Gaz",M1291="Mi-saison"),INDEX('Base de données Mono'!#REF!,MATCH(B1291,'Base de données Mono'!D:D,0)),IF(AND(E1291="Gaz",M1291="Eté"),INDEX('Base de données Mono'!#REF!,MATCH(B1291,'Base de données Mono'!D:D,0)),"-"))))))</f>
        <v>60</v>
      </c>
      <c r="O1291" s="123">
        <v>45397</v>
      </c>
      <c r="P1291" s="123">
        <v>45401</v>
      </c>
      <c r="Q1291" s="34">
        <v>95</v>
      </c>
      <c r="R1291" s="33">
        <f t="shared" ref="R1291:R1294" si="312">IF(Q1291="","",Q1291-N1291)</f>
        <v>35</v>
      </c>
      <c r="S1291" s="34">
        <v>0.5</v>
      </c>
      <c r="T1291" s="34">
        <f>P1291-O1291</f>
        <v>4</v>
      </c>
      <c r="U1291" s="33">
        <f t="shared" si="308"/>
        <v>70</v>
      </c>
      <c r="V1291" s="38" t="s">
        <v>148</v>
      </c>
      <c r="W1291" s="39">
        <f t="shared" si="309"/>
        <v>0.58333333333333337</v>
      </c>
      <c r="X1291" s="40" t="s">
        <v>304</v>
      </c>
      <c r="Y1291" s="40" t="s">
        <v>284</v>
      </c>
      <c r="Z1291" s="40" t="s">
        <v>307</v>
      </c>
      <c r="AA1291" s="33" t="s">
        <v>313</v>
      </c>
      <c r="AB1291" s="95"/>
      <c r="AC1291" s="95"/>
    </row>
    <row r="1292" spans="1:29" ht="14.45" hidden="1" customHeight="1" x14ac:dyDescent="0.25">
      <c r="A1292" s="36" t="str">
        <f>INDEX('Base de données Mono'!C:C,MATCH(B1292,'Base de données Mono'!D:D,0))</f>
        <v>AUXERRE</v>
      </c>
      <c r="B1292" t="s">
        <v>399</v>
      </c>
      <c r="C1292" s="36" t="str">
        <f>INDEX('Base de données Mono'!B:B,MATCH(B1292,'Base de données Mono'!D:D,0))</f>
        <v>SES8</v>
      </c>
      <c r="D1292" s="36" t="str">
        <f>INDEX('Base de données Mono'!A:A,MATCH(B1292,'Base de données Mono'!D:D,0))</f>
        <v>JG</v>
      </c>
      <c r="E1292" s="37" t="s">
        <v>303</v>
      </c>
      <c r="F1292" s="41">
        <f t="shared" si="310"/>
        <v>16</v>
      </c>
      <c r="G1292" s="41">
        <f t="shared" si="311"/>
        <v>4</v>
      </c>
      <c r="I1292" s="131">
        <f>INDEX('Base de données Mono'!K:K,MATCH(B1292,'Base de données Mono'!D:D,0))</f>
        <v>0.1875</v>
      </c>
      <c r="J1292" s="131">
        <f>INDEX('Base de données Mono'!L:L,MATCH(B1292,'Base de données Mono'!D:D,0))</f>
        <v>0.8125</v>
      </c>
      <c r="K1292" s="131">
        <f>INDEX('Base de données Mono'!M:M,MATCH(B1292,'Base de données Mono'!D:D,0))</f>
        <v>0.25</v>
      </c>
      <c r="L1292" s="131">
        <f>INDEX('Base de données Mono'!N:N,MATCH(B1292,'Base de données Mono'!D:D,0))</f>
        <v>0.52083333333333337</v>
      </c>
      <c r="M1292" s="33" t="s">
        <v>46</v>
      </c>
      <c r="N1292" s="33">
        <f>IF(AND(E1292="Electricité",M1292="Hiver"),INDEX('Base de données Mono'!E:E,MATCH(B1292,'Base de données Mono'!D:D,0)),IF(AND(E1292="Electricité",M1292="Mi-saison"),INDEX('Base de données Mono'!F:F,MATCH(B1292,'Base de données Mono'!D:D,0)),IF(AND(E1292="Electricité",M1292="Eté"),INDEX('Base de données Mono'!G:G,MATCH(B1292,'Base de données Mono'!D:D,0)),IF(AND(E1292="Gaz",M1292="Hiver"),INDEX('Base de données Mono'!J:J,MATCH(B1292,'Base de données Mono'!D:D,0)),IF(AND(E1292="Gaz",M1292="Mi-saison"),INDEX('Base de données Mono'!#REF!,MATCH(B1292,'Base de données Mono'!D:D,0)),IF(AND(E1292="Gaz",M1292="Eté"),INDEX('Base de données Mono'!#REF!,MATCH(B1292,'Base de données Mono'!D:D,0)),"-"))))))</f>
        <v>60</v>
      </c>
      <c r="O1292" s="123">
        <v>45401</v>
      </c>
      <c r="P1292" s="123">
        <v>45403</v>
      </c>
      <c r="Q1292" s="34">
        <v>120</v>
      </c>
      <c r="R1292" s="33">
        <f t="shared" si="312"/>
        <v>60</v>
      </c>
      <c r="S1292" s="34">
        <v>0.5</v>
      </c>
      <c r="T1292" s="34">
        <f>P1292-O1292</f>
        <v>2</v>
      </c>
      <c r="U1292" s="33">
        <f t="shared" si="308"/>
        <v>60</v>
      </c>
      <c r="V1292" s="38" t="s">
        <v>148</v>
      </c>
      <c r="W1292" s="39">
        <f t="shared" si="309"/>
        <v>1</v>
      </c>
      <c r="X1292" s="40" t="s">
        <v>304</v>
      </c>
      <c r="Y1292" s="40" t="s">
        <v>284</v>
      </c>
      <c r="Z1292" s="40" t="s">
        <v>307</v>
      </c>
      <c r="AA1292" s="33" t="s">
        <v>313</v>
      </c>
      <c r="AB1292" s="95"/>
      <c r="AC1292" s="95"/>
    </row>
    <row r="1293" spans="1:29" ht="14.45" hidden="1" customHeight="1" x14ac:dyDescent="0.25">
      <c r="A1293" s="36" t="str">
        <f>INDEX('Base de données Mono'!C:C,MATCH(B1293,'Base de données Mono'!D:D,0))</f>
        <v>AUXERRE</v>
      </c>
      <c r="B1293" t="s">
        <v>399</v>
      </c>
      <c r="C1293" s="36" t="str">
        <f>INDEX('Base de données Mono'!B:B,MATCH(B1293,'Base de données Mono'!D:D,0))</f>
        <v>SES8</v>
      </c>
      <c r="D1293" s="36" t="str">
        <f>INDEX('Base de données Mono'!A:A,MATCH(B1293,'Base de données Mono'!D:D,0))</f>
        <v>JG</v>
      </c>
      <c r="E1293" s="37" t="s">
        <v>303</v>
      </c>
      <c r="F1293" s="41">
        <f t="shared" si="310"/>
        <v>16</v>
      </c>
      <c r="G1293" s="41">
        <f t="shared" si="311"/>
        <v>4</v>
      </c>
      <c r="I1293" s="131">
        <f>INDEX('Base de données Mono'!K:K,MATCH(B1293,'Base de données Mono'!D:D,0))</f>
        <v>0.1875</v>
      </c>
      <c r="J1293" s="131">
        <f>INDEX('Base de données Mono'!L:L,MATCH(B1293,'Base de données Mono'!D:D,0))</f>
        <v>0.8125</v>
      </c>
      <c r="K1293" s="131">
        <f>INDEX('Base de données Mono'!M:M,MATCH(B1293,'Base de données Mono'!D:D,0))</f>
        <v>0.25</v>
      </c>
      <c r="L1293" s="131">
        <f>INDEX('Base de données Mono'!N:N,MATCH(B1293,'Base de données Mono'!D:D,0))</f>
        <v>0.52083333333333337</v>
      </c>
      <c r="M1293" s="33" t="s">
        <v>46</v>
      </c>
      <c r="N1293" s="33">
        <f>IF(AND(E1293="Electricité",M1293="Hiver"),INDEX('Base de données Mono'!E:E,MATCH(B1293,'Base de données Mono'!D:D,0)),IF(AND(E1293="Electricité",M1293="Mi-saison"),INDEX('Base de données Mono'!F:F,MATCH(B1293,'Base de données Mono'!D:D,0)),IF(AND(E1293="Electricité",M1293="Eté"),INDEX('Base de données Mono'!G:G,MATCH(B1293,'Base de données Mono'!D:D,0)),IF(AND(E1293="Gaz",M1293="Hiver"),INDEX('Base de données Mono'!J:J,MATCH(B1293,'Base de données Mono'!D:D,0)),IF(AND(E1293="Gaz",M1293="Mi-saison"),INDEX('Base de données Mono'!#REF!,MATCH(B1293,'Base de données Mono'!D:D,0)),IF(AND(E1293="Gaz",M1293="Eté"),INDEX('Base de données Mono'!#REF!,MATCH(B1293,'Base de données Mono'!D:D,0)),"-"))))))</f>
        <v>60</v>
      </c>
      <c r="O1293" s="123">
        <v>45401</v>
      </c>
      <c r="P1293" s="123">
        <v>45402</v>
      </c>
      <c r="Q1293" s="34">
        <v>80</v>
      </c>
      <c r="R1293" s="33">
        <f t="shared" si="312"/>
        <v>20</v>
      </c>
      <c r="S1293" s="34">
        <v>8.5</v>
      </c>
      <c r="T1293" s="34">
        <f t="shared" si="270"/>
        <v>1</v>
      </c>
      <c r="U1293" s="33">
        <f>R1293*S1293*T1293</f>
        <v>170</v>
      </c>
      <c r="V1293" s="38" t="s">
        <v>827</v>
      </c>
      <c r="W1293" s="39">
        <f>IFERROR(IF(E1293="Gaz","-",R1293/N1293),"-")</f>
        <v>0.33333333333333331</v>
      </c>
      <c r="X1293" s="40" t="s">
        <v>304</v>
      </c>
      <c r="Y1293" s="40" t="s">
        <v>283</v>
      </c>
      <c r="Z1293" s="40" t="s">
        <v>749</v>
      </c>
      <c r="AA1293" s="33" t="s">
        <v>749</v>
      </c>
      <c r="AB1293" s="95"/>
      <c r="AC1293" s="95"/>
    </row>
    <row r="1294" spans="1:29" ht="14.45" hidden="1" customHeight="1" x14ac:dyDescent="0.25">
      <c r="A1294" s="36" t="str">
        <f>INDEX('Base de données Mono'!C:C,MATCH(B1294,'Base de données Mono'!D:D,0))</f>
        <v>COMMERCE</v>
      </c>
      <c r="B1294" t="s">
        <v>110</v>
      </c>
      <c r="C1294" s="36" t="str">
        <f>INDEX('Base de données Mono'!B:B,MATCH(B1294,'Base de données Mono'!D:D,0))</f>
        <v>SES8</v>
      </c>
      <c r="D1294" s="36" t="str">
        <f>INDEX('Base de données Mono'!A:A,MATCH(B1294,'Base de données Mono'!D:D,0))</f>
        <v>AD</v>
      </c>
      <c r="E1294" s="37" t="s">
        <v>303</v>
      </c>
      <c r="F1294" s="41">
        <f t="shared" si="310"/>
        <v>16</v>
      </c>
      <c r="G1294" s="41">
        <f t="shared" si="311"/>
        <v>4</v>
      </c>
      <c r="I1294" s="131">
        <f>INDEX('Base de données Mono'!K:K,MATCH(B1294,'Base de données Mono'!D:D,0))</f>
        <v>0.20833333333333334</v>
      </c>
      <c r="J1294" s="131">
        <f>INDEX('Base de données Mono'!L:L,MATCH(B1294,'Base de données Mono'!D:D,0))</f>
        <v>0.89583333333333337</v>
      </c>
      <c r="K1294" s="131">
        <f>INDEX('Base de données Mono'!M:M,MATCH(B1294,'Base de données Mono'!D:D,0))</f>
        <v>0.27083333333333331</v>
      </c>
      <c r="L1294" s="131">
        <f>INDEX('Base de données Mono'!N:N,MATCH(B1294,'Base de données Mono'!D:D,0))</f>
        <v>0.55902777777777779</v>
      </c>
      <c r="M1294" s="33" t="s">
        <v>46</v>
      </c>
      <c r="N1294" s="33">
        <f>IF(AND(E1294="Electricité",M1294="Hiver"),INDEX('Base de données Mono'!E:E,MATCH(B1294,'Base de données Mono'!D:D,0)),IF(AND(E1294="Electricité",M1294="Mi-saison"),INDEX('Base de données Mono'!F:F,MATCH(B1294,'Base de données Mono'!D:D,0)),IF(AND(E1294="Electricité",M1294="Eté"),INDEX('Base de données Mono'!G:G,MATCH(B1294,'Base de données Mono'!D:D,0)),IF(AND(E1294="Gaz",M1294="Hiver"),INDEX('Base de données Mono'!J:J,MATCH(B1294,'Base de données Mono'!D:D,0)),IF(AND(E1294="Gaz",M1294="Mi-saison"),INDEX('Base de données Mono'!#REF!,MATCH(B1294,'Base de données Mono'!D:D,0)),IF(AND(E1294="Gaz",M1294="Eté"),INDEX('Base de données Mono'!#REF!,MATCH(B1294,'Base de données Mono'!D:D,0)),"-"))))))</f>
        <v>80</v>
      </c>
      <c r="O1294" s="123">
        <v>45397</v>
      </c>
      <c r="P1294" s="123">
        <v>45403</v>
      </c>
      <c r="Q1294" s="34">
        <v>105</v>
      </c>
      <c r="R1294" s="33">
        <f t="shared" si="312"/>
        <v>25</v>
      </c>
      <c r="S1294" s="34">
        <v>0.5</v>
      </c>
      <c r="T1294" s="34">
        <f>P1294-O1294</f>
        <v>6</v>
      </c>
      <c r="U1294" s="33">
        <f>R1294*S1294*T1294</f>
        <v>75</v>
      </c>
      <c r="V1294" s="38" t="s">
        <v>827</v>
      </c>
      <c r="W1294" s="39">
        <f>IFERROR(IF(E1294="Gaz","-",R1294/N1294),"-")</f>
        <v>0.3125</v>
      </c>
      <c r="X1294" s="40" t="s">
        <v>304</v>
      </c>
      <c r="Y1294" s="40" t="s">
        <v>284</v>
      </c>
      <c r="Z1294" s="40" t="s">
        <v>307</v>
      </c>
      <c r="AA1294" s="33" t="s">
        <v>313</v>
      </c>
      <c r="AB1294" s="95"/>
      <c r="AC1294" s="95"/>
    </row>
    <row r="1295" spans="1:29" ht="14.45" hidden="1" customHeight="1" x14ac:dyDescent="0.25">
      <c r="A1295" s="36" t="str">
        <f>INDEX('Base de données Mono'!C:C,MATCH(B1295,'Base de données Mono'!D:D,0))</f>
        <v>VERSAILLES</v>
      </c>
      <c r="B1295" t="s">
        <v>38</v>
      </c>
      <c r="C1295" s="36" t="str">
        <f>INDEX('Base de données Mono'!B:B,MATCH(B1295,'Base de données Mono'!D:D,0))</f>
        <v>SES8</v>
      </c>
      <c r="D1295" s="36" t="str">
        <f>INDEX('Base de données Mono'!A:A,MATCH(B1295,'Base de données Mono'!D:D,0))</f>
        <v>AD</v>
      </c>
      <c r="E1295" s="37" t="s">
        <v>303</v>
      </c>
      <c r="F1295" s="41">
        <f t="shared" ref="F1295" si="313">IF(O1295="","-",IF(AND(X1295="Nuit",WEEKDAY(O1295,2)=7,O1295&lt;&gt;P1295),WEEKNUM(O1295,2),WEEKNUM(O1295,2)-1))+1</f>
        <v>16</v>
      </c>
      <c r="G1295" s="41">
        <f t="shared" ref="G1295" si="314">IF(O1295="","-",MONTH(O1295))</f>
        <v>4</v>
      </c>
      <c r="I1295" s="131">
        <f>INDEX('Base de données Mono'!K:K,MATCH(B1295,'Base de données Mono'!D:D,0))</f>
        <v>0.1875</v>
      </c>
      <c r="J1295" s="131">
        <f>INDEX('Base de données Mono'!L:L,MATCH(B1295,'Base de données Mono'!D:D,0))</f>
        <v>0.85416666666666663</v>
      </c>
      <c r="K1295" s="131" t="str">
        <f>INDEX('Base de données Mono'!M:M,MATCH(B1295,'Base de données Mono'!D:D,0))</f>
        <v>-</v>
      </c>
      <c r="L1295" s="131" t="str">
        <f>INDEX('Base de données Mono'!N:N,MATCH(B1295,'Base de données Mono'!D:D,0))</f>
        <v>-</v>
      </c>
      <c r="M1295" s="33" t="s">
        <v>46</v>
      </c>
      <c r="N1295" s="33">
        <f>IF(AND(E1295="Electricité",M1295="Hiver"),INDEX('Base de données Mono'!E:E,MATCH(B1295,'Base de données Mono'!D:D,0)),IF(AND(E1295="Electricité",M1295="Mi-saison"),INDEX('Base de données Mono'!F:F,MATCH(B1295,'Base de données Mono'!D:D,0)),IF(AND(E1295="Electricité",M1295="Eté"),INDEX('Base de données Mono'!G:G,MATCH(B1295,'Base de données Mono'!D:D,0)),IF(AND(E1295="Gaz",M1295="Hiver"),INDEX('Base de données Mono'!J:J,MATCH(B1295,'Base de données Mono'!D:D,0)),IF(AND(E1295="Gaz",M1295="Mi-saison"),INDEX('Base de données Mono'!#REF!,MATCH(B1295,'Base de données Mono'!D:D,0)),IF(AND(E1295="Gaz",M1295="Eté"),INDEX('Base de données Mono'!#REF!,MATCH(B1295,'Base de données Mono'!D:D,0)),"-"))))))</f>
        <v>75</v>
      </c>
      <c r="O1295" s="123">
        <v>45397</v>
      </c>
      <c r="P1295" s="123">
        <v>45403</v>
      </c>
      <c r="Q1295" s="34">
        <v>125</v>
      </c>
      <c r="R1295" s="33">
        <f>IF(Q1295="","",Q1295-N1295)</f>
        <v>50</v>
      </c>
      <c r="S1295" s="34">
        <v>0.5</v>
      </c>
      <c r="T1295" s="34">
        <f t="shared" ref="T1295" si="315">P1295-O1295</f>
        <v>6</v>
      </c>
      <c r="U1295" s="33">
        <f>R1295*S1295*T1295</f>
        <v>150</v>
      </c>
      <c r="V1295" s="38" t="s">
        <v>827</v>
      </c>
      <c r="W1295" s="39">
        <f>IFERROR(IF(E1295="Gaz","-",R1295/N1295),"-")</f>
        <v>0.66666666666666663</v>
      </c>
      <c r="X1295" s="40" t="s">
        <v>304</v>
      </c>
      <c r="Y1295" s="40" t="s">
        <v>284</v>
      </c>
      <c r="Z1295" s="40" t="s">
        <v>307</v>
      </c>
      <c r="AA1295" s="33" t="s">
        <v>313</v>
      </c>
      <c r="AB1295" s="95"/>
      <c r="AC1295" s="95"/>
    </row>
    <row r="1296" spans="1:29" ht="14.45" hidden="1" customHeight="1" x14ac:dyDescent="0.25">
      <c r="A1296" s="36" t="str">
        <f>INDEX('Base de données Mono'!C:C,MATCH(B1296,'Base de données Mono'!D:D,0))</f>
        <v>MOZART</v>
      </c>
      <c r="B1296" t="s">
        <v>27</v>
      </c>
      <c r="C1296" s="36" t="str">
        <f>INDEX('Base de données Mono'!B:B,MATCH(B1296,'Base de données Mono'!D:D,0))</f>
        <v>SES8</v>
      </c>
      <c r="D1296" s="36" t="str">
        <f>INDEX('Base de données Mono'!A:A,MATCH(B1296,'Base de données Mono'!D:D,0))</f>
        <v>AD</v>
      </c>
      <c r="E1296" s="37" t="s">
        <v>303</v>
      </c>
      <c r="F1296" s="41">
        <f t="shared" ref="F1296:F1318" si="316">IF(O1296="","-",IF(AND(X1296="Nuit",WEEKDAY(O1296,2)=7,O1296&lt;&gt;P1296),WEEKNUM(O1296,2),WEEKNUM(O1296,2)-1))+1</f>
        <v>16</v>
      </c>
      <c r="G1296" s="41">
        <f t="shared" ref="G1296:G1318" si="317">IF(O1296="","-",MONTH(O1296))</f>
        <v>4</v>
      </c>
      <c r="I1296" s="131">
        <f>INDEX('Base de données Mono'!K:K,MATCH(B1296,'Base de données Mono'!D:D,0))</f>
        <v>0.23611111111111113</v>
      </c>
      <c r="J1296" s="131">
        <f>INDEX('Base de données Mono'!L:L,MATCH(B1296,'Base de données Mono'!D:D,0))</f>
        <v>0.92708333333333337</v>
      </c>
      <c r="K1296" s="131">
        <f>INDEX('Base de données Mono'!M:M,MATCH(B1296,'Base de données Mono'!D:D,0))</f>
        <v>0.23611111111111113</v>
      </c>
      <c r="L1296" s="131">
        <f>INDEX('Base de données Mono'!N:N,MATCH(B1296,'Base de données Mono'!D:D,0))</f>
        <v>0.54166666666666663</v>
      </c>
      <c r="M1296" s="33" t="s">
        <v>46</v>
      </c>
      <c r="N1296" s="33">
        <f>IF(AND(E1296="Electricité",M1296="Hiver"),INDEX('Base de données Mono'!E:E,MATCH(B1296,'Base de données Mono'!D:D,0)),IF(AND(E1296="Electricité",M1296="Mi-saison"),INDEX('Base de données Mono'!F:F,MATCH(B1296,'Base de données Mono'!D:D,0)),IF(AND(E1296="Electricité",M1296="Eté"),INDEX('Base de données Mono'!G:G,MATCH(B1296,'Base de données Mono'!D:D,0)),IF(AND(E1296="Gaz",M1296="Hiver"),INDEX('Base de données Mono'!J:J,MATCH(B1296,'Base de données Mono'!D:D,0)),IF(AND(E1296="Gaz",M1296="Mi-saison"),INDEX('Base de données Mono'!#REF!,MATCH(B1296,'Base de données Mono'!D:D,0)),IF(AND(E1296="Gaz",M1296="Eté"),INDEX('Base de données Mono'!#REF!,MATCH(B1296,'Base de données Mono'!D:D,0)),"-"))))))</f>
        <v>35</v>
      </c>
      <c r="O1296" s="123">
        <v>45403</v>
      </c>
      <c r="P1296" s="123">
        <v>45403</v>
      </c>
      <c r="Q1296" s="34">
        <v>95</v>
      </c>
      <c r="R1296" s="33">
        <f t="shared" ref="R1296:R1318" si="318">IF(Q1296="","",Q1296-N1296)</f>
        <v>60</v>
      </c>
      <c r="S1296" s="34">
        <v>7</v>
      </c>
      <c r="T1296" s="34">
        <v>1</v>
      </c>
      <c r="U1296" s="33">
        <f t="shared" ref="U1296:U1318" si="319">R1296*S1296*T1296</f>
        <v>420</v>
      </c>
      <c r="V1296" s="38" t="s">
        <v>827</v>
      </c>
      <c r="W1296" s="39">
        <f t="shared" ref="W1296:W1318" si="320">IFERROR(IF(E1296="Gaz","-",R1296/N1296),"-")</f>
        <v>1.7142857142857142</v>
      </c>
      <c r="X1296" s="40" t="s">
        <v>730</v>
      </c>
      <c r="Y1296" s="40" t="s">
        <v>284</v>
      </c>
      <c r="Z1296" s="40" t="s">
        <v>307</v>
      </c>
      <c r="AA1296" s="33" t="s">
        <v>308</v>
      </c>
      <c r="AB1296" s="95"/>
      <c r="AC1296" s="95"/>
    </row>
    <row r="1297" spans="1:29" ht="14.45" hidden="1" customHeight="1" x14ac:dyDescent="0.25">
      <c r="A1297" s="36" t="str">
        <f>INDEX('Base de données Mono'!C:C,MATCH(B1297,'Base de données Mono'!D:D,0))</f>
        <v>FONTENAY SOUS BOIS</v>
      </c>
      <c r="B1297" t="s">
        <v>131</v>
      </c>
      <c r="C1297" s="36" t="str">
        <f>INDEX('Base de données Mono'!B:B,MATCH(B1297,'Base de données Mono'!D:D,0))</f>
        <v>SES8</v>
      </c>
      <c r="D1297" s="36" t="str">
        <f>INDEX('Base de données Mono'!A:A,MATCH(B1297,'Base de données Mono'!D:D,0))</f>
        <v>JG</v>
      </c>
      <c r="E1297" s="37" t="s">
        <v>303</v>
      </c>
      <c r="F1297" s="41">
        <f t="shared" si="316"/>
        <v>16</v>
      </c>
      <c r="G1297" s="41">
        <f t="shared" si="317"/>
        <v>4</v>
      </c>
      <c r="I1297" s="131">
        <f>INDEX('Base de données Mono'!K:K,MATCH(B1297,'Base de données Mono'!D:D,0))</f>
        <v>0.24305555555555555</v>
      </c>
      <c r="J1297" s="131">
        <f>INDEX('Base de données Mono'!L:L,MATCH(B1297,'Base de données Mono'!D:D,0))</f>
        <v>0.89583333333333337</v>
      </c>
      <c r="K1297" s="131">
        <f>INDEX('Base de données Mono'!M:M,MATCH(B1297,'Base de données Mono'!D:D,0))</f>
        <v>0.27083333333333331</v>
      </c>
      <c r="L1297" s="131">
        <f>INDEX('Base de données Mono'!N:N,MATCH(B1297,'Base de données Mono'!D:D,0))</f>
        <v>0.5625</v>
      </c>
      <c r="M1297" s="33" t="s">
        <v>46</v>
      </c>
      <c r="N1297" s="33">
        <f>IF(AND(E1297="Electricité",M1297="Hiver"),INDEX('Base de données Mono'!E:E,MATCH(B1297,'Base de données Mono'!D:D,0)),IF(AND(E1297="Electricité",M1297="Mi-saison"),INDEX('Base de données Mono'!F:F,MATCH(B1297,'Base de données Mono'!D:D,0)),IF(AND(E1297="Electricité",M1297="Eté"),INDEX('Base de données Mono'!G:G,MATCH(B1297,'Base de données Mono'!D:D,0)),IF(AND(E1297="Gaz",M1297="Hiver"),INDEX('Base de données Mono'!J:J,MATCH(B1297,'Base de données Mono'!D:D,0)),IF(AND(E1297="Gaz",M1297="Mi-saison"),INDEX('Base de données Mono'!#REF!,MATCH(B1297,'Base de données Mono'!D:D,0)),IF(AND(E1297="Gaz",M1297="Eté"),INDEX('Base de données Mono'!#REF!,MATCH(B1297,'Base de données Mono'!D:D,0)),"-"))))))</f>
        <v>55</v>
      </c>
      <c r="O1297" s="123">
        <v>45403</v>
      </c>
      <c r="P1297" s="123">
        <v>45403</v>
      </c>
      <c r="Q1297" s="34">
        <v>105</v>
      </c>
      <c r="R1297" s="33">
        <f t="shared" si="318"/>
        <v>50</v>
      </c>
      <c r="S1297" s="34">
        <v>6</v>
      </c>
      <c r="T1297" s="34">
        <v>1</v>
      </c>
      <c r="U1297" s="33">
        <f t="shared" si="319"/>
        <v>300</v>
      </c>
      <c r="V1297" s="38" t="s">
        <v>827</v>
      </c>
      <c r="W1297" s="39">
        <f t="shared" si="320"/>
        <v>0.90909090909090906</v>
      </c>
      <c r="X1297" s="40" t="s">
        <v>730</v>
      </c>
      <c r="Y1297" s="40" t="s">
        <v>284</v>
      </c>
      <c r="Z1297" s="40" t="s">
        <v>307</v>
      </c>
      <c r="AA1297" s="33" t="s">
        <v>308</v>
      </c>
      <c r="AB1297" s="95"/>
      <c r="AC1297" s="95"/>
    </row>
    <row r="1298" spans="1:29" ht="14.45" hidden="1" customHeight="1" x14ac:dyDescent="0.25">
      <c r="A1298" s="36" t="str">
        <f>INDEX('Base de données Mono'!C:C,MATCH(B1298,'Base de données Mono'!D:D,0))</f>
        <v>GRASSE</v>
      </c>
      <c r="B1298" t="s">
        <v>16</v>
      </c>
      <c r="C1298" s="36" t="str">
        <f>INDEX('Base de données Mono'!B:B,MATCH(B1298,'Base de données Mono'!D:D,0))</f>
        <v>SES8</v>
      </c>
      <c r="D1298" s="36" t="str">
        <f>INDEX('Base de données Mono'!A:A,MATCH(B1298,'Base de données Mono'!D:D,0))</f>
        <v>JG</v>
      </c>
      <c r="E1298" s="37" t="s">
        <v>303</v>
      </c>
      <c r="F1298" s="41">
        <f t="shared" si="316"/>
        <v>16</v>
      </c>
      <c r="G1298" s="41">
        <f t="shared" si="317"/>
        <v>4</v>
      </c>
      <c r="I1298" s="131">
        <f>INDEX('Base de données Mono'!K:K,MATCH(B1298,'Base de données Mono'!D:D,0))</f>
        <v>0.20833333333333334</v>
      </c>
      <c r="J1298" s="131">
        <f>INDEX('Base de données Mono'!L:L,MATCH(B1298,'Base de données Mono'!D:D,0))</f>
        <v>0.83333333333333337</v>
      </c>
      <c r="K1298" s="131" t="str">
        <f>INDEX('Base de données Mono'!M:M,MATCH(B1298,'Base de données Mono'!D:D,0))</f>
        <v>-</v>
      </c>
      <c r="L1298" s="131" t="str">
        <f>INDEX('Base de données Mono'!N:N,MATCH(B1298,'Base de données Mono'!D:D,0))</f>
        <v>-</v>
      </c>
      <c r="M1298" s="33" t="s">
        <v>46</v>
      </c>
      <c r="N1298" s="33">
        <f>IF(AND(E1298="Electricité",M1298="Hiver"),INDEX('Base de données Mono'!E:E,MATCH(B1298,'Base de données Mono'!D:D,0)),IF(AND(E1298="Electricité",M1298="Mi-saison"),INDEX('Base de données Mono'!F:F,MATCH(B1298,'Base de données Mono'!D:D,0)),IF(AND(E1298="Electricité",M1298="Eté"),INDEX('Base de données Mono'!G:G,MATCH(B1298,'Base de données Mono'!D:D,0)),IF(AND(E1298="Gaz",M1298="Hiver"),INDEX('Base de données Mono'!J:J,MATCH(B1298,'Base de données Mono'!D:D,0)),IF(AND(E1298="Gaz",M1298="Mi-saison"),INDEX('Base de données Mono'!#REF!,MATCH(B1298,'Base de données Mono'!D:D,0)),IF(AND(E1298="Gaz",M1298="Eté"),INDEX('Base de données Mono'!#REF!,MATCH(B1298,'Base de données Mono'!D:D,0)),"-"))))))</f>
        <v>55</v>
      </c>
      <c r="O1298" s="123">
        <v>45403</v>
      </c>
      <c r="P1298" s="123">
        <v>45403</v>
      </c>
      <c r="Q1298" s="34">
        <v>85</v>
      </c>
      <c r="R1298" s="33">
        <f t="shared" si="318"/>
        <v>30</v>
      </c>
      <c r="S1298" s="34">
        <v>7.5</v>
      </c>
      <c r="T1298" s="34">
        <v>1</v>
      </c>
      <c r="U1298" s="33">
        <f t="shared" si="319"/>
        <v>225</v>
      </c>
      <c r="V1298" s="38" t="s">
        <v>827</v>
      </c>
      <c r="W1298" s="39">
        <f t="shared" si="320"/>
        <v>0.54545454545454541</v>
      </c>
      <c r="X1298" s="40" t="s">
        <v>730</v>
      </c>
      <c r="Y1298" s="40" t="s">
        <v>284</v>
      </c>
      <c r="Z1298" s="40" t="s">
        <v>307</v>
      </c>
      <c r="AA1298" s="33" t="s">
        <v>308</v>
      </c>
      <c r="AB1298" s="95"/>
      <c r="AC1298" s="95"/>
    </row>
    <row r="1299" spans="1:29" ht="14.45" hidden="1" customHeight="1" x14ac:dyDescent="0.25">
      <c r="A1299" s="36" t="str">
        <f>INDEX('Base de données Mono'!C:C,MATCH(B1299,'Base de données Mono'!D:D,0))</f>
        <v>TOURS NATIONALE</v>
      </c>
      <c r="B1299" t="s">
        <v>37</v>
      </c>
      <c r="C1299" s="36" t="str">
        <f>INDEX('Base de données Mono'!B:B,MATCH(B1299,'Base de données Mono'!D:D,0))</f>
        <v>SES8</v>
      </c>
      <c r="D1299" s="36" t="str">
        <f>INDEX('Base de données Mono'!A:A,MATCH(B1299,'Base de données Mono'!D:D,0))</f>
        <v>AD</v>
      </c>
      <c r="E1299" s="37" t="s">
        <v>303</v>
      </c>
      <c r="F1299" s="41">
        <f t="shared" si="316"/>
        <v>16</v>
      </c>
      <c r="G1299" s="41">
        <f t="shared" si="317"/>
        <v>4</v>
      </c>
      <c r="I1299" s="131">
        <f>INDEX('Base de données Mono'!K:K,MATCH(B1299,'Base de données Mono'!D:D,0))</f>
        <v>0.22916666666666666</v>
      </c>
      <c r="J1299" s="131">
        <f>INDEX('Base de données Mono'!L:L,MATCH(B1299,'Base de données Mono'!D:D,0))</f>
        <v>0.88541666666666663</v>
      </c>
      <c r="K1299" s="131">
        <f>INDEX('Base de données Mono'!M:M,MATCH(B1299,'Base de données Mono'!D:D,0))</f>
        <v>0.31944444444444448</v>
      </c>
      <c r="L1299" s="131">
        <f>INDEX('Base de données Mono'!N:N,MATCH(B1299,'Base de données Mono'!D:D,0))</f>
        <v>0.55208333333333337</v>
      </c>
      <c r="M1299" s="33" t="s">
        <v>46</v>
      </c>
      <c r="N1299" s="33">
        <f>IF(AND(E1299="Electricité",M1299="Hiver"),INDEX('Base de données Mono'!E:E,MATCH(B1299,'Base de données Mono'!D:D,0)),IF(AND(E1299="Electricité",M1299="Mi-saison"),INDEX('Base de données Mono'!F:F,MATCH(B1299,'Base de données Mono'!D:D,0)),IF(AND(E1299="Electricité",M1299="Eté"),INDEX('Base de données Mono'!G:G,MATCH(B1299,'Base de données Mono'!D:D,0)),IF(AND(E1299="Gaz",M1299="Hiver"),INDEX('Base de données Mono'!J:J,MATCH(B1299,'Base de données Mono'!D:D,0)),IF(AND(E1299="Gaz",M1299="Mi-saison"),INDEX('Base de données Mono'!#REF!,MATCH(B1299,'Base de données Mono'!D:D,0)),IF(AND(E1299="Gaz",M1299="Eté"),INDEX('Base de données Mono'!#REF!,MATCH(B1299,'Base de données Mono'!D:D,0)),"-"))))))</f>
        <v>50</v>
      </c>
      <c r="O1299" s="123">
        <v>45403</v>
      </c>
      <c r="P1299" s="123">
        <v>45403</v>
      </c>
      <c r="Q1299" s="34">
        <v>95</v>
      </c>
      <c r="R1299" s="33">
        <f t="shared" si="318"/>
        <v>45</v>
      </c>
      <c r="S1299" s="34">
        <v>5.5</v>
      </c>
      <c r="T1299" s="34">
        <v>1</v>
      </c>
      <c r="U1299" s="33">
        <f t="shared" si="319"/>
        <v>247.5</v>
      </c>
      <c r="V1299" s="38" t="s">
        <v>827</v>
      </c>
      <c r="W1299" s="39">
        <f t="shared" si="320"/>
        <v>0.9</v>
      </c>
      <c r="X1299" s="40" t="s">
        <v>730</v>
      </c>
      <c r="Y1299" s="40" t="s">
        <v>284</v>
      </c>
      <c r="Z1299" s="40" t="s">
        <v>307</v>
      </c>
      <c r="AA1299" s="33" t="s">
        <v>308</v>
      </c>
      <c r="AB1299" s="95"/>
      <c r="AC1299" s="95"/>
    </row>
    <row r="1300" spans="1:29" ht="14.45" hidden="1" customHeight="1" x14ac:dyDescent="0.25">
      <c r="A1300" s="36" t="str">
        <f>INDEX('Base de données Mono'!C:C,MATCH(B1300,'Base de données Mono'!D:D,0))</f>
        <v>TOURS NATIONALE</v>
      </c>
      <c r="B1300" t="s">
        <v>37</v>
      </c>
      <c r="C1300" s="36" t="str">
        <f>INDEX('Base de données Mono'!B:B,MATCH(B1300,'Base de données Mono'!D:D,0))</f>
        <v>SES8</v>
      </c>
      <c r="D1300" s="36" t="str">
        <f>INDEX('Base de données Mono'!A:A,MATCH(B1300,'Base de données Mono'!D:D,0))</f>
        <v>AD</v>
      </c>
      <c r="E1300" s="37" t="s">
        <v>303</v>
      </c>
      <c r="F1300" s="41">
        <f t="shared" si="316"/>
        <v>16</v>
      </c>
      <c r="G1300" s="41">
        <f t="shared" si="317"/>
        <v>4</v>
      </c>
      <c r="I1300" s="131">
        <f>INDEX('Base de données Mono'!K:K,MATCH(B1300,'Base de données Mono'!D:D,0))</f>
        <v>0.22916666666666666</v>
      </c>
      <c r="J1300" s="131">
        <f>INDEX('Base de données Mono'!L:L,MATCH(B1300,'Base de données Mono'!D:D,0))</f>
        <v>0.88541666666666663</v>
      </c>
      <c r="K1300" s="131">
        <f>INDEX('Base de données Mono'!M:M,MATCH(B1300,'Base de données Mono'!D:D,0))</f>
        <v>0.31944444444444448</v>
      </c>
      <c r="L1300" s="131">
        <f>INDEX('Base de données Mono'!N:N,MATCH(B1300,'Base de données Mono'!D:D,0))</f>
        <v>0.55208333333333337</v>
      </c>
      <c r="M1300" s="33" t="s">
        <v>46</v>
      </c>
      <c r="N1300" s="33">
        <f>IF(AND(E1300="Electricité",M1300="Hiver"),INDEX('Base de données Mono'!E:E,MATCH(B1300,'Base de données Mono'!D:D,0)),IF(AND(E1300="Electricité",M1300="Mi-saison"),INDEX('Base de données Mono'!F:F,MATCH(B1300,'Base de données Mono'!D:D,0)),IF(AND(E1300="Electricité",M1300="Eté"),INDEX('Base de données Mono'!G:G,MATCH(B1300,'Base de données Mono'!D:D,0)),IF(AND(E1300="Gaz",M1300="Hiver"),INDEX('Base de données Mono'!J:J,MATCH(B1300,'Base de données Mono'!D:D,0)),IF(AND(E1300="Gaz",M1300="Mi-saison"),INDEX('Base de données Mono'!#REF!,MATCH(B1300,'Base de données Mono'!D:D,0)),IF(AND(E1300="Gaz",M1300="Eté"),INDEX('Base de données Mono'!#REF!,MATCH(B1300,'Base de données Mono'!D:D,0)),"-"))))))</f>
        <v>50</v>
      </c>
      <c r="O1300" s="123">
        <v>45403</v>
      </c>
      <c r="P1300" s="123">
        <v>45403</v>
      </c>
      <c r="Q1300" s="34">
        <v>60</v>
      </c>
      <c r="R1300" s="33">
        <f t="shared" si="318"/>
        <v>10</v>
      </c>
      <c r="S1300" s="34">
        <v>2.5</v>
      </c>
      <c r="T1300" s="34">
        <v>1</v>
      </c>
      <c r="U1300" s="33">
        <f t="shared" si="319"/>
        <v>25</v>
      </c>
      <c r="V1300" s="38" t="s">
        <v>827</v>
      </c>
      <c r="W1300" s="39">
        <f t="shared" si="320"/>
        <v>0.2</v>
      </c>
      <c r="X1300" s="40" t="s">
        <v>730</v>
      </c>
      <c r="Y1300" s="40" t="s">
        <v>284</v>
      </c>
      <c r="Z1300" s="40" t="s">
        <v>305</v>
      </c>
      <c r="AA1300" s="33" t="s">
        <v>771</v>
      </c>
      <c r="AB1300" s="95"/>
      <c r="AC1300" s="95"/>
    </row>
    <row r="1301" spans="1:29" ht="14.45" hidden="1" customHeight="1" x14ac:dyDescent="0.25">
      <c r="A1301" s="36" t="str">
        <f>INDEX('Base de données Mono'!C:C,MATCH(B1301,'Base de données Mono'!D:D,0))</f>
        <v>ISSY GAMBETTA</v>
      </c>
      <c r="B1301" t="s">
        <v>17</v>
      </c>
      <c r="C1301" s="36" t="str">
        <f>INDEX('Base de données Mono'!B:B,MATCH(B1301,'Base de données Mono'!D:D,0))</f>
        <v>SES8</v>
      </c>
      <c r="D1301" s="36" t="str">
        <f>INDEX('Base de données Mono'!A:A,MATCH(B1301,'Base de données Mono'!D:D,0))</f>
        <v>AD</v>
      </c>
      <c r="E1301" s="37" t="s">
        <v>303</v>
      </c>
      <c r="F1301" s="41">
        <f t="shared" si="316"/>
        <v>16</v>
      </c>
      <c r="G1301" s="41">
        <f t="shared" si="317"/>
        <v>4</v>
      </c>
      <c r="I1301" s="131">
        <f>INDEX('Base de données Mono'!K:K,MATCH(B1301,'Base de données Mono'!D:D,0))</f>
        <v>0.25</v>
      </c>
      <c r="J1301" s="131">
        <f>INDEX('Base de données Mono'!L:L,MATCH(B1301,'Base de données Mono'!D:D,0))</f>
        <v>0.90625</v>
      </c>
      <c r="K1301" s="131">
        <f>INDEX('Base de données Mono'!M:M,MATCH(B1301,'Base de données Mono'!D:D,0))</f>
        <v>0.3263888888888889</v>
      </c>
      <c r="L1301" s="131">
        <f>INDEX('Base de données Mono'!N:N,MATCH(B1301,'Base de données Mono'!D:D,0))</f>
        <v>0.54166666666666663</v>
      </c>
      <c r="M1301" s="33" t="s">
        <v>46</v>
      </c>
      <c r="N1301" s="33">
        <f>IF(AND(E1301="Electricité",M1301="Hiver"),INDEX('Base de données Mono'!E:E,MATCH(B1301,'Base de données Mono'!D:D,0)),IF(AND(E1301="Electricité",M1301="Mi-saison"),INDEX('Base de données Mono'!F:F,MATCH(B1301,'Base de données Mono'!D:D,0)),IF(AND(E1301="Electricité",M1301="Eté"),INDEX('Base de données Mono'!G:G,MATCH(B1301,'Base de données Mono'!D:D,0)),IF(AND(E1301="Gaz",M1301="Hiver"),INDEX('Base de données Mono'!J:J,MATCH(B1301,'Base de données Mono'!D:D,0)),IF(AND(E1301="Gaz",M1301="Mi-saison"),INDEX('Base de données Mono'!#REF!,MATCH(B1301,'Base de données Mono'!D:D,0)),IF(AND(E1301="Gaz",M1301="Eté"),INDEX('Base de données Mono'!#REF!,MATCH(B1301,'Base de données Mono'!D:D,0)),"-"))))))</f>
        <v>35</v>
      </c>
      <c r="O1301" s="123">
        <v>45403</v>
      </c>
      <c r="P1301" s="123">
        <v>45403</v>
      </c>
      <c r="Q1301" s="34">
        <v>55</v>
      </c>
      <c r="R1301" s="33">
        <f t="shared" si="318"/>
        <v>20</v>
      </c>
      <c r="S1301" s="34">
        <v>7</v>
      </c>
      <c r="T1301" s="34">
        <v>1</v>
      </c>
      <c r="U1301" s="33">
        <f t="shared" si="319"/>
        <v>140</v>
      </c>
      <c r="V1301" s="38" t="s">
        <v>827</v>
      </c>
      <c r="W1301" s="39">
        <f t="shared" si="320"/>
        <v>0.5714285714285714</v>
      </c>
      <c r="X1301" s="40" t="s">
        <v>730</v>
      </c>
      <c r="Y1301" s="40" t="s">
        <v>284</v>
      </c>
      <c r="Z1301" s="40" t="s">
        <v>307</v>
      </c>
      <c r="AA1301" s="33" t="s">
        <v>308</v>
      </c>
      <c r="AB1301" s="95"/>
      <c r="AC1301" s="95"/>
    </row>
    <row r="1302" spans="1:29" ht="14.45" hidden="1" customHeight="1" x14ac:dyDescent="0.25">
      <c r="A1302" s="36" t="str">
        <f>INDEX('Base de données Mono'!C:C,MATCH(B1302,'Base de données Mono'!D:D,0))</f>
        <v>ANGERS LES HALLES</v>
      </c>
      <c r="B1302" t="s">
        <v>4</v>
      </c>
      <c r="C1302" s="36" t="str">
        <f>INDEX('Base de données Mono'!B:B,MATCH(B1302,'Base de données Mono'!D:D,0))</f>
        <v>SES8</v>
      </c>
      <c r="D1302" s="36" t="str">
        <f>INDEX('Base de données Mono'!A:A,MATCH(B1302,'Base de données Mono'!D:D,0))</f>
        <v>AD</v>
      </c>
      <c r="E1302" s="37" t="s">
        <v>303</v>
      </c>
      <c r="F1302" s="41">
        <f t="shared" si="316"/>
        <v>16</v>
      </c>
      <c r="G1302" s="41">
        <f t="shared" si="317"/>
        <v>4</v>
      </c>
      <c r="I1302" s="131">
        <f>INDEX('Base de données Mono'!K:K,MATCH(B1302,'Base de données Mono'!D:D,0))</f>
        <v>0.20833333333333334</v>
      </c>
      <c r="J1302" s="131">
        <f>INDEX('Base de données Mono'!L:L,MATCH(B1302,'Base de données Mono'!D:D,0))</f>
        <v>0.875</v>
      </c>
      <c r="K1302" s="131" t="str">
        <f>INDEX('Base de données Mono'!M:M,MATCH(B1302,'Base de données Mono'!D:D,0))</f>
        <v>-</v>
      </c>
      <c r="L1302" s="131" t="str">
        <f>INDEX('Base de données Mono'!N:N,MATCH(B1302,'Base de données Mono'!D:D,0))</f>
        <v>-</v>
      </c>
      <c r="M1302" s="33" t="s">
        <v>46</v>
      </c>
      <c r="N1302" s="33">
        <f>IF(AND(E1302="Electricité",M1302="Hiver"),INDEX('Base de données Mono'!E:E,MATCH(B1302,'Base de données Mono'!D:D,0)),IF(AND(E1302="Electricité",M1302="Mi-saison"),INDEX('Base de données Mono'!F:F,MATCH(B1302,'Base de données Mono'!D:D,0)),IF(AND(E1302="Electricité",M1302="Eté"),INDEX('Base de données Mono'!G:G,MATCH(B1302,'Base de données Mono'!D:D,0)),IF(AND(E1302="Gaz",M1302="Hiver"),INDEX('Base de données Mono'!J:J,MATCH(B1302,'Base de données Mono'!D:D,0)),IF(AND(E1302="Gaz",M1302="Mi-saison"),INDEX('Base de données Mono'!#REF!,MATCH(B1302,'Base de données Mono'!D:D,0)),IF(AND(E1302="Gaz",M1302="Eté"),INDEX('Base de données Mono'!#REF!,MATCH(B1302,'Base de données Mono'!D:D,0)),"-"))))))</f>
        <v>60</v>
      </c>
      <c r="O1302" s="123">
        <v>45403</v>
      </c>
      <c r="P1302" s="123">
        <v>45403</v>
      </c>
      <c r="Q1302" s="34">
        <v>105</v>
      </c>
      <c r="R1302" s="33">
        <f t="shared" si="318"/>
        <v>45</v>
      </c>
      <c r="S1302" s="34">
        <v>6</v>
      </c>
      <c r="T1302" s="34">
        <v>1</v>
      </c>
      <c r="U1302" s="33">
        <f t="shared" si="319"/>
        <v>270</v>
      </c>
      <c r="V1302" s="38" t="s">
        <v>827</v>
      </c>
      <c r="W1302" s="39">
        <f t="shared" si="320"/>
        <v>0.75</v>
      </c>
      <c r="X1302" s="40" t="s">
        <v>730</v>
      </c>
      <c r="Y1302" s="40" t="s">
        <v>284</v>
      </c>
      <c r="Z1302" s="40" t="s">
        <v>307</v>
      </c>
      <c r="AA1302" s="33" t="s">
        <v>308</v>
      </c>
      <c r="AB1302" s="95"/>
      <c r="AC1302" s="95"/>
    </row>
    <row r="1303" spans="1:29" ht="14.45" hidden="1" customHeight="1" x14ac:dyDescent="0.25">
      <c r="A1303" s="36" t="str">
        <f>INDEX('Base de données Mono'!C:C,MATCH(B1303,'Base de données Mono'!D:D,0))</f>
        <v>ANGERS LES HALLES</v>
      </c>
      <c r="B1303" t="s">
        <v>4</v>
      </c>
      <c r="C1303" s="36" t="str">
        <f>INDEX('Base de données Mono'!B:B,MATCH(B1303,'Base de données Mono'!D:D,0))</f>
        <v>SES8</v>
      </c>
      <c r="D1303" s="36" t="str">
        <f>INDEX('Base de données Mono'!A:A,MATCH(B1303,'Base de données Mono'!D:D,0))</f>
        <v>AD</v>
      </c>
      <c r="E1303" s="37" t="s">
        <v>303</v>
      </c>
      <c r="F1303" s="41">
        <f t="shared" si="316"/>
        <v>16</v>
      </c>
      <c r="G1303" s="41">
        <f t="shared" si="317"/>
        <v>4</v>
      </c>
      <c r="I1303" s="131">
        <f>INDEX('Base de données Mono'!K:K,MATCH(B1303,'Base de données Mono'!D:D,0))</f>
        <v>0.20833333333333334</v>
      </c>
      <c r="J1303" s="131">
        <f>INDEX('Base de données Mono'!L:L,MATCH(B1303,'Base de données Mono'!D:D,0))</f>
        <v>0.875</v>
      </c>
      <c r="K1303" s="131" t="str">
        <f>INDEX('Base de données Mono'!M:M,MATCH(B1303,'Base de données Mono'!D:D,0))</f>
        <v>-</v>
      </c>
      <c r="L1303" s="131" t="str">
        <f>INDEX('Base de données Mono'!N:N,MATCH(B1303,'Base de données Mono'!D:D,0))</f>
        <v>-</v>
      </c>
      <c r="M1303" s="33" t="s">
        <v>46</v>
      </c>
      <c r="N1303" s="33">
        <f>IF(AND(E1303="Electricité",M1303="Hiver"),INDEX('Base de données Mono'!E:E,MATCH(B1303,'Base de données Mono'!D:D,0)),IF(AND(E1303="Electricité",M1303="Mi-saison"),INDEX('Base de données Mono'!F:F,MATCH(B1303,'Base de données Mono'!D:D,0)),IF(AND(E1303="Electricité",M1303="Eté"),INDEX('Base de données Mono'!G:G,MATCH(B1303,'Base de données Mono'!D:D,0)),IF(AND(E1303="Gaz",M1303="Hiver"),INDEX('Base de données Mono'!J:J,MATCH(B1303,'Base de données Mono'!D:D,0)),IF(AND(E1303="Gaz",M1303="Mi-saison"),INDEX('Base de données Mono'!#REF!,MATCH(B1303,'Base de données Mono'!D:D,0)),IF(AND(E1303="Gaz",M1303="Eté"),INDEX('Base de données Mono'!#REF!,MATCH(B1303,'Base de données Mono'!D:D,0)),"-"))))))</f>
        <v>60</v>
      </c>
      <c r="O1303" s="123">
        <v>45403</v>
      </c>
      <c r="P1303" s="123">
        <v>45403</v>
      </c>
      <c r="Q1303" s="34">
        <v>70</v>
      </c>
      <c r="R1303" s="33">
        <f t="shared" si="318"/>
        <v>10</v>
      </c>
      <c r="S1303" s="34">
        <v>10</v>
      </c>
      <c r="T1303" s="34">
        <v>1</v>
      </c>
      <c r="U1303" s="33">
        <f t="shared" si="319"/>
        <v>100</v>
      </c>
      <c r="V1303" s="38" t="s">
        <v>827</v>
      </c>
      <c r="W1303" s="39">
        <f t="shared" si="320"/>
        <v>0.16666666666666666</v>
      </c>
      <c r="X1303" s="40" t="s">
        <v>730</v>
      </c>
      <c r="Y1303" s="40" t="s">
        <v>284</v>
      </c>
      <c r="Z1303" s="40" t="s">
        <v>305</v>
      </c>
      <c r="AA1303" s="33" t="s">
        <v>771</v>
      </c>
      <c r="AB1303" s="95"/>
      <c r="AC1303" s="95"/>
    </row>
    <row r="1304" spans="1:29" ht="14.45" hidden="1" customHeight="1" x14ac:dyDescent="0.25">
      <c r="A1304" s="36" t="str">
        <f>INDEX('Base de données Mono'!C:C,MATCH(B1304,'Base de données Mono'!D:D,0))</f>
        <v>NANCY ST SEBASTIEN</v>
      </c>
      <c r="B1304" t="s">
        <v>186</v>
      </c>
      <c r="C1304" s="36" t="str">
        <f>INDEX('Base de données Mono'!B:B,MATCH(B1304,'Base de données Mono'!D:D,0))</f>
        <v>SES8</v>
      </c>
      <c r="D1304" s="36" t="str">
        <f>INDEX('Base de données Mono'!A:A,MATCH(B1304,'Base de données Mono'!D:D,0))</f>
        <v>JG</v>
      </c>
      <c r="E1304" s="37" t="s">
        <v>303</v>
      </c>
      <c r="F1304" s="41">
        <f t="shared" si="316"/>
        <v>16</v>
      </c>
      <c r="G1304" s="41">
        <f t="shared" si="317"/>
        <v>4</v>
      </c>
      <c r="I1304" s="131">
        <f>INDEX('Base de données Mono'!K:K,MATCH(B1304,'Base de données Mono'!D:D,0))</f>
        <v>0.23611111111111113</v>
      </c>
      <c r="J1304" s="131">
        <f>INDEX('Base de données Mono'!L:L,MATCH(B1304,'Base de données Mono'!D:D,0))</f>
        <v>0.86458333333333337</v>
      </c>
      <c r="K1304" s="131" t="str">
        <f>INDEX('Base de données Mono'!M:M,MATCH(B1304,'Base de données Mono'!D:D,0))</f>
        <v>-</v>
      </c>
      <c r="L1304" s="131" t="str">
        <f>INDEX('Base de données Mono'!N:N,MATCH(B1304,'Base de données Mono'!D:D,0))</f>
        <v>-</v>
      </c>
      <c r="M1304" s="33" t="s">
        <v>46</v>
      </c>
      <c r="N1304" s="33">
        <f>IF(AND(E1304="Electricité",M1304="Hiver"),INDEX('Base de données Mono'!E:E,MATCH(B1304,'Base de données Mono'!D:D,0)),IF(AND(E1304="Electricité",M1304="Mi-saison"),INDEX('Base de données Mono'!F:F,MATCH(B1304,'Base de données Mono'!D:D,0)),IF(AND(E1304="Electricité",M1304="Eté"),INDEX('Base de données Mono'!G:G,MATCH(B1304,'Base de données Mono'!D:D,0)),IF(AND(E1304="Gaz",M1304="Hiver"),INDEX('Base de données Mono'!J:J,MATCH(B1304,'Base de données Mono'!D:D,0)),IF(AND(E1304="Gaz",M1304="Mi-saison"),INDEX('Base de données Mono'!#REF!,MATCH(B1304,'Base de données Mono'!D:D,0)),IF(AND(E1304="Gaz",M1304="Eté"),INDEX('Base de données Mono'!#REF!,MATCH(B1304,'Base de données Mono'!D:D,0)),"-"))))))</f>
        <v>85</v>
      </c>
      <c r="O1304" s="123">
        <v>45403</v>
      </c>
      <c r="P1304" s="123">
        <v>45403</v>
      </c>
      <c r="Q1304" s="34">
        <v>125</v>
      </c>
      <c r="R1304" s="33">
        <f t="shared" si="318"/>
        <v>40</v>
      </c>
      <c r="S1304" s="34">
        <v>15</v>
      </c>
      <c r="T1304" s="34">
        <v>1</v>
      </c>
      <c r="U1304" s="33">
        <f t="shared" si="319"/>
        <v>600</v>
      </c>
      <c r="V1304" s="38" t="s">
        <v>827</v>
      </c>
      <c r="W1304" s="39">
        <f t="shared" si="320"/>
        <v>0.47058823529411764</v>
      </c>
      <c r="X1304" s="40" t="s">
        <v>730</v>
      </c>
      <c r="Y1304" s="40" t="s">
        <v>283</v>
      </c>
      <c r="Z1304" s="40" t="s">
        <v>749</v>
      </c>
      <c r="AA1304" s="33" t="s">
        <v>749</v>
      </c>
      <c r="AB1304" s="95"/>
      <c r="AC1304" s="95"/>
    </row>
    <row r="1305" spans="1:29" ht="14.45" hidden="1" customHeight="1" x14ac:dyDescent="0.25">
      <c r="A1305" s="36" t="str">
        <f>INDEX('Base de données Mono'!C:C,MATCH(B1305,'Base de données Mono'!D:D,0))</f>
        <v>TOLBIAC</v>
      </c>
      <c r="B1305" t="s">
        <v>253</v>
      </c>
      <c r="C1305" s="36" t="str">
        <f>INDEX('Base de données Mono'!B:B,MATCH(B1305,'Base de données Mono'!D:D,0))</f>
        <v>SES8</v>
      </c>
      <c r="D1305" s="36" t="str">
        <f>INDEX('Base de données Mono'!A:A,MATCH(B1305,'Base de données Mono'!D:D,0))</f>
        <v>JG</v>
      </c>
      <c r="E1305" s="37" t="s">
        <v>303</v>
      </c>
      <c r="F1305" s="41">
        <f t="shared" si="316"/>
        <v>16</v>
      </c>
      <c r="G1305" s="41">
        <f t="shared" si="317"/>
        <v>4</v>
      </c>
      <c r="I1305" s="131">
        <f>INDEX('Base de données Mono'!K:K,MATCH(B1305,'Base de données Mono'!D:D,0))</f>
        <v>0.24305555555555555</v>
      </c>
      <c r="J1305" s="131">
        <f>INDEX('Base de données Mono'!L:L,MATCH(B1305,'Base de données Mono'!D:D,0))</f>
        <v>0.92708333333333337</v>
      </c>
      <c r="K1305" s="131" t="str">
        <f>INDEX('Base de données Mono'!M:M,MATCH(B1305,'Base de données Mono'!D:D,0))</f>
        <v>-</v>
      </c>
      <c r="L1305" s="131" t="str">
        <f>INDEX('Base de données Mono'!N:N,MATCH(B1305,'Base de données Mono'!D:D,0))</f>
        <v>-</v>
      </c>
      <c r="M1305" s="33" t="s">
        <v>46</v>
      </c>
      <c r="N1305" s="33">
        <f>IF(AND(E1305="Electricité",M1305="Hiver"),INDEX('Base de données Mono'!E:E,MATCH(B1305,'Base de données Mono'!D:D,0)),IF(AND(E1305="Electricité",M1305="Mi-saison"),INDEX('Base de données Mono'!F:F,MATCH(B1305,'Base de données Mono'!D:D,0)),IF(AND(E1305="Electricité",M1305="Eté"),INDEX('Base de données Mono'!G:G,MATCH(B1305,'Base de données Mono'!D:D,0)),IF(AND(E1305="Gaz",M1305="Hiver"),INDEX('Base de données Mono'!J:J,MATCH(B1305,'Base de données Mono'!D:D,0)),IF(AND(E1305="Gaz",M1305="Mi-saison"),INDEX('Base de données Mono'!#REF!,MATCH(B1305,'Base de données Mono'!D:D,0)),IF(AND(E1305="Gaz",M1305="Eté"),INDEX('Base de données Mono'!#REF!,MATCH(B1305,'Base de données Mono'!D:D,0)),"-"))))))</f>
        <v>55</v>
      </c>
      <c r="O1305" s="123">
        <v>45403</v>
      </c>
      <c r="P1305" s="123">
        <v>45403</v>
      </c>
      <c r="Q1305" s="34">
        <v>65</v>
      </c>
      <c r="R1305" s="33">
        <f t="shared" si="318"/>
        <v>10</v>
      </c>
      <c r="S1305" s="34">
        <v>2</v>
      </c>
      <c r="T1305" s="34">
        <v>1</v>
      </c>
      <c r="U1305" s="33">
        <f t="shared" si="319"/>
        <v>20</v>
      </c>
      <c r="V1305" s="38" t="s">
        <v>827</v>
      </c>
      <c r="W1305" s="39">
        <f t="shared" si="320"/>
        <v>0.18181818181818182</v>
      </c>
      <c r="X1305" s="40" t="s">
        <v>730</v>
      </c>
      <c r="Y1305" s="40" t="s">
        <v>284</v>
      </c>
      <c r="Z1305" s="40" t="s">
        <v>305</v>
      </c>
      <c r="AA1305" s="33" t="s">
        <v>771</v>
      </c>
      <c r="AB1305" s="95"/>
      <c r="AC1305" s="95"/>
    </row>
    <row r="1306" spans="1:29" ht="14.45" hidden="1" customHeight="1" x14ac:dyDescent="0.25">
      <c r="A1306" s="36" t="str">
        <f>INDEX('Base de données Mono'!C:C,MATCH(B1306,'Base de données Mono'!D:D,0))</f>
        <v>TOLBIAC</v>
      </c>
      <c r="B1306" t="s">
        <v>253</v>
      </c>
      <c r="C1306" s="36" t="str">
        <f>INDEX('Base de données Mono'!B:B,MATCH(B1306,'Base de données Mono'!D:D,0))</f>
        <v>SES8</v>
      </c>
      <c r="D1306" s="36" t="str">
        <f>INDEX('Base de données Mono'!A:A,MATCH(B1306,'Base de données Mono'!D:D,0))</f>
        <v>JG</v>
      </c>
      <c r="E1306" s="37" t="s">
        <v>303</v>
      </c>
      <c r="F1306" s="41">
        <f t="shared" si="316"/>
        <v>16</v>
      </c>
      <c r="G1306" s="41">
        <f t="shared" si="317"/>
        <v>4</v>
      </c>
      <c r="I1306" s="131">
        <f>INDEX('Base de données Mono'!K:K,MATCH(B1306,'Base de données Mono'!D:D,0))</f>
        <v>0.24305555555555555</v>
      </c>
      <c r="J1306" s="131">
        <f>INDEX('Base de données Mono'!L:L,MATCH(B1306,'Base de données Mono'!D:D,0))</f>
        <v>0.92708333333333337</v>
      </c>
      <c r="K1306" s="131" t="str">
        <f>INDEX('Base de données Mono'!M:M,MATCH(B1306,'Base de données Mono'!D:D,0))</f>
        <v>-</v>
      </c>
      <c r="L1306" s="131" t="str">
        <f>INDEX('Base de données Mono'!N:N,MATCH(B1306,'Base de données Mono'!D:D,0))</f>
        <v>-</v>
      </c>
      <c r="M1306" s="33" t="s">
        <v>46</v>
      </c>
      <c r="N1306" s="33">
        <f>IF(AND(E1306="Electricité",M1306="Hiver"),INDEX('Base de données Mono'!E:E,MATCH(B1306,'Base de données Mono'!D:D,0)),IF(AND(E1306="Electricité",M1306="Mi-saison"),INDEX('Base de données Mono'!F:F,MATCH(B1306,'Base de données Mono'!D:D,0)),IF(AND(E1306="Electricité",M1306="Eté"),INDEX('Base de données Mono'!G:G,MATCH(B1306,'Base de données Mono'!D:D,0)),IF(AND(E1306="Gaz",M1306="Hiver"),INDEX('Base de données Mono'!J:J,MATCH(B1306,'Base de données Mono'!D:D,0)),IF(AND(E1306="Gaz",M1306="Mi-saison"),INDEX('Base de données Mono'!#REF!,MATCH(B1306,'Base de données Mono'!D:D,0)),IF(AND(E1306="Gaz",M1306="Eté"),INDEX('Base de données Mono'!#REF!,MATCH(B1306,'Base de données Mono'!D:D,0)),"-"))))))</f>
        <v>55</v>
      </c>
      <c r="O1306" s="123">
        <v>45403</v>
      </c>
      <c r="P1306" s="123">
        <v>45403</v>
      </c>
      <c r="Q1306" s="34">
        <v>90</v>
      </c>
      <c r="R1306" s="33">
        <f t="shared" si="318"/>
        <v>35</v>
      </c>
      <c r="S1306" s="34">
        <v>14.2</v>
      </c>
      <c r="T1306" s="34">
        <v>1</v>
      </c>
      <c r="U1306" s="33">
        <f t="shared" si="319"/>
        <v>497</v>
      </c>
      <c r="V1306" s="38" t="s">
        <v>827</v>
      </c>
      <c r="W1306" s="39">
        <f t="shared" si="320"/>
        <v>0.63636363636363635</v>
      </c>
      <c r="X1306" s="40" t="s">
        <v>730</v>
      </c>
      <c r="Y1306" s="40" t="s">
        <v>284</v>
      </c>
      <c r="Z1306" s="40" t="s">
        <v>307</v>
      </c>
      <c r="AA1306" s="33" t="s">
        <v>308</v>
      </c>
      <c r="AB1306" s="95"/>
      <c r="AC1306" s="95"/>
    </row>
    <row r="1307" spans="1:29" ht="14.45" hidden="1" customHeight="1" x14ac:dyDescent="0.25">
      <c r="A1307" s="36" t="str">
        <f>INDEX('Base de données Mono'!C:C,MATCH(B1307,'Base de données Mono'!D:D,0))</f>
        <v>BORDEAUX ST CHRISTOLY</v>
      </c>
      <c r="B1307" t="s">
        <v>6</v>
      </c>
      <c r="C1307" s="36" t="str">
        <f>INDEX('Base de données Mono'!B:B,MATCH(B1307,'Base de données Mono'!D:D,0))</f>
        <v>SES8</v>
      </c>
      <c r="D1307" s="36" t="str">
        <f>INDEX('Base de données Mono'!A:A,MATCH(B1307,'Base de données Mono'!D:D,0))</f>
        <v>AD</v>
      </c>
      <c r="E1307" s="37" t="s">
        <v>303</v>
      </c>
      <c r="F1307" s="41">
        <f t="shared" si="316"/>
        <v>16</v>
      </c>
      <c r="G1307" s="41">
        <f t="shared" si="317"/>
        <v>4</v>
      </c>
      <c r="I1307" s="131">
        <f>INDEX('Base de données Mono'!K:K,MATCH(B1307,'Base de données Mono'!D:D,0))</f>
        <v>0.16666666666666666</v>
      </c>
      <c r="J1307" s="131">
        <f>INDEX('Base de données Mono'!L:L,MATCH(B1307,'Base de données Mono'!D:D,0))</f>
        <v>0.875</v>
      </c>
      <c r="K1307" s="131">
        <f>INDEX('Base de données Mono'!M:M,MATCH(B1307,'Base de données Mono'!D:D,0))</f>
        <v>0.20833333333333334</v>
      </c>
      <c r="L1307" s="131">
        <f>INDEX('Base de données Mono'!N:N,MATCH(B1307,'Base de données Mono'!D:D,0))</f>
        <v>0.54166666666666696</v>
      </c>
      <c r="M1307" s="33" t="s">
        <v>46</v>
      </c>
      <c r="N1307" s="33">
        <f>IF(AND(E1307="Electricité",M1307="Hiver"),INDEX('Base de données Mono'!E:E,MATCH(B1307,'Base de données Mono'!D:D,0)),IF(AND(E1307="Electricité",M1307="Mi-saison"),INDEX('Base de données Mono'!F:F,MATCH(B1307,'Base de données Mono'!D:D,0)),IF(AND(E1307="Electricité",M1307="Eté"),INDEX('Base de données Mono'!G:G,MATCH(B1307,'Base de données Mono'!D:D,0)),IF(AND(E1307="Gaz",M1307="Hiver"),INDEX('Base de données Mono'!J:J,MATCH(B1307,'Base de données Mono'!D:D,0)),IF(AND(E1307="Gaz",M1307="Mi-saison"),INDEX('Base de données Mono'!#REF!,MATCH(B1307,'Base de données Mono'!D:D,0)),IF(AND(E1307="Gaz",M1307="Eté"),INDEX('Base de données Mono'!#REF!,MATCH(B1307,'Base de données Mono'!D:D,0)),"-"))))))</f>
        <v>75</v>
      </c>
      <c r="O1307" s="123">
        <v>45403</v>
      </c>
      <c r="P1307" s="123">
        <v>45403</v>
      </c>
      <c r="Q1307" s="34">
        <v>130</v>
      </c>
      <c r="R1307" s="33">
        <f t="shared" si="318"/>
        <v>55</v>
      </c>
      <c r="S1307" s="34">
        <v>7</v>
      </c>
      <c r="T1307" s="34">
        <v>1</v>
      </c>
      <c r="U1307" s="33">
        <f t="shared" si="319"/>
        <v>385</v>
      </c>
      <c r="V1307" s="38" t="s">
        <v>827</v>
      </c>
      <c r="W1307" s="39">
        <f t="shared" si="320"/>
        <v>0.73333333333333328</v>
      </c>
      <c r="X1307" s="40" t="s">
        <v>730</v>
      </c>
      <c r="Y1307" s="40" t="s">
        <v>284</v>
      </c>
      <c r="Z1307" s="40" t="s">
        <v>307</v>
      </c>
      <c r="AA1307" s="33" t="s">
        <v>308</v>
      </c>
      <c r="AB1307" s="95"/>
      <c r="AC1307" s="95"/>
    </row>
    <row r="1308" spans="1:29" ht="14.45" hidden="1" customHeight="1" x14ac:dyDescent="0.25">
      <c r="A1308" s="36" t="str">
        <f>INDEX('Base de données Mono'!C:C,MATCH(B1308,'Base de données Mono'!D:D,0))</f>
        <v>BORDEAUX ST CHRISTOLY</v>
      </c>
      <c r="B1308" t="s">
        <v>6</v>
      </c>
      <c r="C1308" s="36" t="str">
        <f>INDEX('Base de données Mono'!B:B,MATCH(B1308,'Base de données Mono'!D:D,0))</f>
        <v>SES8</v>
      </c>
      <c r="D1308" s="36" t="str">
        <f>INDEX('Base de données Mono'!A:A,MATCH(B1308,'Base de données Mono'!D:D,0))</f>
        <v>AD</v>
      </c>
      <c r="E1308" s="37" t="s">
        <v>303</v>
      </c>
      <c r="F1308" s="41">
        <f t="shared" si="316"/>
        <v>16</v>
      </c>
      <c r="G1308" s="41">
        <f t="shared" si="317"/>
        <v>4</v>
      </c>
      <c r="I1308" s="131">
        <f>INDEX('Base de données Mono'!K:K,MATCH(B1308,'Base de données Mono'!D:D,0))</f>
        <v>0.16666666666666666</v>
      </c>
      <c r="J1308" s="131">
        <f>INDEX('Base de données Mono'!L:L,MATCH(B1308,'Base de données Mono'!D:D,0))</f>
        <v>0.875</v>
      </c>
      <c r="K1308" s="131">
        <f>INDEX('Base de données Mono'!M:M,MATCH(B1308,'Base de données Mono'!D:D,0))</f>
        <v>0.20833333333333334</v>
      </c>
      <c r="L1308" s="131">
        <f>INDEX('Base de données Mono'!N:N,MATCH(B1308,'Base de données Mono'!D:D,0))</f>
        <v>0.54166666666666696</v>
      </c>
      <c r="M1308" s="33" t="s">
        <v>46</v>
      </c>
      <c r="N1308" s="33">
        <f>IF(AND(E1308="Electricité",M1308="Hiver"),INDEX('Base de données Mono'!E:E,MATCH(B1308,'Base de données Mono'!D:D,0)),IF(AND(E1308="Electricité",M1308="Mi-saison"),INDEX('Base de données Mono'!F:F,MATCH(B1308,'Base de données Mono'!D:D,0)),IF(AND(E1308="Electricité",M1308="Eté"),INDEX('Base de données Mono'!G:G,MATCH(B1308,'Base de données Mono'!D:D,0)),IF(AND(E1308="Gaz",M1308="Hiver"),INDEX('Base de données Mono'!J:J,MATCH(B1308,'Base de données Mono'!D:D,0)),IF(AND(E1308="Gaz",M1308="Mi-saison"),INDEX('Base de données Mono'!#REF!,MATCH(B1308,'Base de données Mono'!D:D,0)),IF(AND(E1308="Gaz",M1308="Eté"),INDEX('Base de données Mono'!#REF!,MATCH(B1308,'Base de données Mono'!D:D,0)),"-"))))))</f>
        <v>75</v>
      </c>
      <c r="O1308" s="123">
        <v>45403</v>
      </c>
      <c r="P1308" s="123">
        <v>45403</v>
      </c>
      <c r="Q1308" s="34">
        <v>90</v>
      </c>
      <c r="R1308" s="33">
        <f t="shared" si="318"/>
        <v>15</v>
      </c>
      <c r="S1308" s="34">
        <v>1</v>
      </c>
      <c r="T1308" s="34">
        <v>1</v>
      </c>
      <c r="U1308" s="33">
        <f t="shared" si="319"/>
        <v>15</v>
      </c>
      <c r="V1308" s="38" t="s">
        <v>827</v>
      </c>
      <c r="W1308" s="39">
        <f t="shared" si="320"/>
        <v>0.2</v>
      </c>
      <c r="X1308" s="40" t="s">
        <v>730</v>
      </c>
      <c r="Y1308" s="40" t="s">
        <v>284</v>
      </c>
      <c r="Z1308" s="40" t="s">
        <v>305</v>
      </c>
      <c r="AA1308" s="33" t="s">
        <v>771</v>
      </c>
      <c r="AB1308" s="95"/>
      <c r="AC1308" s="95"/>
    </row>
    <row r="1309" spans="1:29" ht="14.45" hidden="1" customHeight="1" x14ac:dyDescent="0.25">
      <c r="A1309" s="36" t="str">
        <f>INDEX('Base de données Mono'!C:C,MATCH(B1309,'Base de données Mono'!D:D,0))</f>
        <v>REIMS</v>
      </c>
      <c r="B1309" t="s">
        <v>218</v>
      </c>
      <c r="C1309" s="36" t="str">
        <f>INDEX('Base de données Mono'!B:B,MATCH(B1309,'Base de données Mono'!D:D,0))</f>
        <v>SES8</v>
      </c>
      <c r="D1309" s="36" t="str">
        <f>INDEX('Base de données Mono'!A:A,MATCH(B1309,'Base de données Mono'!D:D,0))</f>
        <v>JG</v>
      </c>
      <c r="E1309" s="37" t="s">
        <v>303</v>
      </c>
      <c r="F1309" s="41">
        <f t="shared" si="316"/>
        <v>16</v>
      </c>
      <c r="G1309" s="41">
        <f t="shared" si="317"/>
        <v>4</v>
      </c>
      <c r="I1309" s="131">
        <f>INDEX('Base de données Mono'!K:K,MATCH(B1309,'Base de données Mono'!D:D,0))</f>
        <v>0.22916666666666666</v>
      </c>
      <c r="J1309" s="131">
        <f>INDEX('Base de données Mono'!L:L,MATCH(B1309,'Base de données Mono'!D:D,0))</f>
        <v>0.85416666666666663</v>
      </c>
      <c r="K1309" s="131">
        <f>INDEX('Base de données Mono'!M:M,MATCH(B1309,'Base de données Mono'!D:D,0))</f>
        <v>0.3125</v>
      </c>
      <c r="L1309" s="131">
        <f>INDEX('Base de données Mono'!N:N,MATCH(B1309,'Base de données Mono'!D:D,0))</f>
        <v>0.5625</v>
      </c>
      <c r="M1309" s="33" t="s">
        <v>46</v>
      </c>
      <c r="N1309" s="33">
        <f>IF(AND(E1309="Electricité",M1309="Hiver"),INDEX('Base de données Mono'!E:E,MATCH(B1309,'Base de données Mono'!D:D,0)),IF(AND(E1309="Electricité",M1309="Mi-saison"),INDEX('Base de données Mono'!F:F,MATCH(B1309,'Base de données Mono'!D:D,0)),IF(AND(E1309="Electricité",M1309="Eté"),INDEX('Base de données Mono'!G:G,MATCH(B1309,'Base de données Mono'!D:D,0)),IF(AND(E1309="Gaz",M1309="Hiver"),INDEX('Base de données Mono'!J:J,MATCH(B1309,'Base de données Mono'!D:D,0)),IF(AND(E1309="Gaz",M1309="Mi-saison"),INDEX('Base de données Mono'!#REF!,MATCH(B1309,'Base de données Mono'!D:D,0)),IF(AND(E1309="Gaz",M1309="Eté"),INDEX('Base de données Mono'!#REF!,MATCH(B1309,'Base de données Mono'!D:D,0)),"-"))))))</f>
        <v>40</v>
      </c>
      <c r="O1309" s="123">
        <v>45403</v>
      </c>
      <c r="P1309" s="123">
        <v>45403</v>
      </c>
      <c r="Q1309" s="34">
        <v>110</v>
      </c>
      <c r="R1309" s="33">
        <f t="shared" si="318"/>
        <v>70</v>
      </c>
      <c r="S1309" s="34">
        <v>5.8</v>
      </c>
      <c r="T1309" s="34">
        <v>1</v>
      </c>
      <c r="U1309" s="33">
        <f t="shared" si="319"/>
        <v>406</v>
      </c>
      <c r="V1309" s="38" t="s">
        <v>827</v>
      </c>
      <c r="W1309" s="39">
        <f t="shared" si="320"/>
        <v>1.75</v>
      </c>
      <c r="X1309" s="40" t="s">
        <v>730</v>
      </c>
      <c r="Y1309" s="40" t="s">
        <v>284</v>
      </c>
      <c r="Z1309" s="40" t="s">
        <v>307</v>
      </c>
      <c r="AA1309" s="33" t="s">
        <v>308</v>
      </c>
      <c r="AB1309" s="95"/>
      <c r="AC1309" s="95"/>
    </row>
    <row r="1310" spans="1:29" ht="14.45" hidden="1" customHeight="1" x14ac:dyDescent="0.25">
      <c r="A1310" s="36" t="str">
        <f>INDEX('Base de données Mono'!C:C,MATCH(B1310,'Base de données Mono'!D:D,0))</f>
        <v>REPUBLIQUE</v>
      </c>
      <c r="B1310" t="s">
        <v>221</v>
      </c>
      <c r="C1310" s="36" t="str">
        <f>INDEX('Base de données Mono'!B:B,MATCH(B1310,'Base de données Mono'!D:D,0))</f>
        <v>SES8</v>
      </c>
      <c r="D1310" s="36" t="str">
        <f>INDEX('Base de données Mono'!A:A,MATCH(B1310,'Base de données Mono'!D:D,0))</f>
        <v>JG</v>
      </c>
      <c r="E1310" s="37" t="s">
        <v>303</v>
      </c>
      <c r="F1310" s="41">
        <f t="shared" si="316"/>
        <v>16</v>
      </c>
      <c r="G1310" s="41">
        <f t="shared" si="317"/>
        <v>4</v>
      </c>
      <c r="I1310" s="131">
        <f>INDEX('Base de données Mono'!K:K,MATCH(B1310,'Base de données Mono'!D:D,0))</f>
        <v>0.24305555555555555</v>
      </c>
      <c r="J1310" s="131">
        <f>INDEX('Base de données Mono'!L:L,MATCH(B1310,'Base de données Mono'!D:D,0))</f>
        <v>0.94791666666666663</v>
      </c>
      <c r="K1310" s="131">
        <f>INDEX('Base de données Mono'!M:M,MATCH(B1310,'Base de données Mono'!D:D,0))</f>
        <v>0.25</v>
      </c>
      <c r="L1310" s="131">
        <f>INDEX('Base de données Mono'!N:N,MATCH(B1310,'Base de données Mono'!D:D,0))</f>
        <v>0.54166666666666663</v>
      </c>
      <c r="M1310" s="33" t="s">
        <v>46</v>
      </c>
      <c r="N1310" s="33">
        <f>IF(AND(E1310="Electricité",M1310="Hiver"),INDEX('Base de données Mono'!E:E,MATCH(B1310,'Base de données Mono'!D:D,0)),IF(AND(E1310="Electricité",M1310="Mi-saison"),INDEX('Base de données Mono'!F:F,MATCH(B1310,'Base de données Mono'!D:D,0)),IF(AND(E1310="Electricité",M1310="Eté"),INDEX('Base de données Mono'!G:G,MATCH(B1310,'Base de données Mono'!D:D,0)),IF(AND(E1310="Gaz",M1310="Hiver"),INDEX('Base de données Mono'!J:J,MATCH(B1310,'Base de données Mono'!D:D,0)),IF(AND(E1310="Gaz",M1310="Mi-saison"),INDEX('Base de données Mono'!#REF!,MATCH(B1310,'Base de données Mono'!D:D,0)),IF(AND(E1310="Gaz",M1310="Eté"),INDEX('Base de données Mono'!#REF!,MATCH(B1310,'Base de données Mono'!D:D,0)),"-"))))))</f>
        <v>75</v>
      </c>
      <c r="O1310" s="123">
        <v>45403</v>
      </c>
      <c r="P1310" s="123">
        <v>45403</v>
      </c>
      <c r="Q1310" s="34">
        <v>120</v>
      </c>
      <c r="R1310" s="33">
        <f t="shared" si="318"/>
        <v>45</v>
      </c>
      <c r="S1310" s="34">
        <v>7</v>
      </c>
      <c r="T1310" s="34">
        <v>1</v>
      </c>
      <c r="U1310" s="33">
        <f t="shared" si="319"/>
        <v>315</v>
      </c>
      <c r="V1310" s="38" t="s">
        <v>827</v>
      </c>
      <c r="W1310" s="39">
        <f t="shared" si="320"/>
        <v>0.6</v>
      </c>
      <c r="X1310" s="40" t="s">
        <v>730</v>
      </c>
      <c r="Y1310" s="40" t="s">
        <v>284</v>
      </c>
      <c r="Z1310" s="40" t="s">
        <v>307</v>
      </c>
      <c r="AA1310" s="33" t="s">
        <v>308</v>
      </c>
      <c r="AB1310" s="95"/>
      <c r="AC1310" s="95"/>
    </row>
    <row r="1311" spans="1:29" ht="14.45" hidden="1" customHeight="1" x14ac:dyDescent="0.25">
      <c r="A1311" s="36" t="str">
        <f>INDEX('Base de données Mono'!C:C,MATCH(B1311,'Base de données Mono'!D:D,0))</f>
        <v>ST GERMAIN</v>
      </c>
      <c r="B1311" t="s">
        <v>35</v>
      </c>
      <c r="C1311" s="36" t="str">
        <f>INDEX('Base de données Mono'!B:B,MATCH(B1311,'Base de données Mono'!D:D,0))</f>
        <v>SES8</v>
      </c>
      <c r="D1311" s="36" t="str">
        <f>INDEX('Base de données Mono'!A:A,MATCH(B1311,'Base de données Mono'!D:D,0))</f>
        <v>AD</v>
      </c>
      <c r="E1311" s="37" t="s">
        <v>303</v>
      </c>
      <c r="F1311" s="41">
        <f t="shared" si="316"/>
        <v>16</v>
      </c>
      <c r="G1311" s="41">
        <f t="shared" si="317"/>
        <v>4</v>
      </c>
      <c r="I1311" s="131">
        <f>INDEX('Base de données Mono'!K:K,MATCH(B1311,'Base de données Mono'!D:D,0))</f>
        <v>0.24305555555555555</v>
      </c>
      <c r="J1311" s="131">
        <f>INDEX('Base de données Mono'!L:L,MATCH(B1311,'Base de données Mono'!D:D,0))</f>
        <v>0.90625</v>
      </c>
      <c r="K1311" s="131">
        <f>INDEX('Base de données Mono'!M:M,MATCH(B1311,'Base de données Mono'!D:D,0))</f>
        <v>0.28125</v>
      </c>
      <c r="L1311" s="131">
        <f>INDEX('Base de données Mono'!N:N,MATCH(B1311,'Base de données Mono'!D:D,0))</f>
        <v>0.5625</v>
      </c>
      <c r="M1311" s="33" t="s">
        <v>46</v>
      </c>
      <c r="N1311" s="33">
        <f>IF(AND(E1311="Electricité",M1311="Hiver"),INDEX('Base de données Mono'!E:E,MATCH(B1311,'Base de données Mono'!D:D,0)),IF(AND(E1311="Electricité",M1311="Mi-saison"),INDEX('Base de données Mono'!F:F,MATCH(B1311,'Base de données Mono'!D:D,0)),IF(AND(E1311="Electricité",M1311="Eté"),INDEX('Base de données Mono'!G:G,MATCH(B1311,'Base de données Mono'!D:D,0)),IF(AND(E1311="Gaz",M1311="Hiver"),INDEX('Base de données Mono'!J:J,MATCH(B1311,'Base de données Mono'!D:D,0)),IF(AND(E1311="Gaz",M1311="Mi-saison"),INDEX('Base de données Mono'!#REF!,MATCH(B1311,'Base de données Mono'!D:D,0)),IF(AND(E1311="Gaz",M1311="Eté"),INDEX('Base de données Mono'!#REF!,MATCH(B1311,'Base de données Mono'!D:D,0)),"-"))))))</f>
        <v>115</v>
      </c>
      <c r="O1311" s="123">
        <v>45403</v>
      </c>
      <c r="P1311" s="123">
        <v>45403</v>
      </c>
      <c r="Q1311" s="34">
        <v>160</v>
      </c>
      <c r="R1311" s="33">
        <f t="shared" si="318"/>
        <v>45</v>
      </c>
      <c r="S1311" s="34">
        <v>6.5</v>
      </c>
      <c r="T1311" s="34">
        <v>1</v>
      </c>
      <c r="U1311" s="33">
        <f t="shared" si="319"/>
        <v>292.5</v>
      </c>
      <c r="V1311" s="38" t="s">
        <v>827</v>
      </c>
      <c r="W1311" s="39">
        <f t="shared" si="320"/>
        <v>0.39130434782608697</v>
      </c>
      <c r="X1311" s="40" t="s">
        <v>730</v>
      </c>
      <c r="Y1311" s="40" t="s">
        <v>284</v>
      </c>
      <c r="Z1311" s="40" t="s">
        <v>307</v>
      </c>
      <c r="AA1311" s="33" t="s">
        <v>308</v>
      </c>
      <c r="AB1311" s="95"/>
      <c r="AC1311" s="95"/>
    </row>
    <row r="1312" spans="1:29" ht="14.45" hidden="1" customHeight="1" x14ac:dyDescent="0.25">
      <c r="A1312" s="36" t="str">
        <f>INDEX('Base de données Mono'!C:C,MATCH(B1312,'Base de données Mono'!D:D,0))</f>
        <v>MULHOUSE</v>
      </c>
      <c r="B1312" t="s">
        <v>184</v>
      </c>
      <c r="C1312" s="36" t="str">
        <f>INDEX('Base de données Mono'!B:B,MATCH(B1312,'Base de données Mono'!D:D,0))</f>
        <v>SES8</v>
      </c>
      <c r="D1312" s="36" t="str">
        <f>INDEX('Base de données Mono'!A:A,MATCH(B1312,'Base de données Mono'!D:D,0))</f>
        <v>JG</v>
      </c>
      <c r="E1312" s="37" t="s">
        <v>303</v>
      </c>
      <c r="F1312" s="41">
        <f t="shared" si="316"/>
        <v>16</v>
      </c>
      <c r="G1312" s="41">
        <f t="shared" si="317"/>
        <v>4</v>
      </c>
      <c r="I1312" s="131">
        <f>INDEX('Base de données Mono'!K:K,MATCH(B1312,'Base de données Mono'!D:D,0))</f>
        <v>0.24305555555555555</v>
      </c>
      <c r="J1312" s="131">
        <f>INDEX('Base de données Mono'!L:L,MATCH(B1312,'Base de données Mono'!D:D,0))</f>
        <v>0.84375</v>
      </c>
      <c r="K1312" s="131" t="str">
        <f>INDEX('Base de données Mono'!M:M,MATCH(B1312,'Base de données Mono'!D:D,0))</f>
        <v>-</v>
      </c>
      <c r="L1312" s="131" t="str">
        <f>INDEX('Base de données Mono'!N:N,MATCH(B1312,'Base de données Mono'!D:D,0))</f>
        <v>-</v>
      </c>
      <c r="M1312" s="33" t="s">
        <v>46</v>
      </c>
      <c r="N1312" s="33">
        <f>IF(AND(E1312="Electricité",M1312="Hiver"),INDEX('Base de données Mono'!E:E,MATCH(B1312,'Base de données Mono'!D:D,0)),IF(AND(E1312="Electricité",M1312="Mi-saison"),INDEX('Base de données Mono'!F:F,MATCH(B1312,'Base de données Mono'!D:D,0)),IF(AND(E1312="Electricité",M1312="Eté"),INDEX('Base de données Mono'!G:G,MATCH(B1312,'Base de données Mono'!D:D,0)),IF(AND(E1312="Gaz",M1312="Hiver"),INDEX('Base de données Mono'!J:J,MATCH(B1312,'Base de données Mono'!D:D,0)),IF(AND(E1312="Gaz",M1312="Mi-saison"),INDEX('Base de données Mono'!#REF!,MATCH(B1312,'Base de données Mono'!D:D,0)),IF(AND(E1312="Gaz",M1312="Eté"),INDEX('Base de données Mono'!#REF!,MATCH(B1312,'Base de données Mono'!D:D,0)),"-"))))))</f>
        <v>45</v>
      </c>
      <c r="O1312" s="123">
        <v>45403</v>
      </c>
      <c r="P1312" s="123">
        <v>45403</v>
      </c>
      <c r="Q1312" s="34">
        <v>70</v>
      </c>
      <c r="R1312" s="33">
        <f t="shared" si="318"/>
        <v>25</v>
      </c>
      <c r="S1312" s="34">
        <v>10</v>
      </c>
      <c r="T1312" s="34">
        <v>1</v>
      </c>
      <c r="U1312" s="33">
        <f t="shared" si="319"/>
        <v>250</v>
      </c>
      <c r="V1312" s="38" t="s">
        <v>827</v>
      </c>
      <c r="W1312" s="39">
        <f t="shared" si="320"/>
        <v>0.55555555555555558</v>
      </c>
      <c r="X1312" s="40" t="s">
        <v>730</v>
      </c>
      <c r="Y1312" s="40" t="s">
        <v>284</v>
      </c>
      <c r="Z1312" s="40" t="s">
        <v>307</v>
      </c>
      <c r="AA1312" s="33" t="s">
        <v>308</v>
      </c>
      <c r="AB1312" s="95"/>
      <c r="AC1312" s="95"/>
    </row>
    <row r="1313" spans="1:29" ht="14.45" hidden="1" customHeight="1" x14ac:dyDescent="0.25">
      <c r="A1313" s="36" t="str">
        <f>INDEX('Base de données Mono'!C:C,MATCH(B1313,'Base de données Mono'!D:D,0))</f>
        <v>CROIX ROUSSE</v>
      </c>
      <c r="B1313" t="s">
        <v>116</v>
      </c>
      <c r="C1313" s="36" t="str">
        <f>INDEX('Base de données Mono'!B:B,MATCH(B1313,'Base de données Mono'!D:D,0))</f>
        <v>SES8</v>
      </c>
      <c r="D1313" s="36" t="str">
        <f>INDEX('Base de données Mono'!A:A,MATCH(B1313,'Base de données Mono'!D:D,0))</f>
        <v>JG</v>
      </c>
      <c r="E1313" s="37" t="s">
        <v>303</v>
      </c>
      <c r="F1313" s="41">
        <f t="shared" si="316"/>
        <v>16</v>
      </c>
      <c r="G1313" s="41">
        <f t="shared" si="317"/>
        <v>4</v>
      </c>
      <c r="I1313" s="131">
        <f>INDEX('Base de données Mono'!K:K,MATCH(B1313,'Base de données Mono'!D:D,0))</f>
        <v>0.20486111111111113</v>
      </c>
      <c r="J1313" s="131">
        <f>INDEX('Base de données Mono'!L:L,MATCH(B1313,'Base de données Mono'!D:D,0))</f>
        <v>0.89583333333333337</v>
      </c>
      <c r="K1313" s="131">
        <f>INDEX('Base de données Mono'!M:M,MATCH(B1313,'Base de données Mono'!D:D,0))</f>
        <v>0.29166666666666669</v>
      </c>
      <c r="L1313" s="131">
        <f>INDEX('Base de données Mono'!N:N,MATCH(B1313,'Base de données Mono'!D:D,0))</f>
        <v>0.5625</v>
      </c>
      <c r="M1313" s="33" t="s">
        <v>46</v>
      </c>
      <c r="N1313" s="33">
        <f>IF(AND(E1313="Electricité",M1313="Hiver"),INDEX('Base de données Mono'!E:E,MATCH(B1313,'Base de données Mono'!D:D,0)),IF(AND(E1313="Electricité",M1313="Mi-saison"),INDEX('Base de données Mono'!F:F,MATCH(B1313,'Base de données Mono'!D:D,0)),IF(AND(E1313="Electricité",M1313="Eté"),INDEX('Base de données Mono'!G:G,MATCH(B1313,'Base de données Mono'!D:D,0)),IF(AND(E1313="Gaz",M1313="Hiver"),INDEX('Base de données Mono'!J:J,MATCH(B1313,'Base de données Mono'!D:D,0)),IF(AND(E1313="Gaz",M1313="Mi-saison"),INDEX('Base de données Mono'!#REF!,MATCH(B1313,'Base de données Mono'!D:D,0)),IF(AND(E1313="Gaz",M1313="Eté"),INDEX('Base de données Mono'!#REF!,MATCH(B1313,'Base de données Mono'!D:D,0)),"-"))))))</f>
        <v>80</v>
      </c>
      <c r="O1313" s="123">
        <v>45403</v>
      </c>
      <c r="P1313" s="123">
        <v>45403</v>
      </c>
      <c r="Q1313" s="34">
        <v>130</v>
      </c>
      <c r="R1313" s="33">
        <f t="shared" si="318"/>
        <v>50</v>
      </c>
      <c r="S1313" s="34">
        <v>7</v>
      </c>
      <c r="T1313" s="34">
        <v>1</v>
      </c>
      <c r="U1313" s="33">
        <f t="shared" si="319"/>
        <v>350</v>
      </c>
      <c r="V1313" s="38" t="s">
        <v>827</v>
      </c>
      <c r="W1313" s="39">
        <f t="shared" si="320"/>
        <v>0.625</v>
      </c>
      <c r="X1313" s="40" t="s">
        <v>730</v>
      </c>
      <c r="Y1313" s="40" t="s">
        <v>284</v>
      </c>
      <c r="Z1313" s="40" t="s">
        <v>307</v>
      </c>
      <c r="AA1313" s="33" t="s">
        <v>308</v>
      </c>
      <c r="AB1313" s="95"/>
      <c r="AC1313" s="95"/>
    </row>
    <row r="1314" spans="1:29" ht="14.45" hidden="1" customHeight="1" x14ac:dyDescent="0.25">
      <c r="A1314" s="36" t="str">
        <f>INDEX('Base de données Mono'!C:C,MATCH(B1314,'Base de données Mono'!D:D,0))</f>
        <v>MONTPELLIER COMEDIE</v>
      </c>
      <c r="B1314" t="s">
        <v>179</v>
      </c>
      <c r="C1314" s="36" t="str">
        <f>INDEX('Base de données Mono'!B:B,MATCH(B1314,'Base de données Mono'!D:D,0))</f>
        <v>SES8</v>
      </c>
      <c r="D1314" s="36" t="str">
        <f>INDEX('Base de données Mono'!A:A,MATCH(B1314,'Base de données Mono'!D:D,0))</f>
        <v>AD</v>
      </c>
      <c r="E1314" s="37" t="s">
        <v>303</v>
      </c>
      <c r="F1314" s="41">
        <f t="shared" si="316"/>
        <v>16</v>
      </c>
      <c r="G1314" s="41">
        <f t="shared" si="317"/>
        <v>4</v>
      </c>
      <c r="I1314" s="131">
        <f>INDEX('Base de données Mono'!K:K,MATCH(B1314,'Base de données Mono'!D:D,0))</f>
        <v>0.1875</v>
      </c>
      <c r="J1314" s="131">
        <f>INDEX('Base de données Mono'!L:L,MATCH(B1314,'Base de données Mono'!D:D,0))</f>
        <v>0.91666666666666663</v>
      </c>
      <c r="K1314" s="131">
        <f>INDEX('Base de données Mono'!M:M,MATCH(B1314,'Base de données Mono'!D:D,0))</f>
        <v>0.29166666666666669</v>
      </c>
      <c r="L1314" s="131">
        <f>INDEX('Base de données Mono'!N:N,MATCH(B1314,'Base de données Mono'!D:D,0))</f>
        <v>0.54166666666666663</v>
      </c>
      <c r="M1314" s="33" t="s">
        <v>46</v>
      </c>
      <c r="N1314" s="33">
        <f>IF(AND(E1314="Electricité",M1314="Hiver"),INDEX('Base de données Mono'!E:E,MATCH(B1314,'Base de données Mono'!D:D,0)),IF(AND(E1314="Electricité",M1314="Mi-saison"),INDEX('Base de données Mono'!F:F,MATCH(B1314,'Base de données Mono'!D:D,0)),IF(AND(E1314="Electricité",M1314="Eté"),INDEX('Base de données Mono'!G:G,MATCH(B1314,'Base de données Mono'!D:D,0)),IF(AND(E1314="Gaz",M1314="Hiver"),INDEX('Base de données Mono'!J:J,MATCH(B1314,'Base de données Mono'!D:D,0)),IF(AND(E1314="Gaz",M1314="Mi-saison"),INDEX('Base de données Mono'!#REF!,MATCH(B1314,'Base de données Mono'!D:D,0)),IF(AND(E1314="Gaz",M1314="Eté"),INDEX('Base de données Mono'!#REF!,MATCH(B1314,'Base de données Mono'!D:D,0)),"-"))))))</f>
        <v>60</v>
      </c>
      <c r="O1314" s="123">
        <v>45403</v>
      </c>
      <c r="P1314" s="123">
        <v>45403</v>
      </c>
      <c r="Q1314" s="34">
        <v>100</v>
      </c>
      <c r="R1314" s="33">
        <f t="shared" si="318"/>
        <v>40</v>
      </c>
      <c r="S1314" s="34">
        <v>7.5</v>
      </c>
      <c r="T1314" s="34">
        <v>1</v>
      </c>
      <c r="U1314" s="33">
        <f t="shared" si="319"/>
        <v>300</v>
      </c>
      <c r="V1314" s="38" t="s">
        <v>827</v>
      </c>
      <c r="W1314" s="39">
        <f t="shared" si="320"/>
        <v>0.66666666666666663</v>
      </c>
      <c r="X1314" s="40" t="s">
        <v>730</v>
      </c>
      <c r="Y1314" s="40" t="s">
        <v>284</v>
      </c>
      <c r="Z1314" s="40" t="s">
        <v>307</v>
      </c>
      <c r="AA1314" s="33" t="s">
        <v>308</v>
      </c>
      <c r="AB1314" s="95"/>
      <c r="AC1314" s="95"/>
    </row>
    <row r="1315" spans="1:29" ht="14.45" hidden="1" customHeight="1" x14ac:dyDescent="0.25">
      <c r="A1315" s="36" t="str">
        <f>INDEX('Base de données Mono'!C:C,MATCH(B1315,'Base de données Mono'!D:D,0))</f>
        <v>SABLONS</v>
      </c>
      <c r="B1315" t="s">
        <v>32</v>
      </c>
      <c r="C1315" s="36" t="str">
        <f>INDEX('Base de données Mono'!B:B,MATCH(B1315,'Base de données Mono'!D:D,0))</f>
        <v>SES8</v>
      </c>
      <c r="D1315" s="36" t="str">
        <f>INDEX('Base de données Mono'!A:A,MATCH(B1315,'Base de données Mono'!D:D,0))</f>
        <v>AD</v>
      </c>
      <c r="E1315" s="37" t="s">
        <v>303</v>
      </c>
      <c r="F1315" s="41">
        <f t="shared" si="316"/>
        <v>16</v>
      </c>
      <c r="G1315" s="41">
        <f t="shared" si="317"/>
        <v>4</v>
      </c>
      <c r="I1315" s="131">
        <f>INDEX('Base de données Mono'!K:K,MATCH(B1315,'Base de données Mono'!D:D,0))</f>
        <v>0.23611111111111113</v>
      </c>
      <c r="J1315" s="131">
        <f>INDEX('Base de données Mono'!L:L,MATCH(B1315,'Base de données Mono'!D:D,0))</f>
        <v>0.91666666666666663</v>
      </c>
      <c r="K1315" s="131">
        <f>INDEX('Base de données Mono'!M:M,MATCH(B1315,'Base de données Mono'!D:D,0))</f>
        <v>0.25694444444444448</v>
      </c>
      <c r="L1315" s="131">
        <f>INDEX('Base de données Mono'!N:N,MATCH(B1315,'Base de données Mono'!D:D,0))</f>
        <v>0.60069444444444442</v>
      </c>
      <c r="M1315" s="33" t="s">
        <v>46</v>
      </c>
      <c r="N1315" s="33">
        <f>IF(AND(E1315="Electricité",M1315="Hiver"),INDEX('Base de données Mono'!E:E,MATCH(B1315,'Base de données Mono'!D:D,0)),IF(AND(E1315="Electricité",M1315="Mi-saison"),INDEX('Base de données Mono'!F:F,MATCH(B1315,'Base de données Mono'!D:D,0)),IF(AND(E1315="Electricité",M1315="Eté"),INDEX('Base de données Mono'!G:G,MATCH(B1315,'Base de données Mono'!D:D,0)),IF(AND(E1315="Gaz",M1315="Hiver"),INDEX('Base de données Mono'!J:J,MATCH(B1315,'Base de données Mono'!D:D,0)),IF(AND(E1315="Gaz",M1315="Mi-saison"),INDEX('Base de données Mono'!#REF!,MATCH(B1315,'Base de données Mono'!D:D,0)),IF(AND(E1315="Gaz",M1315="Eté"),INDEX('Base de données Mono'!#REF!,MATCH(B1315,'Base de données Mono'!D:D,0)),"-"))))))</f>
        <v>70</v>
      </c>
      <c r="O1315" s="123">
        <v>45403</v>
      </c>
      <c r="P1315" s="123">
        <v>45403</v>
      </c>
      <c r="Q1315" s="34">
        <v>135</v>
      </c>
      <c r="R1315" s="33">
        <f t="shared" si="318"/>
        <v>65</v>
      </c>
      <c r="S1315" s="34">
        <v>5.5</v>
      </c>
      <c r="T1315" s="34">
        <v>1</v>
      </c>
      <c r="U1315" s="33">
        <f t="shared" si="319"/>
        <v>357.5</v>
      </c>
      <c r="V1315" s="38" t="s">
        <v>827</v>
      </c>
      <c r="W1315" s="39">
        <f t="shared" si="320"/>
        <v>0.9285714285714286</v>
      </c>
      <c r="X1315" s="40" t="s">
        <v>730</v>
      </c>
      <c r="Y1315" s="40" t="s">
        <v>284</v>
      </c>
      <c r="Z1315" s="40" t="s">
        <v>307</v>
      </c>
      <c r="AA1315" s="33" t="s">
        <v>308</v>
      </c>
      <c r="AB1315" s="95"/>
      <c r="AC1315" s="95"/>
    </row>
    <row r="1316" spans="1:29" ht="14.45" hidden="1" customHeight="1" x14ac:dyDescent="0.25">
      <c r="A1316" s="36" t="str">
        <f>INDEX('Base de données Mono'!C:C,MATCH(B1316,'Base de données Mono'!D:D,0))</f>
        <v>SABLONS</v>
      </c>
      <c r="B1316" t="s">
        <v>32</v>
      </c>
      <c r="C1316" s="36" t="str">
        <f>INDEX('Base de données Mono'!B:B,MATCH(B1316,'Base de données Mono'!D:D,0))</f>
        <v>SES8</v>
      </c>
      <c r="D1316" s="36" t="str">
        <f>INDEX('Base de données Mono'!A:A,MATCH(B1316,'Base de données Mono'!D:D,0))</f>
        <v>AD</v>
      </c>
      <c r="E1316" s="37" t="s">
        <v>303</v>
      </c>
      <c r="F1316" s="41">
        <f t="shared" si="316"/>
        <v>16</v>
      </c>
      <c r="G1316" s="41">
        <f t="shared" si="317"/>
        <v>4</v>
      </c>
      <c r="I1316" s="131">
        <f>INDEX('Base de données Mono'!K:K,MATCH(B1316,'Base de données Mono'!D:D,0))</f>
        <v>0.23611111111111113</v>
      </c>
      <c r="J1316" s="131">
        <f>INDEX('Base de données Mono'!L:L,MATCH(B1316,'Base de données Mono'!D:D,0))</f>
        <v>0.91666666666666663</v>
      </c>
      <c r="K1316" s="131">
        <f>INDEX('Base de données Mono'!M:M,MATCH(B1316,'Base de données Mono'!D:D,0))</f>
        <v>0.25694444444444448</v>
      </c>
      <c r="L1316" s="131">
        <f>INDEX('Base de données Mono'!N:N,MATCH(B1316,'Base de données Mono'!D:D,0))</f>
        <v>0.60069444444444442</v>
      </c>
      <c r="M1316" s="33" t="s">
        <v>46</v>
      </c>
      <c r="N1316" s="33">
        <f>IF(AND(E1316="Electricité",M1316="Hiver"),INDEX('Base de données Mono'!E:E,MATCH(B1316,'Base de données Mono'!D:D,0)),IF(AND(E1316="Electricité",M1316="Mi-saison"),INDEX('Base de données Mono'!F:F,MATCH(B1316,'Base de données Mono'!D:D,0)),IF(AND(E1316="Electricité",M1316="Eté"),INDEX('Base de données Mono'!G:G,MATCH(B1316,'Base de données Mono'!D:D,0)),IF(AND(E1316="Gaz",M1316="Hiver"),INDEX('Base de données Mono'!J:J,MATCH(B1316,'Base de données Mono'!D:D,0)),IF(AND(E1316="Gaz",M1316="Mi-saison"),INDEX('Base de données Mono'!#REF!,MATCH(B1316,'Base de données Mono'!D:D,0)),IF(AND(E1316="Gaz",M1316="Eté"),INDEX('Base de données Mono'!#REF!,MATCH(B1316,'Base de données Mono'!D:D,0)),"-"))))))</f>
        <v>70</v>
      </c>
      <c r="O1316" s="123">
        <v>45403</v>
      </c>
      <c r="P1316" s="123">
        <v>45403</v>
      </c>
      <c r="Q1316" s="34">
        <v>80</v>
      </c>
      <c r="R1316" s="33">
        <f t="shared" si="318"/>
        <v>10</v>
      </c>
      <c r="S1316" s="34">
        <v>2</v>
      </c>
      <c r="T1316" s="34">
        <v>1</v>
      </c>
      <c r="U1316" s="33">
        <f t="shared" si="319"/>
        <v>20</v>
      </c>
      <c r="V1316" s="38" t="s">
        <v>827</v>
      </c>
      <c r="W1316" s="39">
        <f t="shared" si="320"/>
        <v>0.14285714285714285</v>
      </c>
      <c r="X1316" s="40" t="s">
        <v>730</v>
      </c>
      <c r="Y1316" s="40" t="s">
        <v>284</v>
      </c>
      <c r="Z1316" s="40" t="s">
        <v>305</v>
      </c>
      <c r="AA1316" s="33" t="s">
        <v>771</v>
      </c>
      <c r="AB1316" s="95"/>
      <c r="AC1316" s="95"/>
    </row>
    <row r="1317" spans="1:29" ht="14.45" hidden="1" customHeight="1" x14ac:dyDescent="0.25">
      <c r="A1317" s="36" t="str">
        <f>INDEX('Base de données Mono'!C:C,MATCH(B1317,'Base de données Mono'!D:D,0))</f>
        <v>SAINT RAPHAEL</v>
      </c>
      <c r="B1317" t="s">
        <v>36</v>
      </c>
      <c r="C1317" s="36" t="str">
        <f>INDEX('Base de données Mono'!B:B,MATCH(B1317,'Base de données Mono'!D:D,0))</f>
        <v>SES8</v>
      </c>
      <c r="D1317" s="36" t="str">
        <f>INDEX('Base de données Mono'!A:A,MATCH(B1317,'Base de données Mono'!D:D,0))</f>
        <v>JG</v>
      </c>
      <c r="E1317" s="37" t="s">
        <v>303</v>
      </c>
      <c r="F1317" s="41">
        <f t="shared" si="316"/>
        <v>16</v>
      </c>
      <c r="G1317" s="41">
        <f t="shared" si="317"/>
        <v>4</v>
      </c>
      <c r="I1317" s="131">
        <f>INDEX('Base de données Mono'!K:K,MATCH(B1317,'Base de données Mono'!D:D,0))</f>
        <v>0.20833333333333334</v>
      </c>
      <c r="J1317" s="131">
        <f>INDEX('Base de données Mono'!L:L,MATCH(B1317,'Base de données Mono'!D:D,0))</f>
        <v>0.85416666666666663</v>
      </c>
      <c r="K1317" s="131">
        <f>INDEX('Base de données Mono'!M:M,MATCH(B1317,'Base de données Mono'!D:D,0))</f>
        <v>0.3125</v>
      </c>
      <c r="L1317" s="131">
        <f>INDEX('Base de données Mono'!N:N,MATCH(B1317,'Base de données Mono'!D:D,0))</f>
        <v>0.55902777777777779</v>
      </c>
      <c r="M1317" s="33" t="s">
        <v>46</v>
      </c>
      <c r="N1317" s="33">
        <f>IF(AND(E1317="Electricité",M1317="Hiver"),INDEX('Base de données Mono'!E:E,MATCH(B1317,'Base de données Mono'!D:D,0)),IF(AND(E1317="Electricité",M1317="Mi-saison"),INDEX('Base de données Mono'!F:F,MATCH(B1317,'Base de données Mono'!D:D,0)),IF(AND(E1317="Electricité",M1317="Eté"),INDEX('Base de données Mono'!G:G,MATCH(B1317,'Base de données Mono'!D:D,0)),IF(AND(E1317="Gaz",M1317="Hiver"),INDEX('Base de données Mono'!J:J,MATCH(B1317,'Base de données Mono'!D:D,0)),IF(AND(E1317="Gaz",M1317="Mi-saison"),INDEX('Base de données Mono'!#REF!,MATCH(B1317,'Base de données Mono'!D:D,0)),IF(AND(E1317="Gaz",M1317="Eté"),INDEX('Base de données Mono'!#REF!,MATCH(B1317,'Base de données Mono'!D:D,0)),"-"))))))</f>
        <v>35</v>
      </c>
      <c r="O1317" s="123">
        <v>45403</v>
      </c>
      <c r="P1317" s="123">
        <v>45403</v>
      </c>
      <c r="Q1317" s="34">
        <v>55</v>
      </c>
      <c r="R1317" s="33">
        <f t="shared" si="318"/>
        <v>20</v>
      </c>
      <c r="S1317" s="34">
        <v>7</v>
      </c>
      <c r="T1317" s="34">
        <v>1</v>
      </c>
      <c r="U1317" s="33">
        <f t="shared" si="319"/>
        <v>140</v>
      </c>
      <c r="V1317" s="38" t="s">
        <v>827</v>
      </c>
      <c r="W1317" s="39">
        <f t="shared" si="320"/>
        <v>0.5714285714285714</v>
      </c>
      <c r="X1317" s="40" t="s">
        <v>730</v>
      </c>
      <c r="Y1317" s="40" t="s">
        <v>284</v>
      </c>
      <c r="Z1317" s="40" t="s">
        <v>307</v>
      </c>
      <c r="AA1317" s="33" t="s">
        <v>308</v>
      </c>
      <c r="AB1317" s="95"/>
      <c r="AC1317" s="95"/>
    </row>
    <row r="1318" spans="1:29" ht="14.45" hidden="1" customHeight="1" x14ac:dyDescent="0.25">
      <c r="A1318" s="36" t="str">
        <f>INDEX('Base de données Mono'!C:C,MATCH(B1318,'Base de données Mono'!D:D,0))</f>
        <v>VINCI COURBEVOIE</v>
      </c>
      <c r="B1318" t="s">
        <v>279</v>
      </c>
      <c r="C1318" s="36" t="str">
        <f>INDEX('Base de données Mono'!B:B,MATCH(B1318,'Base de données Mono'!D:D,0))</f>
        <v>SES8</v>
      </c>
      <c r="D1318" s="36" t="str">
        <f>INDEX('Base de données Mono'!A:A,MATCH(B1318,'Base de données Mono'!D:D,0))</f>
        <v>AD</v>
      </c>
      <c r="E1318" s="37" t="s">
        <v>303</v>
      </c>
      <c r="F1318" s="41">
        <f t="shared" si="316"/>
        <v>16</v>
      </c>
      <c r="G1318" s="41">
        <f t="shared" si="317"/>
        <v>4</v>
      </c>
      <c r="I1318" s="131">
        <f>INDEX('Base de données Mono'!K:K,MATCH(B1318,'Base de données Mono'!D:D,0))</f>
        <v>0.25</v>
      </c>
      <c r="J1318" s="131">
        <f>INDEX('Base de données Mono'!L:L,MATCH(B1318,'Base de données Mono'!D:D,0))</f>
        <v>0.91666666666666663</v>
      </c>
      <c r="K1318" s="131">
        <f>INDEX('Base de données Mono'!M:M,MATCH(B1318,'Base de données Mono'!D:D,0))</f>
        <v>0.27777777777777779</v>
      </c>
      <c r="L1318" s="131">
        <f>INDEX('Base de données Mono'!N:N,MATCH(B1318,'Base de données Mono'!D:D,0))</f>
        <v>0.5625</v>
      </c>
      <c r="M1318" s="33" t="s">
        <v>46</v>
      </c>
      <c r="N1318" s="33">
        <f>IF(AND(E1318="Electricité",M1318="Hiver"),INDEX('Base de données Mono'!E:E,MATCH(B1318,'Base de données Mono'!D:D,0)),IF(AND(E1318="Electricité",M1318="Mi-saison"),INDEX('Base de données Mono'!F:F,MATCH(B1318,'Base de données Mono'!D:D,0)),IF(AND(E1318="Electricité",M1318="Eté"),INDEX('Base de données Mono'!G:G,MATCH(B1318,'Base de données Mono'!D:D,0)),IF(AND(E1318="Gaz",M1318="Hiver"),INDEX('Base de données Mono'!J:J,MATCH(B1318,'Base de données Mono'!D:D,0)),IF(AND(E1318="Gaz",M1318="Mi-saison"),INDEX('Base de données Mono'!#REF!,MATCH(B1318,'Base de données Mono'!D:D,0)),IF(AND(E1318="Gaz",M1318="Eté"),INDEX('Base de données Mono'!#REF!,MATCH(B1318,'Base de données Mono'!D:D,0)),"-"))))))</f>
        <v>75</v>
      </c>
      <c r="O1318" s="123">
        <v>45403</v>
      </c>
      <c r="P1318" s="123">
        <v>45403</v>
      </c>
      <c r="Q1318" s="34">
        <v>110</v>
      </c>
      <c r="R1318" s="33">
        <f t="shared" si="318"/>
        <v>35</v>
      </c>
      <c r="S1318" s="34">
        <v>7</v>
      </c>
      <c r="T1318" s="34">
        <v>1</v>
      </c>
      <c r="U1318" s="33">
        <f t="shared" si="319"/>
        <v>245</v>
      </c>
      <c r="V1318" s="38" t="s">
        <v>827</v>
      </c>
      <c r="W1318" s="39">
        <f t="shared" si="320"/>
        <v>0.46666666666666667</v>
      </c>
      <c r="X1318" s="40" t="s">
        <v>730</v>
      </c>
      <c r="Y1318" s="40" t="s">
        <v>284</v>
      </c>
      <c r="Z1318" s="40" t="s">
        <v>307</v>
      </c>
      <c r="AA1318" s="33" t="s">
        <v>313</v>
      </c>
      <c r="AB1318" s="95"/>
      <c r="AC1318" s="95"/>
    </row>
    <row r="1319" spans="1:29" ht="14.45" hidden="1" customHeight="1" x14ac:dyDescent="0.25">
      <c r="A1319" s="36" t="str">
        <f>INDEX('Base de données Mono'!C:C,MATCH(B1319,'Base de données Mono'!D:D,0))</f>
        <v>RENNES COLOMBIA</v>
      </c>
      <c r="B1319" t="s">
        <v>30</v>
      </c>
      <c r="C1319" s="36" t="str">
        <f>INDEX('Base de données Mono'!B:B,MATCH(B1319,'Base de données Mono'!D:D,0))</f>
        <v>SES8</v>
      </c>
      <c r="D1319" s="36" t="str">
        <f>INDEX('Base de données Mono'!A:A,MATCH(B1319,'Base de données Mono'!D:D,0))</f>
        <v>AD</v>
      </c>
      <c r="E1319" s="37" t="s">
        <v>303</v>
      </c>
      <c r="F1319" s="41">
        <f t="shared" ref="F1319:F1346" si="321">IF(O1319="","-",IF(AND(X1319="Nuit",WEEKDAY(O1319,2)=7,O1319&lt;&gt;P1319),WEEKNUM(O1319,2),WEEKNUM(O1319,2)-1))+1</f>
        <v>16</v>
      </c>
      <c r="G1319" s="41">
        <f t="shared" ref="G1319:G1346" si="322">IF(O1319="","-",MONTH(O1319))</f>
        <v>4</v>
      </c>
      <c r="I1319" s="131">
        <f>INDEX('Base de données Mono'!K:K,MATCH(B1319,'Base de données Mono'!D:D,0))</f>
        <v>0.22916666666666666</v>
      </c>
      <c r="J1319" s="131">
        <f>INDEX('Base de données Mono'!L:L,MATCH(B1319,'Base de données Mono'!D:D,0))</f>
        <v>0.86458333333333337</v>
      </c>
      <c r="K1319" s="131" t="str">
        <f>INDEX('Base de données Mono'!M:M,MATCH(B1319,'Base de données Mono'!D:D,0))</f>
        <v>-</v>
      </c>
      <c r="L1319" s="131" t="str">
        <f>INDEX('Base de données Mono'!N:N,MATCH(B1319,'Base de données Mono'!D:D,0))</f>
        <v>-</v>
      </c>
      <c r="M1319" s="33" t="s">
        <v>46</v>
      </c>
      <c r="N1319" s="33">
        <f>IF(AND(E1319="Electricité",M1319="Hiver"),INDEX('Base de données Mono'!E:E,MATCH(B1319,'Base de données Mono'!D:D,0)),IF(AND(E1319="Electricité",M1319="Mi-saison"),INDEX('Base de données Mono'!F:F,MATCH(B1319,'Base de données Mono'!D:D,0)),IF(AND(E1319="Electricité",M1319="Eté"),INDEX('Base de données Mono'!G:G,MATCH(B1319,'Base de données Mono'!D:D,0)),IF(AND(E1319="Gaz",M1319="Hiver"),INDEX('Base de données Mono'!J:J,MATCH(B1319,'Base de données Mono'!D:D,0)),IF(AND(E1319="Gaz",M1319="Mi-saison"),INDEX('Base de données Mono'!#REF!,MATCH(B1319,'Base de données Mono'!D:D,0)),IF(AND(E1319="Gaz",M1319="Eté"),INDEX('Base de données Mono'!#REF!,MATCH(B1319,'Base de données Mono'!D:D,0)),"-"))))))</f>
        <v>60</v>
      </c>
      <c r="O1319" s="123">
        <v>45403</v>
      </c>
      <c r="P1319" s="123">
        <v>45403</v>
      </c>
      <c r="Q1319" s="34">
        <v>65</v>
      </c>
      <c r="R1319" s="33">
        <f t="shared" ref="R1319:R1346" si="323">IF(Q1319="","",Q1319-N1319)</f>
        <v>5</v>
      </c>
      <c r="S1319" s="34">
        <v>15.2</v>
      </c>
      <c r="T1319" s="34">
        <v>1</v>
      </c>
      <c r="U1319" s="33">
        <f t="shared" ref="U1319:U1346" si="324">R1319*S1319*T1319</f>
        <v>76</v>
      </c>
      <c r="V1319" s="38" t="s">
        <v>827</v>
      </c>
      <c r="W1319" s="39">
        <f t="shared" ref="W1319:W1346" si="325">IFERROR(IF(E1319="Gaz","-",R1319/N1319),"-")</f>
        <v>8.3333333333333329E-2</v>
      </c>
      <c r="X1319" s="40" t="s">
        <v>730</v>
      </c>
      <c r="Y1319" s="40" t="s">
        <v>284</v>
      </c>
      <c r="Z1319" s="40" t="s">
        <v>305</v>
      </c>
      <c r="AA1319" s="33" t="s">
        <v>771</v>
      </c>
      <c r="AB1319" s="95"/>
      <c r="AC1319" s="95"/>
    </row>
    <row r="1320" spans="1:29" ht="14.45" hidden="1" customHeight="1" x14ac:dyDescent="0.25">
      <c r="A1320" s="36" t="str">
        <f>INDEX('Base de données Mono'!C:C,MATCH(B1320,'Base de données Mono'!D:D,0))</f>
        <v>COLOMBES</v>
      </c>
      <c r="B1320" t="s">
        <v>14</v>
      </c>
      <c r="C1320" s="36" t="str">
        <f>INDEX('Base de données Mono'!B:B,MATCH(B1320,'Base de données Mono'!D:D,0))</f>
        <v>SES8</v>
      </c>
      <c r="D1320" s="36" t="str">
        <f>INDEX('Base de données Mono'!A:A,MATCH(B1320,'Base de données Mono'!D:D,0))</f>
        <v>AD</v>
      </c>
      <c r="E1320" s="37" t="s">
        <v>303</v>
      </c>
      <c r="F1320" s="41">
        <f t="shared" si="321"/>
        <v>16</v>
      </c>
      <c r="G1320" s="41">
        <f t="shared" si="322"/>
        <v>4</v>
      </c>
      <c r="I1320" s="131">
        <f>INDEX('Base de données Mono'!K:K,MATCH(B1320,'Base de données Mono'!D:D,0))</f>
        <v>0.24305555555555555</v>
      </c>
      <c r="J1320" s="131">
        <f>INDEX('Base de données Mono'!L:L,MATCH(B1320,'Base de données Mono'!D:D,0))</f>
        <v>0.89583333333333337</v>
      </c>
      <c r="K1320" s="131">
        <f>INDEX('Base de données Mono'!M:M,MATCH(B1320,'Base de données Mono'!D:D,0))</f>
        <v>0.27083333333333331</v>
      </c>
      <c r="L1320" s="131">
        <f>INDEX('Base de données Mono'!N:N,MATCH(B1320,'Base de données Mono'!D:D,0))</f>
        <v>0.55902777777777779</v>
      </c>
      <c r="M1320" s="33" t="s">
        <v>46</v>
      </c>
      <c r="N1320" s="33">
        <f>IF(AND(E1320="Electricité",M1320="Hiver"),INDEX('Base de données Mono'!E:E,MATCH(B1320,'Base de données Mono'!D:D,0)),IF(AND(E1320="Electricité",M1320="Mi-saison"),INDEX('Base de données Mono'!F:F,MATCH(B1320,'Base de données Mono'!D:D,0)),IF(AND(E1320="Electricité",M1320="Eté"),INDEX('Base de données Mono'!G:G,MATCH(B1320,'Base de données Mono'!D:D,0)),IF(AND(E1320="Gaz",M1320="Hiver"),INDEX('Base de données Mono'!J:J,MATCH(B1320,'Base de données Mono'!D:D,0)),IF(AND(E1320="Gaz",M1320="Mi-saison"),INDEX('Base de données Mono'!#REF!,MATCH(B1320,'Base de données Mono'!D:D,0)),IF(AND(E1320="Gaz",M1320="Eté"),INDEX('Base de données Mono'!#REF!,MATCH(B1320,'Base de données Mono'!D:D,0)),"-"))))))</f>
        <v>75</v>
      </c>
      <c r="O1320" s="123">
        <v>45403</v>
      </c>
      <c r="P1320" s="123">
        <v>45403</v>
      </c>
      <c r="Q1320" s="34">
        <v>125</v>
      </c>
      <c r="R1320" s="33">
        <f t="shared" si="323"/>
        <v>50</v>
      </c>
      <c r="S1320" s="34">
        <v>6.5</v>
      </c>
      <c r="T1320" s="34">
        <v>1</v>
      </c>
      <c r="U1320" s="33">
        <f t="shared" si="324"/>
        <v>325</v>
      </c>
      <c r="V1320" s="38" t="s">
        <v>827</v>
      </c>
      <c r="W1320" s="39">
        <f t="shared" si="325"/>
        <v>0.66666666666666663</v>
      </c>
      <c r="X1320" s="40" t="s">
        <v>730</v>
      </c>
      <c r="Y1320" s="40" t="s">
        <v>284</v>
      </c>
      <c r="Z1320" s="40" t="s">
        <v>307</v>
      </c>
      <c r="AA1320" s="33" t="s">
        <v>308</v>
      </c>
      <c r="AB1320" s="95"/>
      <c r="AC1320" s="95"/>
    </row>
    <row r="1321" spans="1:29" ht="14.45" hidden="1" customHeight="1" x14ac:dyDescent="0.25">
      <c r="A1321" s="36" t="str">
        <f>INDEX('Base de données Mono'!C:C,MATCH(B1321,'Base de données Mono'!D:D,0))</f>
        <v>BOULOGNE LES PASSAGES</v>
      </c>
      <c r="B1321" t="s">
        <v>7</v>
      </c>
      <c r="C1321" s="36" t="str">
        <f>INDEX('Base de données Mono'!B:B,MATCH(B1321,'Base de données Mono'!D:D,0))</f>
        <v>SES8</v>
      </c>
      <c r="D1321" s="36" t="str">
        <f>INDEX('Base de données Mono'!A:A,MATCH(B1321,'Base de données Mono'!D:D,0))</f>
        <v>AD</v>
      </c>
      <c r="E1321" s="37" t="s">
        <v>303</v>
      </c>
      <c r="F1321" s="41">
        <f t="shared" si="321"/>
        <v>16</v>
      </c>
      <c r="G1321" s="41">
        <f t="shared" si="322"/>
        <v>4</v>
      </c>
      <c r="I1321" s="131">
        <f>INDEX('Base de données Mono'!K:K,MATCH(B1321,'Base de données Mono'!D:D,0))</f>
        <v>0.20833333333333334</v>
      </c>
      <c r="J1321" s="131">
        <f>INDEX('Base de données Mono'!L:L,MATCH(B1321,'Base de données Mono'!D:D,0))</f>
        <v>0.85416666666666663</v>
      </c>
      <c r="K1321" s="131" t="str">
        <f>INDEX('Base de données Mono'!M:M,MATCH(B1321,'Base de données Mono'!D:D,0))</f>
        <v>-</v>
      </c>
      <c r="L1321" s="131" t="str">
        <f>INDEX('Base de données Mono'!N:N,MATCH(B1321,'Base de données Mono'!D:D,0))</f>
        <v>-</v>
      </c>
      <c r="M1321" s="33" t="s">
        <v>46</v>
      </c>
      <c r="N1321" s="33">
        <f>IF(AND(E1321="Electricité",M1321="Hiver"),INDEX('Base de données Mono'!E:E,MATCH(B1321,'Base de données Mono'!D:D,0)),IF(AND(E1321="Electricité",M1321="Mi-saison"),INDEX('Base de données Mono'!F:F,MATCH(B1321,'Base de données Mono'!D:D,0)),IF(AND(E1321="Electricité",M1321="Eté"),INDEX('Base de données Mono'!G:G,MATCH(B1321,'Base de données Mono'!D:D,0)),IF(AND(E1321="Gaz",M1321="Hiver"),INDEX('Base de données Mono'!J:J,MATCH(B1321,'Base de données Mono'!D:D,0)),IF(AND(E1321="Gaz",M1321="Mi-saison"),INDEX('Base de données Mono'!#REF!,MATCH(B1321,'Base de données Mono'!D:D,0)),IF(AND(E1321="Gaz",M1321="Eté"),INDEX('Base de données Mono'!#REF!,MATCH(B1321,'Base de données Mono'!D:D,0)),"-"))))))</f>
        <v>95</v>
      </c>
      <c r="O1321" s="123">
        <v>45403</v>
      </c>
      <c r="P1321" s="123">
        <v>45403</v>
      </c>
      <c r="Q1321" s="34">
        <v>150</v>
      </c>
      <c r="R1321" s="33">
        <f t="shared" si="323"/>
        <v>55</v>
      </c>
      <c r="S1321" s="34">
        <v>6</v>
      </c>
      <c r="T1321" s="34">
        <v>1</v>
      </c>
      <c r="U1321" s="33">
        <f t="shared" si="324"/>
        <v>330</v>
      </c>
      <c r="V1321" s="38" t="s">
        <v>827</v>
      </c>
      <c r="W1321" s="39">
        <f t="shared" si="325"/>
        <v>0.57894736842105265</v>
      </c>
      <c r="X1321" s="40" t="s">
        <v>730</v>
      </c>
      <c r="Y1321" s="40" t="s">
        <v>284</v>
      </c>
      <c r="Z1321" s="40" t="s">
        <v>307</v>
      </c>
      <c r="AA1321" s="33" t="s">
        <v>308</v>
      </c>
      <c r="AB1321" s="95"/>
      <c r="AC1321" s="95"/>
    </row>
    <row r="1322" spans="1:29" ht="14.45" hidden="1" customHeight="1" x14ac:dyDescent="0.25">
      <c r="A1322" s="36" t="str">
        <f>INDEX('Base de données Mono'!C:C,MATCH(B1322,'Base de données Mono'!D:D,0))</f>
        <v>BOULOGNE LES PASSAGES</v>
      </c>
      <c r="B1322" t="s">
        <v>7</v>
      </c>
      <c r="C1322" s="36" t="str">
        <f>INDEX('Base de données Mono'!B:B,MATCH(B1322,'Base de données Mono'!D:D,0))</f>
        <v>SES8</v>
      </c>
      <c r="D1322" s="36" t="str">
        <f>INDEX('Base de données Mono'!A:A,MATCH(B1322,'Base de données Mono'!D:D,0))</f>
        <v>AD</v>
      </c>
      <c r="E1322" s="37" t="s">
        <v>303</v>
      </c>
      <c r="F1322" s="41">
        <f t="shared" si="321"/>
        <v>16</v>
      </c>
      <c r="G1322" s="41">
        <f t="shared" si="322"/>
        <v>4</v>
      </c>
      <c r="I1322" s="131">
        <f>INDEX('Base de données Mono'!K:K,MATCH(B1322,'Base de données Mono'!D:D,0))</f>
        <v>0.20833333333333334</v>
      </c>
      <c r="J1322" s="131">
        <f>INDEX('Base de données Mono'!L:L,MATCH(B1322,'Base de données Mono'!D:D,0))</f>
        <v>0.85416666666666663</v>
      </c>
      <c r="K1322" s="131" t="str">
        <f>INDEX('Base de données Mono'!M:M,MATCH(B1322,'Base de données Mono'!D:D,0))</f>
        <v>-</v>
      </c>
      <c r="L1322" s="131" t="str">
        <f>INDEX('Base de données Mono'!N:N,MATCH(B1322,'Base de données Mono'!D:D,0))</f>
        <v>-</v>
      </c>
      <c r="M1322" s="33" t="s">
        <v>46</v>
      </c>
      <c r="N1322" s="33">
        <f>IF(AND(E1322="Electricité",M1322="Hiver"),INDEX('Base de données Mono'!E:E,MATCH(B1322,'Base de données Mono'!D:D,0)),IF(AND(E1322="Electricité",M1322="Mi-saison"),INDEX('Base de données Mono'!F:F,MATCH(B1322,'Base de données Mono'!D:D,0)),IF(AND(E1322="Electricité",M1322="Eté"),INDEX('Base de données Mono'!G:G,MATCH(B1322,'Base de données Mono'!D:D,0)),IF(AND(E1322="Gaz",M1322="Hiver"),INDEX('Base de données Mono'!J:J,MATCH(B1322,'Base de données Mono'!D:D,0)),IF(AND(E1322="Gaz",M1322="Mi-saison"),INDEX('Base de données Mono'!#REF!,MATCH(B1322,'Base de données Mono'!D:D,0)),IF(AND(E1322="Gaz",M1322="Eté"),INDEX('Base de données Mono'!#REF!,MATCH(B1322,'Base de données Mono'!D:D,0)),"-"))))))</f>
        <v>95</v>
      </c>
      <c r="O1322" s="123">
        <v>45403</v>
      </c>
      <c r="P1322" s="123">
        <v>45403</v>
      </c>
      <c r="Q1322" s="34">
        <v>105</v>
      </c>
      <c r="R1322" s="33">
        <f t="shared" si="323"/>
        <v>10</v>
      </c>
      <c r="S1322" s="34">
        <v>9.5</v>
      </c>
      <c r="T1322" s="34">
        <v>1</v>
      </c>
      <c r="U1322" s="33">
        <f t="shared" si="324"/>
        <v>95</v>
      </c>
      <c r="V1322" s="38" t="s">
        <v>827</v>
      </c>
      <c r="W1322" s="39">
        <f t="shared" si="325"/>
        <v>0.10526315789473684</v>
      </c>
      <c r="X1322" s="40" t="s">
        <v>730</v>
      </c>
      <c r="Y1322" s="40" t="s">
        <v>284</v>
      </c>
      <c r="Z1322" s="40" t="s">
        <v>305</v>
      </c>
      <c r="AA1322" s="33" t="s">
        <v>771</v>
      </c>
      <c r="AB1322" s="95"/>
      <c r="AC1322" s="95"/>
    </row>
    <row r="1323" spans="1:29" ht="14.45" hidden="1" customHeight="1" x14ac:dyDescent="0.25">
      <c r="A1323" s="36" t="str">
        <f>INDEX('Base de données Mono'!C:C,MATCH(B1323,'Base de données Mono'!D:D,0))</f>
        <v>ANNECY COURRIER</v>
      </c>
      <c r="B1323" t="s">
        <v>59</v>
      </c>
      <c r="C1323" s="36" t="str">
        <f>INDEX('Base de données Mono'!B:B,MATCH(B1323,'Base de données Mono'!D:D,0))</f>
        <v>SES8</v>
      </c>
      <c r="D1323" s="36" t="str">
        <f>INDEX('Base de données Mono'!A:A,MATCH(B1323,'Base de données Mono'!D:D,0))</f>
        <v>JG</v>
      </c>
      <c r="E1323" s="37" t="s">
        <v>303</v>
      </c>
      <c r="F1323" s="41">
        <f t="shared" si="321"/>
        <v>16</v>
      </c>
      <c r="G1323" s="41">
        <f t="shared" si="322"/>
        <v>4</v>
      </c>
      <c r="I1323" s="131">
        <f>INDEX('Base de données Mono'!K:K,MATCH(B1323,'Base de données Mono'!D:D,0))</f>
        <v>0.20833333333333334</v>
      </c>
      <c r="J1323" s="131">
        <f>INDEX('Base de données Mono'!L:L,MATCH(B1323,'Base de données Mono'!D:D,0))</f>
        <v>0.83333333333333304</v>
      </c>
      <c r="K1323" s="131" t="str">
        <f>INDEX('Base de données Mono'!M:M,MATCH(B1323,'Base de données Mono'!D:D,0))</f>
        <v>-</v>
      </c>
      <c r="L1323" s="131" t="str">
        <f>INDEX('Base de données Mono'!N:N,MATCH(B1323,'Base de données Mono'!D:D,0))</f>
        <v>-</v>
      </c>
      <c r="M1323" s="33" t="s">
        <v>46</v>
      </c>
      <c r="N1323" s="33">
        <f>IF(AND(E1323="Electricité",M1323="Hiver"),INDEX('Base de données Mono'!E:E,MATCH(B1323,'Base de données Mono'!D:D,0)),IF(AND(E1323="Electricité",M1323="Mi-saison"),INDEX('Base de données Mono'!F:F,MATCH(B1323,'Base de données Mono'!D:D,0)),IF(AND(E1323="Electricité",M1323="Eté"),INDEX('Base de données Mono'!G:G,MATCH(B1323,'Base de données Mono'!D:D,0)),IF(AND(E1323="Gaz",M1323="Hiver"),INDEX('Base de données Mono'!J:J,MATCH(B1323,'Base de données Mono'!D:D,0)),IF(AND(E1323="Gaz",M1323="Mi-saison"),INDEX('Base de données Mono'!#REF!,MATCH(B1323,'Base de données Mono'!D:D,0)),IF(AND(E1323="Gaz",M1323="Eté"),INDEX('Base de données Mono'!#REF!,MATCH(B1323,'Base de données Mono'!D:D,0)),"-"))))))</f>
        <v>110</v>
      </c>
      <c r="O1323" s="123">
        <v>45403</v>
      </c>
      <c r="P1323" s="123">
        <v>45403</v>
      </c>
      <c r="Q1323" s="34">
        <v>160</v>
      </c>
      <c r="R1323" s="33">
        <f t="shared" si="323"/>
        <v>50</v>
      </c>
      <c r="S1323" s="34">
        <v>15</v>
      </c>
      <c r="T1323" s="34">
        <v>1</v>
      </c>
      <c r="U1323" s="33">
        <f t="shared" si="324"/>
        <v>750</v>
      </c>
      <c r="V1323" s="38" t="s">
        <v>827</v>
      </c>
      <c r="W1323" s="39">
        <f t="shared" si="325"/>
        <v>0.45454545454545453</v>
      </c>
      <c r="X1323" s="40" t="s">
        <v>730</v>
      </c>
      <c r="Y1323" s="40" t="s">
        <v>284</v>
      </c>
      <c r="Z1323" s="40" t="s">
        <v>305</v>
      </c>
      <c r="AA1323" s="33" t="s">
        <v>771</v>
      </c>
      <c r="AB1323" s="95"/>
      <c r="AC1323" s="95"/>
    </row>
    <row r="1324" spans="1:29" ht="14.45" hidden="1" customHeight="1" x14ac:dyDescent="0.25">
      <c r="A1324" s="36" t="str">
        <f>INDEX('Base de données Mono'!C:C,MATCH(B1324,'Base de données Mono'!D:D,0))</f>
        <v>POITIERS</v>
      </c>
      <c r="B1324" t="s">
        <v>212</v>
      </c>
      <c r="C1324" s="36" t="str">
        <f>INDEX('Base de données Mono'!B:B,MATCH(B1324,'Base de données Mono'!D:D,0))</f>
        <v>SES8</v>
      </c>
      <c r="D1324" s="36" t="str">
        <f>INDEX('Base de données Mono'!A:A,MATCH(B1324,'Base de données Mono'!D:D,0))</f>
        <v>AD</v>
      </c>
      <c r="E1324" s="37" t="s">
        <v>303</v>
      </c>
      <c r="F1324" s="41">
        <f t="shared" si="321"/>
        <v>16</v>
      </c>
      <c r="G1324" s="41">
        <f t="shared" si="322"/>
        <v>4</v>
      </c>
      <c r="I1324" s="131">
        <f>INDEX('Base de données Mono'!K:K,MATCH(B1324,'Base de données Mono'!D:D,0))</f>
        <v>0.22916666666666666</v>
      </c>
      <c r="J1324" s="131">
        <f>INDEX('Base de données Mono'!L:L,MATCH(B1324,'Base de données Mono'!D:D,0))</f>
        <v>0.875</v>
      </c>
      <c r="K1324" s="131">
        <f>INDEX('Base de données Mono'!M:M,MATCH(B1324,'Base de données Mono'!D:D,0))</f>
        <v>0.22916666666666666</v>
      </c>
      <c r="L1324" s="131">
        <f>INDEX('Base de données Mono'!N:N,MATCH(B1324,'Base de données Mono'!D:D,0))</f>
        <v>0.54166666666666663</v>
      </c>
      <c r="M1324" s="33" t="s">
        <v>46</v>
      </c>
      <c r="N1324" s="33">
        <f>IF(AND(E1324="Electricité",M1324="Hiver"),INDEX('Base de données Mono'!E:E,MATCH(B1324,'Base de données Mono'!D:D,0)),IF(AND(E1324="Electricité",M1324="Mi-saison"),INDEX('Base de données Mono'!F:F,MATCH(B1324,'Base de données Mono'!D:D,0)),IF(AND(E1324="Electricité",M1324="Eté"),INDEX('Base de données Mono'!G:G,MATCH(B1324,'Base de données Mono'!D:D,0)),IF(AND(E1324="Gaz",M1324="Hiver"),INDEX('Base de données Mono'!J:J,MATCH(B1324,'Base de données Mono'!D:D,0)),IF(AND(E1324="Gaz",M1324="Mi-saison"),INDEX('Base de données Mono'!#REF!,MATCH(B1324,'Base de données Mono'!D:D,0)),IF(AND(E1324="Gaz",M1324="Eté"),INDEX('Base de données Mono'!#REF!,MATCH(B1324,'Base de données Mono'!D:D,0)),"-"))))))</f>
        <v>75</v>
      </c>
      <c r="O1324" s="123">
        <v>45403</v>
      </c>
      <c r="P1324" s="123">
        <v>45403</v>
      </c>
      <c r="Q1324" s="34">
        <v>90</v>
      </c>
      <c r="R1324" s="33">
        <f t="shared" si="323"/>
        <v>15</v>
      </c>
      <c r="S1324" s="34">
        <v>8</v>
      </c>
      <c r="T1324" s="34">
        <v>1</v>
      </c>
      <c r="U1324" s="33">
        <f t="shared" si="324"/>
        <v>120</v>
      </c>
      <c r="V1324" s="38" t="s">
        <v>827</v>
      </c>
      <c r="W1324" s="39">
        <f t="shared" si="325"/>
        <v>0.2</v>
      </c>
      <c r="X1324" s="40" t="s">
        <v>730</v>
      </c>
      <c r="Y1324" s="40" t="s">
        <v>284</v>
      </c>
      <c r="Z1324" s="40" t="s">
        <v>305</v>
      </c>
      <c r="AA1324" s="33" t="s">
        <v>771</v>
      </c>
      <c r="AB1324" s="95"/>
      <c r="AC1324" s="95"/>
    </row>
    <row r="1325" spans="1:29" ht="14.45" hidden="1" customHeight="1" x14ac:dyDescent="0.25">
      <c r="A1325" s="36" t="str">
        <f>INDEX('Base de données Mono'!C:C,MATCH(B1325,'Base de données Mono'!D:D,0))</f>
        <v>MONTREUIL</v>
      </c>
      <c r="B1325" t="s">
        <v>25</v>
      </c>
      <c r="C1325" s="36" t="str">
        <f>INDEX('Base de données Mono'!B:B,MATCH(B1325,'Base de données Mono'!D:D,0))</f>
        <v>SES8</v>
      </c>
      <c r="D1325" s="36" t="str">
        <f>INDEX('Base de données Mono'!A:A,MATCH(B1325,'Base de données Mono'!D:D,0))</f>
        <v>JG</v>
      </c>
      <c r="E1325" s="37" t="s">
        <v>303</v>
      </c>
      <c r="F1325" s="41">
        <f t="shared" si="321"/>
        <v>16</v>
      </c>
      <c r="G1325" s="41">
        <f t="shared" si="322"/>
        <v>4</v>
      </c>
      <c r="I1325" s="131">
        <f>INDEX('Base de données Mono'!K:K,MATCH(B1325,'Base de données Mono'!D:D,0))</f>
        <v>0.24305555555555555</v>
      </c>
      <c r="J1325" s="131">
        <f>INDEX('Base de données Mono'!L:L,MATCH(B1325,'Base de données Mono'!D:D,0))</f>
        <v>0.875</v>
      </c>
      <c r="K1325" s="131">
        <f>INDEX('Base de données Mono'!M:M,MATCH(B1325,'Base de données Mono'!D:D,0))</f>
        <v>0.27083333333333331</v>
      </c>
      <c r="L1325" s="131">
        <f>INDEX('Base de données Mono'!N:N,MATCH(B1325,'Base de données Mono'!D:D,0))</f>
        <v>0.55902777777777779</v>
      </c>
      <c r="M1325" s="33" t="s">
        <v>46</v>
      </c>
      <c r="N1325" s="33">
        <f>IF(AND(E1325="Electricité",M1325="Hiver"),INDEX('Base de données Mono'!E:E,MATCH(B1325,'Base de données Mono'!D:D,0)),IF(AND(E1325="Electricité",M1325="Mi-saison"),INDEX('Base de données Mono'!F:F,MATCH(B1325,'Base de données Mono'!D:D,0)),IF(AND(E1325="Electricité",M1325="Eté"),INDEX('Base de données Mono'!G:G,MATCH(B1325,'Base de données Mono'!D:D,0)),IF(AND(E1325="Gaz",M1325="Hiver"),INDEX('Base de données Mono'!J:J,MATCH(B1325,'Base de données Mono'!D:D,0)),IF(AND(E1325="Gaz",M1325="Mi-saison"),INDEX('Base de données Mono'!#REF!,MATCH(B1325,'Base de données Mono'!D:D,0)),IF(AND(E1325="Gaz",M1325="Eté"),INDEX('Base de données Mono'!#REF!,MATCH(B1325,'Base de données Mono'!D:D,0)),"-"))))))</f>
        <v>95</v>
      </c>
      <c r="O1325" s="123">
        <v>45403</v>
      </c>
      <c r="P1325" s="123">
        <v>45403</v>
      </c>
      <c r="Q1325" s="34">
        <v>135</v>
      </c>
      <c r="R1325" s="33">
        <f t="shared" si="323"/>
        <v>40</v>
      </c>
      <c r="S1325" s="34">
        <v>6.5</v>
      </c>
      <c r="T1325" s="34">
        <v>1</v>
      </c>
      <c r="U1325" s="33">
        <f t="shared" si="324"/>
        <v>260</v>
      </c>
      <c r="V1325" s="38" t="s">
        <v>827</v>
      </c>
      <c r="W1325" s="39">
        <f t="shared" si="325"/>
        <v>0.42105263157894735</v>
      </c>
      <c r="X1325" s="40" t="s">
        <v>730</v>
      </c>
      <c r="Y1325" s="40" t="s">
        <v>284</v>
      </c>
      <c r="Z1325" s="40" t="s">
        <v>307</v>
      </c>
      <c r="AA1325" s="33" t="s">
        <v>308</v>
      </c>
      <c r="AB1325" s="95"/>
      <c r="AC1325" s="95"/>
    </row>
    <row r="1326" spans="1:29" ht="14.45" hidden="1" customHeight="1" x14ac:dyDescent="0.25">
      <c r="A1326" s="36" t="str">
        <f>INDEX('Base de données Mono'!C:C,MATCH(B1326,'Base de données Mono'!D:D,0))</f>
        <v>MONTREUIL</v>
      </c>
      <c r="B1326" t="s">
        <v>25</v>
      </c>
      <c r="C1326" s="36" t="str">
        <f>INDEX('Base de données Mono'!B:B,MATCH(B1326,'Base de données Mono'!D:D,0))</f>
        <v>SES8</v>
      </c>
      <c r="D1326" s="36" t="str">
        <f>INDEX('Base de données Mono'!A:A,MATCH(B1326,'Base de données Mono'!D:D,0))</f>
        <v>JG</v>
      </c>
      <c r="E1326" s="37" t="s">
        <v>303</v>
      </c>
      <c r="F1326" s="41">
        <f t="shared" si="321"/>
        <v>16</v>
      </c>
      <c r="G1326" s="41">
        <f t="shared" si="322"/>
        <v>4</v>
      </c>
      <c r="I1326" s="131">
        <f>INDEX('Base de données Mono'!K:K,MATCH(B1326,'Base de données Mono'!D:D,0))</f>
        <v>0.24305555555555555</v>
      </c>
      <c r="J1326" s="131">
        <f>INDEX('Base de données Mono'!L:L,MATCH(B1326,'Base de données Mono'!D:D,0))</f>
        <v>0.875</v>
      </c>
      <c r="K1326" s="131">
        <f>INDEX('Base de données Mono'!M:M,MATCH(B1326,'Base de données Mono'!D:D,0))</f>
        <v>0.27083333333333331</v>
      </c>
      <c r="L1326" s="131">
        <f>INDEX('Base de données Mono'!N:N,MATCH(B1326,'Base de données Mono'!D:D,0))</f>
        <v>0.55902777777777779</v>
      </c>
      <c r="M1326" s="33" t="s">
        <v>46</v>
      </c>
      <c r="N1326" s="33">
        <f>IF(AND(E1326="Electricité",M1326="Hiver"),INDEX('Base de données Mono'!E:E,MATCH(B1326,'Base de données Mono'!D:D,0)),IF(AND(E1326="Electricité",M1326="Mi-saison"),INDEX('Base de données Mono'!F:F,MATCH(B1326,'Base de données Mono'!D:D,0)),IF(AND(E1326="Electricité",M1326="Eté"),INDEX('Base de données Mono'!G:G,MATCH(B1326,'Base de données Mono'!D:D,0)),IF(AND(E1326="Gaz",M1326="Hiver"),INDEX('Base de données Mono'!J:J,MATCH(B1326,'Base de données Mono'!D:D,0)),IF(AND(E1326="Gaz",M1326="Mi-saison"),INDEX('Base de données Mono'!#REF!,MATCH(B1326,'Base de données Mono'!D:D,0)),IF(AND(E1326="Gaz",M1326="Eté"),INDEX('Base de données Mono'!#REF!,MATCH(B1326,'Base de données Mono'!D:D,0)),"-"))))))</f>
        <v>95</v>
      </c>
      <c r="O1326" s="123">
        <v>45403</v>
      </c>
      <c r="P1326" s="123">
        <v>45403</v>
      </c>
      <c r="Q1326" s="34">
        <v>105</v>
      </c>
      <c r="R1326" s="33">
        <f t="shared" si="323"/>
        <v>10</v>
      </c>
      <c r="S1326" s="34">
        <v>1</v>
      </c>
      <c r="T1326" s="34">
        <v>1</v>
      </c>
      <c r="U1326" s="33">
        <f t="shared" si="324"/>
        <v>10</v>
      </c>
      <c r="V1326" s="38" t="s">
        <v>827</v>
      </c>
      <c r="W1326" s="39">
        <f t="shared" si="325"/>
        <v>0.10526315789473684</v>
      </c>
      <c r="X1326" s="40" t="s">
        <v>730</v>
      </c>
      <c r="Y1326" s="40" t="s">
        <v>284</v>
      </c>
      <c r="Z1326" s="40" t="s">
        <v>305</v>
      </c>
      <c r="AA1326" s="33" t="s">
        <v>771</v>
      </c>
      <c r="AB1326" s="95"/>
      <c r="AC1326" s="95"/>
    </row>
    <row r="1327" spans="1:29" hidden="1" x14ac:dyDescent="0.25">
      <c r="A1327" s="36" t="str">
        <f>INDEX('Base de données Mono'!C:C,MATCH(B1327,'Base de données Mono'!D:D,0))</f>
        <v>LES HUISSIERS</v>
      </c>
      <c r="B1327" t="s">
        <v>156</v>
      </c>
      <c r="C1327" s="36" t="str">
        <f>INDEX('Base de données Mono'!B:B,MATCH(B1327,'Base de données Mono'!D:D,0))</f>
        <v>SES8</v>
      </c>
      <c r="D1327" s="36" t="str">
        <f>INDEX('Base de données Mono'!A:A,MATCH(B1327,'Base de données Mono'!D:D,0))</f>
        <v>AD</v>
      </c>
      <c r="E1327" s="37" t="s">
        <v>303</v>
      </c>
      <c r="F1327" s="41">
        <f t="shared" si="321"/>
        <v>16</v>
      </c>
      <c r="G1327" s="41">
        <f t="shared" si="322"/>
        <v>4</v>
      </c>
      <c r="I1327" s="131">
        <f>INDEX('Base de données Mono'!K:K,MATCH(B1327,'Base de données Mono'!D:D,0))</f>
        <v>0.22916666666666666</v>
      </c>
      <c r="J1327" s="131">
        <f>INDEX('Base de données Mono'!L:L,MATCH(B1327,'Base de données Mono'!D:D,0))</f>
        <v>0.89583333333333337</v>
      </c>
      <c r="K1327" s="131">
        <f>INDEX('Base de données Mono'!M:M,MATCH(B1327,'Base de données Mono'!D:D,0))</f>
        <v>0.27777777777777779</v>
      </c>
      <c r="L1327" s="131">
        <f>INDEX('Base de données Mono'!N:N,MATCH(B1327,'Base de données Mono'!D:D,0))</f>
        <v>0.5625</v>
      </c>
      <c r="M1327" s="33" t="s">
        <v>46</v>
      </c>
      <c r="N1327" s="33">
        <f>IF(AND(E1327="Electricité",M1327="Hiver"),INDEX('Base de données Mono'!E:E,MATCH(B1327,'Base de données Mono'!D:D,0)),IF(AND(E1327="Electricité",M1327="Mi-saison"),INDEX('Base de données Mono'!F:F,MATCH(B1327,'Base de données Mono'!D:D,0)),IF(AND(E1327="Electricité",M1327="Eté"),INDEX('Base de données Mono'!G:G,MATCH(B1327,'Base de données Mono'!D:D,0)),IF(AND(E1327="Gaz",M1327="Hiver"),INDEX('Base de données Mono'!J:J,MATCH(B1327,'Base de données Mono'!D:D,0)),IF(AND(E1327="Gaz",M1327="Mi-saison"),INDEX('Base de données Mono'!#REF!,MATCH(B1327,'Base de données Mono'!D:D,0)),IF(AND(E1327="Gaz",M1327="Eté"),INDEX('Base de données Mono'!#REF!,MATCH(B1327,'Base de données Mono'!D:D,0)),"-"))))))</f>
        <v>65</v>
      </c>
      <c r="O1327" s="123">
        <v>45403</v>
      </c>
      <c r="P1327" s="123">
        <v>45403</v>
      </c>
      <c r="Q1327" s="34">
        <v>125</v>
      </c>
      <c r="R1327" s="33">
        <f t="shared" si="323"/>
        <v>60</v>
      </c>
      <c r="S1327" s="34">
        <v>7.5</v>
      </c>
      <c r="T1327" s="34">
        <v>1</v>
      </c>
      <c r="U1327" s="33">
        <f t="shared" si="324"/>
        <v>450</v>
      </c>
      <c r="V1327" s="38" t="s">
        <v>827</v>
      </c>
      <c r="W1327" s="39">
        <f t="shared" si="325"/>
        <v>0.92307692307692313</v>
      </c>
      <c r="X1327" s="40" t="s">
        <v>730</v>
      </c>
      <c r="Y1327" s="40" t="s">
        <v>284</v>
      </c>
      <c r="Z1327" s="40" t="s">
        <v>307</v>
      </c>
      <c r="AA1327" s="33" t="s">
        <v>308</v>
      </c>
      <c r="AB1327" s="95"/>
      <c r="AC1327" s="95"/>
    </row>
    <row r="1328" spans="1:29" ht="14.45" hidden="1" customHeight="1" x14ac:dyDescent="0.25">
      <c r="A1328" s="36" t="str">
        <f>INDEX('Base de données Mono'!C:C,MATCH(B1328,'Base de données Mono'!D:D,0))</f>
        <v>ROQUETTE</v>
      </c>
      <c r="B1328" t="s">
        <v>225</v>
      </c>
      <c r="C1328" s="36" t="str">
        <f>INDEX('Base de données Mono'!B:B,MATCH(B1328,'Base de données Mono'!D:D,0))</f>
        <v>SES8</v>
      </c>
      <c r="D1328" s="36" t="str">
        <f>INDEX('Base de données Mono'!A:A,MATCH(B1328,'Base de données Mono'!D:D,0))</f>
        <v>JG</v>
      </c>
      <c r="E1328" s="37" t="s">
        <v>303</v>
      </c>
      <c r="F1328" s="41">
        <f t="shared" si="321"/>
        <v>16</v>
      </c>
      <c r="G1328" s="41">
        <f t="shared" si="322"/>
        <v>4</v>
      </c>
      <c r="I1328" s="131">
        <f>INDEX('Base de données Mono'!K:K,MATCH(B1328,'Base de données Mono'!D:D,0))</f>
        <v>0.25</v>
      </c>
      <c r="J1328" s="131">
        <f>INDEX('Base de données Mono'!L:L,MATCH(B1328,'Base de données Mono'!D:D,0))</f>
        <v>0.91666666666666663</v>
      </c>
      <c r="K1328" s="131">
        <f>INDEX('Base de données Mono'!M:M,MATCH(B1328,'Base de données Mono'!D:D,0))</f>
        <v>0.29166666666666669</v>
      </c>
      <c r="L1328" s="131">
        <f>INDEX('Base de données Mono'!N:N,MATCH(B1328,'Base de données Mono'!D:D,0))</f>
        <v>0.55208333333333337</v>
      </c>
      <c r="M1328" s="33" t="s">
        <v>46</v>
      </c>
      <c r="N1328" s="33">
        <f>IF(AND(E1328="Electricité",M1328="Hiver"),INDEX('Base de données Mono'!E:E,MATCH(B1328,'Base de données Mono'!D:D,0)),IF(AND(E1328="Electricité",M1328="Mi-saison"),INDEX('Base de données Mono'!F:F,MATCH(B1328,'Base de données Mono'!D:D,0)),IF(AND(E1328="Electricité",M1328="Eté"),INDEX('Base de données Mono'!G:G,MATCH(B1328,'Base de données Mono'!D:D,0)),IF(AND(E1328="Gaz",M1328="Hiver"),INDEX('Base de données Mono'!J:J,MATCH(B1328,'Base de données Mono'!D:D,0)),IF(AND(E1328="Gaz",M1328="Mi-saison"),INDEX('Base de données Mono'!#REF!,MATCH(B1328,'Base de données Mono'!D:D,0)),IF(AND(E1328="Gaz",M1328="Eté"),INDEX('Base de données Mono'!#REF!,MATCH(B1328,'Base de données Mono'!D:D,0)),"-"))))))</f>
        <v>60</v>
      </c>
      <c r="O1328" s="123">
        <v>45403</v>
      </c>
      <c r="P1328" s="123">
        <v>45403</v>
      </c>
      <c r="Q1328" s="34">
        <v>85</v>
      </c>
      <c r="R1328" s="33">
        <f t="shared" si="323"/>
        <v>25</v>
      </c>
      <c r="S1328" s="34">
        <v>7.7</v>
      </c>
      <c r="T1328" s="34">
        <v>1</v>
      </c>
      <c r="U1328" s="33">
        <f t="shared" si="324"/>
        <v>192.5</v>
      </c>
      <c r="V1328" s="38" t="s">
        <v>827</v>
      </c>
      <c r="W1328" s="39">
        <f t="shared" si="325"/>
        <v>0.41666666666666669</v>
      </c>
      <c r="X1328" s="40" t="s">
        <v>730</v>
      </c>
      <c r="Y1328" s="40" t="s">
        <v>284</v>
      </c>
      <c r="Z1328" s="40" t="s">
        <v>305</v>
      </c>
      <c r="AA1328" s="33" t="s">
        <v>771</v>
      </c>
      <c r="AB1328" s="95"/>
      <c r="AC1328" s="95"/>
    </row>
    <row r="1329" spans="1:29" ht="14.45" hidden="1" customHeight="1" x14ac:dyDescent="0.25">
      <c r="A1329" s="36" t="str">
        <f>INDEX('Base de données Mono'!C:C,MATCH(B1329,'Base de données Mono'!D:D,0))</f>
        <v>UNI POTEAU</v>
      </c>
      <c r="B1329" t="s">
        <v>258</v>
      </c>
      <c r="C1329" s="36" t="str">
        <f>INDEX('Base de données Mono'!B:B,MATCH(B1329,'Base de données Mono'!D:D,0))</f>
        <v>SES8</v>
      </c>
      <c r="D1329" s="36" t="str">
        <f>INDEX('Base de données Mono'!A:A,MATCH(B1329,'Base de données Mono'!D:D,0))</f>
        <v>JG</v>
      </c>
      <c r="E1329" s="37" t="s">
        <v>303</v>
      </c>
      <c r="F1329" s="41">
        <f t="shared" si="321"/>
        <v>16</v>
      </c>
      <c r="G1329" s="41">
        <f t="shared" si="322"/>
        <v>4</v>
      </c>
      <c r="I1329" s="131">
        <f>INDEX('Base de données Mono'!K:K,MATCH(B1329,'Base de données Mono'!D:D,0))</f>
        <v>0.20138888888888887</v>
      </c>
      <c r="J1329" s="131">
        <f>INDEX('Base de données Mono'!L:L,MATCH(B1329,'Base de données Mono'!D:D,0))</f>
        <v>0.92013888888888884</v>
      </c>
      <c r="K1329" s="131">
        <f>INDEX('Base de données Mono'!M:M,MATCH(B1329,'Base de données Mono'!D:D,0))</f>
        <v>0.27777777777777779</v>
      </c>
      <c r="L1329" s="131">
        <f>INDEX('Base de données Mono'!N:N,MATCH(B1329,'Base de données Mono'!D:D,0))</f>
        <v>0.55208333333333337</v>
      </c>
      <c r="M1329" s="33" t="s">
        <v>46</v>
      </c>
      <c r="N1329" s="33">
        <f>IF(AND(E1329="Electricité",M1329="Hiver"),INDEX('Base de données Mono'!E:E,MATCH(B1329,'Base de données Mono'!D:D,0)),IF(AND(E1329="Electricité",M1329="Mi-saison"),INDEX('Base de données Mono'!F:F,MATCH(B1329,'Base de données Mono'!D:D,0)),IF(AND(E1329="Electricité",M1329="Eté"),INDEX('Base de données Mono'!G:G,MATCH(B1329,'Base de données Mono'!D:D,0)),IF(AND(E1329="Gaz",M1329="Hiver"),INDEX('Base de données Mono'!J:J,MATCH(B1329,'Base de données Mono'!D:D,0)),IF(AND(E1329="Gaz",M1329="Mi-saison"),INDEX('Base de données Mono'!#REF!,MATCH(B1329,'Base de données Mono'!D:D,0)),IF(AND(E1329="Gaz",M1329="Eté"),INDEX('Base de données Mono'!#REF!,MATCH(B1329,'Base de données Mono'!D:D,0)),"-"))))))</f>
        <v>65</v>
      </c>
      <c r="O1329" s="123">
        <v>45403</v>
      </c>
      <c r="P1329" s="123">
        <v>45403</v>
      </c>
      <c r="Q1329" s="34">
        <v>120</v>
      </c>
      <c r="R1329" s="33">
        <f t="shared" si="323"/>
        <v>55</v>
      </c>
      <c r="S1329" s="34">
        <v>6.5</v>
      </c>
      <c r="T1329" s="34">
        <v>1</v>
      </c>
      <c r="U1329" s="33">
        <f t="shared" si="324"/>
        <v>357.5</v>
      </c>
      <c r="V1329" s="38" t="s">
        <v>827</v>
      </c>
      <c r="W1329" s="39">
        <f t="shared" si="325"/>
        <v>0.84615384615384615</v>
      </c>
      <c r="X1329" s="40" t="s">
        <v>730</v>
      </c>
      <c r="Y1329" s="40" t="s">
        <v>284</v>
      </c>
      <c r="Z1329" s="40" t="s">
        <v>307</v>
      </c>
      <c r="AA1329" s="33" t="s">
        <v>308</v>
      </c>
      <c r="AB1329" s="95"/>
      <c r="AC1329" s="95"/>
    </row>
    <row r="1330" spans="1:29" ht="14.45" hidden="1" customHeight="1" x14ac:dyDescent="0.25">
      <c r="A1330" s="36" t="str">
        <f>INDEX('Base de données Mono'!C:C,MATCH(B1330,'Base de données Mono'!D:D,0))</f>
        <v>GRENOBLE CASERNE</v>
      </c>
      <c r="B1330" t="s">
        <v>135</v>
      </c>
      <c r="C1330" s="36" t="str">
        <f>INDEX('Base de données Mono'!B:B,MATCH(B1330,'Base de données Mono'!D:D,0))</f>
        <v>SES8</v>
      </c>
      <c r="D1330" s="36" t="str">
        <f>INDEX('Base de données Mono'!A:A,MATCH(B1330,'Base de données Mono'!D:D,0))</f>
        <v>JG</v>
      </c>
      <c r="E1330" s="37" t="s">
        <v>303</v>
      </c>
      <c r="F1330" s="41">
        <f t="shared" si="321"/>
        <v>16</v>
      </c>
      <c r="G1330" s="41">
        <f t="shared" si="322"/>
        <v>4</v>
      </c>
      <c r="I1330" s="131">
        <f>INDEX('Base de données Mono'!K:K,MATCH(B1330,'Base de données Mono'!D:D,0))</f>
        <v>0.22222222222222221</v>
      </c>
      <c r="J1330" s="131">
        <f>INDEX('Base de données Mono'!L:L,MATCH(B1330,'Base de données Mono'!D:D,0))</f>
        <v>0.89583333333333337</v>
      </c>
      <c r="K1330" s="131">
        <f>INDEX('Base de données Mono'!M:M,MATCH(B1330,'Base de données Mono'!D:D,0))</f>
        <v>0.3125</v>
      </c>
      <c r="L1330" s="131">
        <f>INDEX('Base de données Mono'!N:N,MATCH(B1330,'Base de données Mono'!D:D,0))</f>
        <v>0.55208333333333337</v>
      </c>
      <c r="M1330" s="33" t="s">
        <v>46</v>
      </c>
      <c r="N1330" s="33">
        <f>IF(AND(E1330="Electricité",M1330="Hiver"),INDEX('Base de données Mono'!E:E,MATCH(B1330,'Base de données Mono'!D:D,0)),IF(AND(E1330="Electricité",M1330="Mi-saison"),INDEX('Base de données Mono'!F:F,MATCH(B1330,'Base de données Mono'!D:D,0)),IF(AND(E1330="Electricité",M1330="Eté"),INDEX('Base de données Mono'!G:G,MATCH(B1330,'Base de données Mono'!D:D,0)),IF(AND(E1330="Gaz",M1330="Hiver"),INDEX('Base de données Mono'!J:J,MATCH(B1330,'Base de données Mono'!D:D,0)),IF(AND(E1330="Gaz",M1330="Mi-saison"),INDEX('Base de données Mono'!#REF!,MATCH(B1330,'Base de données Mono'!D:D,0)),IF(AND(E1330="Gaz",M1330="Eté"),INDEX('Base de données Mono'!#REF!,MATCH(B1330,'Base de données Mono'!D:D,0)),"-"))))))</f>
        <v>40</v>
      </c>
      <c r="O1330" s="123">
        <v>45403</v>
      </c>
      <c r="P1330" s="123">
        <v>45403</v>
      </c>
      <c r="Q1330" s="34">
        <v>75</v>
      </c>
      <c r="R1330" s="33">
        <f t="shared" si="323"/>
        <v>35</v>
      </c>
      <c r="S1330" s="34">
        <v>6.5</v>
      </c>
      <c r="T1330" s="34">
        <v>1</v>
      </c>
      <c r="U1330" s="33">
        <f t="shared" si="324"/>
        <v>227.5</v>
      </c>
      <c r="V1330" s="38" t="s">
        <v>827</v>
      </c>
      <c r="W1330" s="39">
        <f t="shared" si="325"/>
        <v>0.875</v>
      </c>
      <c r="X1330" s="40" t="s">
        <v>730</v>
      </c>
      <c r="Y1330" s="40" t="s">
        <v>284</v>
      </c>
      <c r="Z1330" s="40" t="s">
        <v>307</v>
      </c>
      <c r="AA1330" s="33" t="s">
        <v>308</v>
      </c>
      <c r="AB1330" s="95"/>
      <c r="AC1330" s="95"/>
    </row>
    <row r="1331" spans="1:29" ht="14.45" hidden="1" customHeight="1" x14ac:dyDescent="0.25">
      <c r="A1331" s="36" t="str">
        <f>INDEX('Base de données Mono'!C:C,MATCH(B1331,'Base de données Mono'!D:D,0))</f>
        <v>ITALIE</v>
      </c>
      <c r="B1331" t="s">
        <v>147</v>
      </c>
      <c r="C1331" s="36" t="str">
        <f>INDEX('Base de données Mono'!B:B,MATCH(B1331,'Base de données Mono'!D:D,0))</f>
        <v>SES8</v>
      </c>
      <c r="D1331" s="36" t="str">
        <f>INDEX('Base de données Mono'!A:A,MATCH(B1331,'Base de données Mono'!D:D,0))</f>
        <v>JG</v>
      </c>
      <c r="E1331" s="37" t="s">
        <v>303</v>
      </c>
      <c r="F1331" s="41">
        <f t="shared" si="321"/>
        <v>16</v>
      </c>
      <c r="G1331" s="41">
        <f t="shared" si="322"/>
        <v>4</v>
      </c>
      <c r="I1331" s="131">
        <f>INDEX('Base de données Mono'!K:K,MATCH(B1331,'Base de données Mono'!D:D,0))</f>
        <v>0.24305555555555555</v>
      </c>
      <c r="J1331" s="131">
        <f>INDEX('Base de données Mono'!L:L,MATCH(B1331,'Base de données Mono'!D:D,0))</f>
        <v>0.9375</v>
      </c>
      <c r="K1331" s="131" t="str">
        <f>INDEX('Base de données Mono'!M:M,MATCH(B1331,'Base de données Mono'!D:D,0))</f>
        <v>-</v>
      </c>
      <c r="L1331" s="131" t="str">
        <f>INDEX('Base de données Mono'!N:N,MATCH(B1331,'Base de données Mono'!D:D,0))</f>
        <v>-</v>
      </c>
      <c r="M1331" s="33" t="s">
        <v>46</v>
      </c>
      <c r="N1331" s="33">
        <f>IF(AND(E1331="Electricité",M1331="Hiver"),INDEX('Base de données Mono'!E:E,MATCH(B1331,'Base de données Mono'!D:D,0)),IF(AND(E1331="Electricité",M1331="Mi-saison"),INDEX('Base de données Mono'!F:F,MATCH(B1331,'Base de données Mono'!D:D,0)),IF(AND(E1331="Electricité",M1331="Eté"),INDEX('Base de données Mono'!G:G,MATCH(B1331,'Base de données Mono'!D:D,0)),IF(AND(E1331="Gaz",M1331="Hiver"),INDEX('Base de données Mono'!J:J,MATCH(B1331,'Base de données Mono'!D:D,0)),IF(AND(E1331="Gaz",M1331="Mi-saison"),INDEX('Base de données Mono'!#REF!,MATCH(B1331,'Base de données Mono'!D:D,0)),IF(AND(E1331="Gaz",M1331="Eté"),INDEX('Base de données Mono'!#REF!,MATCH(B1331,'Base de données Mono'!D:D,0)),"-"))))))</f>
        <v>110</v>
      </c>
      <c r="O1331" s="123">
        <v>45403</v>
      </c>
      <c r="P1331" s="123">
        <v>45403</v>
      </c>
      <c r="Q1331" s="34">
        <v>175</v>
      </c>
      <c r="R1331" s="33">
        <f t="shared" si="323"/>
        <v>65</v>
      </c>
      <c r="S1331" s="34">
        <v>12</v>
      </c>
      <c r="T1331" s="34">
        <v>1</v>
      </c>
      <c r="U1331" s="33">
        <f t="shared" si="324"/>
        <v>780</v>
      </c>
      <c r="V1331" s="38" t="s">
        <v>827</v>
      </c>
      <c r="W1331" s="39">
        <f t="shared" si="325"/>
        <v>0.59090909090909094</v>
      </c>
      <c r="X1331" s="40" t="s">
        <v>730</v>
      </c>
      <c r="Y1331" s="40" t="s">
        <v>284</v>
      </c>
      <c r="Z1331" s="40" t="s">
        <v>307</v>
      </c>
      <c r="AA1331" s="33" t="s">
        <v>308</v>
      </c>
      <c r="AB1331" s="95"/>
      <c r="AC1331" s="95"/>
    </row>
    <row r="1332" spans="1:29" ht="14.45" hidden="1" customHeight="1" x14ac:dyDescent="0.25">
      <c r="A1332" s="36" t="str">
        <f>INDEX('Base de données Mono'!C:C,MATCH(B1332,'Base de données Mono'!D:D,0))</f>
        <v>VAUGIRARD</v>
      </c>
      <c r="B1332" t="s">
        <v>262</v>
      </c>
      <c r="C1332" s="36" t="str">
        <f>INDEX('Base de données Mono'!B:B,MATCH(B1332,'Base de données Mono'!D:D,0))</f>
        <v>SES8</v>
      </c>
      <c r="D1332" s="36" t="str">
        <f>INDEX('Base de données Mono'!A:A,MATCH(B1332,'Base de données Mono'!D:D,0))</f>
        <v>AD</v>
      </c>
      <c r="E1332" s="37" t="s">
        <v>303</v>
      </c>
      <c r="F1332" s="41">
        <f t="shared" si="321"/>
        <v>16</v>
      </c>
      <c r="G1332" s="41">
        <f t="shared" si="322"/>
        <v>4</v>
      </c>
      <c r="I1332" s="131">
        <f>INDEX('Base de données Mono'!K:K,MATCH(B1332,'Base de données Mono'!D:D,0))</f>
        <v>0.20138888888888887</v>
      </c>
      <c r="J1332" s="131">
        <f>INDEX('Base de données Mono'!L:L,MATCH(B1332,'Base de données Mono'!D:D,0))</f>
        <v>0.92708333333333337</v>
      </c>
      <c r="K1332" s="131">
        <f>INDEX('Base de données Mono'!M:M,MATCH(B1332,'Base de données Mono'!D:D,0))</f>
        <v>0.2638888888888889</v>
      </c>
      <c r="L1332" s="131">
        <f>INDEX('Base de données Mono'!N:N,MATCH(B1332,'Base de données Mono'!D:D,0))</f>
        <v>0.5625</v>
      </c>
      <c r="M1332" s="33" t="s">
        <v>46</v>
      </c>
      <c r="N1332" s="33">
        <f>IF(AND(E1332="Electricité",M1332="Hiver"),INDEX('Base de données Mono'!E:E,MATCH(B1332,'Base de données Mono'!D:D,0)),IF(AND(E1332="Electricité",M1332="Mi-saison"),INDEX('Base de données Mono'!F:F,MATCH(B1332,'Base de données Mono'!D:D,0)),IF(AND(E1332="Electricité",M1332="Eté"),INDEX('Base de données Mono'!G:G,MATCH(B1332,'Base de données Mono'!D:D,0)),IF(AND(E1332="Gaz",M1332="Hiver"),INDEX('Base de données Mono'!J:J,MATCH(B1332,'Base de données Mono'!D:D,0)),IF(AND(E1332="Gaz",M1332="Mi-saison"),INDEX('Base de données Mono'!#REF!,MATCH(B1332,'Base de données Mono'!D:D,0)),IF(AND(E1332="Gaz",M1332="Eté"),INDEX('Base de données Mono'!#REF!,MATCH(B1332,'Base de données Mono'!D:D,0)),"-"))))))</f>
        <v>80</v>
      </c>
      <c r="O1332" s="123">
        <v>45403</v>
      </c>
      <c r="P1332" s="123">
        <v>45403</v>
      </c>
      <c r="Q1332" s="34">
        <v>165</v>
      </c>
      <c r="R1332" s="33">
        <f t="shared" si="323"/>
        <v>85</v>
      </c>
      <c r="S1332" s="34">
        <v>7</v>
      </c>
      <c r="T1332" s="34">
        <v>1</v>
      </c>
      <c r="U1332" s="33">
        <f t="shared" si="324"/>
        <v>595</v>
      </c>
      <c r="V1332" s="38" t="s">
        <v>827</v>
      </c>
      <c r="W1332" s="39">
        <f t="shared" si="325"/>
        <v>1.0625</v>
      </c>
      <c r="X1332" s="40" t="s">
        <v>730</v>
      </c>
      <c r="Y1332" s="40" t="s">
        <v>284</v>
      </c>
      <c r="Z1332" s="40" t="s">
        <v>307</v>
      </c>
      <c r="AA1332" s="33" t="s">
        <v>308</v>
      </c>
      <c r="AB1332" s="95"/>
      <c r="AC1332" s="95"/>
    </row>
    <row r="1333" spans="1:29" ht="14.45" hidden="1" customHeight="1" x14ac:dyDescent="0.25">
      <c r="A1333" s="36" t="str">
        <f>INDEX('Base de données Mono'!C:C,MATCH(B1333,'Base de données Mono'!D:D,0))</f>
        <v>SAINT MAUR</v>
      </c>
      <c r="B1333" t="s">
        <v>235</v>
      </c>
      <c r="C1333" s="36" t="str">
        <f>INDEX('Base de données Mono'!B:B,MATCH(B1333,'Base de données Mono'!D:D,0))</f>
        <v>SES8</v>
      </c>
      <c r="D1333" s="36" t="str">
        <f>INDEX('Base de données Mono'!A:A,MATCH(B1333,'Base de données Mono'!D:D,0))</f>
        <v>JG</v>
      </c>
      <c r="E1333" s="37" t="s">
        <v>303</v>
      </c>
      <c r="F1333" s="41">
        <f t="shared" si="321"/>
        <v>16</v>
      </c>
      <c r="G1333" s="41">
        <f t="shared" si="322"/>
        <v>4</v>
      </c>
      <c r="I1333" s="131">
        <f>INDEX('Base de données Mono'!K:K,MATCH(B1333,'Base de données Mono'!D:D,0))</f>
        <v>0.24305555555555555</v>
      </c>
      <c r="J1333" s="131">
        <f>INDEX('Base de données Mono'!L:L,MATCH(B1333,'Base de données Mono'!D:D,0))</f>
        <v>0.875</v>
      </c>
      <c r="K1333" s="131">
        <f>INDEX('Base de données Mono'!M:M,MATCH(B1333,'Base de données Mono'!D:D,0))</f>
        <v>0.28472222222222221</v>
      </c>
      <c r="L1333" s="131">
        <f>INDEX('Base de données Mono'!N:N,MATCH(B1333,'Base de données Mono'!D:D,0))</f>
        <v>0.55208333333333337</v>
      </c>
      <c r="M1333" s="33" t="s">
        <v>46</v>
      </c>
      <c r="N1333" s="33">
        <f>IF(AND(E1333="Electricité",M1333="Hiver"),INDEX('Base de données Mono'!E:E,MATCH(B1333,'Base de données Mono'!D:D,0)),IF(AND(E1333="Electricité",M1333="Mi-saison"),INDEX('Base de données Mono'!F:F,MATCH(B1333,'Base de données Mono'!D:D,0)),IF(AND(E1333="Electricité",M1333="Eté"),INDEX('Base de données Mono'!G:G,MATCH(B1333,'Base de données Mono'!D:D,0)),IF(AND(E1333="Gaz",M1333="Hiver"),INDEX('Base de données Mono'!J:J,MATCH(B1333,'Base de données Mono'!D:D,0)),IF(AND(E1333="Gaz",M1333="Mi-saison"),INDEX('Base de données Mono'!#REF!,MATCH(B1333,'Base de données Mono'!D:D,0)),IF(AND(E1333="Gaz",M1333="Eté"),INDEX('Base de données Mono'!#REF!,MATCH(B1333,'Base de données Mono'!D:D,0)),"-"))))))</f>
        <v>50</v>
      </c>
      <c r="O1333" s="123">
        <v>45403</v>
      </c>
      <c r="P1333" s="123">
        <v>45403</v>
      </c>
      <c r="Q1333" s="34">
        <v>100</v>
      </c>
      <c r="R1333" s="33">
        <f t="shared" si="323"/>
        <v>50</v>
      </c>
      <c r="S1333" s="34">
        <v>5</v>
      </c>
      <c r="T1333" s="34">
        <v>1</v>
      </c>
      <c r="U1333" s="33">
        <f t="shared" si="324"/>
        <v>250</v>
      </c>
      <c r="V1333" s="38" t="s">
        <v>827</v>
      </c>
      <c r="W1333" s="39">
        <f t="shared" si="325"/>
        <v>1</v>
      </c>
      <c r="X1333" s="40" t="s">
        <v>730</v>
      </c>
      <c r="Y1333" s="40" t="s">
        <v>284</v>
      </c>
      <c r="Z1333" s="40" t="s">
        <v>307</v>
      </c>
      <c r="AA1333" s="33" t="s">
        <v>308</v>
      </c>
      <c r="AB1333" s="95"/>
      <c r="AC1333" s="95"/>
    </row>
    <row r="1334" spans="1:29" ht="14.45" hidden="1" customHeight="1" x14ac:dyDescent="0.25">
      <c r="A1334" s="36" t="str">
        <f>INDEX('Base de données Mono'!C:C,MATCH(B1334,'Base de données Mono'!D:D,0))</f>
        <v>SAINT MAUR</v>
      </c>
      <c r="B1334" t="s">
        <v>235</v>
      </c>
      <c r="C1334" s="36" t="str">
        <f>INDEX('Base de données Mono'!B:B,MATCH(B1334,'Base de données Mono'!D:D,0))</f>
        <v>SES8</v>
      </c>
      <c r="D1334" s="36" t="str">
        <f>INDEX('Base de données Mono'!A:A,MATCH(B1334,'Base de données Mono'!D:D,0))</f>
        <v>JG</v>
      </c>
      <c r="E1334" s="37" t="s">
        <v>303</v>
      </c>
      <c r="F1334" s="41">
        <f t="shared" si="321"/>
        <v>16</v>
      </c>
      <c r="G1334" s="41">
        <f t="shared" si="322"/>
        <v>4</v>
      </c>
      <c r="I1334" s="131">
        <f>INDEX('Base de données Mono'!K:K,MATCH(B1334,'Base de données Mono'!D:D,0))</f>
        <v>0.24305555555555555</v>
      </c>
      <c r="J1334" s="131">
        <f>INDEX('Base de données Mono'!L:L,MATCH(B1334,'Base de données Mono'!D:D,0))</f>
        <v>0.875</v>
      </c>
      <c r="K1334" s="131">
        <f>INDEX('Base de données Mono'!M:M,MATCH(B1334,'Base de données Mono'!D:D,0))</f>
        <v>0.28472222222222221</v>
      </c>
      <c r="L1334" s="131">
        <f>INDEX('Base de données Mono'!N:N,MATCH(B1334,'Base de données Mono'!D:D,0))</f>
        <v>0.55208333333333337</v>
      </c>
      <c r="M1334" s="33" t="s">
        <v>46</v>
      </c>
      <c r="N1334" s="33">
        <f>IF(AND(E1334="Electricité",M1334="Hiver"),INDEX('Base de données Mono'!E:E,MATCH(B1334,'Base de données Mono'!D:D,0)),IF(AND(E1334="Electricité",M1334="Mi-saison"),INDEX('Base de données Mono'!F:F,MATCH(B1334,'Base de données Mono'!D:D,0)),IF(AND(E1334="Electricité",M1334="Eté"),INDEX('Base de données Mono'!G:G,MATCH(B1334,'Base de données Mono'!D:D,0)),IF(AND(E1334="Gaz",M1334="Hiver"),INDEX('Base de données Mono'!J:J,MATCH(B1334,'Base de données Mono'!D:D,0)),IF(AND(E1334="Gaz",M1334="Mi-saison"),INDEX('Base de données Mono'!#REF!,MATCH(B1334,'Base de données Mono'!D:D,0)),IF(AND(E1334="Gaz",M1334="Eté"),INDEX('Base de données Mono'!#REF!,MATCH(B1334,'Base de données Mono'!D:D,0)),"-"))))))</f>
        <v>50</v>
      </c>
      <c r="O1334" s="123">
        <v>45403</v>
      </c>
      <c r="P1334" s="123">
        <v>45403</v>
      </c>
      <c r="Q1334" s="34">
        <v>60</v>
      </c>
      <c r="R1334" s="33">
        <f t="shared" si="323"/>
        <v>10</v>
      </c>
      <c r="S1334" s="34">
        <v>3</v>
      </c>
      <c r="T1334" s="34">
        <v>1</v>
      </c>
      <c r="U1334" s="33">
        <f t="shared" si="324"/>
        <v>30</v>
      </c>
      <c r="V1334" s="38" t="s">
        <v>827</v>
      </c>
      <c r="W1334" s="39">
        <f t="shared" si="325"/>
        <v>0.2</v>
      </c>
      <c r="X1334" s="40" t="s">
        <v>730</v>
      </c>
      <c r="Y1334" s="40" t="s">
        <v>284</v>
      </c>
      <c r="Z1334" s="40" t="s">
        <v>305</v>
      </c>
      <c r="AA1334" s="33" t="s">
        <v>771</v>
      </c>
      <c r="AB1334" s="95"/>
      <c r="AC1334" s="95"/>
    </row>
    <row r="1335" spans="1:29" ht="14.45" hidden="1" customHeight="1" x14ac:dyDescent="0.25">
      <c r="A1335" s="36" t="str">
        <f>INDEX('Base de données Mono'!C:C,MATCH(B1335,'Base de données Mono'!D:D,0))</f>
        <v>RUEIL MALMAISON</v>
      </c>
      <c r="B1335" t="s">
        <v>31</v>
      </c>
      <c r="C1335" s="36" t="str">
        <f>INDEX('Base de données Mono'!B:B,MATCH(B1335,'Base de données Mono'!D:D,0))</f>
        <v>SES8</v>
      </c>
      <c r="D1335" s="36" t="str">
        <f>INDEX('Base de données Mono'!A:A,MATCH(B1335,'Base de données Mono'!D:D,0))</f>
        <v>AD</v>
      </c>
      <c r="E1335" s="37" t="s">
        <v>303</v>
      </c>
      <c r="F1335" s="41">
        <f t="shared" si="321"/>
        <v>16</v>
      </c>
      <c r="G1335" s="41">
        <f t="shared" si="322"/>
        <v>4</v>
      </c>
      <c r="I1335" s="131">
        <f>INDEX('Base de données Mono'!K:K,MATCH(B1335,'Base de données Mono'!D:D,0))</f>
        <v>0.26041666666666669</v>
      </c>
      <c r="J1335" s="131">
        <f>INDEX('Base de données Mono'!L:L,MATCH(B1335,'Base de données Mono'!D:D,0))</f>
        <v>0.92708333333333337</v>
      </c>
      <c r="K1335" s="131">
        <f>INDEX('Base de données Mono'!M:M,MATCH(B1335,'Base de données Mono'!D:D,0))</f>
        <v>0.27777777777777779</v>
      </c>
      <c r="L1335" s="131">
        <f>INDEX('Base de données Mono'!N:N,MATCH(B1335,'Base de données Mono'!D:D,0))</f>
        <v>0.59375</v>
      </c>
      <c r="M1335" s="33" t="s">
        <v>46</v>
      </c>
      <c r="N1335" s="33">
        <f>IF(AND(E1335="Electricité",M1335="Hiver"),INDEX('Base de données Mono'!E:E,MATCH(B1335,'Base de données Mono'!D:D,0)),IF(AND(E1335="Electricité",M1335="Mi-saison"),INDEX('Base de données Mono'!F:F,MATCH(B1335,'Base de données Mono'!D:D,0)),IF(AND(E1335="Electricité",M1335="Eté"),INDEX('Base de données Mono'!G:G,MATCH(B1335,'Base de données Mono'!D:D,0)),IF(AND(E1335="Gaz",M1335="Hiver"),INDEX('Base de données Mono'!J:J,MATCH(B1335,'Base de données Mono'!D:D,0)),IF(AND(E1335="Gaz",M1335="Mi-saison"),INDEX('Base de données Mono'!#REF!,MATCH(B1335,'Base de données Mono'!D:D,0)),IF(AND(E1335="Gaz",M1335="Eté"),INDEX('Base de données Mono'!#REF!,MATCH(B1335,'Base de données Mono'!D:D,0)),"-"))))))</f>
        <v>65</v>
      </c>
      <c r="O1335" s="123">
        <v>45403</v>
      </c>
      <c r="P1335" s="123">
        <v>45403</v>
      </c>
      <c r="Q1335" s="34">
        <v>90</v>
      </c>
      <c r="R1335" s="33">
        <f t="shared" si="323"/>
        <v>25</v>
      </c>
      <c r="S1335" s="34">
        <v>6</v>
      </c>
      <c r="T1335" s="34">
        <v>1</v>
      </c>
      <c r="U1335" s="33">
        <f t="shared" si="324"/>
        <v>150</v>
      </c>
      <c r="V1335" s="38" t="s">
        <v>827</v>
      </c>
      <c r="W1335" s="39">
        <f t="shared" si="325"/>
        <v>0.38461538461538464</v>
      </c>
      <c r="X1335" s="40" t="s">
        <v>730</v>
      </c>
      <c r="Y1335" s="40" t="s">
        <v>284</v>
      </c>
      <c r="Z1335" s="40" t="s">
        <v>305</v>
      </c>
      <c r="AA1335" s="33" t="s">
        <v>771</v>
      </c>
      <c r="AB1335" s="95"/>
      <c r="AC1335" s="95"/>
    </row>
    <row r="1336" spans="1:29" ht="14.45" hidden="1" customHeight="1" x14ac:dyDescent="0.25">
      <c r="A1336" s="36" t="str">
        <f>INDEX('Base de données Mono'!C:C,MATCH(B1336,'Base de données Mono'!D:D,0))</f>
        <v>MOULINS LES HALLES</v>
      </c>
      <c r="B1336" t="s">
        <v>26</v>
      </c>
      <c r="C1336" s="36" t="str">
        <f>INDEX('Base de données Mono'!B:B,MATCH(B1336,'Base de données Mono'!D:D,0))</f>
        <v>SES8</v>
      </c>
      <c r="D1336" s="36" t="str">
        <f>INDEX('Base de données Mono'!A:A,MATCH(B1336,'Base de données Mono'!D:D,0))</f>
        <v>AD</v>
      </c>
      <c r="E1336" s="37" t="s">
        <v>303</v>
      </c>
      <c r="F1336" s="41">
        <f t="shared" si="321"/>
        <v>16</v>
      </c>
      <c r="G1336" s="41">
        <f t="shared" si="322"/>
        <v>4</v>
      </c>
      <c r="I1336" s="131">
        <f>INDEX('Base de données Mono'!K:K,MATCH(B1336,'Base de données Mono'!D:D,0))</f>
        <v>0.20138888888888887</v>
      </c>
      <c r="J1336" s="131">
        <f>INDEX('Base de données Mono'!L:L,MATCH(B1336,'Base de données Mono'!D:D,0))</f>
        <v>0.85416666666666663</v>
      </c>
      <c r="K1336" s="131">
        <f>INDEX('Base de données Mono'!M:M,MATCH(B1336,'Base de données Mono'!D:D,0))</f>
        <v>0.20833333333333334</v>
      </c>
      <c r="L1336" s="131">
        <f>INDEX('Base de données Mono'!N:N,MATCH(B1336,'Base de données Mono'!D:D,0))</f>
        <v>0.54166666666666663</v>
      </c>
      <c r="M1336" s="33" t="s">
        <v>46</v>
      </c>
      <c r="N1336" s="33">
        <f>IF(AND(E1336="Electricité",M1336="Hiver"),INDEX('Base de données Mono'!E:E,MATCH(B1336,'Base de données Mono'!D:D,0)),IF(AND(E1336="Electricité",M1336="Mi-saison"),INDEX('Base de données Mono'!F:F,MATCH(B1336,'Base de données Mono'!D:D,0)),IF(AND(E1336="Electricité",M1336="Eté"),INDEX('Base de données Mono'!G:G,MATCH(B1336,'Base de données Mono'!D:D,0)),IF(AND(E1336="Gaz",M1336="Hiver"),INDEX('Base de données Mono'!J:J,MATCH(B1336,'Base de données Mono'!D:D,0)),IF(AND(E1336="Gaz",M1336="Mi-saison"),INDEX('Base de données Mono'!#REF!,MATCH(B1336,'Base de données Mono'!D:D,0)),IF(AND(E1336="Gaz",M1336="Eté"),INDEX('Base de données Mono'!#REF!,MATCH(B1336,'Base de données Mono'!D:D,0)),"-"))))))</f>
        <v>35</v>
      </c>
      <c r="O1336" s="123">
        <v>45403</v>
      </c>
      <c r="P1336" s="123">
        <v>45403</v>
      </c>
      <c r="Q1336" s="34">
        <v>50</v>
      </c>
      <c r="R1336" s="33">
        <f t="shared" si="323"/>
        <v>15</v>
      </c>
      <c r="S1336" s="34">
        <v>4</v>
      </c>
      <c r="T1336" s="34">
        <v>1</v>
      </c>
      <c r="U1336" s="33">
        <f t="shared" si="324"/>
        <v>60</v>
      </c>
      <c r="V1336" s="38" t="s">
        <v>827</v>
      </c>
      <c r="W1336" s="39">
        <f t="shared" si="325"/>
        <v>0.42857142857142855</v>
      </c>
      <c r="X1336" s="40" t="s">
        <v>730</v>
      </c>
      <c r="Y1336" s="40" t="s">
        <v>283</v>
      </c>
      <c r="Z1336" s="40" t="s">
        <v>749</v>
      </c>
      <c r="AA1336" s="33" t="s">
        <v>749</v>
      </c>
      <c r="AB1336" s="95"/>
      <c r="AC1336" s="95" t="s">
        <v>305</v>
      </c>
    </row>
    <row r="1337" spans="1:29" ht="14.45" hidden="1" customHeight="1" x14ac:dyDescent="0.25">
      <c r="A1337" s="36" t="str">
        <f>INDEX('Base de données Mono'!C:C,MATCH(B1337,'Base de données Mono'!D:D,0))</f>
        <v>CHAMBERY LES HALLES</v>
      </c>
      <c r="B1337" t="s">
        <v>11</v>
      </c>
      <c r="C1337" s="36" t="str">
        <f>INDEX('Base de données Mono'!B:B,MATCH(B1337,'Base de données Mono'!D:D,0))</f>
        <v>SES8</v>
      </c>
      <c r="D1337" s="36" t="str">
        <f>INDEX('Base de données Mono'!A:A,MATCH(B1337,'Base de données Mono'!D:D,0))</f>
        <v>JG</v>
      </c>
      <c r="E1337" s="37" t="s">
        <v>303</v>
      </c>
      <c r="F1337" s="41">
        <f t="shared" si="321"/>
        <v>16</v>
      </c>
      <c r="G1337" s="41">
        <f t="shared" si="322"/>
        <v>4</v>
      </c>
      <c r="I1337" s="131">
        <f>INDEX('Base de données Mono'!K:K,MATCH(B1337,'Base de données Mono'!D:D,0))</f>
        <v>0.20833333333333334</v>
      </c>
      <c r="J1337" s="131">
        <f>INDEX('Base de données Mono'!L:L,MATCH(B1337,'Base de données Mono'!D:D,0))</f>
        <v>0.86458333333333337</v>
      </c>
      <c r="K1337" s="131">
        <f>INDEX('Base de données Mono'!M:M,MATCH(B1337,'Base de données Mono'!D:D,0))</f>
        <v>0.29166666666666669</v>
      </c>
      <c r="L1337" s="131">
        <f>INDEX('Base de données Mono'!N:N,MATCH(B1337,'Base de données Mono'!D:D,0))</f>
        <v>0.53125</v>
      </c>
      <c r="M1337" s="33" t="s">
        <v>46</v>
      </c>
      <c r="N1337" s="33">
        <f>IF(AND(E1337="Electricité",M1337="Hiver"),INDEX('Base de données Mono'!E:E,MATCH(B1337,'Base de données Mono'!D:D,0)),IF(AND(E1337="Electricité",M1337="Mi-saison"),INDEX('Base de données Mono'!F:F,MATCH(B1337,'Base de données Mono'!D:D,0)),IF(AND(E1337="Electricité",M1337="Eté"),INDEX('Base de données Mono'!G:G,MATCH(B1337,'Base de données Mono'!D:D,0)),IF(AND(E1337="Gaz",M1337="Hiver"),INDEX('Base de données Mono'!J:J,MATCH(B1337,'Base de données Mono'!D:D,0)),IF(AND(E1337="Gaz",M1337="Mi-saison"),INDEX('Base de données Mono'!#REF!,MATCH(B1337,'Base de données Mono'!D:D,0)),IF(AND(E1337="Gaz",M1337="Eté"),INDEX('Base de données Mono'!#REF!,MATCH(B1337,'Base de données Mono'!D:D,0)),"-"))))))</f>
        <v>40</v>
      </c>
      <c r="O1337" s="123">
        <v>45403</v>
      </c>
      <c r="P1337" s="123">
        <v>45403</v>
      </c>
      <c r="Q1337" s="34">
        <v>85</v>
      </c>
      <c r="R1337" s="33">
        <f t="shared" si="323"/>
        <v>45</v>
      </c>
      <c r="S1337" s="34">
        <v>8</v>
      </c>
      <c r="T1337" s="34">
        <v>1</v>
      </c>
      <c r="U1337" s="33">
        <f t="shared" si="324"/>
        <v>360</v>
      </c>
      <c r="V1337" s="38" t="s">
        <v>827</v>
      </c>
      <c r="W1337" s="39">
        <f t="shared" si="325"/>
        <v>1.125</v>
      </c>
      <c r="X1337" s="40" t="s">
        <v>730</v>
      </c>
      <c r="Y1337" s="40" t="s">
        <v>284</v>
      </c>
      <c r="Z1337" s="40" t="s">
        <v>307</v>
      </c>
      <c r="AA1337" s="33" t="s">
        <v>308</v>
      </c>
      <c r="AB1337" s="95"/>
      <c r="AC1337" s="95"/>
    </row>
    <row r="1338" spans="1:29" ht="14.45" hidden="1" customHeight="1" x14ac:dyDescent="0.25">
      <c r="A1338" s="36" t="str">
        <f>INDEX('Base de données Mono'!C:C,MATCH(B1338,'Base de données Mono'!D:D,0))</f>
        <v>COURCELLES</v>
      </c>
      <c r="B1338" t="s">
        <v>112</v>
      </c>
      <c r="C1338" s="36" t="str">
        <f>INDEX('Base de données Mono'!B:B,MATCH(B1338,'Base de données Mono'!D:D,0))</f>
        <v>SES8</v>
      </c>
      <c r="D1338" s="36" t="str">
        <f>INDEX('Base de données Mono'!A:A,MATCH(B1338,'Base de données Mono'!D:D,0))</f>
        <v>AD</v>
      </c>
      <c r="E1338" s="37" t="s">
        <v>303</v>
      </c>
      <c r="F1338" s="41">
        <f t="shared" si="321"/>
        <v>16</v>
      </c>
      <c r="G1338" s="41">
        <f t="shared" si="322"/>
        <v>4</v>
      </c>
      <c r="I1338" s="131">
        <f>INDEX('Base de données Mono'!K:K,MATCH(B1338,'Base de données Mono'!D:D,0))</f>
        <v>0.25</v>
      </c>
      <c r="J1338" s="131">
        <f>INDEX('Base de données Mono'!L:L,MATCH(B1338,'Base de données Mono'!D:D,0))</f>
        <v>0.86458333333333337</v>
      </c>
      <c r="K1338" s="131" t="str">
        <f>INDEX('Base de données Mono'!M:M,MATCH(B1338,'Base de données Mono'!D:D,0))</f>
        <v>-</v>
      </c>
      <c r="L1338" s="131" t="str">
        <f>INDEX('Base de données Mono'!N:N,MATCH(B1338,'Base de données Mono'!D:D,0))</f>
        <v>-</v>
      </c>
      <c r="M1338" s="33" t="s">
        <v>46</v>
      </c>
      <c r="N1338" s="33">
        <f>IF(AND(E1338="Electricité",M1338="Hiver"),INDEX('Base de données Mono'!E:E,MATCH(B1338,'Base de données Mono'!D:D,0)),IF(AND(E1338="Electricité",M1338="Mi-saison"),INDEX('Base de données Mono'!F:F,MATCH(B1338,'Base de données Mono'!D:D,0)),IF(AND(E1338="Electricité",M1338="Eté"),INDEX('Base de données Mono'!G:G,MATCH(B1338,'Base de données Mono'!D:D,0)),IF(AND(E1338="Gaz",M1338="Hiver"),INDEX('Base de données Mono'!J:J,MATCH(B1338,'Base de données Mono'!D:D,0)),IF(AND(E1338="Gaz",M1338="Mi-saison"),INDEX('Base de données Mono'!#REF!,MATCH(B1338,'Base de données Mono'!D:D,0)),IF(AND(E1338="Gaz",M1338="Eté"),INDEX('Base de données Mono'!#REF!,MATCH(B1338,'Base de données Mono'!D:D,0)),"-"))))))</f>
        <v>45</v>
      </c>
      <c r="O1338" s="123">
        <v>45403</v>
      </c>
      <c r="P1338" s="123">
        <v>45403</v>
      </c>
      <c r="Q1338" s="34">
        <v>75</v>
      </c>
      <c r="R1338" s="33">
        <f t="shared" si="323"/>
        <v>30</v>
      </c>
      <c r="S1338" s="34">
        <v>13</v>
      </c>
      <c r="T1338" s="34">
        <v>1</v>
      </c>
      <c r="U1338" s="33">
        <f t="shared" si="324"/>
        <v>390</v>
      </c>
      <c r="V1338" s="38" t="s">
        <v>827</v>
      </c>
      <c r="W1338" s="39">
        <f t="shared" si="325"/>
        <v>0.66666666666666663</v>
      </c>
      <c r="X1338" s="40" t="s">
        <v>730</v>
      </c>
      <c r="Y1338" s="40" t="s">
        <v>284</v>
      </c>
      <c r="Z1338" s="40" t="s">
        <v>307</v>
      </c>
      <c r="AA1338" s="33" t="s">
        <v>308</v>
      </c>
      <c r="AB1338" s="95"/>
      <c r="AC1338" s="95"/>
    </row>
    <row r="1339" spans="1:29" ht="14.45" hidden="1" customHeight="1" x14ac:dyDescent="0.25">
      <c r="A1339" s="36" t="str">
        <f>INDEX('Base de données Mono'!C:C,MATCH(B1339,'Base de données Mono'!D:D,0))</f>
        <v>NICE GORBELLA</v>
      </c>
      <c r="B1339" t="s">
        <v>196</v>
      </c>
      <c r="C1339" s="36" t="str">
        <f>INDEX('Base de données Mono'!B:B,MATCH(B1339,'Base de données Mono'!D:D,0))</f>
        <v>SES8</v>
      </c>
      <c r="D1339" s="36" t="str">
        <f>INDEX('Base de données Mono'!A:A,MATCH(B1339,'Base de données Mono'!D:D,0))</f>
        <v>JG</v>
      </c>
      <c r="E1339" s="37" t="s">
        <v>303</v>
      </c>
      <c r="F1339" s="41">
        <f t="shared" si="321"/>
        <v>16</v>
      </c>
      <c r="G1339" s="41">
        <f t="shared" si="322"/>
        <v>4</v>
      </c>
      <c r="I1339" s="131">
        <f>INDEX('Base de données Mono'!K:K,MATCH(B1339,'Base de données Mono'!D:D,0))</f>
        <v>0.20138888888888887</v>
      </c>
      <c r="J1339" s="131">
        <f>INDEX('Base de données Mono'!L:L,MATCH(B1339,'Base de données Mono'!D:D,0))</f>
        <v>0.89583333333333337</v>
      </c>
      <c r="K1339" s="131">
        <f>INDEX('Base de données Mono'!M:M,MATCH(B1339,'Base de données Mono'!D:D,0))</f>
        <v>0.27777777777777779</v>
      </c>
      <c r="L1339" s="131">
        <f>INDEX('Base de données Mono'!N:N,MATCH(B1339,'Base de données Mono'!D:D,0))</f>
        <v>0.55208333333333337</v>
      </c>
      <c r="M1339" s="33" t="s">
        <v>46</v>
      </c>
      <c r="N1339" s="33">
        <f>IF(AND(E1339="Electricité",M1339="Hiver"),INDEX('Base de données Mono'!E:E,MATCH(B1339,'Base de données Mono'!D:D,0)),IF(AND(E1339="Electricité",M1339="Mi-saison"),INDEX('Base de données Mono'!F:F,MATCH(B1339,'Base de données Mono'!D:D,0)),IF(AND(E1339="Electricité",M1339="Eté"),INDEX('Base de données Mono'!G:G,MATCH(B1339,'Base de données Mono'!D:D,0)),IF(AND(E1339="Gaz",M1339="Hiver"),INDEX('Base de données Mono'!J:J,MATCH(B1339,'Base de données Mono'!D:D,0)),IF(AND(E1339="Gaz",M1339="Mi-saison"),INDEX('Base de données Mono'!#REF!,MATCH(B1339,'Base de données Mono'!D:D,0)),IF(AND(E1339="Gaz",M1339="Eté"),INDEX('Base de données Mono'!#REF!,MATCH(B1339,'Base de données Mono'!D:D,0)),"-"))))))</f>
        <v>20</v>
      </c>
      <c r="O1339" s="123">
        <v>45403</v>
      </c>
      <c r="P1339" s="123">
        <v>45403</v>
      </c>
      <c r="Q1339" s="34">
        <v>60</v>
      </c>
      <c r="R1339" s="33">
        <f t="shared" si="323"/>
        <v>40</v>
      </c>
      <c r="S1339" s="34">
        <v>7.5</v>
      </c>
      <c r="T1339" s="34">
        <v>1</v>
      </c>
      <c r="U1339" s="33">
        <f t="shared" si="324"/>
        <v>300</v>
      </c>
      <c r="V1339" s="38" t="s">
        <v>827</v>
      </c>
      <c r="W1339" s="39">
        <f t="shared" si="325"/>
        <v>2</v>
      </c>
      <c r="X1339" s="40" t="s">
        <v>730</v>
      </c>
      <c r="Y1339" s="40" t="s">
        <v>284</v>
      </c>
      <c r="Z1339" s="40" t="s">
        <v>307</v>
      </c>
      <c r="AA1339" s="33" t="s">
        <v>308</v>
      </c>
      <c r="AB1339" s="95"/>
      <c r="AC1339" s="95"/>
    </row>
    <row r="1340" spans="1:29" ht="14.45" hidden="1" customHeight="1" x14ac:dyDescent="0.25">
      <c r="A1340" s="36" t="str">
        <f>INDEX('Base de données Mono'!C:C,MATCH(B1340,'Base de données Mono'!D:D,0))</f>
        <v>NICE CIMIEZ</v>
      </c>
      <c r="B1340" t="s">
        <v>194</v>
      </c>
      <c r="C1340" s="36" t="str">
        <f>INDEX('Base de données Mono'!B:B,MATCH(B1340,'Base de données Mono'!D:D,0))</f>
        <v>SES8</v>
      </c>
      <c r="D1340" s="36" t="str">
        <f>INDEX('Base de données Mono'!A:A,MATCH(B1340,'Base de données Mono'!D:D,0))</f>
        <v>JG</v>
      </c>
      <c r="E1340" s="37" t="s">
        <v>303</v>
      </c>
      <c r="F1340" s="41">
        <f t="shared" si="321"/>
        <v>16</v>
      </c>
      <c r="G1340" s="41">
        <f t="shared" si="322"/>
        <v>4</v>
      </c>
      <c r="I1340" s="131">
        <f>INDEX('Base de données Mono'!K:K,MATCH(B1340,'Base de données Mono'!D:D,0))</f>
        <v>0.23611111111111113</v>
      </c>
      <c r="J1340" s="131">
        <f>INDEX('Base de données Mono'!L:L,MATCH(B1340,'Base de données Mono'!D:D,0))</f>
        <v>0.875</v>
      </c>
      <c r="K1340" s="131">
        <f>INDEX('Base de données Mono'!M:M,MATCH(B1340,'Base de données Mono'!D:D,0))</f>
        <v>0.28472222222222221</v>
      </c>
      <c r="L1340" s="131">
        <f>INDEX('Base de données Mono'!N:N,MATCH(B1340,'Base de données Mono'!D:D,0))</f>
        <v>0.54166666666666663</v>
      </c>
      <c r="M1340" s="33" t="s">
        <v>46</v>
      </c>
      <c r="N1340" s="33">
        <f>IF(AND(E1340="Electricité",M1340="Hiver"),INDEX('Base de données Mono'!E:E,MATCH(B1340,'Base de données Mono'!D:D,0)),IF(AND(E1340="Electricité",M1340="Mi-saison"),INDEX('Base de données Mono'!F:F,MATCH(B1340,'Base de données Mono'!D:D,0)),IF(AND(E1340="Electricité",M1340="Eté"),INDEX('Base de données Mono'!G:G,MATCH(B1340,'Base de données Mono'!D:D,0)),IF(AND(E1340="Gaz",M1340="Hiver"),INDEX('Base de données Mono'!J:J,MATCH(B1340,'Base de données Mono'!D:D,0)),IF(AND(E1340="Gaz",M1340="Mi-saison"),INDEX('Base de données Mono'!#REF!,MATCH(B1340,'Base de données Mono'!D:D,0)),IF(AND(E1340="Gaz",M1340="Eté"),INDEX('Base de données Mono'!#REF!,MATCH(B1340,'Base de données Mono'!D:D,0)),"-"))))))</f>
        <v>85</v>
      </c>
      <c r="O1340" s="123">
        <v>45403</v>
      </c>
      <c r="P1340" s="123">
        <v>45403</v>
      </c>
      <c r="Q1340" s="34">
        <v>130</v>
      </c>
      <c r="R1340" s="33">
        <f t="shared" si="323"/>
        <v>45</v>
      </c>
      <c r="S1340" s="34">
        <v>7</v>
      </c>
      <c r="T1340" s="34">
        <v>1</v>
      </c>
      <c r="U1340" s="33">
        <f t="shared" si="324"/>
        <v>315</v>
      </c>
      <c r="V1340" s="38" t="s">
        <v>827</v>
      </c>
      <c r="W1340" s="39">
        <f t="shared" si="325"/>
        <v>0.52941176470588236</v>
      </c>
      <c r="X1340" s="40" t="s">
        <v>730</v>
      </c>
      <c r="Y1340" s="40" t="s">
        <v>284</v>
      </c>
      <c r="Z1340" s="40" t="s">
        <v>307</v>
      </c>
      <c r="AA1340" s="33" t="s">
        <v>308</v>
      </c>
      <c r="AB1340" s="95"/>
      <c r="AC1340" s="95"/>
    </row>
    <row r="1341" spans="1:29" ht="14.45" hidden="1" customHeight="1" x14ac:dyDescent="0.25">
      <c r="A1341" s="36" t="str">
        <f>INDEX('Base de données Mono'!C:C,MATCH(B1341,'Base de données Mono'!D:D,0))</f>
        <v>DIJON</v>
      </c>
      <c r="B1341" t="s">
        <v>119</v>
      </c>
      <c r="C1341" s="36" t="str">
        <f>INDEX('Base de données Mono'!B:B,MATCH(B1341,'Base de données Mono'!D:D,0))</f>
        <v>SES8</v>
      </c>
      <c r="D1341" s="36" t="str">
        <f>INDEX('Base de données Mono'!A:A,MATCH(B1341,'Base de données Mono'!D:D,0))</f>
        <v>JG</v>
      </c>
      <c r="E1341" s="37" t="s">
        <v>303</v>
      </c>
      <c r="F1341" s="41">
        <f t="shared" si="321"/>
        <v>16</v>
      </c>
      <c r="G1341" s="41">
        <f t="shared" si="322"/>
        <v>4</v>
      </c>
      <c r="I1341" s="131">
        <f>INDEX('Base de données Mono'!K:K,MATCH(B1341,'Base de données Mono'!D:D,0))</f>
        <v>0.24305555555555555</v>
      </c>
      <c r="J1341" s="131">
        <f>INDEX('Base de données Mono'!L:L,MATCH(B1341,'Base de données Mono'!D:D,0))</f>
        <v>0.875</v>
      </c>
      <c r="K1341" s="131">
        <f>INDEX('Base de données Mono'!M:M,MATCH(B1341,'Base de données Mono'!D:D,0))</f>
        <v>0.3125</v>
      </c>
      <c r="L1341" s="131">
        <f>INDEX('Base de données Mono'!N:N,MATCH(B1341,'Base de données Mono'!D:D,0))</f>
        <v>0.54166666666666663</v>
      </c>
      <c r="M1341" s="33" t="s">
        <v>46</v>
      </c>
      <c r="N1341" s="33">
        <f>IF(AND(E1341="Electricité",M1341="Hiver"),INDEX('Base de données Mono'!E:E,MATCH(B1341,'Base de données Mono'!D:D,0)),IF(AND(E1341="Electricité",M1341="Mi-saison"),INDEX('Base de données Mono'!F:F,MATCH(B1341,'Base de données Mono'!D:D,0)),IF(AND(E1341="Electricité",M1341="Eté"),INDEX('Base de données Mono'!G:G,MATCH(B1341,'Base de données Mono'!D:D,0)),IF(AND(E1341="Gaz",M1341="Hiver"),INDEX('Base de données Mono'!J:J,MATCH(B1341,'Base de données Mono'!D:D,0)),IF(AND(E1341="Gaz",M1341="Mi-saison"),INDEX('Base de données Mono'!#REF!,MATCH(B1341,'Base de données Mono'!D:D,0)),IF(AND(E1341="Gaz",M1341="Eté"),INDEX('Base de données Mono'!#REF!,MATCH(B1341,'Base de données Mono'!D:D,0)),"-"))))))</f>
        <v>55</v>
      </c>
      <c r="O1341" s="123">
        <v>45403</v>
      </c>
      <c r="P1341" s="123">
        <v>45403</v>
      </c>
      <c r="Q1341" s="34">
        <v>105</v>
      </c>
      <c r="R1341" s="33">
        <f t="shared" si="323"/>
        <v>50</v>
      </c>
      <c r="S1341" s="34">
        <v>7</v>
      </c>
      <c r="T1341" s="34">
        <v>1</v>
      </c>
      <c r="U1341" s="33">
        <f t="shared" si="324"/>
        <v>350</v>
      </c>
      <c r="V1341" s="38" t="s">
        <v>827</v>
      </c>
      <c r="W1341" s="39">
        <f t="shared" si="325"/>
        <v>0.90909090909090906</v>
      </c>
      <c r="X1341" s="40" t="s">
        <v>730</v>
      </c>
      <c r="Y1341" s="40" t="s">
        <v>284</v>
      </c>
      <c r="Z1341" s="40" t="s">
        <v>307</v>
      </c>
      <c r="AA1341" s="33" t="s">
        <v>308</v>
      </c>
      <c r="AB1341" s="95"/>
      <c r="AC1341" s="95"/>
    </row>
    <row r="1342" spans="1:29" ht="14.45" hidden="1" customHeight="1" x14ac:dyDescent="0.25">
      <c r="A1342" s="36" t="str">
        <f>INDEX('Base de données Mono'!C:C,MATCH(B1342,'Base de données Mono'!D:D,0))</f>
        <v>LYON VALMY</v>
      </c>
      <c r="B1342" t="s">
        <v>22</v>
      </c>
      <c r="C1342" s="36" t="str">
        <f>INDEX('Base de données Mono'!B:B,MATCH(B1342,'Base de données Mono'!D:D,0))</f>
        <v>SES8</v>
      </c>
      <c r="D1342" s="36" t="str">
        <f>INDEX('Base de données Mono'!A:A,MATCH(B1342,'Base de données Mono'!D:D,0))</f>
        <v>JG</v>
      </c>
      <c r="E1342" s="37" t="s">
        <v>303</v>
      </c>
      <c r="F1342" s="41">
        <f t="shared" si="321"/>
        <v>16</v>
      </c>
      <c r="G1342" s="41">
        <f t="shared" si="322"/>
        <v>4</v>
      </c>
      <c r="I1342" s="131">
        <f>INDEX('Base de données Mono'!K:K,MATCH(B1342,'Base de données Mono'!D:D,0))</f>
        <v>0.20833333333333334</v>
      </c>
      <c r="J1342" s="131">
        <f>INDEX('Base de données Mono'!L:L,MATCH(B1342,'Base de données Mono'!D:D,0))</f>
        <v>0.88541666666666663</v>
      </c>
      <c r="K1342" s="131">
        <f>INDEX('Base de données Mono'!M:M,MATCH(B1342,'Base de données Mono'!D:D,0))</f>
        <v>0.31944444444444448</v>
      </c>
      <c r="L1342" s="131">
        <f>INDEX('Base de données Mono'!N:N,MATCH(B1342,'Base de données Mono'!D:D,0))</f>
        <v>0.55208333333333337</v>
      </c>
      <c r="M1342" s="33" t="s">
        <v>46</v>
      </c>
      <c r="N1342" s="33">
        <f>IF(AND(E1342="Electricité",M1342="Hiver"),INDEX('Base de données Mono'!E:E,MATCH(B1342,'Base de données Mono'!D:D,0)),IF(AND(E1342="Electricité",M1342="Mi-saison"),INDEX('Base de données Mono'!F:F,MATCH(B1342,'Base de données Mono'!D:D,0)),IF(AND(E1342="Electricité",M1342="Eté"),INDEX('Base de données Mono'!G:G,MATCH(B1342,'Base de données Mono'!D:D,0)),IF(AND(E1342="Gaz",M1342="Hiver"),INDEX('Base de données Mono'!J:J,MATCH(B1342,'Base de données Mono'!D:D,0)),IF(AND(E1342="Gaz",M1342="Mi-saison"),INDEX('Base de données Mono'!#REF!,MATCH(B1342,'Base de données Mono'!D:D,0)),IF(AND(E1342="Gaz",M1342="Eté"),INDEX('Base de données Mono'!#REF!,MATCH(B1342,'Base de données Mono'!D:D,0)),"-"))))))</f>
        <v>50</v>
      </c>
      <c r="O1342" s="123">
        <v>45403</v>
      </c>
      <c r="P1342" s="123">
        <v>45403</v>
      </c>
      <c r="Q1342" s="34">
        <v>90</v>
      </c>
      <c r="R1342" s="33">
        <f t="shared" si="323"/>
        <v>40</v>
      </c>
      <c r="S1342" s="34">
        <v>6.2</v>
      </c>
      <c r="T1342" s="34">
        <v>1</v>
      </c>
      <c r="U1342" s="33">
        <f t="shared" si="324"/>
        <v>248</v>
      </c>
      <c r="V1342" s="38" t="s">
        <v>827</v>
      </c>
      <c r="W1342" s="39">
        <f t="shared" si="325"/>
        <v>0.8</v>
      </c>
      <c r="X1342" s="40" t="s">
        <v>730</v>
      </c>
      <c r="Y1342" s="40" t="s">
        <v>284</v>
      </c>
      <c r="Z1342" s="40" t="s">
        <v>307</v>
      </c>
      <c r="AA1342" s="33" t="s">
        <v>308</v>
      </c>
      <c r="AB1342" s="95"/>
      <c r="AC1342" s="95"/>
    </row>
    <row r="1343" spans="1:29" ht="14.45" hidden="1" customHeight="1" x14ac:dyDescent="0.25">
      <c r="A1343" s="36" t="str">
        <f>INDEX('Base de données Mono'!C:C,MATCH(B1343,'Base de données Mono'!D:D,0))</f>
        <v>LYON GBL</v>
      </c>
      <c r="B1343" t="s">
        <v>167</v>
      </c>
      <c r="C1343" s="36" t="str">
        <f>INDEX('Base de données Mono'!B:B,MATCH(B1343,'Base de données Mono'!D:D,0))</f>
        <v>SES8</v>
      </c>
      <c r="D1343" s="36" t="str">
        <f>INDEX('Base de données Mono'!A:A,MATCH(B1343,'Base de données Mono'!D:D,0))</f>
        <v>JG</v>
      </c>
      <c r="E1343" s="37" t="s">
        <v>303</v>
      </c>
      <c r="F1343" s="41">
        <f t="shared" si="321"/>
        <v>16</v>
      </c>
      <c r="G1343" s="41">
        <f t="shared" si="322"/>
        <v>4</v>
      </c>
      <c r="I1343" s="131">
        <f>INDEX('Base de données Mono'!K:K,MATCH(B1343,'Base de données Mono'!D:D,0))</f>
        <v>0.19791666666666666</v>
      </c>
      <c r="J1343" s="131">
        <f>INDEX('Base de données Mono'!L:L,MATCH(B1343,'Base de données Mono'!D:D,0))</f>
        <v>0.89583333333333337</v>
      </c>
      <c r="K1343" s="131">
        <f>INDEX('Base de données Mono'!M:M,MATCH(B1343,'Base de données Mono'!D:D,0))</f>
        <v>0.27083333333333331</v>
      </c>
      <c r="L1343" s="131">
        <f>INDEX('Base de données Mono'!N:N,MATCH(B1343,'Base de données Mono'!D:D,0))</f>
        <v>0.54166666666666663</v>
      </c>
      <c r="M1343" s="33" t="s">
        <v>46</v>
      </c>
      <c r="N1343" s="33">
        <f>IF(AND(E1343="Electricité",M1343="Hiver"),INDEX('Base de données Mono'!E:E,MATCH(B1343,'Base de données Mono'!D:D,0)),IF(AND(E1343="Electricité",M1343="Mi-saison"),INDEX('Base de données Mono'!F:F,MATCH(B1343,'Base de données Mono'!D:D,0)),IF(AND(E1343="Electricité",M1343="Eté"),INDEX('Base de données Mono'!G:G,MATCH(B1343,'Base de données Mono'!D:D,0)),IF(AND(E1343="Gaz",M1343="Hiver"),INDEX('Base de données Mono'!J:J,MATCH(B1343,'Base de données Mono'!D:D,0)),IF(AND(E1343="Gaz",M1343="Mi-saison"),INDEX('Base de données Mono'!#REF!,MATCH(B1343,'Base de données Mono'!D:D,0)),IF(AND(E1343="Gaz",M1343="Eté"),INDEX('Base de données Mono'!#REF!,MATCH(B1343,'Base de données Mono'!D:D,0)),"-"))))))</f>
        <v>120</v>
      </c>
      <c r="O1343" s="123">
        <v>45403</v>
      </c>
      <c r="P1343" s="123">
        <v>45403</v>
      </c>
      <c r="Q1343" s="34">
        <v>190</v>
      </c>
      <c r="R1343" s="33">
        <f t="shared" si="323"/>
        <v>70</v>
      </c>
      <c r="S1343" s="34">
        <v>2</v>
      </c>
      <c r="T1343" s="34">
        <v>1</v>
      </c>
      <c r="U1343" s="33">
        <f t="shared" si="324"/>
        <v>140</v>
      </c>
      <c r="V1343" s="38" t="s">
        <v>827</v>
      </c>
      <c r="W1343" s="39">
        <f t="shared" si="325"/>
        <v>0.58333333333333337</v>
      </c>
      <c r="X1343" s="40" t="s">
        <v>730</v>
      </c>
      <c r="Y1343" s="40" t="s">
        <v>284</v>
      </c>
      <c r="Z1343" s="40" t="s">
        <v>307</v>
      </c>
      <c r="AA1343" s="33" t="s">
        <v>308</v>
      </c>
      <c r="AB1343" s="95"/>
      <c r="AC1343" s="95"/>
    </row>
    <row r="1344" spans="1:29" ht="14.45" hidden="1" customHeight="1" x14ac:dyDescent="0.25">
      <c r="A1344" s="36" t="str">
        <f>INDEX('Base de données Mono'!C:C,MATCH(B1344,'Base de données Mono'!D:D,0))</f>
        <v>LYON GBL</v>
      </c>
      <c r="B1344" t="s">
        <v>167</v>
      </c>
      <c r="C1344" s="36" t="str">
        <f>INDEX('Base de données Mono'!B:B,MATCH(B1344,'Base de données Mono'!D:D,0))</f>
        <v>SES8</v>
      </c>
      <c r="D1344" s="36" t="str">
        <f>INDEX('Base de données Mono'!A:A,MATCH(B1344,'Base de données Mono'!D:D,0))</f>
        <v>JG</v>
      </c>
      <c r="E1344" s="37" t="s">
        <v>303</v>
      </c>
      <c r="F1344" s="41">
        <f t="shared" si="321"/>
        <v>16</v>
      </c>
      <c r="G1344" s="41">
        <f t="shared" si="322"/>
        <v>4</v>
      </c>
      <c r="I1344" s="131">
        <f>INDEX('Base de données Mono'!K:K,MATCH(B1344,'Base de données Mono'!D:D,0))</f>
        <v>0.19791666666666666</v>
      </c>
      <c r="J1344" s="131">
        <f>INDEX('Base de données Mono'!L:L,MATCH(B1344,'Base de données Mono'!D:D,0))</f>
        <v>0.89583333333333337</v>
      </c>
      <c r="K1344" s="131">
        <f>INDEX('Base de données Mono'!M:M,MATCH(B1344,'Base de données Mono'!D:D,0))</f>
        <v>0.27083333333333331</v>
      </c>
      <c r="L1344" s="131">
        <f>INDEX('Base de données Mono'!N:N,MATCH(B1344,'Base de données Mono'!D:D,0))</f>
        <v>0.54166666666666663</v>
      </c>
      <c r="M1344" s="33" t="s">
        <v>46</v>
      </c>
      <c r="N1344" s="33">
        <f>IF(AND(E1344="Electricité",M1344="Hiver"),INDEX('Base de données Mono'!E:E,MATCH(B1344,'Base de données Mono'!D:D,0)),IF(AND(E1344="Electricité",M1344="Mi-saison"),INDEX('Base de données Mono'!F:F,MATCH(B1344,'Base de données Mono'!D:D,0)),IF(AND(E1344="Electricité",M1344="Eté"),INDEX('Base de données Mono'!G:G,MATCH(B1344,'Base de données Mono'!D:D,0)),IF(AND(E1344="Gaz",M1344="Hiver"),INDEX('Base de données Mono'!J:J,MATCH(B1344,'Base de données Mono'!D:D,0)),IF(AND(E1344="Gaz",M1344="Mi-saison"),INDEX('Base de données Mono'!#REF!,MATCH(B1344,'Base de données Mono'!D:D,0)),IF(AND(E1344="Gaz",M1344="Eté"),INDEX('Base de données Mono'!#REF!,MATCH(B1344,'Base de données Mono'!D:D,0)),"-"))))))</f>
        <v>120</v>
      </c>
      <c r="O1344" s="123">
        <v>45403</v>
      </c>
      <c r="P1344" s="123">
        <v>45403</v>
      </c>
      <c r="Q1344" s="34">
        <v>155</v>
      </c>
      <c r="R1344" s="33">
        <f t="shared" si="323"/>
        <v>35</v>
      </c>
      <c r="S1344" s="34">
        <v>6.5</v>
      </c>
      <c r="T1344" s="34">
        <v>1</v>
      </c>
      <c r="U1344" s="33">
        <f t="shared" si="324"/>
        <v>227.5</v>
      </c>
      <c r="V1344" s="38" t="s">
        <v>827</v>
      </c>
      <c r="W1344" s="39">
        <f t="shared" si="325"/>
        <v>0.29166666666666669</v>
      </c>
      <c r="X1344" s="40" t="s">
        <v>730</v>
      </c>
      <c r="Y1344" s="40" t="s">
        <v>284</v>
      </c>
      <c r="Z1344" s="40" t="s">
        <v>305</v>
      </c>
      <c r="AA1344" s="33" t="s">
        <v>771</v>
      </c>
      <c r="AB1344" s="95"/>
      <c r="AC1344" s="95"/>
    </row>
    <row r="1345" spans="1:29" ht="14.45" hidden="1" customHeight="1" x14ac:dyDescent="0.25">
      <c r="A1345" s="36" t="str">
        <f>INDEX('Base de données Mono'!C:C,MATCH(B1345,'Base de données Mono'!D:D,0))</f>
        <v>DAUMESNIL</v>
      </c>
      <c r="B1345" t="s">
        <v>15</v>
      </c>
      <c r="C1345" s="36" t="str">
        <f>INDEX('Base de données Mono'!B:B,MATCH(B1345,'Base de données Mono'!D:D,0))</f>
        <v>SES8</v>
      </c>
      <c r="D1345" s="36" t="str">
        <f>INDEX('Base de données Mono'!A:A,MATCH(B1345,'Base de données Mono'!D:D,0))</f>
        <v>JG</v>
      </c>
      <c r="E1345" s="37" t="s">
        <v>303</v>
      </c>
      <c r="F1345" s="41">
        <f t="shared" si="321"/>
        <v>16</v>
      </c>
      <c r="G1345" s="41">
        <f t="shared" si="322"/>
        <v>4</v>
      </c>
      <c r="I1345" s="131">
        <f>INDEX('Base de données Mono'!K:K,MATCH(B1345,'Base de données Mono'!D:D,0))</f>
        <v>0.24305555555555555</v>
      </c>
      <c r="J1345" s="131">
        <f>INDEX('Base de données Mono'!L:L,MATCH(B1345,'Base de données Mono'!D:D,0))</f>
        <v>0.92013888888888884</v>
      </c>
      <c r="K1345" s="131">
        <f>INDEX('Base de données Mono'!M:M,MATCH(B1345,'Base de données Mono'!D:D,0))</f>
        <v>0.28472222222222221</v>
      </c>
      <c r="L1345" s="131">
        <f>INDEX('Base de données Mono'!N:N,MATCH(B1345,'Base de données Mono'!D:D,0))</f>
        <v>0.54166666666666663</v>
      </c>
      <c r="M1345" s="33" t="s">
        <v>46</v>
      </c>
      <c r="N1345" s="33">
        <f>IF(AND(E1345="Electricité",M1345="Hiver"),INDEX('Base de données Mono'!E:E,MATCH(B1345,'Base de données Mono'!D:D,0)),IF(AND(E1345="Electricité",M1345="Mi-saison"),INDEX('Base de données Mono'!F:F,MATCH(B1345,'Base de données Mono'!D:D,0)),IF(AND(E1345="Electricité",M1345="Eté"),INDEX('Base de données Mono'!G:G,MATCH(B1345,'Base de données Mono'!D:D,0)),IF(AND(E1345="Gaz",M1345="Hiver"),INDEX('Base de données Mono'!J:J,MATCH(B1345,'Base de données Mono'!D:D,0)),IF(AND(E1345="Gaz",M1345="Mi-saison"),INDEX('Base de données Mono'!#REF!,MATCH(B1345,'Base de données Mono'!D:D,0)),IF(AND(E1345="Gaz",M1345="Eté"),INDEX('Base de données Mono'!#REF!,MATCH(B1345,'Base de données Mono'!D:D,0)),"-"))))))</f>
        <v>15</v>
      </c>
      <c r="O1345" s="123">
        <v>45403</v>
      </c>
      <c r="P1345" s="123">
        <v>45403</v>
      </c>
      <c r="Q1345" s="34">
        <v>125</v>
      </c>
      <c r="R1345" s="33">
        <f t="shared" si="323"/>
        <v>110</v>
      </c>
      <c r="S1345" s="34">
        <v>7</v>
      </c>
      <c r="T1345" s="34">
        <v>1</v>
      </c>
      <c r="U1345" s="33">
        <f t="shared" si="324"/>
        <v>770</v>
      </c>
      <c r="V1345" s="38" t="s">
        <v>827</v>
      </c>
      <c r="W1345" s="39">
        <f t="shared" si="325"/>
        <v>7.333333333333333</v>
      </c>
      <c r="X1345" s="40" t="s">
        <v>730</v>
      </c>
      <c r="Y1345" s="40" t="s">
        <v>284</v>
      </c>
      <c r="Z1345" s="40" t="s">
        <v>307</v>
      </c>
      <c r="AA1345" s="33" t="s">
        <v>308</v>
      </c>
      <c r="AB1345" s="95"/>
      <c r="AC1345" s="95"/>
    </row>
    <row r="1346" spans="1:29" ht="14.45" hidden="1" customHeight="1" x14ac:dyDescent="0.25">
      <c r="A1346" s="36" t="str">
        <f>INDEX('Base de données Mono'!C:C,MATCH(B1346,'Base de données Mono'!D:D,0))</f>
        <v>SETE</v>
      </c>
      <c r="B1346" t="s">
        <v>34</v>
      </c>
      <c r="C1346" s="36" t="str">
        <f>INDEX('Base de données Mono'!B:B,MATCH(B1346,'Base de données Mono'!D:D,0))</f>
        <v>SES8</v>
      </c>
      <c r="D1346" s="36" t="str">
        <f>INDEX('Base de données Mono'!A:A,MATCH(B1346,'Base de données Mono'!D:D,0))</f>
        <v>AD</v>
      </c>
      <c r="E1346" s="37" t="s">
        <v>303</v>
      </c>
      <c r="F1346" s="41">
        <f t="shared" si="321"/>
        <v>16</v>
      </c>
      <c r="G1346" s="41">
        <f t="shared" si="322"/>
        <v>4</v>
      </c>
      <c r="I1346" s="131">
        <f>INDEX('Base de données Mono'!K:K,MATCH(B1346,'Base de données Mono'!D:D,0))</f>
        <v>0.23611111111111113</v>
      </c>
      <c r="J1346" s="131">
        <f>INDEX('Base de données Mono'!L:L,MATCH(B1346,'Base de données Mono'!D:D,0))</f>
        <v>0.85416666666666663</v>
      </c>
      <c r="K1346" s="131">
        <f>INDEX('Base de données Mono'!M:M,MATCH(B1346,'Base de données Mono'!D:D,0))</f>
        <v>0.29166666666666669</v>
      </c>
      <c r="L1346" s="131">
        <f>INDEX('Base de données Mono'!N:N,MATCH(B1346,'Base de données Mono'!D:D,0))</f>
        <v>0.54166666666666663</v>
      </c>
      <c r="M1346" s="33" t="s">
        <v>46</v>
      </c>
      <c r="N1346" s="33">
        <f>IF(AND(E1346="Electricité",M1346="Hiver"),INDEX('Base de données Mono'!E:E,MATCH(B1346,'Base de données Mono'!D:D,0)),IF(AND(E1346="Electricité",M1346="Mi-saison"),INDEX('Base de données Mono'!F:F,MATCH(B1346,'Base de données Mono'!D:D,0)),IF(AND(E1346="Electricité",M1346="Eté"),INDEX('Base de données Mono'!G:G,MATCH(B1346,'Base de données Mono'!D:D,0)),IF(AND(E1346="Gaz",M1346="Hiver"),INDEX('Base de données Mono'!J:J,MATCH(B1346,'Base de données Mono'!D:D,0)),IF(AND(E1346="Gaz",M1346="Mi-saison"),INDEX('Base de données Mono'!#REF!,MATCH(B1346,'Base de données Mono'!D:D,0)),IF(AND(E1346="Gaz",M1346="Eté"),INDEX('Base de données Mono'!#REF!,MATCH(B1346,'Base de données Mono'!D:D,0)),"-"))))))</f>
        <v>45</v>
      </c>
      <c r="O1346" s="123">
        <v>45403</v>
      </c>
      <c r="P1346" s="123">
        <v>45403</v>
      </c>
      <c r="Q1346" s="34">
        <v>85</v>
      </c>
      <c r="R1346" s="33">
        <f t="shared" si="323"/>
        <v>40</v>
      </c>
      <c r="S1346" s="34">
        <v>6</v>
      </c>
      <c r="T1346" s="34">
        <v>1</v>
      </c>
      <c r="U1346" s="33">
        <f t="shared" si="324"/>
        <v>240</v>
      </c>
      <c r="V1346" s="38" t="s">
        <v>827</v>
      </c>
      <c r="W1346" s="39">
        <f t="shared" si="325"/>
        <v>0.88888888888888884</v>
      </c>
      <c r="X1346" s="40" t="s">
        <v>730</v>
      </c>
      <c r="Y1346" s="40" t="s">
        <v>284</v>
      </c>
      <c r="Z1346" s="40" t="s">
        <v>307</v>
      </c>
      <c r="AA1346" s="33" t="s">
        <v>308</v>
      </c>
      <c r="AB1346" s="95"/>
      <c r="AC1346" s="95"/>
    </row>
    <row r="1347" spans="1:29" ht="14.45" hidden="1" customHeight="1" x14ac:dyDescent="0.25">
      <c r="A1347" s="36" t="str">
        <f>INDEX('Base de données Mono'!C:C,MATCH(B1347,'Base de données Mono'!D:D,0))</f>
        <v>VINCENNES</v>
      </c>
      <c r="B1347" t="s">
        <v>277</v>
      </c>
      <c r="C1347" s="36" t="str">
        <f>INDEX('Base de données Mono'!B:B,MATCH(B1347,'Base de données Mono'!D:D,0))</f>
        <v>SES8</v>
      </c>
      <c r="D1347" s="36" t="str">
        <f>INDEX('Base de données Mono'!A:A,MATCH(B1347,'Base de données Mono'!D:D,0))</f>
        <v>JG</v>
      </c>
      <c r="E1347" s="37" t="s">
        <v>303</v>
      </c>
      <c r="F1347" s="41">
        <f t="shared" ref="F1347:F1353" si="326">IF(O1347="","-",IF(AND(X1347="Nuit",WEEKDAY(O1347,2)=7,O1347&lt;&gt;P1347),WEEKNUM(O1347,2),WEEKNUM(O1347,2)-1))+1</f>
        <v>16</v>
      </c>
      <c r="G1347" s="41">
        <f t="shared" ref="G1347:G1353" si="327">IF(O1347="","-",MONTH(O1347))</f>
        <v>4</v>
      </c>
      <c r="I1347" s="131">
        <f>INDEX('Base de données Mono'!K:K,MATCH(B1347,'Base de données Mono'!D:D,0))</f>
        <v>0.24305555555555555</v>
      </c>
      <c r="J1347" s="131">
        <f>INDEX('Base de données Mono'!L:L,MATCH(B1347,'Base de données Mono'!D:D,0))</f>
        <v>0.91666666666666663</v>
      </c>
      <c r="K1347" s="131">
        <f>INDEX('Base de données Mono'!M:M,MATCH(B1347,'Base de données Mono'!D:D,0))</f>
        <v>0.28472222222222221</v>
      </c>
      <c r="L1347" s="131">
        <f>INDEX('Base de données Mono'!N:N,MATCH(B1347,'Base de données Mono'!D:D,0))</f>
        <v>0.56944444444444442</v>
      </c>
      <c r="M1347" s="33" t="s">
        <v>46</v>
      </c>
      <c r="N1347" s="33">
        <f>IF(AND(E1347="Electricité",M1347="Hiver"),INDEX('Base de données Mono'!E:E,MATCH(B1347,'Base de données Mono'!D:D,0)),IF(AND(E1347="Electricité",M1347="Mi-saison"),INDEX('Base de données Mono'!F:F,MATCH(B1347,'Base de données Mono'!D:D,0)),IF(AND(E1347="Electricité",M1347="Eté"),INDEX('Base de données Mono'!G:G,MATCH(B1347,'Base de données Mono'!D:D,0)),IF(AND(E1347="Gaz",M1347="Hiver"),INDEX('Base de données Mono'!J:J,MATCH(B1347,'Base de données Mono'!D:D,0)),IF(AND(E1347="Gaz",M1347="Mi-saison"),INDEX('Base de données Mono'!#REF!,MATCH(B1347,'Base de données Mono'!D:D,0)),IF(AND(E1347="Gaz",M1347="Eté"),INDEX('Base de données Mono'!#REF!,MATCH(B1347,'Base de données Mono'!D:D,0)),"-"))))))</f>
        <v>45</v>
      </c>
      <c r="O1347" s="123">
        <v>45403</v>
      </c>
      <c r="P1347" s="123">
        <v>45403</v>
      </c>
      <c r="Q1347" s="34">
        <v>75</v>
      </c>
      <c r="R1347" s="33">
        <f t="shared" ref="R1347:R1353" si="328">IF(Q1347="","",Q1347-N1347)</f>
        <v>30</v>
      </c>
      <c r="S1347" s="34">
        <v>6.3</v>
      </c>
      <c r="T1347" s="34">
        <v>1</v>
      </c>
      <c r="U1347" s="33">
        <f t="shared" ref="U1347:U1353" si="329">R1347*S1347*T1347</f>
        <v>189</v>
      </c>
      <c r="V1347" s="38" t="s">
        <v>827</v>
      </c>
      <c r="W1347" s="39">
        <f t="shared" ref="W1347:W1353" si="330">IFERROR(IF(E1347="Gaz","-",R1347/N1347),"-")</f>
        <v>0.66666666666666663</v>
      </c>
      <c r="X1347" s="40" t="s">
        <v>730</v>
      </c>
      <c r="Y1347" s="40" t="s">
        <v>284</v>
      </c>
      <c r="Z1347" s="40" t="s">
        <v>307</v>
      </c>
      <c r="AA1347" s="33" t="s">
        <v>308</v>
      </c>
      <c r="AB1347" s="95"/>
      <c r="AC1347" s="95"/>
    </row>
    <row r="1348" spans="1:29" ht="14.45" hidden="1" customHeight="1" x14ac:dyDescent="0.25">
      <c r="A1348" s="36" t="str">
        <f>INDEX('Base de données Mono'!C:C,MATCH(B1348,'Base de données Mono'!D:D,0))</f>
        <v>LE VESINET</v>
      </c>
      <c r="B1348" t="s">
        <v>19</v>
      </c>
      <c r="C1348" s="36" t="str">
        <f>INDEX('Base de données Mono'!B:B,MATCH(B1348,'Base de données Mono'!D:D,0))</f>
        <v>SES8</v>
      </c>
      <c r="D1348" s="36" t="str">
        <f>INDEX('Base de données Mono'!A:A,MATCH(B1348,'Base de données Mono'!D:D,0))</f>
        <v>AD</v>
      </c>
      <c r="E1348" s="37" t="s">
        <v>303</v>
      </c>
      <c r="F1348" s="41">
        <f t="shared" si="326"/>
        <v>16</v>
      </c>
      <c r="G1348" s="41">
        <f t="shared" si="327"/>
        <v>4</v>
      </c>
      <c r="I1348" s="131">
        <f>INDEX('Base de données Mono'!K:K,MATCH(B1348,'Base de données Mono'!D:D,0))</f>
        <v>0.24305555555555555</v>
      </c>
      <c r="J1348" s="131">
        <f>INDEX('Base de données Mono'!L:L,MATCH(B1348,'Base de données Mono'!D:D,0))</f>
        <v>0.89583333333333337</v>
      </c>
      <c r="K1348" s="131">
        <f>INDEX('Base de données Mono'!M:M,MATCH(B1348,'Base de données Mono'!D:D,0))</f>
        <v>0.29166666666666669</v>
      </c>
      <c r="L1348" s="131">
        <f>INDEX('Base de données Mono'!N:N,MATCH(B1348,'Base de données Mono'!D:D,0))</f>
        <v>0.5625</v>
      </c>
      <c r="M1348" s="33" t="s">
        <v>46</v>
      </c>
      <c r="N1348" s="33">
        <f>IF(AND(E1348="Electricité",M1348="Hiver"),INDEX('Base de données Mono'!E:E,MATCH(B1348,'Base de données Mono'!D:D,0)),IF(AND(E1348="Electricité",M1348="Mi-saison"),INDEX('Base de données Mono'!F:F,MATCH(B1348,'Base de données Mono'!D:D,0)),IF(AND(E1348="Electricité",M1348="Eté"),INDEX('Base de données Mono'!G:G,MATCH(B1348,'Base de données Mono'!D:D,0)),IF(AND(E1348="Gaz",M1348="Hiver"),INDEX('Base de données Mono'!J:J,MATCH(B1348,'Base de données Mono'!D:D,0)),IF(AND(E1348="Gaz",M1348="Mi-saison"),INDEX('Base de données Mono'!#REF!,MATCH(B1348,'Base de données Mono'!D:D,0)),IF(AND(E1348="Gaz",M1348="Eté"),INDEX('Base de données Mono'!#REF!,MATCH(B1348,'Base de données Mono'!D:D,0)),"-"))))))</f>
        <v>45</v>
      </c>
      <c r="O1348" s="123">
        <v>45403</v>
      </c>
      <c r="P1348" s="123">
        <v>45403</v>
      </c>
      <c r="Q1348" s="34">
        <v>85</v>
      </c>
      <c r="R1348" s="33">
        <f t="shared" si="328"/>
        <v>40</v>
      </c>
      <c r="S1348" s="34">
        <v>6.3</v>
      </c>
      <c r="T1348" s="34">
        <v>1</v>
      </c>
      <c r="U1348" s="33">
        <f t="shared" si="329"/>
        <v>252</v>
      </c>
      <c r="V1348" s="38" t="s">
        <v>827</v>
      </c>
      <c r="W1348" s="39">
        <f t="shared" si="330"/>
        <v>0.88888888888888884</v>
      </c>
      <c r="X1348" s="40" t="s">
        <v>730</v>
      </c>
      <c r="Y1348" s="40" t="s">
        <v>284</v>
      </c>
      <c r="Z1348" s="40" t="s">
        <v>307</v>
      </c>
      <c r="AA1348" s="33" t="s">
        <v>308</v>
      </c>
      <c r="AB1348" s="95"/>
      <c r="AC1348" s="95"/>
    </row>
    <row r="1349" spans="1:29" ht="14.45" hidden="1" customHeight="1" x14ac:dyDescent="0.25">
      <c r="A1349" s="36" t="str">
        <f>INDEX('Base de données Mono'!C:C,MATCH(B1349,'Base de données Mono'!D:D,0))</f>
        <v>LE VESINET</v>
      </c>
      <c r="B1349" t="s">
        <v>19</v>
      </c>
      <c r="C1349" s="36" t="str">
        <f>INDEX('Base de données Mono'!B:B,MATCH(B1349,'Base de données Mono'!D:D,0))</f>
        <v>SES8</v>
      </c>
      <c r="D1349" s="36" t="str">
        <f>INDEX('Base de données Mono'!A:A,MATCH(B1349,'Base de données Mono'!D:D,0))</f>
        <v>AD</v>
      </c>
      <c r="E1349" s="37" t="s">
        <v>303</v>
      </c>
      <c r="F1349" s="41">
        <f t="shared" si="326"/>
        <v>16</v>
      </c>
      <c r="G1349" s="41">
        <f t="shared" si="327"/>
        <v>4</v>
      </c>
      <c r="I1349" s="131">
        <f>INDEX('Base de données Mono'!K:K,MATCH(B1349,'Base de données Mono'!D:D,0))</f>
        <v>0.24305555555555555</v>
      </c>
      <c r="J1349" s="131">
        <f>INDEX('Base de données Mono'!L:L,MATCH(B1349,'Base de données Mono'!D:D,0))</f>
        <v>0.89583333333333337</v>
      </c>
      <c r="K1349" s="131">
        <f>INDEX('Base de données Mono'!M:M,MATCH(B1349,'Base de données Mono'!D:D,0))</f>
        <v>0.29166666666666669</v>
      </c>
      <c r="L1349" s="131">
        <f>INDEX('Base de données Mono'!N:N,MATCH(B1349,'Base de données Mono'!D:D,0))</f>
        <v>0.5625</v>
      </c>
      <c r="M1349" s="33" t="s">
        <v>46</v>
      </c>
      <c r="N1349" s="33">
        <f>IF(AND(E1349="Electricité",M1349="Hiver"),INDEX('Base de données Mono'!E:E,MATCH(B1349,'Base de données Mono'!D:D,0)),IF(AND(E1349="Electricité",M1349="Mi-saison"),INDEX('Base de données Mono'!F:F,MATCH(B1349,'Base de données Mono'!D:D,0)),IF(AND(E1349="Electricité",M1349="Eté"),INDEX('Base de données Mono'!G:G,MATCH(B1349,'Base de données Mono'!D:D,0)),IF(AND(E1349="Gaz",M1349="Hiver"),INDEX('Base de données Mono'!J:J,MATCH(B1349,'Base de données Mono'!D:D,0)),IF(AND(E1349="Gaz",M1349="Mi-saison"),INDEX('Base de données Mono'!#REF!,MATCH(B1349,'Base de données Mono'!D:D,0)),IF(AND(E1349="Gaz",M1349="Eté"),INDEX('Base de données Mono'!#REF!,MATCH(B1349,'Base de données Mono'!D:D,0)),"-"))))))</f>
        <v>45</v>
      </c>
      <c r="O1349" s="123">
        <v>45403</v>
      </c>
      <c r="P1349" s="123">
        <v>45403</v>
      </c>
      <c r="Q1349" s="34">
        <v>55</v>
      </c>
      <c r="R1349" s="33">
        <f t="shared" si="328"/>
        <v>10</v>
      </c>
      <c r="S1349" s="34">
        <v>1.7</v>
      </c>
      <c r="T1349" s="34">
        <v>1</v>
      </c>
      <c r="U1349" s="33">
        <f t="shared" si="329"/>
        <v>17</v>
      </c>
      <c r="V1349" s="38" t="s">
        <v>827</v>
      </c>
      <c r="W1349" s="39">
        <f t="shared" si="330"/>
        <v>0.22222222222222221</v>
      </c>
      <c r="X1349" s="40" t="s">
        <v>730</v>
      </c>
      <c r="Y1349" s="40" t="s">
        <v>284</v>
      </c>
      <c r="Z1349" s="40" t="s">
        <v>305</v>
      </c>
      <c r="AA1349" s="33" t="s">
        <v>771</v>
      </c>
      <c r="AB1349" s="95"/>
      <c r="AC1349" s="95"/>
    </row>
    <row r="1350" spans="1:29" ht="14.45" hidden="1" customHeight="1" x14ac:dyDescent="0.25">
      <c r="A1350" s="36" t="str">
        <f>INDEX('Base de données Mono'!C:C,MATCH(B1350,'Base de données Mono'!D:D,0))</f>
        <v>ALESIA ALI</v>
      </c>
      <c r="B1350" t="s">
        <v>56</v>
      </c>
      <c r="C1350" s="36" t="str">
        <f>INDEX('Base de données Mono'!B:B,MATCH(B1350,'Base de données Mono'!D:D,0))</f>
        <v>SES8</v>
      </c>
      <c r="D1350" s="36" t="str">
        <f>INDEX('Base de données Mono'!A:A,MATCH(B1350,'Base de données Mono'!D:D,0))</f>
        <v>AD</v>
      </c>
      <c r="E1350" s="37" t="s">
        <v>303</v>
      </c>
      <c r="F1350" s="41">
        <f t="shared" si="326"/>
        <v>16</v>
      </c>
      <c r="G1350" s="41">
        <f t="shared" si="327"/>
        <v>4</v>
      </c>
      <c r="I1350" s="131">
        <f>INDEX('Base de données Mono'!K:K,MATCH(B1350,'Base de données Mono'!D:D,0))</f>
        <v>0.20833333333333334</v>
      </c>
      <c r="J1350" s="131">
        <f>INDEX('Base de données Mono'!L:L,MATCH(B1350,'Base de données Mono'!D:D,0))</f>
        <v>0.83333333333333337</v>
      </c>
      <c r="K1350" s="131">
        <f>INDEX('Base de données Mono'!M:M,MATCH(B1350,'Base de données Mono'!D:D,0))</f>
        <v>0.25</v>
      </c>
      <c r="L1350" s="131">
        <f>INDEX('Base de données Mono'!N:N,MATCH(B1350,'Base de données Mono'!D:D,0))</f>
        <v>0.54166666666666663</v>
      </c>
      <c r="M1350" s="33" t="s">
        <v>46</v>
      </c>
      <c r="N1350" s="33">
        <f>IF(AND(E1350="Electricité",M1350="Hiver"),INDEX('Base de données Mono'!E:E,MATCH(B1350,'Base de données Mono'!D:D,0)),IF(AND(E1350="Electricité",M1350="Mi-saison"),INDEX('Base de données Mono'!F:F,MATCH(B1350,'Base de données Mono'!D:D,0)),IF(AND(E1350="Electricité",M1350="Eté"),INDEX('Base de données Mono'!G:G,MATCH(B1350,'Base de données Mono'!D:D,0)),IF(AND(E1350="Gaz",M1350="Hiver"),INDEX('Base de données Mono'!J:J,MATCH(B1350,'Base de données Mono'!D:D,0)),IF(AND(E1350="Gaz",M1350="Mi-saison"),INDEX('Base de données Mono'!#REF!,MATCH(B1350,'Base de données Mono'!D:D,0)),IF(AND(E1350="Gaz",M1350="Eté"),INDEX('Base de données Mono'!#REF!,MATCH(B1350,'Base de données Mono'!D:D,0)),"-"))))))</f>
        <v>55</v>
      </c>
      <c r="O1350" s="123">
        <v>45403</v>
      </c>
      <c r="P1350" s="123">
        <v>45403</v>
      </c>
      <c r="Q1350" s="34">
        <v>80</v>
      </c>
      <c r="R1350" s="33">
        <f t="shared" si="328"/>
        <v>25</v>
      </c>
      <c r="S1350" s="34">
        <v>6.8</v>
      </c>
      <c r="T1350" s="34">
        <v>1</v>
      </c>
      <c r="U1350" s="33">
        <f t="shared" si="329"/>
        <v>170</v>
      </c>
      <c r="V1350" s="38" t="s">
        <v>827</v>
      </c>
      <c r="W1350" s="39">
        <f t="shared" si="330"/>
        <v>0.45454545454545453</v>
      </c>
      <c r="X1350" s="40" t="s">
        <v>730</v>
      </c>
      <c r="Y1350" s="40" t="s">
        <v>284</v>
      </c>
      <c r="Z1350" s="40" t="s">
        <v>307</v>
      </c>
      <c r="AA1350" s="33" t="s">
        <v>308</v>
      </c>
      <c r="AB1350" s="95"/>
      <c r="AC1350" s="95"/>
    </row>
    <row r="1351" spans="1:29" ht="14.45" hidden="1" customHeight="1" x14ac:dyDescent="0.25">
      <c r="A1351" s="36" t="str">
        <f>INDEX('Base de données Mono'!C:C,MATCH(B1351,'Base de données Mono'!D:D,0))</f>
        <v>LE COURBE</v>
      </c>
      <c r="B1351" t="s">
        <v>20</v>
      </c>
      <c r="C1351" s="36" t="str">
        <f>INDEX('Base de données Mono'!B:B,MATCH(B1351,'Base de données Mono'!D:D,0))</f>
        <v>SES8</v>
      </c>
      <c r="D1351" s="36" t="str">
        <f>INDEX('Base de données Mono'!A:A,MATCH(B1351,'Base de données Mono'!D:D,0))</f>
        <v>AD</v>
      </c>
      <c r="E1351" s="37" t="s">
        <v>303</v>
      </c>
      <c r="F1351" s="41">
        <f t="shared" si="326"/>
        <v>16</v>
      </c>
      <c r="G1351" s="41">
        <f t="shared" si="327"/>
        <v>4</v>
      </c>
      <c r="I1351" s="131">
        <f>INDEX('Base de données Mono'!K:K,MATCH(B1351,'Base de données Mono'!D:D,0))</f>
        <v>0.24305555555555555</v>
      </c>
      <c r="J1351" s="131">
        <f>INDEX('Base de données Mono'!L:L,MATCH(B1351,'Base de données Mono'!D:D,0))</f>
        <v>0.875</v>
      </c>
      <c r="K1351" s="131" t="str">
        <f>INDEX('Base de données Mono'!M:M,MATCH(B1351,'Base de données Mono'!D:D,0))</f>
        <v>-</v>
      </c>
      <c r="L1351" s="131" t="str">
        <f>INDEX('Base de données Mono'!N:N,MATCH(B1351,'Base de données Mono'!D:D,0))</f>
        <v>-</v>
      </c>
      <c r="M1351" s="33" t="s">
        <v>46</v>
      </c>
      <c r="N1351" s="33">
        <f>IF(AND(E1351="Electricité",M1351="Hiver"),INDEX('Base de données Mono'!E:E,MATCH(B1351,'Base de données Mono'!D:D,0)),IF(AND(E1351="Electricité",M1351="Mi-saison"),INDEX('Base de données Mono'!F:F,MATCH(B1351,'Base de données Mono'!D:D,0)),IF(AND(E1351="Electricité",M1351="Eté"),INDEX('Base de données Mono'!G:G,MATCH(B1351,'Base de données Mono'!D:D,0)),IF(AND(E1351="Gaz",M1351="Hiver"),INDEX('Base de données Mono'!J:J,MATCH(B1351,'Base de données Mono'!D:D,0)),IF(AND(E1351="Gaz",M1351="Mi-saison"),INDEX('Base de données Mono'!#REF!,MATCH(B1351,'Base de données Mono'!D:D,0)),IF(AND(E1351="Gaz",M1351="Eté"),INDEX('Base de données Mono'!#REF!,MATCH(B1351,'Base de données Mono'!D:D,0)),"-"))))))</f>
        <v>75</v>
      </c>
      <c r="O1351" s="123">
        <v>45403</v>
      </c>
      <c r="P1351" s="123">
        <v>45403</v>
      </c>
      <c r="Q1351" s="34">
        <v>100</v>
      </c>
      <c r="R1351" s="33">
        <f t="shared" si="328"/>
        <v>25</v>
      </c>
      <c r="S1351" s="34">
        <v>13</v>
      </c>
      <c r="T1351" s="34">
        <v>1</v>
      </c>
      <c r="U1351" s="33">
        <f t="shared" si="329"/>
        <v>325</v>
      </c>
      <c r="V1351" s="38" t="s">
        <v>827</v>
      </c>
      <c r="W1351" s="39">
        <f t="shared" si="330"/>
        <v>0.33333333333333331</v>
      </c>
      <c r="X1351" s="40" t="s">
        <v>730</v>
      </c>
      <c r="Y1351" s="40" t="s">
        <v>284</v>
      </c>
      <c r="Z1351" s="40" t="s">
        <v>307</v>
      </c>
      <c r="AA1351" s="33" t="s">
        <v>308</v>
      </c>
      <c r="AB1351" s="95"/>
      <c r="AC1351" s="95"/>
    </row>
    <row r="1352" spans="1:29" ht="14.45" hidden="1" customHeight="1" x14ac:dyDescent="0.25">
      <c r="A1352" s="36" t="str">
        <f>INDEX('Base de données Mono'!C:C,MATCH(B1352,'Base de données Mono'!D:D,0))</f>
        <v>COMMERCE</v>
      </c>
      <c r="B1352" t="s">
        <v>110</v>
      </c>
      <c r="C1352" s="36" t="str">
        <f>INDEX('Base de données Mono'!B:B,MATCH(B1352,'Base de données Mono'!D:D,0))</f>
        <v>SES8</v>
      </c>
      <c r="D1352" s="36" t="str">
        <f>INDEX('Base de données Mono'!A:A,MATCH(B1352,'Base de données Mono'!D:D,0))</f>
        <v>AD</v>
      </c>
      <c r="E1352" s="37" t="s">
        <v>303</v>
      </c>
      <c r="F1352" s="41">
        <f t="shared" si="326"/>
        <v>16</v>
      </c>
      <c r="G1352" s="41">
        <f t="shared" si="327"/>
        <v>4</v>
      </c>
      <c r="I1352" s="131">
        <f>INDEX('Base de données Mono'!K:K,MATCH(B1352,'Base de données Mono'!D:D,0))</f>
        <v>0.20833333333333334</v>
      </c>
      <c r="J1352" s="131">
        <f>INDEX('Base de données Mono'!L:L,MATCH(B1352,'Base de données Mono'!D:D,0))</f>
        <v>0.89583333333333337</v>
      </c>
      <c r="K1352" s="131">
        <f>INDEX('Base de données Mono'!M:M,MATCH(B1352,'Base de données Mono'!D:D,0))</f>
        <v>0.27083333333333331</v>
      </c>
      <c r="L1352" s="131">
        <f>INDEX('Base de données Mono'!N:N,MATCH(B1352,'Base de données Mono'!D:D,0))</f>
        <v>0.55902777777777779</v>
      </c>
      <c r="M1352" s="33" t="s">
        <v>46</v>
      </c>
      <c r="N1352" s="33">
        <f>IF(AND(E1352="Electricité",M1352="Hiver"),INDEX('Base de données Mono'!E:E,MATCH(B1352,'Base de données Mono'!D:D,0)),IF(AND(E1352="Electricité",M1352="Mi-saison"),INDEX('Base de données Mono'!F:F,MATCH(B1352,'Base de données Mono'!D:D,0)),IF(AND(E1352="Electricité",M1352="Eté"),INDEX('Base de données Mono'!G:G,MATCH(B1352,'Base de données Mono'!D:D,0)),IF(AND(E1352="Gaz",M1352="Hiver"),INDEX('Base de données Mono'!J:J,MATCH(B1352,'Base de données Mono'!D:D,0)),IF(AND(E1352="Gaz",M1352="Mi-saison"),INDEX('Base de données Mono'!#REF!,MATCH(B1352,'Base de données Mono'!D:D,0)),IF(AND(E1352="Gaz",M1352="Eté"),INDEX('Base de données Mono'!#REF!,MATCH(B1352,'Base de données Mono'!D:D,0)),"-"))))))</f>
        <v>80</v>
      </c>
      <c r="O1352" s="123">
        <v>45403</v>
      </c>
      <c r="P1352" s="123">
        <v>45403</v>
      </c>
      <c r="Q1352" s="34">
        <v>110</v>
      </c>
      <c r="R1352" s="33">
        <f t="shared" si="328"/>
        <v>30</v>
      </c>
      <c r="S1352" s="34">
        <v>6.5</v>
      </c>
      <c r="T1352" s="34">
        <v>1</v>
      </c>
      <c r="U1352" s="33">
        <f t="shared" si="329"/>
        <v>195</v>
      </c>
      <c r="V1352" s="38" t="s">
        <v>827</v>
      </c>
      <c r="W1352" s="39">
        <f t="shared" si="330"/>
        <v>0.375</v>
      </c>
      <c r="X1352" s="40" t="s">
        <v>730</v>
      </c>
      <c r="Y1352" s="40" t="s">
        <v>284</v>
      </c>
      <c r="Z1352" s="40" t="s">
        <v>307</v>
      </c>
      <c r="AA1352" s="33" t="s">
        <v>308</v>
      </c>
      <c r="AB1352" s="95"/>
      <c r="AC1352" s="95"/>
    </row>
    <row r="1353" spans="1:29" ht="14.45" hidden="1" customHeight="1" x14ac:dyDescent="0.25">
      <c r="A1353" s="36" t="str">
        <f>INDEX('Base de données Mono'!C:C,MATCH(B1353,'Base de données Mono'!D:D,0))</f>
        <v>VERSAILLES</v>
      </c>
      <c r="B1353" t="s">
        <v>38</v>
      </c>
      <c r="C1353" s="36" t="str">
        <f>INDEX('Base de données Mono'!B:B,MATCH(B1353,'Base de données Mono'!D:D,0))</f>
        <v>SES8</v>
      </c>
      <c r="D1353" s="36" t="str">
        <f>INDEX('Base de données Mono'!A:A,MATCH(B1353,'Base de données Mono'!D:D,0))</f>
        <v>AD</v>
      </c>
      <c r="E1353" s="37" t="s">
        <v>303</v>
      </c>
      <c r="F1353" s="41">
        <f t="shared" si="326"/>
        <v>16</v>
      </c>
      <c r="G1353" s="41">
        <f t="shared" si="327"/>
        <v>4</v>
      </c>
      <c r="I1353" s="131">
        <f>INDEX('Base de données Mono'!K:K,MATCH(B1353,'Base de données Mono'!D:D,0))</f>
        <v>0.1875</v>
      </c>
      <c r="J1353" s="131">
        <f>INDEX('Base de données Mono'!L:L,MATCH(B1353,'Base de données Mono'!D:D,0))</f>
        <v>0.85416666666666663</v>
      </c>
      <c r="K1353" s="131" t="str">
        <f>INDEX('Base de données Mono'!M:M,MATCH(B1353,'Base de données Mono'!D:D,0))</f>
        <v>-</v>
      </c>
      <c r="L1353" s="131" t="str">
        <f>INDEX('Base de données Mono'!N:N,MATCH(B1353,'Base de données Mono'!D:D,0))</f>
        <v>-</v>
      </c>
      <c r="M1353" s="33" t="s">
        <v>46</v>
      </c>
      <c r="N1353" s="33">
        <f>IF(AND(E1353="Electricité",M1353="Hiver"),INDEX('Base de données Mono'!E:E,MATCH(B1353,'Base de données Mono'!D:D,0)),IF(AND(E1353="Electricité",M1353="Mi-saison"),INDEX('Base de données Mono'!F:F,MATCH(B1353,'Base de données Mono'!D:D,0)),IF(AND(E1353="Electricité",M1353="Eté"),INDEX('Base de données Mono'!G:G,MATCH(B1353,'Base de données Mono'!D:D,0)),IF(AND(E1353="Gaz",M1353="Hiver"),INDEX('Base de données Mono'!J:J,MATCH(B1353,'Base de données Mono'!D:D,0)),IF(AND(E1353="Gaz",M1353="Mi-saison"),INDEX('Base de données Mono'!#REF!,MATCH(B1353,'Base de données Mono'!D:D,0)),IF(AND(E1353="Gaz",M1353="Eté"),INDEX('Base de données Mono'!#REF!,MATCH(B1353,'Base de données Mono'!D:D,0)),"-"))))))</f>
        <v>75</v>
      </c>
      <c r="O1353" s="123">
        <v>45403</v>
      </c>
      <c r="P1353" s="123">
        <v>45403</v>
      </c>
      <c r="Q1353" s="34">
        <v>125</v>
      </c>
      <c r="R1353" s="33">
        <f t="shared" si="328"/>
        <v>50</v>
      </c>
      <c r="S1353" s="34">
        <v>13.5</v>
      </c>
      <c r="T1353" s="34">
        <v>1</v>
      </c>
      <c r="U1353" s="33">
        <f t="shared" si="329"/>
        <v>675</v>
      </c>
      <c r="V1353" s="38" t="s">
        <v>827</v>
      </c>
      <c r="W1353" s="39">
        <f t="shared" si="330"/>
        <v>0.66666666666666663</v>
      </c>
      <c r="X1353" s="40" t="s">
        <v>730</v>
      </c>
      <c r="Y1353" s="40" t="s">
        <v>284</v>
      </c>
      <c r="Z1353" s="40" t="s">
        <v>307</v>
      </c>
      <c r="AA1353" s="33" t="s">
        <v>308</v>
      </c>
      <c r="AB1353" s="95"/>
      <c r="AC1353" s="95"/>
    </row>
    <row r="1354" spans="1:29" ht="14.45" customHeight="1" x14ac:dyDescent="0.25">
      <c r="A1354" s="36" t="str">
        <f>INDEX('Base de données Mono'!C:C,MATCH(B1354,'Base de données Mono'!D:D,0))</f>
        <v>MOZART</v>
      </c>
      <c r="B1354" t="s">
        <v>27</v>
      </c>
      <c r="C1354" s="36" t="str">
        <f>INDEX('Base de données Mono'!B:B,MATCH(B1354,'Base de données Mono'!D:D,0))</f>
        <v>SES8</v>
      </c>
      <c r="D1354" s="36" t="str">
        <f>INDEX('Base de données Mono'!A:A,MATCH(B1354,'Base de données Mono'!D:D,0))</f>
        <v>AD</v>
      </c>
      <c r="E1354" s="37" t="s">
        <v>303</v>
      </c>
      <c r="F1354" s="41">
        <f t="shared" ref="F1354:F1364" si="331">IF(O1354="","-",IF(AND(X1354="Nuit",WEEKDAY(O1354,2)=7,O1354&lt;&gt;P1354),WEEKNUM(O1354,2),WEEKNUM(O1354,2)-1))+1</f>
        <v>17</v>
      </c>
      <c r="G1354" s="41">
        <f t="shared" ref="G1354:G1364" si="332">IF(O1354="","-",MONTH(O1354))</f>
        <v>4</v>
      </c>
      <c r="I1354" s="131">
        <f>INDEX('Base de données Mono'!K:K,MATCH(B1354,'Base de données Mono'!D:D,0))</f>
        <v>0.23611111111111113</v>
      </c>
      <c r="J1354" s="131">
        <f>INDEX('Base de données Mono'!L:L,MATCH(B1354,'Base de données Mono'!D:D,0))</f>
        <v>0.92708333333333337</v>
      </c>
      <c r="K1354" s="131">
        <f>INDEX('Base de données Mono'!M:M,MATCH(B1354,'Base de données Mono'!D:D,0))</f>
        <v>0.23611111111111113</v>
      </c>
      <c r="L1354" s="131">
        <f>INDEX('Base de données Mono'!N:N,MATCH(B1354,'Base de données Mono'!D:D,0))</f>
        <v>0.54166666666666663</v>
      </c>
      <c r="M1354" s="33" t="s">
        <v>46</v>
      </c>
      <c r="N1354" s="33">
        <f>IF(AND(E1354="Electricité",M1354="Hiver"),INDEX('Base de données Mono'!E:E,MATCH(B1354,'Base de données Mono'!D:D,0)),IF(AND(E1354="Electricité",M1354="Mi-saison"),INDEX('Base de données Mono'!F:F,MATCH(B1354,'Base de données Mono'!D:D,0)),IF(AND(E1354="Electricité",M1354="Eté"),INDEX('Base de données Mono'!G:G,MATCH(B1354,'Base de données Mono'!D:D,0)),IF(AND(E1354="Gaz",M1354="Hiver"),INDEX('Base de données Mono'!J:J,MATCH(B1354,'Base de données Mono'!D:D,0)),IF(AND(E1354="Gaz",M1354="Mi-saison"),INDEX('Base de données Mono'!#REF!,MATCH(B1354,'Base de données Mono'!D:D,0)),IF(AND(E1354="Gaz",M1354="Eté"),INDEX('Base de données Mono'!#REF!,MATCH(B1354,'Base de données Mono'!D:D,0)),"-"))))))</f>
        <v>35</v>
      </c>
      <c r="O1354" s="123">
        <v>45403</v>
      </c>
      <c r="P1354" s="123">
        <v>45404</v>
      </c>
      <c r="Q1354" s="34">
        <v>40</v>
      </c>
      <c r="R1354" s="33">
        <f t="shared" ref="R1354:R1364" si="333">IF(Q1354="","",Q1354-N1354)</f>
        <v>5</v>
      </c>
      <c r="S1354" s="34">
        <v>6</v>
      </c>
      <c r="T1354" s="34">
        <f t="shared" ref="T1354:T1391" si="334">P1354-O1354</f>
        <v>1</v>
      </c>
      <c r="U1354" s="33">
        <f t="shared" ref="U1354:U1356" si="335">R1354*S1354*T1354</f>
        <v>30</v>
      </c>
      <c r="V1354" s="38" t="s">
        <v>827</v>
      </c>
      <c r="W1354" s="39">
        <f t="shared" ref="W1354:W1356" si="336">IFERROR(IF(E1354="Gaz","-",R1354/N1354),"-")</f>
        <v>0.14285714285714285</v>
      </c>
      <c r="X1354" s="40" t="s">
        <v>304</v>
      </c>
      <c r="Y1354" s="40" t="s">
        <v>284</v>
      </c>
      <c r="Z1354" s="40" t="s">
        <v>305</v>
      </c>
      <c r="AA1354" s="33" t="s">
        <v>771</v>
      </c>
      <c r="AB1354" s="95"/>
      <c r="AC1354" s="95"/>
    </row>
    <row r="1355" spans="1:29" ht="14.45" hidden="1" customHeight="1" x14ac:dyDescent="0.25">
      <c r="A1355" s="36" t="str">
        <f>INDEX('Base de données Mono'!C:C,MATCH(B1355,'Base de données Mono'!D:D,0))</f>
        <v>VIENNE PYRAMIDE</v>
      </c>
      <c r="B1355" t="s">
        <v>271</v>
      </c>
      <c r="C1355" s="36" t="str">
        <f>INDEX('Base de données Mono'!B:B,MATCH(B1355,'Base de données Mono'!D:D,0))</f>
        <v>Franchisés</v>
      </c>
      <c r="D1355" s="36" t="str">
        <f>INDEX('Base de données Mono'!A:A,MATCH(B1355,'Base de données Mono'!D:D,0))</f>
        <v>AD</v>
      </c>
      <c r="E1355" s="37" t="s">
        <v>303</v>
      </c>
      <c r="F1355" s="41">
        <f t="shared" si="331"/>
        <v>17</v>
      </c>
      <c r="G1355" s="41">
        <f t="shared" si="332"/>
        <v>4</v>
      </c>
      <c r="I1355" s="131">
        <f>INDEX('Base de données Mono'!K:K,MATCH(B1355,'Base de données Mono'!D:D,0))</f>
        <v>0.24305555555555555</v>
      </c>
      <c r="J1355" s="131">
        <f>INDEX('Base de données Mono'!L:L,MATCH(B1355,'Base de données Mono'!D:D,0))</f>
        <v>0.83333333333333337</v>
      </c>
      <c r="K1355" s="131">
        <f>INDEX('Base de données Mono'!M:M,MATCH(B1355,'Base de données Mono'!D:D,0))</f>
        <v>0.29166666666666669</v>
      </c>
      <c r="L1355" s="131">
        <f>INDEX('Base de données Mono'!N:N,MATCH(B1355,'Base de données Mono'!D:D,0))</f>
        <v>0.54166666666666663</v>
      </c>
      <c r="M1355" s="33" t="s">
        <v>46</v>
      </c>
      <c r="N1355" s="33">
        <f>IF(AND(E1355="Electricité",M1355="Hiver"),INDEX('Base de données Mono'!E:E,MATCH(B1355,'Base de données Mono'!D:D,0)),IF(AND(E1355="Electricité",M1355="Mi-saison"),INDEX('Base de données Mono'!F:F,MATCH(B1355,'Base de données Mono'!D:D,0)),IF(AND(E1355="Electricité",M1355="Eté"),INDEX('Base de données Mono'!G:G,MATCH(B1355,'Base de données Mono'!D:D,0)),IF(AND(E1355="Gaz",M1355="Hiver"),INDEX('Base de données Mono'!J:J,MATCH(B1355,'Base de données Mono'!D:D,0)),IF(AND(E1355="Gaz",M1355="Mi-saison"),INDEX('Base de données Mono'!#REF!,MATCH(B1355,'Base de données Mono'!D:D,0)),IF(AND(E1355="Gaz",M1355="Eté"),INDEX('Base de données Mono'!#REF!,MATCH(B1355,'Base de données Mono'!D:D,0)),"-"))))))</f>
        <v>45</v>
      </c>
      <c r="O1355" s="123">
        <v>45406</v>
      </c>
      <c r="P1355" s="123">
        <v>45410</v>
      </c>
      <c r="Q1355" s="34">
        <v>50</v>
      </c>
      <c r="R1355" s="33">
        <f t="shared" si="333"/>
        <v>5</v>
      </c>
      <c r="S1355" s="34">
        <v>2</v>
      </c>
      <c r="T1355" s="34">
        <f t="shared" si="334"/>
        <v>4</v>
      </c>
      <c r="U1355" s="33">
        <f t="shared" si="335"/>
        <v>40</v>
      </c>
      <c r="V1355" s="38" t="s">
        <v>827</v>
      </c>
      <c r="W1355" s="39">
        <f t="shared" si="336"/>
        <v>0.1111111111111111</v>
      </c>
      <c r="X1355" s="40" t="s">
        <v>304</v>
      </c>
      <c r="Y1355" s="40" t="s">
        <v>284</v>
      </c>
      <c r="Z1355" s="40" t="s">
        <v>305</v>
      </c>
      <c r="AA1355" s="33" t="s">
        <v>771</v>
      </c>
      <c r="AB1355" s="95"/>
      <c r="AC1355" s="95"/>
    </row>
    <row r="1356" spans="1:29" ht="14.45" customHeight="1" x14ac:dyDescent="0.25">
      <c r="A1356" s="36" t="str">
        <f>INDEX('Base de données Mono'!C:C,MATCH(B1356,'Base de données Mono'!D:D,0))</f>
        <v>FONTENAY SOUS BOIS</v>
      </c>
      <c r="B1356" t="s">
        <v>131</v>
      </c>
      <c r="C1356" s="36" t="str">
        <f>INDEX('Base de données Mono'!B:B,MATCH(B1356,'Base de données Mono'!D:D,0))</f>
        <v>SES8</v>
      </c>
      <c r="D1356" s="36" t="str">
        <f>INDEX('Base de données Mono'!A:A,MATCH(B1356,'Base de données Mono'!D:D,0))</f>
        <v>JG</v>
      </c>
      <c r="E1356" s="37" t="s">
        <v>303</v>
      </c>
      <c r="F1356" s="41">
        <f t="shared" si="331"/>
        <v>17</v>
      </c>
      <c r="G1356" s="41">
        <f t="shared" si="332"/>
        <v>4</v>
      </c>
      <c r="I1356" s="131">
        <f>INDEX('Base de données Mono'!K:K,MATCH(B1356,'Base de données Mono'!D:D,0))</f>
        <v>0.24305555555555555</v>
      </c>
      <c r="J1356" s="131">
        <f>INDEX('Base de données Mono'!L:L,MATCH(B1356,'Base de données Mono'!D:D,0))</f>
        <v>0.89583333333333337</v>
      </c>
      <c r="K1356" s="131">
        <f>INDEX('Base de données Mono'!M:M,MATCH(B1356,'Base de données Mono'!D:D,0))</f>
        <v>0.27083333333333331</v>
      </c>
      <c r="L1356" s="131">
        <f>INDEX('Base de données Mono'!N:N,MATCH(B1356,'Base de données Mono'!D:D,0))</f>
        <v>0.5625</v>
      </c>
      <c r="M1356" s="33" t="s">
        <v>46</v>
      </c>
      <c r="N1356" s="33">
        <f>IF(AND(E1356="Electricité",M1356="Hiver"),INDEX('Base de données Mono'!E:E,MATCH(B1356,'Base de données Mono'!D:D,0)),IF(AND(E1356="Electricité",M1356="Mi-saison"),INDEX('Base de données Mono'!F:F,MATCH(B1356,'Base de données Mono'!D:D,0)),IF(AND(E1356="Electricité",M1356="Eté"),INDEX('Base de données Mono'!G:G,MATCH(B1356,'Base de données Mono'!D:D,0)),IF(AND(E1356="Gaz",M1356="Hiver"),INDEX('Base de données Mono'!J:J,MATCH(B1356,'Base de données Mono'!D:D,0)),IF(AND(E1356="Gaz",M1356="Mi-saison"),INDEX('Base de données Mono'!#REF!,MATCH(B1356,'Base de données Mono'!D:D,0)),IF(AND(E1356="Gaz",M1356="Eté"),INDEX('Base de données Mono'!#REF!,MATCH(B1356,'Base de données Mono'!D:D,0)),"-"))))))</f>
        <v>55</v>
      </c>
      <c r="O1356" s="123">
        <v>45403</v>
      </c>
      <c r="P1356" s="123">
        <v>45410</v>
      </c>
      <c r="Q1356" s="34">
        <v>60</v>
      </c>
      <c r="R1356" s="33">
        <f t="shared" si="333"/>
        <v>5</v>
      </c>
      <c r="S1356" s="34">
        <v>8.3000000000000007</v>
      </c>
      <c r="T1356" s="34">
        <f t="shared" si="334"/>
        <v>7</v>
      </c>
      <c r="U1356" s="33">
        <f t="shared" si="335"/>
        <v>290.5</v>
      </c>
      <c r="V1356" s="38" t="s">
        <v>827</v>
      </c>
      <c r="W1356" s="39">
        <f t="shared" si="336"/>
        <v>9.0909090909090912E-2</v>
      </c>
      <c r="X1356" s="40" t="s">
        <v>304</v>
      </c>
      <c r="Y1356" s="40" t="s">
        <v>284</v>
      </c>
      <c r="Z1356" s="40" t="s">
        <v>305</v>
      </c>
      <c r="AA1356" s="33" t="s">
        <v>771</v>
      </c>
      <c r="AB1356" s="95"/>
      <c r="AC1356" s="95"/>
    </row>
    <row r="1357" spans="1:29" ht="14.45" hidden="1" customHeight="1" x14ac:dyDescent="0.25">
      <c r="A1357" s="36" t="str">
        <f>INDEX('Base de données Mono'!C:C,MATCH(B1357,'Base de données Mono'!D:D,0))</f>
        <v>ARCUEIL</v>
      </c>
      <c r="B1357" t="s">
        <v>63</v>
      </c>
      <c r="C1357" s="36" t="str">
        <f>INDEX('Base de données Mono'!B:B,MATCH(B1357,'Base de données Mono'!D:D,0))</f>
        <v>SES8</v>
      </c>
      <c r="D1357" s="36" t="str">
        <f>INDEX('Base de données Mono'!A:A,MATCH(B1357,'Base de données Mono'!D:D,0))</f>
        <v>JG</v>
      </c>
      <c r="E1357" s="37" t="s">
        <v>303</v>
      </c>
      <c r="F1357" s="41">
        <f>IF(O1357="","-",IF(AND(X1357="Nuit",WEEKDAY(O1357,2)=7,O1357&lt;&gt;P1357),WEEKNUM(O1357,2),WEEKNUM(O1357,2)-1))+1</f>
        <v>16</v>
      </c>
      <c r="G1357" s="41">
        <f>IF(O1357="","-",MONTH(O1357))</f>
        <v>4</v>
      </c>
      <c r="I1357" s="131">
        <f>INDEX('Base de données Mono'!K:K,MATCH(B1357,'Base de données Mono'!D:D,0))</f>
        <v>0.1875</v>
      </c>
      <c r="J1357" s="131">
        <f>INDEX('Base de données Mono'!L:L,MATCH(B1357,'Base de données Mono'!D:D,0))</f>
        <v>0.83333333333333337</v>
      </c>
      <c r="K1357" s="131">
        <f>INDEX('Base de données Mono'!M:M,MATCH(B1357,'Base de données Mono'!D:D,0))</f>
        <v>0.24305555555555555</v>
      </c>
      <c r="L1357" s="131">
        <f>INDEX('Base de données Mono'!N:N,MATCH(B1357,'Base de données Mono'!D:D,0))</f>
        <v>0.54166666666666696</v>
      </c>
      <c r="M1357" s="33" t="s">
        <v>46</v>
      </c>
      <c r="N1357" s="33">
        <f>IF(AND(E1357="Electricité",M1357="Hiver"),INDEX('Base de données Mono'!E:E,MATCH(B1357,'Base de données Mono'!D:D,0)),IF(AND(E1357="Electricité",M1357="Mi-saison"),INDEX('Base de données Mono'!F:F,MATCH(B1357,'Base de données Mono'!D:D,0)),IF(AND(E1357="Electricité",M1357="Eté"),INDEX('Base de données Mono'!G:G,MATCH(B1357,'Base de données Mono'!D:D,0)),IF(AND(E1357="Gaz",M1357="Hiver"),INDEX('Base de données Mono'!J:J,MATCH(B1357,'Base de données Mono'!D:D,0)),IF(AND(E1357="Gaz",M1357="Mi-saison"),INDEX('Base de données Mono'!#REF!,MATCH(B1357,'Base de données Mono'!D:D,0)),IF(AND(E1357="Gaz",M1357="Eté"),INDEX('Base de données Mono'!#REF!,MATCH(B1357,'Base de données Mono'!D:D,0)),"-"))))))</f>
        <v>80</v>
      </c>
      <c r="O1357" s="123">
        <v>45397</v>
      </c>
      <c r="P1357" s="123">
        <v>45403</v>
      </c>
      <c r="Q1357" s="34">
        <v>115</v>
      </c>
      <c r="R1357" s="33">
        <f>IF(Q1357="","",Q1357-N1357)</f>
        <v>35</v>
      </c>
      <c r="S1357" s="34">
        <v>0.6</v>
      </c>
      <c r="T1357" s="34">
        <f>P1357-O1357</f>
        <v>6</v>
      </c>
      <c r="U1357" s="33">
        <f>R1357*S1357*T1357</f>
        <v>126</v>
      </c>
      <c r="V1357" s="38" t="s">
        <v>827</v>
      </c>
      <c r="W1357" s="39">
        <f>IFERROR(IF(E1357="Gaz","-",R1357/N1357),"-")</f>
        <v>0.4375</v>
      </c>
      <c r="X1357" s="40" t="s">
        <v>304</v>
      </c>
      <c r="Y1357" s="40" t="s">
        <v>284</v>
      </c>
      <c r="Z1357" s="40" t="s">
        <v>307</v>
      </c>
      <c r="AA1357" s="33" t="s">
        <v>313</v>
      </c>
      <c r="AB1357" s="95"/>
      <c r="AC1357" s="95"/>
    </row>
    <row r="1358" spans="1:29" ht="14.45" customHeight="1" x14ac:dyDescent="0.25">
      <c r="A1358" s="36" t="str">
        <f>INDEX('Base de données Mono'!C:C,MATCH(B1358,'Base de données Mono'!D:D,0))</f>
        <v>ARCUEIL</v>
      </c>
      <c r="B1358" t="s">
        <v>63</v>
      </c>
      <c r="C1358" s="36" t="str">
        <f>INDEX('Base de données Mono'!B:B,MATCH(B1358,'Base de données Mono'!D:D,0))</f>
        <v>SES8</v>
      </c>
      <c r="D1358" s="36" t="str">
        <f>INDEX('Base de données Mono'!A:A,MATCH(B1358,'Base de données Mono'!D:D,0))</f>
        <v>JG</v>
      </c>
      <c r="E1358" s="37" t="s">
        <v>303</v>
      </c>
      <c r="F1358" s="41">
        <f>IF(O1358="","-",IF(AND(X1358="Nuit",WEEKDAY(O1358,2)=7,O1358&lt;&gt;P1358),WEEKNUM(O1358,2),WEEKNUM(O1358,2)-1))+1</f>
        <v>17</v>
      </c>
      <c r="G1358" s="41">
        <f>IF(O1358="","-",MONTH(O1358))</f>
        <v>4</v>
      </c>
      <c r="I1358" s="131">
        <f>INDEX('Base de données Mono'!K:K,MATCH(B1358,'Base de données Mono'!D:D,0))</f>
        <v>0.1875</v>
      </c>
      <c r="J1358" s="131">
        <f>INDEX('Base de données Mono'!L:L,MATCH(B1358,'Base de données Mono'!D:D,0))</f>
        <v>0.83333333333333337</v>
      </c>
      <c r="K1358" s="131">
        <f>INDEX('Base de données Mono'!M:M,MATCH(B1358,'Base de données Mono'!D:D,0))</f>
        <v>0.24305555555555555</v>
      </c>
      <c r="L1358" s="131">
        <f>INDEX('Base de données Mono'!N:N,MATCH(B1358,'Base de données Mono'!D:D,0))</f>
        <v>0.54166666666666696</v>
      </c>
      <c r="M1358" s="33" t="s">
        <v>46</v>
      </c>
      <c r="N1358" s="33">
        <f>IF(AND(E1358="Electricité",M1358="Hiver"),INDEX('Base de données Mono'!E:E,MATCH(B1358,'Base de données Mono'!D:D,0)),IF(AND(E1358="Electricité",M1358="Mi-saison"),INDEX('Base de données Mono'!F:F,MATCH(B1358,'Base de données Mono'!D:D,0)),IF(AND(E1358="Electricité",M1358="Eté"),INDEX('Base de données Mono'!G:G,MATCH(B1358,'Base de données Mono'!D:D,0)),IF(AND(E1358="Gaz",M1358="Hiver"),INDEX('Base de données Mono'!J:J,MATCH(B1358,'Base de données Mono'!D:D,0)),IF(AND(E1358="Gaz",M1358="Mi-saison"),INDEX('Base de données Mono'!#REF!,MATCH(B1358,'Base de données Mono'!D:D,0)),IF(AND(E1358="Gaz",M1358="Eté"),INDEX('Base de données Mono'!#REF!,MATCH(B1358,'Base de données Mono'!D:D,0)),"-"))))))</f>
        <v>80</v>
      </c>
      <c r="O1358" s="123">
        <v>45404</v>
      </c>
      <c r="P1358" s="123">
        <v>45407</v>
      </c>
      <c r="Q1358" s="34">
        <v>105</v>
      </c>
      <c r="R1358" s="33">
        <f>IF(Q1358="","",Q1358-N1358)</f>
        <v>25</v>
      </c>
      <c r="S1358" s="34">
        <v>0.6</v>
      </c>
      <c r="T1358" s="34">
        <f>P1358-O1358</f>
        <v>3</v>
      </c>
      <c r="U1358" s="33">
        <f>R1358*S1358*T1358</f>
        <v>45</v>
      </c>
      <c r="V1358" s="38" t="s">
        <v>827</v>
      </c>
      <c r="W1358" s="39">
        <f>IFERROR(IF(E1358="Gaz","-",R1358/N1358),"-")</f>
        <v>0.3125</v>
      </c>
      <c r="X1358" s="40" t="s">
        <v>304</v>
      </c>
      <c r="Y1358" s="40" t="s">
        <v>284</v>
      </c>
      <c r="Z1358" s="40" t="s">
        <v>307</v>
      </c>
      <c r="AA1358" s="33" t="s">
        <v>313</v>
      </c>
      <c r="AB1358" s="95"/>
      <c r="AC1358" s="95"/>
    </row>
    <row r="1359" spans="1:29" ht="14.45" customHeight="1" x14ac:dyDescent="0.25">
      <c r="A1359" s="36" t="str">
        <f>INDEX('Base de données Mono'!C:C,MATCH(B1359,'Base de données Mono'!D:D,0))</f>
        <v>ARCUEIL</v>
      </c>
      <c r="B1359" t="s">
        <v>63</v>
      </c>
      <c r="C1359" s="36" t="str">
        <f>INDEX('Base de données Mono'!B:B,MATCH(B1359,'Base de données Mono'!D:D,0))</f>
        <v>SES8</v>
      </c>
      <c r="D1359" s="36" t="str">
        <f>INDEX('Base de données Mono'!A:A,MATCH(B1359,'Base de données Mono'!D:D,0))</f>
        <v>JG</v>
      </c>
      <c r="E1359" s="37" t="s">
        <v>303</v>
      </c>
      <c r="F1359" s="41">
        <f>IF(O1359="","-",IF(AND(X1359="Nuit",WEEKDAY(O1359,2)=7,O1359&lt;&gt;P1359),WEEKNUM(O1359,2),WEEKNUM(O1359,2)-1))+1</f>
        <v>17</v>
      </c>
      <c r="G1359" s="41">
        <f>IF(O1359="","-",MONTH(O1359))</f>
        <v>4</v>
      </c>
      <c r="I1359" s="131">
        <f>INDEX('Base de données Mono'!K:K,MATCH(B1359,'Base de données Mono'!D:D,0))</f>
        <v>0.1875</v>
      </c>
      <c r="J1359" s="131">
        <f>INDEX('Base de données Mono'!L:L,MATCH(B1359,'Base de données Mono'!D:D,0))</f>
        <v>0.83333333333333337</v>
      </c>
      <c r="K1359" s="131">
        <f>INDEX('Base de données Mono'!M:M,MATCH(B1359,'Base de données Mono'!D:D,0))</f>
        <v>0.24305555555555555</v>
      </c>
      <c r="L1359" s="131">
        <f>INDEX('Base de données Mono'!N:N,MATCH(B1359,'Base de données Mono'!D:D,0))</f>
        <v>0.54166666666666696</v>
      </c>
      <c r="M1359" s="33" t="s">
        <v>46</v>
      </c>
      <c r="N1359" s="33">
        <f>IF(AND(E1359="Electricité",M1359="Hiver"),INDEX('Base de données Mono'!E:E,MATCH(B1359,'Base de données Mono'!D:D,0)),IF(AND(E1359="Electricité",M1359="Mi-saison"),INDEX('Base de données Mono'!F:F,MATCH(B1359,'Base de données Mono'!D:D,0)),IF(AND(E1359="Electricité",M1359="Eté"),INDEX('Base de données Mono'!G:G,MATCH(B1359,'Base de données Mono'!D:D,0)),IF(AND(E1359="Gaz",M1359="Hiver"),INDEX('Base de données Mono'!J:J,MATCH(B1359,'Base de données Mono'!D:D,0)),IF(AND(E1359="Gaz",M1359="Mi-saison"),INDEX('Base de données Mono'!#REF!,MATCH(B1359,'Base de données Mono'!D:D,0)),IF(AND(E1359="Gaz",M1359="Eté"),INDEX('Base de données Mono'!#REF!,MATCH(B1359,'Base de données Mono'!D:D,0)),"-"))))))</f>
        <v>80</v>
      </c>
      <c r="O1359" s="123">
        <v>45407</v>
      </c>
      <c r="P1359" s="123">
        <v>45408</v>
      </c>
      <c r="Q1359" s="34">
        <v>90</v>
      </c>
      <c r="R1359" s="33">
        <f>IF(Q1359="","",Q1359-N1359)</f>
        <v>10</v>
      </c>
      <c r="S1359" s="34">
        <v>3</v>
      </c>
      <c r="T1359" s="34">
        <f>P1359-O1359</f>
        <v>1</v>
      </c>
      <c r="U1359" s="33">
        <f>R1359*S1359*T1359</f>
        <v>30</v>
      </c>
      <c r="V1359" s="38" t="s">
        <v>827</v>
      </c>
      <c r="W1359" s="39">
        <f>IFERROR(IF(E1359="Gaz","-",R1359/N1359),"-")</f>
        <v>0.125</v>
      </c>
      <c r="X1359" s="40" t="s">
        <v>304</v>
      </c>
      <c r="Y1359" s="40" t="s">
        <v>284</v>
      </c>
      <c r="Z1359" s="40" t="s">
        <v>305</v>
      </c>
      <c r="AA1359" s="33" t="s">
        <v>771</v>
      </c>
      <c r="AB1359" s="95"/>
      <c r="AC1359" s="95"/>
    </row>
    <row r="1360" spans="1:29" ht="14.45" customHeight="1" x14ac:dyDescent="0.25">
      <c r="A1360" s="36" t="str">
        <f>INDEX('Base de données Mono'!C:C,MATCH(B1360,'Base de données Mono'!D:D,0))</f>
        <v>ARCUEIL</v>
      </c>
      <c r="B1360" t="s">
        <v>63</v>
      </c>
      <c r="C1360" s="36" t="str">
        <f>INDEX('Base de données Mono'!B:B,MATCH(B1360,'Base de données Mono'!D:D,0))</f>
        <v>SES8</v>
      </c>
      <c r="D1360" s="36" t="str">
        <f>INDEX('Base de données Mono'!A:A,MATCH(B1360,'Base de données Mono'!D:D,0))</f>
        <v>JG</v>
      </c>
      <c r="E1360" s="37" t="s">
        <v>303</v>
      </c>
      <c r="F1360" s="41">
        <f t="shared" si="331"/>
        <v>17</v>
      </c>
      <c r="G1360" s="41">
        <f t="shared" si="332"/>
        <v>4</v>
      </c>
      <c r="I1360" s="131">
        <f>INDEX('Base de données Mono'!K:K,MATCH(B1360,'Base de données Mono'!D:D,0))</f>
        <v>0.1875</v>
      </c>
      <c r="J1360" s="131">
        <f>INDEX('Base de données Mono'!L:L,MATCH(B1360,'Base de données Mono'!D:D,0))</f>
        <v>0.83333333333333337</v>
      </c>
      <c r="K1360" s="131">
        <f>INDEX('Base de données Mono'!M:M,MATCH(B1360,'Base de données Mono'!D:D,0))</f>
        <v>0.24305555555555555</v>
      </c>
      <c r="L1360" s="131">
        <f>INDEX('Base de données Mono'!N:N,MATCH(B1360,'Base de données Mono'!D:D,0))</f>
        <v>0.54166666666666696</v>
      </c>
      <c r="M1360" s="33" t="s">
        <v>46</v>
      </c>
      <c r="N1360" s="33">
        <f>IF(AND(E1360="Electricité",M1360="Hiver"),INDEX('Base de données Mono'!E:E,MATCH(B1360,'Base de données Mono'!D:D,0)),IF(AND(E1360="Electricité",M1360="Mi-saison"),INDEX('Base de données Mono'!F:F,MATCH(B1360,'Base de données Mono'!D:D,0)),IF(AND(E1360="Electricité",M1360="Eté"),INDEX('Base de données Mono'!G:G,MATCH(B1360,'Base de données Mono'!D:D,0)),IF(AND(E1360="Gaz",M1360="Hiver"),INDEX('Base de données Mono'!J:J,MATCH(B1360,'Base de données Mono'!D:D,0)),IF(AND(E1360="Gaz",M1360="Mi-saison"),INDEX('Base de données Mono'!#REF!,MATCH(B1360,'Base de données Mono'!D:D,0)),IF(AND(E1360="Gaz",M1360="Eté"),INDEX('Base de données Mono'!#REF!,MATCH(B1360,'Base de données Mono'!D:D,0)),"-"))))))</f>
        <v>80</v>
      </c>
      <c r="O1360" s="123">
        <v>45408</v>
      </c>
      <c r="P1360" s="123">
        <v>45410</v>
      </c>
      <c r="Q1360" s="34">
        <v>105</v>
      </c>
      <c r="R1360" s="33">
        <f t="shared" si="333"/>
        <v>25</v>
      </c>
      <c r="S1360" s="34">
        <v>0.6</v>
      </c>
      <c r="T1360" s="34">
        <f>P1360-O1360</f>
        <v>2</v>
      </c>
      <c r="U1360" s="33">
        <f>R1360*S1360*T1360</f>
        <v>30</v>
      </c>
      <c r="V1360" s="38" t="s">
        <v>827</v>
      </c>
      <c r="W1360" s="39">
        <f>IFERROR(IF(E1360="Gaz","-",R1360/N1360),"-")</f>
        <v>0.3125</v>
      </c>
      <c r="X1360" s="40" t="s">
        <v>304</v>
      </c>
      <c r="Y1360" s="40" t="s">
        <v>284</v>
      </c>
      <c r="Z1360" s="40" t="s">
        <v>307</v>
      </c>
      <c r="AA1360" s="33" t="s">
        <v>313</v>
      </c>
      <c r="AB1360" s="95"/>
      <c r="AC1360" s="95"/>
    </row>
    <row r="1361" spans="1:29" ht="14.45" customHeight="1" x14ac:dyDescent="0.25">
      <c r="A1361" s="36" t="str">
        <f>INDEX('Base de données Mono'!C:C,MATCH(B1361,'Base de données Mono'!D:D,0))</f>
        <v>TOURS NATIONALE</v>
      </c>
      <c r="B1361" t="s">
        <v>37</v>
      </c>
      <c r="C1361" s="36" t="str">
        <f>INDEX('Base de données Mono'!B:B,MATCH(B1361,'Base de données Mono'!D:D,0))</f>
        <v>SES8</v>
      </c>
      <c r="D1361" s="36" t="str">
        <f>INDEX('Base de données Mono'!A:A,MATCH(B1361,'Base de données Mono'!D:D,0))</f>
        <v>AD</v>
      </c>
      <c r="E1361" s="37" t="s">
        <v>303</v>
      </c>
      <c r="F1361" s="41">
        <f t="shared" si="331"/>
        <v>17</v>
      </c>
      <c r="G1361" s="41">
        <f t="shared" si="332"/>
        <v>4</v>
      </c>
      <c r="I1361" s="131">
        <f>INDEX('Base de données Mono'!K:K,MATCH(B1361,'Base de données Mono'!D:D,0))</f>
        <v>0.22916666666666666</v>
      </c>
      <c r="J1361" s="131">
        <f>INDEX('Base de données Mono'!L:L,MATCH(B1361,'Base de données Mono'!D:D,0))</f>
        <v>0.88541666666666663</v>
      </c>
      <c r="K1361" s="131">
        <f>INDEX('Base de données Mono'!M:M,MATCH(B1361,'Base de données Mono'!D:D,0))</f>
        <v>0.31944444444444448</v>
      </c>
      <c r="L1361" s="131">
        <f>INDEX('Base de données Mono'!N:N,MATCH(B1361,'Base de données Mono'!D:D,0))</f>
        <v>0.55208333333333337</v>
      </c>
      <c r="M1361" s="33" t="s">
        <v>46</v>
      </c>
      <c r="N1361" s="33">
        <f>IF(AND(E1361="Electricité",M1361="Hiver"),INDEX('Base de données Mono'!E:E,MATCH(B1361,'Base de données Mono'!D:D,0)),IF(AND(E1361="Electricité",M1361="Mi-saison"),INDEX('Base de données Mono'!F:F,MATCH(B1361,'Base de données Mono'!D:D,0)),IF(AND(E1361="Electricité",M1361="Eté"),INDEX('Base de données Mono'!G:G,MATCH(B1361,'Base de données Mono'!D:D,0)),IF(AND(E1361="Gaz",M1361="Hiver"),INDEX('Base de données Mono'!J:J,MATCH(B1361,'Base de données Mono'!D:D,0)),IF(AND(E1361="Gaz",M1361="Mi-saison"),INDEX('Base de données Mono'!#REF!,MATCH(B1361,'Base de données Mono'!D:D,0)),IF(AND(E1361="Gaz",M1361="Eté"),INDEX('Base de données Mono'!#REF!,MATCH(B1361,'Base de données Mono'!D:D,0)),"-"))))))</f>
        <v>50</v>
      </c>
      <c r="O1361" s="123">
        <v>45403</v>
      </c>
      <c r="P1361" s="123">
        <v>45404</v>
      </c>
      <c r="Q1361" s="34">
        <v>60</v>
      </c>
      <c r="R1361" s="33">
        <f t="shared" si="333"/>
        <v>10</v>
      </c>
      <c r="S1361" s="34">
        <v>7.2</v>
      </c>
      <c r="T1361" s="34">
        <f t="shared" ref="T1361:T1364" si="337">P1361-O1361</f>
        <v>1</v>
      </c>
      <c r="U1361" s="33">
        <f t="shared" ref="U1361:U1364" si="338">R1361*S1361*T1361</f>
        <v>72</v>
      </c>
      <c r="V1361" s="38" t="s">
        <v>827</v>
      </c>
      <c r="W1361" s="39">
        <f t="shared" ref="W1361:W1364" si="339">IFERROR(IF(E1361="Gaz","-",R1361/N1361),"-")</f>
        <v>0.2</v>
      </c>
      <c r="X1361" s="40" t="s">
        <v>304</v>
      </c>
      <c r="Y1361" s="40" t="s">
        <v>284</v>
      </c>
      <c r="Z1361" s="40" t="s">
        <v>305</v>
      </c>
      <c r="AA1361" s="33" t="s">
        <v>771</v>
      </c>
      <c r="AB1361" s="95"/>
      <c r="AC1361" s="95"/>
    </row>
    <row r="1362" spans="1:29" ht="14.45" customHeight="1" x14ac:dyDescent="0.25">
      <c r="A1362" s="36" t="str">
        <f>INDEX('Base de données Mono'!C:C,MATCH(B1362,'Base de données Mono'!D:D,0))</f>
        <v>TOURS NATIONALE</v>
      </c>
      <c r="B1362" t="s">
        <v>37</v>
      </c>
      <c r="C1362" s="36" t="str">
        <f>INDEX('Base de données Mono'!B:B,MATCH(B1362,'Base de données Mono'!D:D,0))</f>
        <v>SES8</v>
      </c>
      <c r="D1362" s="36" t="str">
        <f>INDEX('Base de données Mono'!A:A,MATCH(B1362,'Base de données Mono'!D:D,0))</f>
        <v>AD</v>
      </c>
      <c r="E1362" s="37" t="s">
        <v>303</v>
      </c>
      <c r="F1362" s="41">
        <f t="shared" si="331"/>
        <v>17</v>
      </c>
      <c r="G1362" s="41">
        <f t="shared" si="332"/>
        <v>4</v>
      </c>
      <c r="I1362" s="131">
        <f>INDEX('Base de données Mono'!K:K,MATCH(B1362,'Base de données Mono'!D:D,0))</f>
        <v>0.22916666666666666</v>
      </c>
      <c r="J1362" s="131">
        <f>INDEX('Base de données Mono'!L:L,MATCH(B1362,'Base de données Mono'!D:D,0))</f>
        <v>0.88541666666666663</v>
      </c>
      <c r="K1362" s="131">
        <f>INDEX('Base de données Mono'!M:M,MATCH(B1362,'Base de données Mono'!D:D,0))</f>
        <v>0.31944444444444448</v>
      </c>
      <c r="L1362" s="131">
        <f>INDEX('Base de données Mono'!N:N,MATCH(B1362,'Base de données Mono'!D:D,0))</f>
        <v>0.55208333333333337</v>
      </c>
      <c r="M1362" s="33" t="s">
        <v>46</v>
      </c>
      <c r="N1362" s="33">
        <f>IF(AND(E1362="Electricité",M1362="Hiver"),INDEX('Base de données Mono'!E:E,MATCH(B1362,'Base de données Mono'!D:D,0)),IF(AND(E1362="Electricité",M1362="Mi-saison"),INDEX('Base de données Mono'!F:F,MATCH(B1362,'Base de données Mono'!D:D,0)),IF(AND(E1362="Electricité",M1362="Eté"),INDEX('Base de données Mono'!G:G,MATCH(B1362,'Base de données Mono'!D:D,0)),IF(AND(E1362="Gaz",M1362="Hiver"),INDEX('Base de données Mono'!J:J,MATCH(B1362,'Base de données Mono'!D:D,0)),IF(AND(E1362="Gaz",M1362="Mi-saison"),INDEX('Base de données Mono'!#REF!,MATCH(B1362,'Base de données Mono'!D:D,0)),IF(AND(E1362="Gaz",M1362="Eté"),INDEX('Base de données Mono'!#REF!,MATCH(B1362,'Base de données Mono'!D:D,0)),"-"))))))</f>
        <v>50</v>
      </c>
      <c r="O1362" s="123">
        <v>45404</v>
      </c>
      <c r="P1362" s="123">
        <v>45410</v>
      </c>
      <c r="Q1362" s="34">
        <v>60</v>
      </c>
      <c r="R1362" s="33">
        <f t="shared" si="333"/>
        <v>10</v>
      </c>
      <c r="S1362" s="34">
        <v>6.2</v>
      </c>
      <c r="T1362" s="34">
        <f t="shared" si="337"/>
        <v>6</v>
      </c>
      <c r="U1362" s="33">
        <f t="shared" si="338"/>
        <v>372</v>
      </c>
      <c r="V1362" s="38" t="s">
        <v>827</v>
      </c>
      <c r="W1362" s="39">
        <f t="shared" si="339"/>
        <v>0.2</v>
      </c>
      <c r="X1362" s="40" t="s">
        <v>304</v>
      </c>
      <c r="Y1362" s="40" t="s">
        <v>284</v>
      </c>
      <c r="Z1362" s="40" t="s">
        <v>305</v>
      </c>
      <c r="AA1362" s="33" t="s">
        <v>771</v>
      </c>
      <c r="AB1362" s="95"/>
      <c r="AC1362" s="95"/>
    </row>
    <row r="1363" spans="1:29" ht="14.45" customHeight="1" x14ac:dyDescent="0.25">
      <c r="A1363" s="36" t="str">
        <f>INDEX('Base de données Mono'!C:C,MATCH(B1363,'Base de données Mono'!D:D,0))</f>
        <v>TOURS NATIONALE</v>
      </c>
      <c r="B1363" t="s">
        <v>37</v>
      </c>
      <c r="C1363" s="36" t="str">
        <f>INDEX('Base de données Mono'!B:B,MATCH(B1363,'Base de données Mono'!D:D,0))</f>
        <v>SES8</v>
      </c>
      <c r="D1363" s="36" t="str">
        <f>INDEX('Base de données Mono'!A:A,MATCH(B1363,'Base de données Mono'!D:D,0))</f>
        <v>AD</v>
      </c>
      <c r="E1363" s="37" t="s">
        <v>303</v>
      </c>
      <c r="F1363" s="41">
        <f t="shared" si="331"/>
        <v>17</v>
      </c>
      <c r="G1363" s="41">
        <f t="shared" si="332"/>
        <v>4</v>
      </c>
      <c r="I1363" s="131">
        <f>INDEX('Base de données Mono'!K:K,MATCH(B1363,'Base de données Mono'!D:D,0))</f>
        <v>0.22916666666666666</v>
      </c>
      <c r="J1363" s="131">
        <f>INDEX('Base de données Mono'!L:L,MATCH(B1363,'Base de données Mono'!D:D,0))</f>
        <v>0.88541666666666663</v>
      </c>
      <c r="K1363" s="131">
        <f>INDEX('Base de données Mono'!M:M,MATCH(B1363,'Base de données Mono'!D:D,0))</f>
        <v>0.31944444444444448</v>
      </c>
      <c r="L1363" s="131">
        <f>INDEX('Base de données Mono'!N:N,MATCH(B1363,'Base de données Mono'!D:D,0))</f>
        <v>0.55208333333333337</v>
      </c>
      <c r="M1363" s="33" t="s">
        <v>46</v>
      </c>
      <c r="N1363" s="33">
        <f>IF(AND(E1363="Electricité",M1363="Hiver"),INDEX('Base de données Mono'!E:E,MATCH(B1363,'Base de données Mono'!D:D,0)),IF(AND(E1363="Electricité",M1363="Mi-saison"),INDEX('Base de données Mono'!F:F,MATCH(B1363,'Base de données Mono'!D:D,0)),IF(AND(E1363="Electricité",M1363="Eté"),INDEX('Base de données Mono'!G:G,MATCH(B1363,'Base de données Mono'!D:D,0)),IF(AND(E1363="Gaz",M1363="Hiver"),INDEX('Base de données Mono'!J:J,MATCH(B1363,'Base de données Mono'!D:D,0)),IF(AND(E1363="Gaz",M1363="Mi-saison"),INDEX('Base de données Mono'!#REF!,MATCH(B1363,'Base de données Mono'!D:D,0)),IF(AND(E1363="Gaz",M1363="Eté"),INDEX('Base de données Mono'!#REF!,MATCH(B1363,'Base de données Mono'!D:D,0)),"-"))))))</f>
        <v>50</v>
      </c>
      <c r="O1363" s="123">
        <v>45404</v>
      </c>
      <c r="P1363" s="123">
        <v>45410</v>
      </c>
      <c r="Q1363" s="34">
        <v>75</v>
      </c>
      <c r="R1363" s="33">
        <f t="shared" si="333"/>
        <v>25</v>
      </c>
      <c r="S1363" s="34">
        <v>1</v>
      </c>
      <c r="T1363" s="34">
        <f t="shared" si="337"/>
        <v>6</v>
      </c>
      <c r="U1363" s="33">
        <f t="shared" si="338"/>
        <v>150</v>
      </c>
      <c r="V1363" s="38" t="s">
        <v>827</v>
      </c>
      <c r="W1363" s="39">
        <f t="shared" si="339"/>
        <v>0.5</v>
      </c>
      <c r="X1363" s="40" t="s">
        <v>304</v>
      </c>
      <c r="Y1363" s="40" t="s">
        <v>284</v>
      </c>
      <c r="Z1363" s="40" t="s">
        <v>305</v>
      </c>
      <c r="AA1363" s="33" t="s">
        <v>771</v>
      </c>
      <c r="AB1363" s="95"/>
      <c r="AC1363" s="95"/>
    </row>
    <row r="1364" spans="1:29" ht="14.45" customHeight="1" x14ac:dyDescent="0.25">
      <c r="A1364" s="36" t="str">
        <f>INDEX('Base de données Mono'!C:C,MATCH(B1364,'Base de données Mono'!D:D,0))</f>
        <v>TOURS NATIONALE</v>
      </c>
      <c r="B1364" t="s">
        <v>37</v>
      </c>
      <c r="C1364" s="36" t="str">
        <f>INDEX('Base de données Mono'!B:B,MATCH(B1364,'Base de données Mono'!D:D,0))</f>
        <v>SES8</v>
      </c>
      <c r="D1364" s="36" t="str">
        <f>INDEX('Base de données Mono'!A:A,MATCH(B1364,'Base de données Mono'!D:D,0))</f>
        <v>AD</v>
      </c>
      <c r="E1364" s="37" t="s">
        <v>303</v>
      </c>
      <c r="F1364" s="41">
        <f t="shared" si="331"/>
        <v>17</v>
      </c>
      <c r="G1364" s="41">
        <f t="shared" si="332"/>
        <v>4</v>
      </c>
      <c r="I1364" s="131">
        <f>INDEX('Base de données Mono'!K:K,MATCH(B1364,'Base de données Mono'!D:D,0))</f>
        <v>0.22916666666666666</v>
      </c>
      <c r="J1364" s="131">
        <f>INDEX('Base de données Mono'!L:L,MATCH(B1364,'Base de données Mono'!D:D,0))</f>
        <v>0.88541666666666663</v>
      </c>
      <c r="K1364" s="131">
        <f>INDEX('Base de données Mono'!M:M,MATCH(B1364,'Base de données Mono'!D:D,0))</f>
        <v>0.31944444444444448</v>
      </c>
      <c r="L1364" s="131">
        <f>INDEX('Base de données Mono'!N:N,MATCH(B1364,'Base de données Mono'!D:D,0))</f>
        <v>0.55208333333333337</v>
      </c>
      <c r="M1364" s="33" t="s">
        <v>46</v>
      </c>
      <c r="N1364" s="33">
        <f>IF(AND(E1364="Electricité",M1364="Hiver"),INDEX('Base de données Mono'!E:E,MATCH(B1364,'Base de données Mono'!D:D,0)),IF(AND(E1364="Electricité",M1364="Mi-saison"),INDEX('Base de données Mono'!F:F,MATCH(B1364,'Base de données Mono'!D:D,0)),IF(AND(E1364="Electricité",M1364="Eté"),INDEX('Base de données Mono'!G:G,MATCH(B1364,'Base de données Mono'!D:D,0)),IF(AND(E1364="Gaz",M1364="Hiver"),INDEX('Base de données Mono'!J:J,MATCH(B1364,'Base de données Mono'!D:D,0)),IF(AND(E1364="Gaz",M1364="Mi-saison"),INDEX('Base de données Mono'!#REF!,MATCH(B1364,'Base de données Mono'!D:D,0)),IF(AND(E1364="Gaz",M1364="Eté"),INDEX('Base de données Mono'!#REF!,MATCH(B1364,'Base de données Mono'!D:D,0)),"-"))))))</f>
        <v>50</v>
      </c>
      <c r="O1364" s="123">
        <v>45409</v>
      </c>
      <c r="P1364" s="123">
        <v>45410</v>
      </c>
      <c r="Q1364" s="34">
        <v>60</v>
      </c>
      <c r="R1364" s="33">
        <f t="shared" si="333"/>
        <v>10</v>
      </c>
      <c r="S1364" s="34">
        <v>9</v>
      </c>
      <c r="T1364" s="34">
        <f t="shared" si="337"/>
        <v>1</v>
      </c>
      <c r="U1364" s="33">
        <f t="shared" si="338"/>
        <v>90</v>
      </c>
      <c r="V1364" s="38" t="s">
        <v>827</v>
      </c>
      <c r="W1364" s="39">
        <f t="shared" si="339"/>
        <v>0.2</v>
      </c>
      <c r="X1364" s="40" t="s">
        <v>304</v>
      </c>
      <c r="Y1364" s="40" t="s">
        <v>284</v>
      </c>
      <c r="Z1364" s="40" t="s">
        <v>305</v>
      </c>
      <c r="AA1364" s="33" t="s">
        <v>771</v>
      </c>
      <c r="AB1364" s="95"/>
      <c r="AC1364" s="95"/>
    </row>
    <row r="1365" spans="1:29" ht="14.45" customHeight="1" x14ac:dyDescent="0.25">
      <c r="A1365" s="36" t="str">
        <f>INDEX('Base de données Mono'!C:C,MATCH(B1365,'Base de données Mono'!D:D,0))</f>
        <v>ISSY GAMBETTA</v>
      </c>
      <c r="B1365" t="s">
        <v>17</v>
      </c>
      <c r="C1365" s="36" t="str">
        <f>INDEX('Base de données Mono'!B:B,MATCH(B1365,'Base de données Mono'!D:D,0))</f>
        <v>SES8</v>
      </c>
      <c r="D1365" s="36" t="str">
        <f>INDEX('Base de données Mono'!A:A,MATCH(B1365,'Base de données Mono'!D:D,0))</f>
        <v>AD</v>
      </c>
      <c r="E1365" s="37" t="s">
        <v>303</v>
      </c>
      <c r="F1365" s="41">
        <f t="shared" ref="F1365:F1389" si="340">IF(O1365="","-",IF(AND(X1365="Nuit",WEEKDAY(O1365,2)=7,O1365&lt;&gt;P1365),WEEKNUM(O1365,2),WEEKNUM(O1365,2)-1))+1</f>
        <v>17</v>
      </c>
      <c r="G1365" s="41">
        <f t="shared" ref="G1365:G1389" si="341">IF(O1365="","-",MONTH(O1365))</f>
        <v>4</v>
      </c>
      <c r="I1365" s="131">
        <f>INDEX('Base de données Mono'!K:K,MATCH(B1365,'Base de données Mono'!D:D,0))</f>
        <v>0.25</v>
      </c>
      <c r="J1365" s="131">
        <f>INDEX('Base de données Mono'!L:L,MATCH(B1365,'Base de données Mono'!D:D,0))</f>
        <v>0.90625</v>
      </c>
      <c r="K1365" s="131">
        <f>INDEX('Base de données Mono'!M:M,MATCH(B1365,'Base de données Mono'!D:D,0))</f>
        <v>0.3263888888888889</v>
      </c>
      <c r="L1365" s="131">
        <f>INDEX('Base de données Mono'!N:N,MATCH(B1365,'Base de données Mono'!D:D,0))</f>
        <v>0.54166666666666663</v>
      </c>
      <c r="M1365" s="33" t="s">
        <v>46</v>
      </c>
      <c r="N1365" s="33">
        <f>IF(AND(E1365="Electricité",M1365="Hiver"),INDEX('Base de données Mono'!E:E,MATCH(B1365,'Base de données Mono'!D:D,0)),IF(AND(E1365="Electricité",M1365="Mi-saison"),INDEX('Base de données Mono'!F:F,MATCH(B1365,'Base de données Mono'!D:D,0)),IF(AND(E1365="Electricité",M1365="Eté"),INDEX('Base de données Mono'!G:G,MATCH(B1365,'Base de données Mono'!D:D,0)),IF(AND(E1365="Gaz",M1365="Hiver"),INDEX('Base de données Mono'!J:J,MATCH(B1365,'Base de données Mono'!D:D,0)),IF(AND(E1365="Gaz",M1365="Mi-saison"),INDEX('Base de données Mono'!#REF!,MATCH(B1365,'Base de données Mono'!D:D,0)),IF(AND(E1365="Gaz",M1365="Eté"),INDEX('Base de données Mono'!#REF!,MATCH(B1365,'Base de données Mono'!D:D,0)),"-"))))))</f>
        <v>35</v>
      </c>
      <c r="O1365" s="123">
        <v>45408</v>
      </c>
      <c r="P1365" s="123">
        <v>45409</v>
      </c>
      <c r="Q1365" s="34">
        <v>40</v>
      </c>
      <c r="R1365" s="33">
        <f t="shared" ref="R1365:R1389" si="342">IF(Q1365="","",Q1365-N1365)</f>
        <v>5</v>
      </c>
      <c r="S1365" s="34">
        <v>8.1999999999999993</v>
      </c>
      <c r="T1365" s="34">
        <f t="shared" si="334"/>
        <v>1</v>
      </c>
      <c r="U1365" s="33">
        <f t="shared" ref="U1365:U1389" si="343">R1365*S1365*T1365</f>
        <v>41</v>
      </c>
      <c r="V1365" s="38" t="s">
        <v>827</v>
      </c>
      <c r="W1365" s="39">
        <f t="shared" ref="W1365:W1389" si="344">IFERROR(IF(E1365="Gaz","-",R1365/N1365),"-")</f>
        <v>0.14285714285714285</v>
      </c>
      <c r="X1365" s="40" t="s">
        <v>304</v>
      </c>
      <c r="Y1365" s="40" t="s">
        <v>284</v>
      </c>
      <c r="Z1365" s="40" t="s">
        <v>305</v>
      </c>
      <c r="AA1365" s="33" t="s">
        <v>771</v>
      </c>
      <c r="AB1365" s="95"/>
      <c r="AC1365" s="95"/>
    </row>
    <row r="1366" spans="1:29" ht="14.45" customHeight="1" x14ac:dyDescent="0.25">
      <c r="A1366" s="36" t="str">
        <f>INDEX('Base de données Mono'!C:C,MATCH(B1366,'Base de données Mono'!D:D,0))</f>
        <v>ISSY GAMBETTA</v>
      </c>
      <c r="B1366" t="s">
        <v>17</v>
      </c>
      <c r="C1366" s="36" t="str">
        <f>INDEX('Base de données Mono'!B:B,MATCH(B1366,'Base de données Mono'!D:D,0))</f>
        <v>SES8</v>
      </c>
      <c r="D1366" s="36" t="str">
        <f>INDEX('Base de données Mono'!A:A,MATCH(B1366,'Base de données Mono'!D:D,0))</f>
        <v>AD</v>
      </c>
      <c r="E1366" s="37" t="s">
        <v>303</v>
      </c>
      <c r="F1366" s="41">
        <f t="shared" si="340"/>
        <v>17</v>
      </c>
      <c r="G1366" s="41">
        <f t="shared" si="341"/>
        <v>4</v>
      </c>
      <c r="I1366" s="131">
        <f>INDEX('Base de données Mono'!K:K,MATCH(B1366,'Base de données Mono'!D:D,0))</f>
        <v>0.25</v>
      </c>
      <c r="J1366" s="131">
        <f>INDEX('Base de données Mono'!L:L,MATCH(B1366,'Base de données Mono'!D:D,0))</f>
        <v>0.90625</v>
      </c>
      <c r="K1366" s="131">
        <f>INDEX('Base de données Mono'!M:M,MATCH(B1366,'Base de données Mono'!D:D,0))</f>
        <v>0.3263888888888889</v>
      </c>
      <c r="L1366" s="131">
        <f>INDEX('Base de données Mono'!N:N,MATCH(B1366,'Base de données Mono'!D:D,0))</f>
        <v>0.54166666666666663</v>
      </c>
      <c r="M1366" s="33" t="s">
        <v>46</v>
      </c>
      <c r="N1366" s="33">
        <f>IF(AND(E1366="Electricité",M1366="Hiver"),INDEX('Base de données Mono'!E:E,MATCH(B1366,'Base de données Mono'!D:D,0)),IF(AND(E1366="Electricité",M1366="Mi-saison"),INDEX('Base de données Mono'!F:F,MATCH(B1366,'Base de données Mono'!D:D,0)),IF(AND(E1366="Electricité",M1366="Eté"),INDEX('Base de données Mono'!G:G,MATCH(B1366,'Base de données Mono'!D:D,0)),IF(AND(E1366="Gaz",M1366="Hiver"),INDEX('Base de données Mono'!J:J,MATCH(B1366,'Base de données Mono'!D:D,0)),IF(AND(E1366="Gaz",M1366="Mi-saison"),INDEX('Base de données Mono'!#REF!,MATCH(B1366,'Base de données Mono'!D:D,0)),IF(AND(E1366="Gaz",M1366="Eté"),INDEX('Base de données Mono'!#REF!,MATCH(B1366,'Base de données Mono'!D:D,0)),"-"))))))</f>
        <v>35</v>
      </c>
      <c r="O1366" s="123">
        <v>45409</v>
      </c>
      <c r="P1366" s="123">
        <v>45410</v>
      </c>
      <c r="Q1366" s="34">
        <v>40</v>
      </c>
      <c r="R1366" s="33">
        <f t="shared" si="342"/>
        <v>5</v>
      </c>
      <c r="S1366" s="34">
        <v>5.7</v>
      </c>
      <c r="T1366" s="34">
        <f t="shared" si="334"/>
        <v>1</v>
      </c>
      <c r="U1366" s="33">
        <f t="shared" si="343"/>
        <v>28.5</v>
      </c>
      <c r="V1366" s="38" t="s">
        <v>827</v>
      </c>
      <c r="W1366" s="39">
        <f t="shared" si="344"/>
        <v>0.14285714285714285</v>
      </c>
      <c r="X1366" s="40" t="s">
        <v>304</v>
      </c>
      <c r="Y1366" s="40" t="s">
        <v>284</v>
      </c>
      <c r="Z1366" s="40" t="s">
        <v>305</v>
      </c>
      <c r="AA1366" s="33" t="s">
        <v>771</v>
      </c>
      <c r="AB1366" s="95"/>
      <c r="AC1366" s="95"/>
    </row>
    <row r="1367" spans="1:29" ht="14.45" customHeight="1" x14ac:dyDescent="0.25">
      <c r="A1367" s="36" t="str">
        <f>INDEX('Base de données Mono'!C:C,MATCH(B1367,'Base de données Mono'!D:D,0))</f>
        <v>ISSY GAMBETTA</v>
      </c>
      <c r="B1367" t="s">
        <v>17</v>
      </c>
      <c r="C1367" s="36" t="str">
        <f>INDEX('Base de données Mono'!B:B,MATCH(B1367,'Base de données Mono'!D:D,0))</f>
        <v>SES8</v>
      </c>
      <c r="D1367" s="36" t="str">
        <f>INDEX('Base de données Mono'!A:A,MATCH(B1367,'Base de données Mono'!D:D,0))</f>
        <v>AD</v>
      </c>
      <c r="E1367" s="37" t="s">
        <v>303</v>
      </c>
      <c r="F1367" s="41">
        <f t="shared" si="340"/>
        <v>17</v>
      </c>
      <c r="G1367" s="41">
        <f t="shared" si="341"/>
        <v>4</v>
      </c>
      <c r="I1367" s="131">
        <f>INDEX('Base de données Mono'!K:K,MATCH(B1367,'Base de données Mono'!D:D,0))</f>
        <v>0.25</v>
      </c>
      <c r="J1367" s="131">
        <f>INDEX('Base de données Mono'!L:L,MATCH(B1367,'Base de données Mono'!D:D,0))</f>
        <v>0.90625</v>
      </c>
      <c r="K1367" s="131">
        <f>INDEX('Base de données Mono'!M:M,MATCH(B1367,'Base de données Mono'!D:D,0))</f>
        <v>0.3263888888888889</v>
      </c>
      <c r="L1367" s="131">
        <f>INDEX('Base de données Mono'!N:N,MATCH(B1367,'Base de données Mono'!D:D,0))</f>
        <v>0.54166666666666663</v>
      </c>
      <c r="M1367" s="33" t="s">
        <v>46</v>
      </c>
      <c r="N1367" s="33">
        <f>IF(AND(E1367="Electricité",M1367="Hiver"),INDEX('Base de données Mono'!E:E,MATCH(B1367,'Base de données Mono'!D:D,0)),IF(AND(E1367="Electricité",M1367="Mi-saison"),INDEX('Base de données Mono'!F:F,MATCH(B1367,'Base de données Mono'!D:D,0)),IF(AND(E1367="Electricité",M1367="Eté"),INDEX('Base de données Mono'!G:G,MATCH(B1367,'Base de données Mono'!D:D,0)),IF(AND(E1367="Gaz",M1367="Hiver"),INDEX('Base de données Mono'!J:J,MATCH(B1367,'Base de données Mono'!D:D,0)),IF(AND(E1367="Gaz",M1367="Mi-saison"),INDEX('Base de données Mono'!#REF!,MATCH(B1367,'Base de données Mono'!D:D,0)),IF(AND(E1367="Gaz",M1367="Eté"),INDEX('Base de données Mono'!#REF!,MATCH(B1367,'Base de données Mono'!D:D,0)),"-"))))))</f>
        <v>35</v>
      </c>
      <c r="O1367" s="123">
        <v>45409</v>
      </c>
      <c r="P1367" s="123">
        <v>45410</v>
      </c>
      <c r="Q1367" s="34">
        <v>50</v>
      </c>
      <c r="R1367" s="33">
        <f t="shared" si="342"/>
        <v>15</v>
      </c>
      <c r="S1367" s="34">
        <v>2.5</v>
      </c>
      <c r="T1367" s="34">
        <f t="shared" si="334"/>
        <v>1</v>
      </c>
      <c r="U1367" s="33">
        <f t="shared" si="343"/>
        <v>37.5</v>
      </c>
      <c r="V1367" s="38" t="s">
        <v>827</v>
      </c>
      <c r="W1367" s="39">
        <f t="shared" si="344"/>
        <v>0.42857142857142855</v>
      </c>
      <c r="X1367" s="40" t="s">
        <v>304</v>
      </c>
      <c r="Y1367" s="40" t="s">
        <v>283</v>
      </c>
      <c r="Z1367" s="40" t="s">
        <v>749</v>
      </c>
      <c r="AA1367" s="33" t="s">
        <v>749</v>
      </c>
      <c r="AB1367" s="95"/>
      <c r="AC1367" s="95" t="s">
        <v>856</v>
      </c>
    </row>
    <row r="1368" spans="1:29" ht="14.45" customHeight="1" x14ac:dyDescent="0.25">
      <c r="A1368" s="36" t="str">
        <f>INDEX('Base de données Mono'!C:C,MATCH(B1368,'Base de données Mono'!D:D,0))</f>
        <v>ANGERS LES HALLES</v>
      </c>
      <c r="B1368" t="s">
        <v>4</v>
      </c>
      <c r="C1368" s="36" t="str">
        <f>INDEX('Base de données Mono'!B:B,MATCH(B1368,'Base de données Mono'!D:D,0))</f>
        <v>SES8</v>
      </c>
      <c r="D1368" s="36" t="str">
        <f>INDEX('Base de données Mono'!A:A,MATCH(B1368,'Base de données Mono'!D:D,0))</f>
        <v>AD</v>
      </c>
      <c r="E1368" s="37" t="s">
        <v>303</v>
      </c>
      <c r="F1368" s="41">
        <f t="shared" si="340"/>
        <v>17</v>
      </c>
      <c r="G1368" s="41">
        <f t="shared" si="341"/>
        <v>4</v>
      </c>
      <c r="I1368" s="131">
        <f>INDEX('Base de données Mono'!K:K,MATCH(B1368,'Base de données Mono'!D:D,0))</f>
        <v>0.20833333333333334</v>
      </c>
      <c r="J1368" s="131">
        <f>INDEX('Base de données Mono'!L:L,MATCH(B1368,'Base de données Mono'!D:D,0))</f>
        <v>0.875</v>
      </c>
      <c r="K1368" s="131" t="str">
        <f>INDEX('Base de données Mono'!M:M,MATCH(B1368,'Base de données Mono'!D:D,0))</f>
        <v>-</v>
      </c>
      <c r="L1368" s="131" t="str">
        <f>INDEX('Base de données Mono'!N:N,MATCH(B1368,'Base de données Mono'!D:D,0))</f>
        <v>-</v>
      </c>
      <c r="M1368" s="33" t="s">
        <v>46</v>
      </c>
      <c r="N1368" s="33">
        <f>IF(AND(E1368="Electricité",M1368="Hiver"),INDEX('Base de données Mono'!E:E,MATCH(B1368,'Base de données Mono'!D:D,0)),IF(AND(E1368="Electricité",M1368="Mi-saison"),INDEX('Base de données Mono'!F:F,MATCH(B1368,'Base de données Mono'!D:D,0)),IF(AND(E1368="Electricité",M1368="Eté"),INDEX('Base de données Mono'!G:G,MATCH(B1368,'Base de données Mono'!D:D,0)),IF(AND(E1368="Gaz",M1368="Hiver"),INDEX('Base de données Mono'!J:J,MATCH(B1368,'Base de données Mono'!D:D,0)),IF(AND(E1368="Gaz",M1368="Mi-saison"),INDEX('Base de données Mono'!#REF!,MATCH(B1368,'Base de données Mono'!D:D,0)),IF(AND(E1368="Gaz",M1368="Eté"),INDEX('Base de données Mono'!#REF!,MATCH(B1368,'Base de données Mono'!D:D,0)),"-"))))))</f>
        <v>60</v>
      </c>
      <c r="O1368" s="123">
        <v>45403</v>
      </c>
      <c r="P1368" s="123">
        <v>45404</v>
      </c>
      <c r="Q1368" s="34">
        <v>65</v>
      </c>
      <c r="R1368" s="33">
        <f t="shared" si="342"/>
        <v>5</v>
      </c>
      <c r="S1368" s="34">
        <v>8</v>
      </c>
      <c r="T1368" s="34">
        <f t="shared" si="334"/>
        <v>1</v>
      </c>
      <c r="U1368" s="33">
        <f t="shared" si="343"/>
        <v>40</v>
      </c>
      <c r="V1368" s="38" t="s">
        <v>827</v>
      </c>
      <c r="W1368" s="39">
        <f t="shared" si="344"/>
        <v>8.3333333333333329E-2</v>
      </c>
      <c r="X1368" s="40" t="s">
        <v>304</v>
      </c>
      <c r="Y1368" s="40" t="s">
        <v>284</v>
      </c>
      <c r="Z1368" s="40" t="s">
        <v>305</v>
      </c>
      <c r="AA1368" s="33" t="s">
        <v>771</v>
      </c>
      <c r="AB1368" s="95"/>
      <c r="AC1368" s="95"/>
    </row>
    <row r="1369" spans="1:29" ht="14.45" customHeight="1" x14ac:dyDescent="0.25">
      <c r="A1369" s="36" t="str">
        <f>INDEX('Base de données Mono'!C:C,MATCH(B1369,'Base de données Mono'!D:D,0))</f>
        <v>ANGERS LES HALLES</v>
      </c>
      <c r="B1369" t="s">
        <v>4</v>
      </c>
      <c r="C1369" s="36" t="str">
        <f>INDEX('Base de données Mono'!B:B,MATCH(B1369,'Base de données Mono'!D:D,0))</f>
        <v>SES8</v>
      </c>
      <c r="D1369" s="36" t="str">
        <f>INDEX('Base de données Mono'!A:A,MATCH(B1369,'Base de données Mono'!D:D,0))</f>
        <v>AD</v>
      </c>
      <c r="E1369" s="37" t="s">
        <v>303</v>
      </c>
      <c r="F1369" s="41">
        <f t="shared" si="340"/>
        <v>17</v>
      </c>
      <c r="G1369" s="41">
        <f t="shared" si="341"/>
        <v>4</v>
      </c>
      <c r="I1369" s="131">
        <f>INDEX('Base de données Mono'!K:K,MATCH(B1369,'Base de données Mono'!D:D,0))</f>
        <v>0.20833333333333334</v>
      </c>
      <c r="J1369" s="131">
        <f>INDEX('Base de données Mono'!L:L,MATCH(B1369,'Base de données Mono'!D:D,0))</f>
        <v>0.875</v>
      </c>
      <c r="K1369" s="131" t="str">
        <f>INDEX('Base de données Mono'!M:M,MATCH(B1369,'Base de données Mono'!D:D,0))</f>
        <v>-</v>
      </c>
      <c r="L1369" s="131" t="str">
        <f>INDEX('Base de données Mono'!N:N,MATCH(B1369,'Base de données Mono'!D:D,0))</f>
        <v>-</v>
      </c>
      <c r="M1369" s="33" t="s">
        <v>46</v>
      </c>
      <c r="N1369" s="33">
        <f>IF(AND(E1369="Electricité",M1369="Hiver"),INDEX('Base de données Mono'!E:E,MATCH(B1369,'Base de données Mono'!D:D,0)),IF(AND(E1369="Electricité",M1369="Mi-saison"),INDEX('Base de données Mono'!F:F,MATCH(B1369,'Base de données Mono'!D:D,0)),IF(AND(E1369="Electricité",M1369="Eté"),INDEX('Base de données Mono'!G:G,MATCH(B1369,'Base de données Mono'!D:D,0)),IF(AND(E1369="Gaz",M1369="Hiver"),INDEX('Base de données Mono'!J:J,MATCH(B1369,'Base de données Mono'!D:D,0)),IF(AND(E1369="Gaz",M1369="Mi-saison"),INDEX('Base de données Mono'!#REF!,MATCH(B1369,'Base de données Mono'!D:D,0)),IF(AND(E1369="Gaz",M1369="Eté"),INDEX('Base de données Mono'!#REF!,MATCH(B1369,'Base de données Mono'!D:D,0)),"-"))))))</f>
        <v>60</v>
      </c>
      <c r="O1369" s="123">
        <v>45404</v>
      </c>
      <c r="P1369" s="123">
        <v>45409</v>
      </c>
      <c r="Q1369" s="34">
        <v>85</v>
      </c>
      <c r="R1369" s="33">
        <f t="shared" si="342"/>
        <v>25</v>
      </c>
      <c r="S1369" s="34">
        <v>0.3</v>
      </c>
      <c r="T1369" s="34">
        <f t="shared" si="334"/>
        <v>5</v>
      </c>
      <c r="U1369" s="33">
        <f t="shared" si="343"/>
        <v>37.5</v>
      </c>
      <c r="V1369" s="38" t="s">
        <v>827</v>
      </c>
      <c r="W1369" s="39">
        <f t="shared" si="344"/>
        <v>0.41666666666666669</v>
      </c>
      <c r="X1369" s="40" t="s">
        <v>304</v>
      </c>
      <c r="Y1369" s="40" t="s">
        <v>284</v>
      </c>
      <c r="Z1369" s="40" t="s">
        <v>307</v>
      </c>
      <c r="AA1369" s="33" t="s">
        <v>313</v>
      </c>
      <c r="AB1369" s="95"/>
      <c r="AC1369" s="95"/>
    </row>
    <row r="1370" spans="1:29" ht="14.45" customHeight="1" x14ac:dyDescent="0.25">
      <c r="A1370" s="36" t="str">
        <f>INDEX('Base de données Mono'!C:C,MATCH(B1370,'Base de données Mono'!D:D,0))</f>
        <v>ANGERS LES HALLES</v>
      </c>
      <c r="B1370" t="s">
        <v>4</v>
      </c>
      <c r="C1370" s="36" t="str">
        <f>INDEX('Base de données Mono'!B:B,MATCH(B1370,'Base de données Mono'!D:D,0))</f>
        <v>SES8</v>
      </c>
      <c r="D1370" s="36" t="str">
        <f>INDEX('Base de données Mono'!A:A,MATCH(B1370,'Base de données Mono'!D:D,0))</f>
        <v>AD</v>
      </c>
      <c r="E1370" s="37" t="s">
        <v>303</v>
      </c>
      <c r="F1370" s="41">
        <f t="shared" si="340"/>
        <v>17</v>
      </c>
      <c r="G1370" s="41">
        <f t="shared" si="341"/>
        <v>4</v>
      </c>
      <c r="I1370" s="131">
        <f>INDEX('Base de données Mono'!K:K,MATCH(B1370,'Base de données Mono'!D:D,0))</f>
        <v>0.20833333333333334</v>
      </c>
      <c r="J1370" s="131">
        <f>INDEX('Base de données Mono'!L:L,MATCH(B1370,'Base de données Mono'!D:D,0))</f>
        <v>0.875</v>
      </c>
      <c r="K1370" s="131" t="str">
        <f>INDEX('Base de données Mono'!M:M,MATCH(B1370,'Base de données Mono'!D:D,0))</f>
        <v>-</v>
      </c>
      <c r="L1370" s="131" t="str">
        <f>INDEX('Base de données Mono'!N:N,MATCH(B1370,'Base de données Mono'!D:D,0))</f>
        <v>-</v>
      </c>
      <c r="M1370" s="33" t="s">
        <v>46</v>
      </c>
      <c r="N1370" s="33">
        <f>IF(AND(E1370="Electricité",M1370="Hiver"),INDEX('Base de données Mono'!E:E,MATCH(B1370,'Base de données Mono'!D:D,0)),IF(AND(E1370="Electricité",M1370="Mi-saison"),INDEX('Base de données Mono'!F:F,MATCH(B1370,'Base de données Mono'!D:D,0)),IF(AND(E1370="Electricité",M1370="Eté"),INDEX('Base de données Mono'!G:G,MATCH(B1370,'Base de données Mono'!D:D,0)),IF(AND(E1370="Gaz",M1370="Hiver"),INDEX('Base de données Mono'!J:J,MATCH(B1370,'Base de données Mono'!D:D,0)),IF(AND(E1370="Gaz",M1370="Mi-saison"),INDEX('Base de données Mono'!#REF!,MATCH(B1370,'Base de données Mono'!D:D,0)),IF(AND(E1370="Gaz",M1370="Eté"),INDEX('Base de données Mono'!#REF!,MATCH(B1370,'Base de données Mono'!D:D,0)),"-"))))))</f>
        <v>60</v>
      </c>
      <c r="O1370" s="123">
        <v>45404</v>
      </c>
      <c r="P1370" s="123">
        <v>45409</v>
      </c>
      <c r="Q1370" s="34">
        <v>70</v>
      </c>
      <c r="R1370" s="33">
        <f t="shared" si="342"/>
        <v>10</v>
      </c>
      <c r="S1370" s="34">
        <v>7.7</v>
      </c>
      <c r="T1370" s="34">
        <f t="shared" si="334"/>
        <v>5</v>
      </c>
      <c r="U1370" s="33">
        <f t="shared" si="343"/>
        <v>385</v>
      </c>
      <c r="V1370" s="38" t="s">
        <v>827</v>
      </c>
      <c r="W1370" s="39">
        <f t="shared" si="344"/>
        <v>0.16666666666666666</v>
      </c>
      <c r="X1370" s="40" t="s">
        <v>304</v>
      </c>
      <c r="Y1370" s="40" t="s">
        <v>284</v>
      </c>
      <c r="Z1370" s="40" t="s">
        <v>305</v>
      </c>
      <c r="AA1370" s="33" t="s">
        <v>771</v>
      </c>
      <c r="AB1370" s="95"/>
      <c r="AC1370" s="95"/>
    </row>
    <row r="1371" spans="1:29" ht="14.45" customHeight="1" x14ac:dyDescent="0.25">
      <c r="A1371" s="36" t="str">
        <f>INDEX('Base de données Mono'!C:C,MATCH(B1371,'Base de données Mono'!D:D,0))</f>
        <v>ANGERS LES HALLES</v>
      </c>
      <c r="B1371" t="s">
        <v>4</v>
      </c>
      <c r="C1371" s="36" t="str">
        <f>INDEX('Base de données Mono'!B:B,MATCH(B1371,'Base de données Mono'!D:D,0))</f>
        <v>SES8</v>
      </c>
      <c r="D1371" s="36" t="str">
        <f>INDEX('Base de données Mono'!A:A,MATCH(B1371,'Base de données Mono'!D:D,0))</f>
        <v>AD</v>
      </c>
      <c r="E1371" s="37" t="s">
        <v>303</v>
      </c>
      <c r="F1371" s="41">
        <f t="shared" si="340"/>
        <v>17</v>
      </c>
      <c r="G1371" s="41">
        <f t="shared" si="341"/>
        <v>4</v>
      </c>
      <c r="I1371" s="131">
        <f>INDEX('Base de données Mono'!K:K,MATCH(B1371,'Base de données Mono'!D:D,0))</f>
        <v>0.20833333333333334</v>
      </c>
      <c r="J1371" s="131">
        <f>INDEX('Base de données Mono'!L:L,MATCH(B1371,'Base de données Mono'!D:D,0))</f>
        <v>0.875</v>
      </c>
      <c r="K1371" s="131" t="str">
        <f>INDEX('Base de données Mono'!M:M,MATCH(B1371,'Base de données Mono'!D:D,0))</f>
        <v>-</v>
      </c>
      <c r="L1371" s="131" t="str">
        <f>INDEX('Base de données Mono'!N:N,MATCH(B1371,'Base de données Mono'!D:D,0))</f>
        <v>-</v>
      </c>
      <c r="M1371" s="33" t="s">
        <v>46</v>
      </c>
      <c r="N1371" s="33">
        <f>IF(AND(E1371="Electricité",M1371="Hiver"),INDEX('Base de données Mono'!E:E,MATCH(B1371,'Base de données Mono'!D:D,0)),IF(AND(E1371="Electricité",M1371="Mi-saison"),INDEX('Base de données Mono'!F:F,MATCH(B1371,'Base de données Mono'!D:D,0)),IF(AND(E1371="Electricité",M1371="Eté"),INDEX('Base de données Mono'!G:G,MATCH(B1371,'Base de données Mono'!D:D,0)),IF(AND(E1371="Gaz",M1371="Hiver"),INDEX('Base de données Mono'!J:J,MATCH(B1371,'Base de données Mono'!D:D,0)),IF(AND(E1371="Gaz",M1371="Mi-saison"),INDEX('Base de données Mono'!#REF!,MATCH(B1371,'Base de données Mono'!D:D,0)),IF(AND(E1371="Gaz",M1371="Eté"),INDEX('Base de données Mono'!#REF!,MATCH(B1371,'Base de données Mono'!D:D,0)),"-"))))))</f>
        <v>60</v>
      </c>
      <c r="O1371" s="123">
        <v>45409</v>
      </c>
      <c r="P1371" s="123">
        <v>45410</v>
      </c>
      <c r="Q1371" s="34">
        <v>70</v>
      </c>
      <c r="R1371" s="33">
        <f t="shared" si="342"/>
        <v>10</v>
      </c>
      <c r="S1371" s="34">
        <v>8</v>
      </c>
      <c r="T1371" s="34">
        <f t="shared" si="334"/>
        <v>1</v>
      </c>
      <c r="U1371" s="33">
        <f t="shared" si="343"/>
        <v>80</v>
      </c>
      <c r="V1371" s="38" t="s">
        <v>827</v>
      </c>
      <c r="W1371" s="39">
        <f t="shared" si="344"/>
        <v>0.16666666666666666</v>
      </c>
      <c r="X1371" s="40" t="s">
        <v>304</v>
      </c>
      <c r="Y1371" s="40" t="s">
        <v>284</v>
      </c>
      <c r="Z1371" s="40" t="s">
        <v>305</v>
      </c>
      <c r="AA1371" s="33" t="s">
        <v>771</v>
      </c>
      <c r="AB1371" s="95"/>
      <c r="AC1371" s="95"/>
    </row>
    <row r="1372" spans="1:29" ht="14.45" customHeight="1" x14ac:dyDescent="0.25">
      <c r="A1372" s="36" t="str">
        <f>INDEX('Base de données Mono'!C:C,MATCH(B1372,'Base de données Mono'!D:D,0))</f>
        <v>NANCY ST SEBASTIEN</v>
      </c>
      <c r="B1372" t="s">
        <v>186</v>
      </c>
      <c r="C1372" s="36" t="str">
        <f>INDEX('Base de données Mono'!B:B,MATCH(B1372,'Base de données Mono'!D:D,0))</f>
        <v>SES8</v>
      </c>
      <c r="D1372" s="36" t="str">
        <f>INDEX('Base de données Mono'!A:A,MATCH(B1372,'Base de données Mono'!D:D,0))</f>
        <v>JG</v>
      </c>
      <c r="E1372" s="37" t="s">
        <v>303</v>
      </c>
      <c r="F1372" s="41">
        <f t="shared" si="340"/>
        <v>17</v>
      </c>
      <c r="G1372" s="41">
        <f t="shared" si="341"/>
        <v>4</v>
      </c>
      <c r="I1372" s="131">
        <f>INDEX('Base de données Mono'!K:K,MATCH(B1372,'Base de données Mono'!D:D,0))</f>
        <v>0.23611111111111113</v>
      </c>
      <c r="J1372" s="131">
        <f>INDEX('Base de données Mono'!L:L,MATCH(B1372,'Base de données Mono'!D:D,0))</f>
        <v>0.86458333333333337</v>
      </c>
      <c r="K1372" s="131" t="str">
        <f>INDEX('Base de données Mono'!M:M,MATCH(B1372,'Base de données Mono'!D:D,0))</f>
        <v>-</v>
      </c>
      <c r="L1372" s="131" t="str">
        <f>INDEX('Base de données Mono'!N:N,MATCH(B1372,'Base de données Mono'!D:D,0))</f>
        <v>-</v>
      </c>
      <c r="M1372" s="33" t="s">
        <v>46</v>
      </c>
      <c r="N1372" s="33">
        <f>IF(AND(E1372="Electricité",M1372="Hiver"),INDEX('Base de données Mono'!E:E,MATCH(B1372,'Base de données Mono'!D:D,0)),IF(AND(E1372="Electricité",M1372="Mi-saison"),INDEX('Base de données Mono'!F:F,MATCH(B1372,'Base de données Mono'!D:D,0)),IF(AND(E1372="Electricité",M1372="Eté"),INDEX('Base de données Mono'!G:G,MATCH(B1372,'Base de données Mono'!D:D,0)),IF(AND(E1372="Gaz",M1372="Hiver"),INDEX('Base de données Mono'!J:J,MATCH(B1372,'Base de données Mono'!D:D,0)),IF(AND(E1372="Gaz",M1372="Mi-saison"),INDEX('Base de données Mono'!#REF!,MATCH(B1372,'Base de données Mono'!D:D,0)),IF(AND(E1372="Gaz",M1372="Eté"),INDEX('Base de données Mono'!#REF!,MATCH(B1372,'Base de données Mono'!D:D,0)),"-"))))))</f>
        <v>85</v>
      </c>
      <c r="O1372" s="123">
        <v>45403</v>
      </c>
      <c r="P1372" s="123">
        <v>45410</v>
      </c>
      <c r="Q1372" s="34">
        <v>120</v>
      </c>
      <c r="R1372" s="33">
        <f t="shared" si="342"/>
        <v>35</v>
      </c>
      <c r="S1372" s="34">
        <v>8.9</v>
      </c>
      <c r="T1372" s="34">
        <f t="shared" si="334"/>
        <v>7</v>
      </c>
      <c r="U1372" s="33">
        <f t="shared" si="343"/>
        <v>2180.5</v>
      </c>
      <c r="V1372" s="38" t="s">
        <v>827</v>
      </c>
      <c r="W1372" s="39">
        <f t="shared" si="344"/>
        <v>0.41176470588235292</v>
      </c>
      <c r="X1372" s="40" t="s">
        <v>304</v>
      </c>
      <c r="Y1372" s="40" t="s">
        <v>283</v>
      </c>
      <c r="Z1372" s="40" t="s">
        <v>749</v>
      </c>
      <c r="AA1372" s="33" t="s">
        <v>749</v>
      </c>
      <c r="AB1372" s="95"/>
      <c r="AC1372" s="95"/>
    </row>
    <row r="1373" spans="1:29" ht="14.45" customHeight="1" x14ac:dyDescent="0.25">
      <c r="A1373" s="36" t="str">
        <f>INDEX('Base de données Mono'!C:C,MATCH(B1373,'Base de données Mono'!D:D,0))</f>
        <v>MONTPARNASSE</v>
      </c>
      <c r="B1373" t="s">
        <v>177</v>
      </c>
      <c r="C1373" s="36" t="str">
        <f>INDEX('Base de données Mono'!B:B,MATCH(B1373,'Base de données Mono'!D:D,0))</f>
        <v>SES8</v>
      </c>
      <c r="D1373" s="36" t="str">
        <f>INDEX('Base de données Mono'!A:A,MATCH(B1373,'Base de données Mono'!D:D,0))</f>
        <v>AD</v>
      </c>
      <c r="E1373" s="37" t="s">
        <v>303</v>
      </c>
      <c r="F1373" s="41">
        <f t="shared" si="340"/>
        <v>17</v>
      </c>
      <c r="G1373" s="41">
        <f t="shared" si="341"/>
        <v>4</v>
      </c>
      <c r="I1373" s="131">
        <f>INDEX('Base de données Mono'!K:K,MATCH(B1373,'Base de données Mono'!D:D,0))</f>
        <v>0.23611111111111113</v>
      </c>
      <c r="J1373" s="131">
        <f>INDEX('Base de données Mono'!L:L,MATCH(B1373,'Base de données Mono'!D:D,0))</f>
        <v>0.875</v>
      </c>
      <c r="K1373" s="131">
        <f>INDEX('Base de données Mono'!M:M,MATCH(B1373,'Base de données Mono'!D:D,0))</f>
        <v>0.25</v>
      </c>
      <c r="L1373" s="131">
        <f>INDEX('Base de données Mono'!N:N,MATCH(B1373,'Base de données Mono'!D:D,0))</f>
        <v>0.85416666666666663</v>
      </c>
      <c r="M1373" s="33" t="s">
        <v>46</v>
      </c>
      <c r="N1373" s="33">
        <f>IF(AND(E1373="Electricité",M1373="Hiver"),INDEX('Base de données Mono'!E:E,MATCH(B1373,'Base de données Mono'!D:D,0)),IF(AND(E1373="Electricité",M1373="Mi-saison"),INDEX('Base de données Mono'!F:F,MATCH(B1373,'Base de données Mono'!D:D,0)),IF(AND(E1373="Electricité",M1373="Eté"),INDEX('Base de données Mono'!G:G,MATCH(B1373,'Base de données Mono'!D:D,0)),IF(AND(E1373="Gaz",M1373="Hiver"),INDEX('Base de données Mono'!J:J,MATCH(B1373,'Base de données Mono'!D:D,0)),IF(AND(E1373="Gaz",M1373="Mi-saison"),INDEX('Base de données Mono'!#REF!,MATCH(B1373,'Base de données Mono'!D:D,0)),IF(AND(E1373="Gaz",M1373="Eté"),INDEX('Base de données Mono'!#REF!,MATCH(B1373,'Base de données Mono'!D:D,0)),"-"))))))</f>
        <v>130</v>
      </c>
      <c r="O1373" s="123">
        <v>45403</v>
      </c>
      <c r="P1373" s="123">
        <v>45410</v>
      </c>
      <c r="Q1373" s="34">
        <v>190</v>
      </c>
      <c r="R1373" s="33">
        <f t="shared" si="342"/>
        <v>60</v>
      </c>
      <c r="S1373" s="34">
        <v>2.6</v>
      </c>
      <c r="T1373" s="34">
        <f t="shared" si="334"/>
        <v>7</v>
      </c>
      <c r="U1373" s="33">
        <f t="shared" si="343"/>
        <v>1092</v>
      </c>
      <c r="V1373" s="38" t="s">
        <v>827</v>
      </c>
      <c r="W1373" s="39">
        <f t="shared" si="344"/>
        <v>0.46153846153846156</v>
      </c>
      <c r="X1373" s="40" t="s">
        <v>304</v>
      </c>
      <c r="Y1373" s="40" t="s">
        <v>284</v>
      </c>
      <c r="Z1373" s="40" t="s">
        <v>307</v>
      </c>
      <c r="AA1373" s="33" t="s">
        <v>313</v>
      </c>
      <c r="AB1373" s="95"/>
      <c r="AC1373" s="95"/>
    </row>
    <row r="1374" spans="1:29" ht="14.45" customHeight="1" x14ac:dyDescent="0.25">
      <c r="A1374" s="36" t="str">
        <f>INDEX('Base de données Mono'!C:C,MATCH(B1374,'Base de données Mono'!D:D,0))</f>
        <v>MONTPARNASSE</v>
      </c>
      <c r="B1374" t="s">
        <v>177</v>
      </c>
      <c r="C1374" s="36" t="str">
        <f>INDEX('Base de données Mono'!B:B,MATCH(B1374,'Base de données Mono'!D:D,0))</f>
        <v>SES8</v>
      </c>
      <c r="D1374" s="36" t="str">
        <f>INDEX('Base de données Mono'!A:A,MATCH(B1374,'Base de données Mono'!D:D,0))</f>
        <v>AD</v>
      </c>
      <c r="E1374" s="37" t="s">
        <v>303</v>
      </c>
      <c r="F1374" s="41">
        <f t="shared" si="340"/>
        <v>17</v>
      </c>
      <c r="G1374" s="41">
        <f t="shared" si="341"/>
        <v>4</v>
      </c>
      <c r="I1374" s="131">
        <f>INDEX('Base de données Mono'!K:K,MATCH(B1374,'Base de données Mono'!D:D,0))</f>
        <v>0.23611111111111113</v>
      </c>
      <c r="J1374" s="131">
        <f>INDEX('Base de données Mono'!L:L,MATCH(B1374,'Base de données Mono'!D:D,0))</f>
        <v>0.875</v>
      </c>
      <c r="K1374" s="131">
        <f>INDEX('Base de données Mono'!M:M,MATCH(B1374,'Base de données Mono'!D:D,0))</f>
        <v>0.25</v>
      </c>
      <c r="L1374" s="131">
        <f>INDEX('Base de données Mono'!N:N,MATCH(B1374,'Base de données Mono'!D:D,0))</f>
        <v>0.85416666666666663</v>
      </c>
      <c r="M1374" s="33" t="s">
        <v>46</v>
      </c>
      <c r="N1374" s="33">
        <f>IF(AND(E1374="Electricité",M1374="Hiver"),INDEX('Base de données Mono'!E:E,MATCH(B1374,'Base de données Mono'!D:D,0)),IF(AND(E1374="Electricité",M1374="Mi-saison"),INDEX('Base de données Mono'!F:F,MATCH(B1374,'Base de données Mono'!D:D,0)),IF(AND(E1374="Electricité",M1374="Eté"),INDEX('Base de données Mono'!G:G,MATCH(B1374,'Base de données Mono'!D:D,0)),IF(AND(E1374="Gaz",M1374="Hiver"),INDEX('Base de données Mono'!J:J,MATCH(B1374,'Base de données Mono'!D:D,0)),IF(AND(E1374="Gaz",M1374="Mi-saison"),INDEX('Base de données Mono'!#REF!,MATCH(B1374,'Base de données Mono'!D:D,0)),IF(AND(E1374="Gaz",M1374="Eté"),INDEX('Base de données Mono'!#REF!,MATCH(B1374,'Base de données Mono'!D:D,0)),"-"))))))</f>
        <v>130</v>
      </c>
      <c r="O1374" s="123">
        <v>45403</v>
      </c>
      <c r="P1374" s="123">
        <v>45409</v>
      </c>
      <c r="Q1374" s="34">
        <v>190</v>
      </c>
      <c r="R1374" s="33">
        <f t="shared" si="342"/>
        <v>60</v>
      </c>
      <c r="S1374" s="34">
        <v>0.5</v>
      </c>
      <c r="T1374" s="34">
        <f t="shared" si="334"/>
        <v>6</v>
      </c>
      <c r="U1374" s="33">
        <f t="shared" si="343"/>
        <v>180</v>
      </c>
      <c r="V1374" s="38" t="s">
        <v>827</v>
      </c>
      <c r="W1374" s="39">
        <f t="shared" si="344"/>
        <v>0.46153846153846156</v>
      </c>
      <c r="X1374" s="40" t="s">
        <v>304</v>
      </c>
      <c r="Y1374" s="40" t="s">
        <v>284</v>
      </c>
      <c r="Z1374" s="40" t="s">
        <v>307</v>
      </c>
      <c r="AA1374" s="33" t="s">
        <v>414</v>
      </c>
      <c r="AB1374" s="95"/>
      <c r="AC1374" s="95"/>
    </row>
    <row r="1375" spans="1:29" ht="14.45" customHeight="1" x14ac:dyDescent="0.25">
      <c r="A1375" s="36" t="str">
        <f>INDEX('Base de données Mono'!C:C,MATCH(B1375,'Base de données Mono'!D:D,0))</f>
        <v>MONTPARNASSE</v>
      </c>
      <c r="B1375" t="s">
        <v>177</v>
      </c>
      <c r="C1375" s="36" t="str">
        <f>INDEX('Base de données Mono'!B:B,MATCH(B1375,'Base de données Mono'!D:D,0))</f>
        <v>SES8</v>
      </c>
      <c r="D1375" s="36" t="str">
        <f>INDEX('Base de données Mono'!A:A,MATCH(B1375,'Base de données Mono'!D:D,0))</f>
        <v>AD</v>
      </c>
      <c r="E1375" s="37" t="s">
        <v>303</v>
      </c>
      <c r="F1375" s="41">
        <f t="shared" si="340"/>
        <v>17</v>
      </c>
      <c r="G1375" s="41">
        <f t="shared" si="341"/>
        <v>4</v>
      </c>
      <c r="I1375" s="131">
        <f>INDEX('Base de données Mono'!K:K,MATCH(B1375,'Base de données Mono'!D:D,0))</f>
        <v>0.23611111111111113</v>
      </c>
      <c r="J1375" s="131">
        <f>INDEX('Base de données Mono'!L:L,MATCH(B1375,'Base de données Mono'!D:D,0))</f>
        <v>0.875</v>
      </c>
      <c r="K1375" s="131">
        <f>INDEX('Base de données Mono'!M:M,MATCH(B1375,'Base de données Mono'!D:D,0))</f>
        <v>0.25</v>
      </c>
      <c r="L1375" s="131">
        <f>INDEX('Base de données Mono'!N:N,MATCH(B1375,'Base de données Mono'!D:D,0))</f>
        <v>0.85416666666666663</v>
      </c>
      <c r="M1375" s="33" t="s">
        <v>46</v>
      </c>
      <c r="N1375" s="33">
        <f>IF(AND(E1375="Electricité",M1375="Hiver"),INDEX('Base de données Mono'!E:E,MATCH(B1375,'Base de données Mono'!D:D,0)),IF(AND(E1375="Electricité",M1375="Mi-saison"),INDEX('Base de données Mono'!F:F,MATCH(B1375,'Base de données Mono'!D:D,0)),IF(AND(E1375="Electricité",M1375="Eté"),INDEX('Base de données Mono'!G:G,MATCH(B1375,'Base de données Mono'!D:D,0)),IF(AND(E1375="Gaz",M1375="Hiver"),INDEX('Base de données Mono'!J:J,MATCH(B1375,'Base de données Mono'!D:D,0)),IF(AND(E1375="Gaz",M1375="Mi-saison"),INDEX('Base de données Mono'!#REF!,MATCH(B1375,'Base de données Mono'!D:D,0)),IF(AND(E1375="Gaz",M1375="Eté"),INDEX('Base de données Mono'!#REF!,MATCH(B1375,'Base de données Mono'!D:D,0)),"-"))))))</f>
        <v>130</v>
      </c>
      <c r="O1375" s="123">
        <v>45405</v>
      </c>
      <c r="P1375" s="123">
        <v>45407</v>
      </c>
      <c r="Q1375" s="34">
        <v>140</v>
      </c>
      <c r="R1375" s="33">
        <f t="shared" si="342"/>
        <v>10</v>
      </c>
      <c r="S1375" s="34">
        <v>5.5</v>
      </c>
      <c r="T1375" s="34">
        <f t="shared" si="334"/>
        <v>2</v>
      </c>
      <c r="U1375" s="33">
        <f t="shared" si="343"/>
        <v>110</v>
      </c>
      <c r="V1375" s="38" t="s">
        <v>827</v>
      </c>
      <c r="W1375" s="39">
        <f t="shared" si="344"/>
        <v>7.6923076923076927E-2</v>
      </c>
      <c r="X1375" s="40" t="s">
        <v>304</v>
      </c>
      <c r="Y1375" s="40" t="s">
        <v>284</v>
      </c>
      <c r="Z1375" s="40" t="s">
        <v>305</v>
      </c>
      <c r="AA1375" s="33" t="s">
        <v>771</v>
      </c>
      <c r="AB1375" s="95"/>
      <c r="AC1375" s="95"/>
    </row>
    <row r="1376" spans="1:29" ht="14.45" customHeight="1" x14ac:dyDescent="0.25">
      <c r="A1376" s="36" t="str">
        <f>INDEX('Base de données Mono'!C:C,MATCH(B1376,'Base de données Mono'!D:D,0))</f>
        <v>MONTPARNASSE</v>
      </c>
      <c r="B1376" t="s">
        <v>177</v>
      </c>
      <c r="C1376" s="36" t="str">
        <f>INDEX('Base de données Mono'!B:B,MATCH(B1376,'Base de données Mono'!D:D,0))</f>
        <v>SES8</v>
      </c>
      <c r="D1376" s="36" t="str">
        <f>INDEX('Base de données Mono'!A:A,MATCH(B1376,'Base de données Mono'!D:D,0))</f>
        <v>AD</v>
      </c>
      <c r="E1376" s="37" t="s">
        <v>303</v>
      </c>
      <c r="F1376" s="41">
        <f t="shared" si="340"/>
        <v>17</v>
      </c>
      <c r="G1376" s="41">
        <f t="shared" si="341"/>
        <v>4</v>
      </c>
      <c r="I1376" s="131">
        <f>INDEX('Base de données Mono'!K:K,MATCH(B1376,'Base de données Mono'!D:D,0))</f>
        <v>0.23611111111111113</v>
      </c>
      <c r="J1376" s="131">
        <f>INDEX('Base de données Mono'!L:L,MATCH(B1376,'Base de données Mono'!D:D,0))</f>
        <v>0.875</v>
      </c>
      <c r="K1376" s="131">
        <f>INDEX('Base de données Mono'!M:M,MATCH(B1376,'Base de données Mono'!D:D,0))</f>
        <v>0.25</v>
      </c>
      <c r="L1376" s="131">
        <f>INDEX('Base de données Mono'!N:N,MATCH(B1376,'Base de données Mono'!D:D,0))</f>
        <v>0.85416666666666663</v>
      </c>
      <c r="M1376" s="33" t="s">
        <v>46</v>
      </c>
      <c r="N1376" s="33">
        <f>IF(AND(E1376="Electricité",M1376="Hiver"),INDEX('Base de données Mono'!E:E,MATCH(B1376,'Base de données Mono'!D:D,0)),IF(AND(E1376="Electricité",M1376="Mi-saison"),INDEX('Base de données Mono'!F:F,MATCH(B1376,'Base de données Mono'!D:D,0)),IF(AND(E1376="Electricité",M1376="Eté"),INDEX('Base de données Mono'!G:G,MATCH(B1376,'Base de données Mono'!D:D,0)),IF(AND(E1376="Gaz",M1376="Hiver"),INDEX('Base de données Mono'!J:J,MATCH(B1376,'Base de données Mono'!D:D,0)),IF(AND(E1376="Gaz",M1376="Mi-saison"),INDEX('Base de données Mono'!#REF!,MATCH(B1376,'Base de données Mono'!D:D,0)),IF(AND(E1376="Gaz",M1376="Eté"),INDEX('Base de données Mono'!#REF!,MATCH(B1376,'Base de données Mono'!D:D,0)),"-"))))))</f>
        <v>130</v>
      </c>
      <c r="O1376" s="123">
        <v>45407</v>
      </c>
      <c r="P1376" s="123">
        <v>45408</v>
      </c>
      <c r="Q1376" s="34">
        <v>180</v>
      </c>
      <c r="R1376" s="33">
        <f t="shared" si="342"/>
        <v>50</v>
      </c>
      <c r="S1376" s="34">
        <v>4.5</v>
      </c>
      <c r="T1376" s="34">
        <f t="shared" si="334"/>
        <v>1</v>
      </c>
      <c r="U1376" s="33">
        <f t="shared" si="343"/>
        <v>225</v>
      </c>
      <c r="V1376" s="38" t="s">
        <v>827</v>
      </c>
      <c r="W1376" s="39">
        <f t="shared" si="344"/>
        <v>0.38461538461538464</v>
      </c>
      <c r="X1376" s="40" t="s">
        <v>304</v>
      </c>
      <c r="Y1376" s="40" t="s">
        <v>283</v>
      </c>
      <c r="Z1376" s="40" t="s">
        <v>749</v>
      </c>
      <c r="AA1376" s="33" t="s">
        <v>749</v>
      </c>
      <c r="AB1376" s="95"/>
      <c r="AC1376" s="95"/>
    </row>
    <row r="1377" spans="1:29" ht="14.45" customHeight="1" x14ac:dyDescent="0.25">
      <c r="A1377" s="36" t="str">
        <f>INDEX('Base de données Mono'!C:C,MATCH(B1377,'Base de données Mono'!D:D,0))</f>
        <v>TOLBIAC</v>
      </c>
      <c r="B1377" t="s">
        <v>253</v>
      </c>
      <c r="C1377" s="36" t="str">
        <f>INDEX('Base de données Mono'!B:B,MATCH(B1377,'Base de données Mono'!D:D,0))</f>
        <v>SES8</v>
      </c>
      <c r="D1377" s="36" t="str">
        <f>INDEX('Base de données Mono'!A:A,MATCH(B1377,'Base de données Mono'!D:D,0))</f>
        <v>JG</v>
      </c>
      <c r="E1377" s="37" t="s">
        <v>303</v>
      </c>
      <c r="F1377" s="41">
        <f t="shared" si="340"/>
        <v>17</v>
      </c>
      <c r="G1377" s="41">
        <f t="shared" si="341"/>
        <v>4</v>
      </c>
      <c r="I1377" s="131">
        <f>INDEX('Base de données Mono'!K:K,MATCH(B1377,'Base de données Mono'!D:D,0))</f>
        <v>0.24305555555555555</v>
      </c>
      <c r="J1377" s="131">
        <f>INDEX('Base de données Mono'!L:L,MATCH(B1377,'Base de données Mono'!D:D,0))</f>
        <v>0.92708333333333337</v>
      </c>
      <c r="K1377" s="131" t="str">
        <f>INDEX('Base de données Mono'!M:M,MATCH(B1377,'Base de données Mono'!D:D,0))</f>
        <v>-</v>
      </c>
      <c r="L1377" s="131" t="str">
        <f>INDEX('Base de données Mono'!N:N,MATCH(B1377,'Base de données Mono'!D:D,0))</f>
        <v>-</v>
      </c>
      <c r="M1377" s="33" t="s">
        <v>46</v>
      </c>
      <c r="N1377" s="33">
        <f>IF(AND(E1377="Electricité",M1377="Hiver"),INDEX('Base de données Mono'!E:E,MATCH(B1377,'Base de données Mono'!D:D,0)),IF(AND(E1377="Electricité",M1377="Mi-saison"),INDEX('Base de données Mono'!F:F,MATCH(B1377,'Base de données Mono'!D:D,0)),IF(AND(E1377="Electricité",M1377="Eté"),INDEX('Base de données Mono'!G:G,MATCH(B1377,'Base de données Mono'!D:D,0)),IF(AND(E1377="Gaz",M1377="Hiver"),INDEX('Base de données Mono'!J:J,MATCH(B1377,'Base de données Mono'!D:D,0)),IF(AND(E1377="Gaz",M1377="Mi-saison"),INDEX('Base de données Mono'!#REF!,MATCH(B1377,'Base de données Mono'!D:D,0)),IF(AND(E1377="Gaz",M1377="Eté"),INDEX('Base de données Mono'!#REF!,MATCH(B1377,'Base de données Mono'!D:D,0)),"-"))))))</f>
        <v>55</v>
      </c>
      <c r="O1377" s="123">
        <v>45403</v>
      </c>
      <c r="P1377" s="123">
        <v>45404</v>
      </c>
      <c r="Q1377" s="34">
        <v>80</v>
      </c>
      <c r="R1377" s="33">
        <f t="shared" si="342"/>
        <v>25</v>
      </c>
      <c r="S1377" s="34">
        <v>5</v>
      </c>
      <c r="T1377" s="34">
        <f t="shared" si="334"/>
        <v>1</v>
      </c>
      <c r="U1377" s="33">
        <f t="shared" si="343"/>
        <v>125</v>
      </c>
      <c r="V1377" s="38" t="s">
        <v>827</v>
      </c>
      <c r="W1377" s="39">
        <f t="shared" si="344"/>
        <v>0.45454545454545453</v>
      </c>
      <c r="X1377" s="40" t="s">
        <v>304</v>
      </c>
      <c r="Y1377" s="40" t="s">
        <v>284</v>
      </c>
      <c r="Z1377" s="95" t="s">
        <v>311</v>
      </c>
      <c r="AA1377" s="95" t="s">
        <v>775</v>
      </c>
      <c r="AB1377" s="95"/>
      <c r="AC1377" s="95"/>
    </row>
    <row r="1378" spans="1:29" ht="14.45" customHeight="1" x14ac:dyDescent="0.25">
      <c r="A1378" s="36" t="str">
        <f>INDEX('Base de données Mono'!C:C,MATCH(B1378,'Base de données Mono'!D:D,0))</f>
        <v>TOLBIAC</v>
      </c>
      <c r="B1378" t="s">
        <v>253</v>
      </c>
      <c r="C1378" s="36" t="str">
        <f>INDEX('Base de données Mono'!B:B,MATCH(B1378,'Base de données Mono'!D:D,0))</f>
        <v>SES8</v>
      </c>
      <c r="D1378" s="36" t="str">
        <f>INDEX('Base de données Mono'!A:A,MATCH(B1378,'Base de données Mono'!D:D,0))</f>
        <v>JG</v>
      </c>
      <c r="E1378" s="37" t="s">
        <v>303</v>
      </c>
      <c r="F1378" s="41">
        <f t="shared" si="340"/>
        <v>17</v>
      </c>
      <c r="G1378" s="41">
        <f t="shared" si="341"/>
        <v>4</v>
      </c>
      <c r="I1378" s="131">
        <f>INDEX('Base de données Mono'!K:K,MATCH(B1378,'Base de données Mono'!D:D,0))</f>
        <v>0.24305555555555555</v>
      </c>
      <c r="J1378" s="131">
        <f>INDEX('Base de données Mono'!L:L,MATCH(B1378,'Base de données Mono'!D:D,0))</f>
        <v>0.92708333333333337</v>
      </c>
      <c r="K1378" s="131" t="str">
        <f>INDEX('Base de données Mono'!M:M,MATCH(B1378,'Base de données Mono'!D:D,0))</f>
        <v>-</v>
      </c>
      <c r="L1378" s="131" t="str">
        <f>INDEX('Base de données Mono'!N:N,MATCH(B1378,'Base de données Mono'!D:D,0))</f>
        <v>-</v>
      </c>
      <c r="M1378" s="33" t="s">
        <v>46</v>
      </c>
      <c r="N1378" s="33">
        <f>IF(AND(E1378="Electricité",M1378="Hiver"),INDEX('Base de données Mono'!E:E,MATCH(B1378,'Base de données Mono'!D:D,0)),IF(AND(E1378="Electricité",M1378="Mi-saison"),INDEX('Base de données Mono'!F:F,MATCH(B1378,'Base de données Mono'!D:D,0)),IF(AND(E1378="Electricité",M1378="Eté"),INDEX('Base de données Mono'!G:G,MATCH(B1378,'Base de données Mono'!D:D,0)),IF(AND(E1378="Gaz",M1378="Hiver"),INDEX('Base de données Mono'!J:J,MATCH(B1378,'Base de données Mono'!D:D,0)),IF(AND(E1378="Gaz",M1378="Mi-saison"),INDEX('Base de données Mono'!#REF!,MATCH(B1378,'Base de données Mono'!D:D,0)),IF(AND(E1378="Gaz",M1378="Eté"),INDEX('Base de données Mono'!#REF!,MATCH(B1378,'Base de données Mono'!D:D,0)),"-"))))))</f>
        <v>55</v>
      </c>
      <c r="O1378" s="123">
        <v>45403</v>
      </c>
      <c r="P1378" s="123">
        <v>45404</v>
      </c>
      <c r="Q1378" s="34">
        <v>60</v>
      </c>
      <c r="R1378" s="33">
        <f t="shared" si="342"/>
        <v>5</v>
      </c>
      <c r="S1378" s="34">
        <v>2.5</v>
      </c>
      <c r="T1378" s="34">
        <f t="shared" si="334"/>
        <v>1</v>
      </c>
      <c r="U1378" s="33">
        <f t="shared" si="343"/>
        <v>12.5</v>
      </c>
      <c r="V1378" s="38" t="s">
        <v>827</v>
      </c>
      <c r="W1378" s="39">
        <f t="shared" si="344"/>
        <v>9.0909090909090912E-2</v>
      </c>
      <c r="X1378" s="40" t="s">
        <v>304</v>
      </c>
      <c r="Y1378" s="40" t="s">
        <v>284</v>
      </c>
      <c r="Z1378" s="40" t="s">
        <v>305</v>
      </c>
      <c r="AA1378" s="33" t="s">
        <v>771</v>
      </c>
      <c r="AB1378" s="95"/>
      <c r="AC1378" s="95"/>
    </row>
    <row r="1379" spans="1:29" ht="14.45" customHeight="1" x14ac:dyDescent="0.25">
      <c r="A1379" s="36" t="str">
        <f>INDEX('Base de données Mono'!C:C,MATCH(B1379,'Base de données Mono'!D:D,0))</f>
        <v>TOLBIAC</v>
      </c>
      <c r="B1379" t="s">
        <v>253</v>
      </c>
      <c r="C1379" s="36" t="str">
        <f>INDEX('Base de données Mono'!B:B,MATCH(B1379,'Base de données Mono'!D:D,0))</f>
        <v>SES8</v>
      </c>
      <c r="D1379" s="36" t="str">
        <f>INDEX('Base de données Mono'!A:A,MATCH(B1379,'Base de données Mono'!D:D,0))</f>
        <v>JG</v>
      </c>
      <c r="E1379" s="37" t="s">
        <v>303</v>
      </c>
      <c r="F1379" s="41">
        <f t="shared" si="340"/>
        <v>17</v>
      </c>
      <c r="G1379" s="41">
        <f t="shared" si="341"/>
        <v>4</v>
      </c>
      <c r="I1379" s="131">
        <f>INDEX('Base de données Mono'!K:K,MATCH(B1379,'Base de données Mono'!D:D,0))</f>
        <v>0.24305555555555555</v>
      </c>
      <c r="J1379" s="131">
        <f>INDEX('Base de données Mono'!L:L,MATCH(B1379,'Base de données Mono'!D:D,0))</f>
        <v>0.92708333333333337</v>
      </c>
      <c r="K1379" s="131" t="str">
        <f>INDEX('Base de données Mono'!M:M,MATCH(B1379,'Base de données Mono'!D:D,0))</f>
        <v>-</v>
      </c>
      <c r="L1379" s="131" t="str">
        <f>INDEX('Base de données Mono'!N:N,MATCH(B1379,'Base de données Mono'!D:D,0))</f>
        <v>-</v>
      </c>
      <c r="M1379" s="33" t="s">
        <v>46</v>
      </c>
      <c r="N1379" s="33">
        <f>IF(AND(E1379="Electricité",M1379="Hiver"),INDEX('Base de données Mono'!E:E,MATCH(B1379,'Base de données Mono'!D:D,0)),IF(AND(E1379="Electricité",M1379="Mi-saison"),INDEX('Base de données Mono'!F:F,MATCH(B1379,'Base de données Mono'!D:D,0)),IF(AND(E1379="Electricité",M1379="Eté"),INDEX('Base de données Mono'!G:G,MATCH(B1379,'Base de données Mono'!D:D,0)),IF(AND(E1379="Gaz",M1379="Hiver"),INDEX('Base de données Mono'!J:J,MATCH(B1379,'Base de données Mono'!D:D,0)),IF(AND(E1379="Gaz",M1379="Mi-saison"),INDEX('Base de données Mono'!#REF!,MATCH(B1379,'Base de données Mono'!D:D,0)),IF(AND(E1379="Gaz",M1379="Eté"),INDEX('Base de données Mono'!#REF!,MATCH(B1379,'Base de données Mono'!D:D,0)),"-"))))))</f>
        <v>55</v>
      </c>
      <c r="O1379" s="123">
        <v>45404</v>
      </c>
      <c r="P1379" s="123">
        <v>45409</v>
      </c>
      <c r="Q1379" s="34">
        <v>80</v>
      </c>
      <c r="R1379" s="33">
        <f t="shared" si="342"/>
        <v>25</v>
      </c>
      <c r="S1379" s="34">
        <v>0.8</v>
      </c>
      <c r="T1379" s="34">
        <f t="shared" si="334"/>
        <v>5</v>
      </c>
      <c r="U1379" s="33">
        <f t="shared" si="343"/>
        <v>100</v>
      </c>
      <c r="V1379" s="38" t="s">
        <v>827</v>
      </c>
      <c r="W1379" s="39">
        <f t="shared" si="344"/>
        <v>0.45454545454545453</v>
      </c>
      <c r="X1379" s="40" t="s">
        <v>304</v>
      </c>
      <c r="Y1379" s="40" t="s">
        <v>284</v>
      </c>
      <c r="Z1379" s="40" t="s">
        <v>307</v>
      </c>
      <c r="AA1379" s="33" t="s">
        <v>414</v>
      </c>
      <c r="AB1379" s="95"/>
      <c r="AC1379" s="95"/>
    </row>
    <row r="1380" spans="1:29" ht="14.45" customHeight="1" x14ac:dyDescent="0.25">
      <c r="A1380" s="36" t="str">
        <f>INDEX('Base de données Mono'!C:C,MATCH(B1380,'Base de données Mono'!D:D,0))</f>
        <v>TOLBIAC</v>
      </c>
      <c r="B1380" t="s">
        <v>253</v>
      </c>
      <c r="C1380" s="36" t="str">
        <f>INDEX('Base de données Mono'!B:B,MATCH(B1380,'Base de données Mono'!D:D,0))</f>
        <v>SES8</v>
      </c>
      <c r="D1380" s="36" t="str">
        <f>INDEX('Base de données Mono'!A:A,MATCH(B1380,'Base de données Mono'!D:D,0))</f>
        <v>JG</v>
      </c>
      <c r="E1380" s="37" t="s">
        <v>303</v>
      </c>
      <c r="F1380" s="41">
        <f t="shared" si="340"/>
        <v>17</v>
      </c>
      <c r="G1380" s="41">
        <f t="shared" si="341"/>
        <v>4</v>
      </c>
      <c r="I1380" s="131">
        <f>INDEX('Base de données Mono'!K:K,MATCH(B1380,'Base de données Mono'!D:D,0))</f>
        <v>0.24305555555555555</v>
      </c>
      <c r="J1380" s="131">
        <f>INDEX('Base de données Mono'!L:L,MATCH(B1380,'Base de données Mono'!D:D,0))</f>
        <v>0.92708333333333337</v>
      </c>
      <c r="K1380" s="131" t="str">
        <f>INDEX('Base de données Mono'!M:M,MATCH(B1380,'Base de données Mono'!D:D,0))</f>
        <v>-</v>
      </c>
      <c r="L1380" s="131" t="str">
        <f>INDEX('Base de données Mono'!N:N,MATCH(B1380,'Base de données Mono'!D:D,0))</f>
        <v>-</v>
      </c>
      <c r="M1380" s="33" t="s">
        <v>46</v>
      </c>
      <c r="N1380" s="33">
        <f>IF(AND(E1380="Electricité",M1380="Hiver"),INDEX('Base de données Mono'!E:E,MATCH(B1380,'Base de données Mono'!D:D,0)),IF(AND(E1380="Electricité",M1380="Mi-saison"),INDEX('Base de données Mono'!F:F,MATCH(B1380,'Base de données Mono'!D:D,0)),IF(AND(E1380="Electricité",M1380="Eté"),INDEX('Base de données Mono'!G:G,MATCH(B1380,'Base de données Mono'!D:D,0)),IF(AND(E1380="Gaz",M1380="Hiver"),INDEX('Base de données Mono'!J:J,MATCH(B1380,'Base de données Mono'!D:D,0)),IF(AND(E1380="Gaz",M1380="Mi-saison"),INDEX('Base de données Mono'!#REF!,MATCH(B1380,'Base de données Mono'!D:D,0)),IF(AND(E1380="Gaz",M1380="Eté"),INDEX('Base de données Mono'!#REF!,MATCH(B1380,'Base de données Mono'!D:D,0)),"-"))))))</f>
        <v>55</v>
      </c>
      <c r="O1380" s="123">
        <v>45405</v>
      </c>
      <c r="P1380" s="123">
        <v>45406</v>
      </c>
      <c r="Q1380" s="34">
        <v>75</v>
      </c>
      <c r="R1380" s="33">
        <f t="shared" si="342"/>
        <v>20</v>
      </c>
      <c r="S1380" s="34">
        <v>5</v>
      </c>
      <c r="T1380" s="34">
        <f t="shared" si="334"/>
        <v>1</v>
      </c>
      <c r="U1380" s="33">
        <f t="shared" si="343"/>
        <v>100</v>
      </c>
      <c r="V1380" s="38" t="s">
        <v>827</v>
      </c>
      <c r="W1380" s="39">
        <f t="shared" si="344"/>
        <v>0.36363636363636365</v>
      </c>
      <c r="X1380" s="40" t="s">
        <v>304</v>
      </c>
      <c r="Y1380" s="40" t="s">
        <v>283</v>
      </c>
      <c r="Z1380" s="40" t="s">
        <v>749</v>
      </c>
      <c r="AA1380" s="33" t="s">
        <v>749</v>
      </c>
      <c r="AB1380" s="95"/>
      <c r="AC1380" s="95"/>
    </row>
    <row r="1381" spans="1:29" ht="14.45" customHeight="1" x14ac:dyDescent="0.25">
      <c r="A1381" s="36" t="str">
        <f>INDEX('Base de données Mono'!C:C,MATCH(B1381,'Base de données Mono'!D:D,0))</f>
        <v>TOLBIAC</v>
      </c>
      <c r="B1381" t="s">
        <v>253</v>
      </c>
      <c r="C1381" s="36" t="str">
        <f>INDEX('Base de données Mono'!B:B,MATCH(B1381,'Base de données Mono'!D:D,0))</f>
        <v>SES8</v>
      </c>
      <c r="D1381" s="36" t="str">
        <f>INDEX('Base de données Mono'!A:A,MATCH(B1381,'Base de données Mono'!D:D,0))</f>
        <v>JG</v>
      </c>
      <c r="E1381" s="37" t="s">
        <v>303</v>
      </c>
      <c r="F1381" s="41">
        <f t="shared" si="340"/>
        <v>17</v>
      </c>
      <c r="G1381" s="41">
        <f t="shared" si="341"/>
        <v>4</v>
      </c>
      <c r="I1381" s="131">
        <f>INDEX('Base de données Mono'!K:K,MATCH(B1381,'Base de données Mono'!D:D,0))</f>
        <v>0.24305555555555555</v>
      </c>
      <c r="J1381" s="131">
        <f>INDEX('Base de données Mono'!L:L,MATCH(B1381,'Base de données Mono'!D:D,0))</f>
        <v>0.92708333333333337</v>
      </c>
      <c r="K1381" s="131" t="str">
        <f>INDEX('Base de données Mono'!M:M,MATCH(B1381,'Base de données Mono'!D:D,0))</f>
        <v>-</v>
      </c>
      <c r="L1381" s="131" t="str">
        <f>INDEX('Base de données Mono'!N:N,MATCH(B1381,'Base de données Mono'!D:D,0))</f>
        <v>-</v>
      </c>
      <c r="M1381" s="33" t="s">
        <v>46</v>
      </c>
      <c r="N1381" s="33">
        <f>IF(AND(E1381="Electricité",M1381="Hiver"),INDEX('Base de données Mono'!E:E,MATCH(B1381,'Base de données Mono'!D:D,0)),IF(AND(E1381="Electricité",M1381="Mi-saison"),INDEX('Base de données Mono'!F:F,MATCH(B1381,'Base de données Mono'!D:D,0)),IF(AND(E1381="Electricité",M1381="Eté"),INDEX('Base de données Mono'!G:G,MATCH(B1381,'Base de données Mono'!D:D,0)),IF(AND(E1381="Gaz",M1381="Hiver"),INDEX('Base de données Mono'!J:J,MATCH(B1381,'Base de données Mono'!D:D,0)),IF(AND(E1381="Gaz",M1381="Mi-saison"),INDEX('Base de données Mono'!#REF!,MATCH(B1381,'Base de données Mono'!D:D,0)),IF(AND(E1381="Gaz",M1381="Eté"),INDEX('Base de données Mono'!#REF!,MATCH(B1381,'Base de données Mono'!D:D,0)),"-"))))))</f>
        <v>55</v>
      </c>
      <c r="O1381" s="123">
        <v>45406</v>
      </c>
      <c r="P1381" s="123">
        <v>45409</v>
      </c>
      <c r="Q1381" s="34">
        <v>65</v>
      </c>
      <c r="R1381" s="33">
        <f t="shared" si="342"/>
        <v>10</v>
      </c>
      <c r="S1381" s="34">
        <v>6.7</v>
      </c>
      <c r="T1381" s="34">
        <f t="shared" si="334"/>
        <v>3</v>
      </c>
      <c r="U1381" s="33">
        <f t="shared" si="343"/>
        <v>201</v>
      </c>
      <c r="V1381" s="38" t="s">
        <v>827</v>
      </c>
      <c r="W1381" s="39">
        <f t="shared" si="344"/>
        <v>0.18181818181818182</v>
      </c>
      <c r="X1381" s="40" t="s">
        <v>304</v>
      </c>
      <c r="Y1381" s="40" t="s">
        <v>284</v>
      </c>
      <c r="Z1381" s="40" t="s">
        <v>305</v>
      </c>
      <c r="AA1381" s="33" t="s">
        <v>771</v>
      </c>
      <c r="AB1381" s="95"/>
      <c r="AC1381" s="95"/>
    </row>
    <row r="1382" spans="1:29" ht="14.45" customHeight="1" x14ac:dyDescent="0.25">
      <c r="A1382" s="36" t="str">
        <f>INDEX('Base de données Mono'!C:C,MATCH(B1382,'Base de données Mono'!D:D,0))</f>
        <v>TOLBIAC</v>
      </c>
      <c r="B1382" t="s">
        <v>253</v>
      </c>
      <c r="C1382" s="36" t="str">
        <f>INDEX('Base de données Mono'!B:B,MATCH(B1382,'Base de données Mono'!D:D,0))</f>
        <v>SES8</v>
      </c>
      <c r="D1382" s="36" t="str">
        <f>INDEX('Base de données Mono'!A:A,MATCH(B1382,'Base de données Mono'!D:D,0))</f>
        <v>JG</v>
      </c>
      <c r="E1382" s="37" t="s">
        <v>303</v>
      </c>
      <c r="F1382" s="41">
        <f t="shared" si="340"/>
        <v>17</v>
      </c>
      <c r="G1382" s="41">
        <f t="shared" si="341"/>
        <v>4</v>
      </c>
      <c r="I1382" s="131">
        <f>INDEX('Base de données Mono'!K:K,MATCH(B1382,'Base de données Mono'!D:D,0))</f>
        <v>0.24305555555555555</v>
      </c>
      <c r="J1382" s="131">
        <f>INDEX('Base de données Mono'!L:L,MATCH(B1382,'Base de données Mono'!D:D,0))</f>
        <v>0.92708333333333337</v>
      </c>
      <c r="K1382" s="131" t="str">
        <f>INDEX('Base de données Mono'!M:M,MATCH(B1382,'Base de données Mono'!D:D,0))</f>
        <v>-</v>
      </c>
      <c r="L1382" s="131" t="str">
        <f>INDEX('Base de données Mono'!N:N,MATCH(B1382,'Base de données Mono'!D:D,0))</f>
        <v>-</v>
      </c>
      <c r="M1382" s="33" t="s">
        <v>46</v>
      </c>
      <c r="N1382" s="33">
        <f>IF(AND(E1382="Electricité",M1382="Hiver"),INDEX('Base de données Mono'!E:E,MATCH(B1382,'Base de données Mono'!D:D,0)),IF(AND(E1382="Electricité",M1382="Mi-saison"),INDEX('Base de données Mono'!F:F,MATCH(B1382,'Base de données Mono'!D:D,0)),IF(AND(E1382="Electricité",M1382="Eté"),INDEX('Base de données Mono'!G:G,MATCH(B1382,'Base de données Mono'!D:D,0)),IF(AND(E1382="Gaz",M1382="Hiver"),INDEX('Base de données Mono'!J:J,MATCH(B1382,'Base de données Mono'!D:D,0)),IF(AND(E1382="Gaz",M1382="Mi-saison"),INDEX('Base de données Mono'!#REF!,MATCH(B1382,'Base de données Mono'!D:D,0)),IF(AND(E1382="Gaz",M1382="Eté"),INDEX('Base de données Mono'!#REF!,MATCH(B1382,'Base de données Mono'!D:D,0)),"-"))))))</f>
        <v>55</v>
      </c>
      <c r="O1382" s="123">
        <v>45409</v>
      </c>
      <c r="P1382" s="123">
        <v>45410</v>
      </c>
      <c r="Q1382" s="34">
        <v>60</v>
      </c>
      <c r="R1382" s="33">
        <f t="shared" si="342"/>
        <v>5</v>
      </c>
      <c r="S1382" s="34">
        <v>7.5</v>
      </c>
      <c r="T1382" s="34">
        <f t="shared" si="334"/>
        <v>1</v>
      </c>
      <c r="U1382" s="33">
        <f t="shared" si="343"/>
        <v>37.5</v>
      </c>
      <c r="V1382" s="38" t="s">
        <v>827</v>
      </c>
      <c r="W1382" s="39">
        <f t="shared" si="344"/>
        <v>9.0909090909090912E-2</v>
      </c>
      <c r="X1382" s="40" t="s">
        <v>304</v>
      </c>
      <c r="Y1382" s="40" t="s">
        <v>284</v>
      </c>
      <c r="Z1382" s="40" t="s">
        <v>305</v>
      </c>
      <c r="AA1382" s="33" t="s">
        <v>771</v>
      </c>
      <c r="AB1382" s="95"/>
      <c r="AC1382" s="95"/>
    </row>
    <row r="1383" spans="1:29" ht="14.45" customHeight="1" x14ac:dyDescent="0.25">
      <c r="A1383" s="36" t="str">
        <f>INDEX('Base de données Mono'!C:C,MATCH(B1383,'Base de données Mono'!D:D,0))</f>
        <v>BORDEAUX ST CHRISTOLY</v>
      </c>
      <c r="B1383" t="s">
        <v>6</v>
      </c>
      <c r="C1383" s="36" t="str">
        <f>INDEX('Base de données Mono'!B:B,MATCH(B1383,'Base de données Mono'!D:D,0))</f>
        <v>SES8</v>
      </c>
      <c r="D1383" s="36" t="str">
        <f>INDEX('Base de données Mono'!A:A,MATCH(B1383,'Base de données Mono'!D:D,0))</f>
        <v>AD</v>
      </c>
      <c r="E1383" s="37" t="s">
        <v>303</v>
      </c>
      <c r="F1383" s="41">
        <f t="shared" si="340"/>
        <v>17</v>
      </c>
      <c r="G1383" s="41">
        <f t="shared" si="341"/>
        <v>4</v>
      </c>
      <c r="I1383" s="131">
        <f>INDEX('Base de données Mono'!K:K,MATCH(B1383,'Base de données Mono'!D:D,0))</f>
        <v>0.16666666666666666</v>
      </c>
      <c r="J1383" s="131">
        <f>INDEX('Base de données Mono'!L:L,MATCH(B1383,'Base de données Mono'!D:D,0))</f>
        <v>0.875</v>
      </c>
      <c r="K1383" s="131">
        <f>INDEX('Base de données Mono'!M:M,MATCH(B1383,'Base de données Mono'!D:D,0))</f>
        <v>0.20833333333333334</v>
      </c>
      <c r="L1383" s="131">
        <f>INDEX('Base de données Mono'!N:N,MATCH(B1383,'Base de données Mono'!D:D,0))</f>
        <v>0.54166666666666696</v>
      </c>
      <c r="M1383" s="33" t="s">
        <v>46</v>
      </c>
      <c r="N1383" s="33">
        <f>IF(AND(E1383="Electricité",M1383="Hiver"),INDEX('Base de données Mono'!E:E,MATCH(B1383,'Base de données Mono'!D:D,0)),IF(AND(E1383="Electricité",M1383="Mi-saison"),INDEX('Base de données Mono'!F:F,MATCH(B1383,'Base de données Mono'!D:D,0)),IF(AND(E1383="Electricité",M1383="Eté"),INDEX('Base de données Mono'!G:G,MATCH(B1383,'Base de données Mono'!D:D,0)),IF(AND(E1383="Gaz",M1383="Hiver"),INDEX('Base de données Mono'!J:J,MATCH(B1383,'Base de données Mono'!D:D,0)),IF(AND(E1383="Gaz",M1383="Mi-saison"),INDEX('Base de données Mono'!#REF!,MATCH(B1383,'Base de données Mono'!D:D,0)),IF(AND(E1383="Gaz",M1383="Eté"),INDEX('Base de données Mono'!#REF!,MATCH(B1383,'Base de données Mono'!D:D,0)),"-"))))))</f>
        <v>75</v>
      </c>
      <c r="O1383" s="123">
        <v>45403</v>
      </c>
      <c r="P1383" s="123">
        <v>45404</v>
      </c>
      <c r="Q1383" s="34">
        <v>85</v>
      </c>
      <c r="R1383" s="33">
        <f t="shared" si="342"/>
        <v>10</v>
      </c>
      <c r="S1383" s="34">
        <v>7</v>
      </c>
      <c r="T1383" s="34">
        <f t="shared" si="334"/>
        <v>1</v>
      </c>
      <c r="U1383" s="33">
        <f t="shared" si="343"/>
        <v>70</v>
      </c>
      <c r="V1383" s="38" t="s">
        <v>827</v>
      </c>
      <c r="W1383" s="39">
        <f t="shared" si="344"/>
        <v>0.13333333333333333</v>
      </c>
      <c r="X1383" s="40" t="s">
        <v>304</v>
      </c>
      <c r="Y1383" s="40" t="s">
        <v>284</v>
      </c>
      <c r="Z1383" s="40" t="s">
        <v>305</v>
      </c>
      <c r="AA1383" s="33" t="s">
        <v>771</v>
      </c>
      <c r="AB1383" s="95"/>
      <c r="AC1383" s="95"/>
    </row>
    <row r="1384" spans="1:29" ht="14.45" customHeight="1" x14ac:dyDescent="0.25">
      <c r="A1384" s="36" t="str">
        <f>INDEX('Base de données Mono'!C:C,MATCH(B1384,'Base de données Mono'!D:D,0))</f>
        <v>BORDEAUX ST CHRISTOLY</v>
      </c>
      <c r="B1384" t="s">
        <v>6</v>
      </c>
      <c r="C1384" s="36" t="str">
        <f>INDEX('Base de données Mono'!B:B,MATCH(B1384,'Base de données Mono'!D:D,0))</f>
        <v>SES8</v>
      </c>
      <c r="D1384" s="36" t="str">
        <f>INDEX('Base de données Mono'!A:A,MATCH(B1384,'Base de données Mono'!D:D,0))</f>
        <v>AD</v>
      </c>
      <c r="E1384" s="37" t="s">
        <v>303</v>
      </c>
      <c r="F1384" s="41">
        <f t="shared" si="340"/>
        <v>17</v>
      </c>
      <c r="G1384" s="41">
        <f t="shared" si="341"/>
        <v>4</v>
      </c>
      <c r="I1384" s="131">
        <f>INDEX('Base de données Mono'!K:K,MATCH(B1384,'Base de données Mono'!D:D,0))</f>
        <v>0.16666666666666666</v>
      </c>
      <c r="J1384" s="131">
        <f>INDEX('Base de données Mono'!L:L,MATCH(B1384,'Base de données Mono'!D:D,0))</f>
        <v>0.875</v>
      </c>
      <c r="K1384" s="131">
        <f>INDEX('Base de données Mono'!M:M,MATCH(B1384,'Base de données Mono'!D:D,0))</f>
        <v>0.20833333333333334</v>
      </c>
      <c r="L1384" s="131">
        <f>INDEX('Base de données Mono'!N:N,MATCH(B1384,'Base de données Mono'!D:D,0))</f>
        <v>0.54166666666666696</v>
      </c>
      <c r="M1384" s="33" t="s">
        <v>46</v>
      </c>
      <c r="N1384" s="33">
        <f>IF(AND(E1384="Electricité",M1384="Hiver"),INDEX('Base de données Mono'!E:E,MATCH(B1384,'Base de données Mono'!D:D,0)),IF(AND(E1384="Electricité",M1384="Mi-saison"),INDEX('Base de données Mono'!F:F,MATCH(B1384,'Base de données Mono'!D:D,0)),IF(AND(E1384="Electricité",M1384="Eté"),INDEX('Base de données Mono'!G:G,MATCH(B1384,'Base de données Mono'!D:D,0)),IF(AND(E1384="Gaz",M1384="Hiver"),INDEX('Base de données Mono'!J:J,MATCH(B1384,'Base de données Mono'!D:D,0)),IF(AND(E1384="Gaz",M1384="Mi-saison"),INDEX('Base de données Mono'!#REF!,MATCH(B1384,'Base de données Mono'!D:D,0)),IF(AND(E1384="Gaz",M1384="Eté"),INDEX('Base de données Mono'!#REF!,MATCH(B1384,'Base de données Mono'!D:D,0)),"-"))))))</f>
        <v>75</v>
      </c>
      <c r="O1384" s="123">
        <v>45404</v>
      </c>
      <c r="P1384" s="123">
        <v>45408</v>
      </c>
      <c r="Q1384" s="34">
        <v>110</v>
      </c>
      <c r="R1384" s="33">
        <f t="shared" si="342"/>
        <v>35</v>
      </c>
      <c r="S1384" s="34">
        <v>7</v>
      </c>
      <c r="T1384" s="34">
        <f t="shared" si="334"/>
        <v>4</v>
      </c>
      <c r="U1384" s="33">
        <f t="shared" si="343"/>
        <v>980</v>
      </c>
      <c r="V1384" s="38" t="s">
        <v>827</v>
      </c>
      <c r="W1384" s="39">
        <f t="shared" si="344"/>
        <v>0.46666666666666667</v>
      </c>
      <c r="X1384" s="40" t="s">
        <v>304</v>
      </c>
      <c r="Y1384" s="40" t="s">
        <v>283</v>
      </c>
      <c r="Z1384" s="40" t="s">
        <v>749</v>
      </c>
      <c r="AA1384" s="33" t="s">
        <v>749</v>
      </c>
      <c r="AB1384" s="95"/>
      <c r="AC1384" s="95" t="s">
        <v>842</v>
      </c>
    </row>
    <row r="1385" spans="1:29" ht="14.45" customHeight="1" x14ac:dyDescent="0.25">
      <c r="A1385" s="36" t="str">
        <f>INDEX('Base de données Mono'!C:C,MATCH(B1385,'Base de données Mono'!D:D,0))</f>
        <v>BORDEAUX ST CHRISTOLY</v>
      </c>
      <c r="B1385" t="s">
        <v>6</v>
      </c>
      <c r="C1385" s="36" t="str">
        <f>INDEX('Base de données Mono'!B:B,MATCH(B1385,'Base de données Mono'!D:D,0))</f>
        <v>SES8</v>
      </c>
      <c r="D1385" s="36" t="str">
        <f>INDEX('Base de données Mono'!A:A,MATCH(B1385,'Base de données Mono'!D:D,0))</f>
        <v>AD</v>
      </c>
      <c r="E1385" s="37" t="s">
        <v>303</v>
      </c>
      <c r="F1385" s="41">
        <f t="shared" si="340"/>
        <v>17</v>
      </c>
      <c r="G1385" s="41">
        <f t="shared" si="341"/>
        <v>4</v>
      </c>
      <c r="I1385" s="131">
        <f>INDEX('Base de données Mono'!K:K,MATCH(B1385,'Base de données Mono'!D:D,0))</f>
        <v>0.16666666666666666</v>
      </c>
      <c r="J1385" s="131">
        <f>INDEX('Base de données Mono'!L:L,MATCH(B1385,'Base de données Mono'!D:D,0))</f>
        <v>0.875</v>
      </c>
      <c r="K1385" s="131">
        <f>INDEX('Base de données Mono'!M:M,MATCH(B1385,'Base de données Mono'!D:D,0))</f>
        <v>0.20833333333333334</v>
      </c>
      <c r="L1385" s="131">
        <f>INDEX('Base de données Mono'!N:N,MATCH(B1385,'Base de données Mono'!D:D,0))</f>
        <v>0.54166666666666696</v>
      </c>
      <c r="M1385" s="33" t="s">
        <v>46</v>
      </c>
      <c r="N1385" s="33">
        <f>IF(AND(E1385="Electricité",M1385="Hiver"),INDEX('Base de données Mono'!E:E,MATCH(B1385,'Base de données Mono'!D:D,0)),IF(AND(E1385="Electricité",M1385="Mi-saison"),INDEX('Base de données Mono'!F:F,MATCH(B1385,'Base de données Mono'!D:D,0)),IF(AND(E1385="Electricité",M1385="Eté"),INDEX('Base de données Mono'!G:G,MATCH(B1385,'Base de données Mono'!D:D,0)),IF(AND(E1385="Gaz",M1385="Hiver"),INDEX('Base de données Mono'!J:J,MATCH(B1385,'Base de données Mono'!D:D,0)),IF(AND(E1385="Gaz",M1385="Mi-saison"),INDEX('Base de données Mono'!#REF!,MATCH(B1385,'Base de données Mono'!D:D,0)),IF(AND(E1385="Gaz",M1385="Eté"),INDEX('Base de données Mono'!#REF!,MATCH(B1385,'Base de données Mono'!D:D,0)),"-"))))))</f>
        <v>75</v>
      </c>
      <c r="O1385" s="123">
        <v>45408</v>
      </c>
      <c r="P1385" s="123">
        <v>45409</v>
      </c>
      <c r="Q1385" s="34">
        <v>90</v>
      </c>
      <c r="R1385" s="33">
        <f t="shared" si="342"/>
        <v>15</v>
      </c>
      <c r="S1385" s="34">
        <v>7</v>
      </c>
      <c r="T1385" s="34">
        <f t="shared" si="334"/>
        <v>1</v>
      </c>
      <c r="U1385" s="33">
        <f t="shared" si="343"/>
        <v>105</v>
      </c>
      <c r="V1385" s="38" t="s">
        <v>827</v>
      </c>
      <c r="W1385" s="39">
        <f t="shared" si="344"/>
        <v>0.2</v>
      </c>
      <c r="X1385" s="40" t="s">
        <v>304</v>
      </c>
      <c r="Y1385" s="40" t="s">
        <v>284</v>
      </c>
      <c r="Z1385" s="40" t="s">
        <v>305</v>
      </c>
      <c r="AA1385" s="33" t="s">
        <v>771</v>
      </c>
      <c r="AB1385" s="95"/>
      <c r="AC1385" s="95"/>
    </row>
    <row r="1386" spans="1:29" ht="14.45" customHeight="1" x14ac:dyDescent="0.25">
      <c r="A1386" s="36" t="str">
        <f>INDEX('Base de données Mono'!C:C,MATCH(B1386,'Base de données Mono'!D:D,0))</f>
        <v>BORDEAUX ST CHRISTOLY</v>
      </c>
      <c r="B1386" t="s">
        <v>6</v>
      </c>
      <c r="C1386" s="36" t="str">
        <f>INDEX('Base de données Mono'!B:B,MATCH(B1386,'Base de données Mono'!D:D,0))</f>
        <v>SES8</v>
      </c>
      <c r="D1386" s="36" t="str">
        <f>INDEX('Base de données Mono'!A:A,MATCH(B1386,'Base de données Mono'!D:D,0))</f>
        <v>AD</v>
      </c>
      <c r="E1386" s="37" t="s">
        <v>303</v>
      </c>
      <c r="F1386" s="41">
        <f t="shared" si="340"/>
        <v>17</v>
      </c>
      <c r="G1386" s="41">
        <f t="shared" si="341"/>
        <v>4</v>
      </c>
      <c r="I1386" s="131">
        <f>INDEX('Base de données Mono'!K:K,MATCH(B1386,'Base de données Mono'!D:D,0))</f>
        <v>0.16666666666666666</v>
      </c>
      <c r="J1386" s="131">
        <f>INDEX('Base de données Mono'!L:L,MATCH(B1386,'Base de données Mono'!D:D,0))</f>
        <v>0.875</v>
      </c>
      <c r="K1386" s="131">
        <f>INDEX('Base de données Mono'!M:M,MATCH(B1386,'Base de données Mono'!D:D,0))</f>
        <v>0.20833333333333334</v>
      </c>
      <c r="L1386" s="131">
        <f>INDEX('Base de données Mono'!N:N,MATCH(B1386,'Base de données Mono'!D:D,0))</f>
        <v>0.54166666666666696</v>
      </c>
      <c r="M1386" s="33" t="s">
        <v>46</v>
      </c>
      <c r="N1386" s="33">
        <f>IF(AND(E1386="Electricité",M1386="Hiver"),INDEX('Base de données Mono'!E:E,MATCH(B1386,'Base de données Mono'!D:D,0)),IF(AND(E1386="Electricité",M1386="Mi-saison"),INDEX('Base de données Mono'!F:F,MATCH(B1386,'Base de données Mono'!D:D,0)),IF(AND(E1386="Electricité",M1386="Eté"),INDEX('Base de données Mono'!G:G,MATCH(B1386,'Base de données Mono'!D:D,0)),IF(AND(E1386="Gaz",M1386="Hiver"),INDEX('Base de données Mono'!J:J,MATCH(B1386,'Base de données Mono'!D:D,0)),IF(AND(E1386="Gaz",M1386="Mi-saison"),INDEX('Base de données Mono'!#REF!,MATCH(B1386,'Base de données Mono'!D:D,0)),IF(AND(E1386="Gaz",M1386="Eté"),INDEX('Base de données Mono'!#REF!,MATCH(B1386,'Base de données Mono'!D:D,0)),"-"))))))</f>
        <v>75</v>
      </c>
      <c r="O1386" s="123">
        <v>45409</v>
      </c>
      <c r="P1386" s="123">
        <v>45410</v>
      </c>
      <c r="Q1386" s="34">
        <v>95</v>
      </c>
      <c r="R1386" s="33">
        <f t="shared" si="342"/>
        <v>20</v>
      </c>
      <c r="S1386" s="34">
        <v>2.5</v>
      </c>
      <c r="T1386" s="34">
        <f t="shared" si="334"/>
        <v>1</v>
      </c>
      <c r="U1386" s="33">
        <f t="shared" si="343"/>
        <v>50</v>
      </c>
      <c r="V1386" s="38" t="s">
        <v>827</v>
      </c>
      <c r="W1386" s="39">
        <f t="shared" si="344"/>
        <v>0.26666666666666666</v>
      </c>
      <c r="X1386" s="40" t="s">
        <v>304</v>
      </c>
      <c r="Y1386" s="40" t="s">
        <v>284</v>
      </c>
      <c r="Z1386" s="40" t="s">
        <v>305</v>
      </c>
      <c r="AA1386" s="33" t="s">
        <v>771</v>
      </c>
      <c r="AB1386" s="95"/>
      <c r="AC1386" s="95"/>
    </row>
    <row r="1387" spans="1:29" ht="14.45" customHeight="1" x14ac:dyDescent="0.25">
      <c r="A1387" s="36" t="str">
        <f>INDEX('Base de données Mono'!C:C,MATCH(B1387,'Base de données Mono'!D:D,0))</f>
        <v>BORDEAUX ST CHRISTOLY</v>
      </c>
      <c r="B1387" t="s">
        <v>6</v>
      </c>
      <c r="C1387" s="36" t="str">
        <f>INDEX('Base de données Mono'!B:B,MATCH(B1387,'Base de données Mono'!D:D,0))</f>
        <v>SES8</v>
      </c>
      <c r="D1387" s="36" t="str">
        <f>INDEX('Base de données Mono'!A:A,MATCH(B1387,'Base de données Mono'!D:D,0))</f>
        <v>AD</v>
      </c>
      <c r="E1387" s="37" t="s">
        <v>303</v>
      </c>
      <c r="F1387" s="41">
        <f t="shared" si="340"/>
        <v>17</v>
      </c>
      <c r="G1387" s="41">
        <f t="shared" si="341"/>
        <v>4</v>
      </c>
      <c r="I1387" s="131">
        <f>INDEX('Base de données Mono'!K:K,MATCH(B1387,'Base de données Mono'!D:D,0))</f>
        <v>0.16666666666666666</v>
      </c>
      <c r="J1387" s="131">
        <f>INDEX('Base de données Mono'!L:L,MATCH(B1387,'Base de données Mono'!D:D,0))</f>
        <v>0.875</v>
      </c>
      <c r="K1387" s="131">
        <f>INDEX('Base de données Mono'!M:M,MATCH(B1387,'Base de données Mono'!D:D,0))</f>
        <v>0.20833333333333334</v>
      </c>
      <c r="L1387" s="131">
        <f>INDEX('Base de données Mono'!N:N,MATCH(B1387,'Base de données Mono'!D:D,0))</f>
        <v>0.54166666666666696</v>
      </c>
      <c r="M1387" s="33" t="s">
        <v>46</v>
      </c>
      <c r="N1387" s="33">
        <f>IF(AND(E1387="Electricité",M1387="Hiver"),INDEX('Base de données Mono'!E:E,MATCH(B1387,'Base de données Mono'!D:D,0)),IF(AND(E1387="Electricité",M1387="Mi-saison"),INDEX('Base de données Mono'!F:F,MATCH(B1387,'Base de données Mono'!D:D,0)),IF(AND(E1387="Electricité",M1387="Eté"),INDEX('Base de données Mono'!G:G,MATCH(B1387,'Base de données Mono'!D:D,0)),IF(AND(E1387="Gaz",M1387="Hiver"),INDEX('Base de données Mono'!J:J,MATCH(B1387,'Base de données Mono'!D:D,0)),IF(AND(E1387="Gaz",M1387="Mi-saison"),INDEX('Base de données Mono'!#REF!,MATCH(B1387,'Base de données Mono'!D:D,0)),IF(AND(E1387="Gaz",M1387="Eté"),INDEX('Base de données Mono'!#REF!,MATCH(B1387,'Base de données Mono'!D:D,0)),"-"))))))</f>
        <v>75</v>
      </c>
      <c r="O1387" s="123">
        <v>45409</v>
      </c>
      <c r="P1387" s="123">
        <v>45410</v>
      </c>
      <c r="Q1387" s="34">
        <v>110</v>
      </c>
      <c r="R1387" s="33">
        <f t="shared" si="342"/>
        <v>35</v>
      </c>
      <c r="S1387" s="34">
        <v>4.5</v>
      </c>
      <c r="T1387" s="34">
        <f t="shared" si="334"/>
        <v>1</v>
      </c>
      <c r="U1387" s="33">
        <f t="shared" si="343"/>
        <v>157.5</v>
      </c>
      <c r="V1387" s="38" t="s">
        <v>827</v>
      </c>
      <c r="W1387" s="39">
        <f t="shared" si="344"/>
        <v>0.46666666666666667</v>
      </c>
      <c r="X1387" s="40" t="s">
        <v>304</v>
      </c>
      <c r="Y1387" s="40" t="s">
        <v>283</v>
      </c>
      <c r="Z1387" s="40" t="s">
        <v>749</v>
      </c>
      <c r="AA1387" s="33" t="s">
        <v>749</v>
      </c>
      <c r="AB1387" s="95"/>
      <c r="AC1387" s="95"/>
    </row>
    <row r="1388" spans="1:29" ht="14.45" customHeight="1" x14ac:dyDescent="0.25">
      <c r="A1388" s="36" t="str">
        <f>INDEX('Base de données Mono'!C:C,MATCH(B1388,'Base de données Mono'!D:D,0))</f>
        <v>REIMS</v>
      </c>
      <c r="B1388" t="s">
        <v>218</v>
      </c>
      <c r="C1388" s="36" t="str">
        <f>INDEX('Base de données Mono'!B:B,MATCH(B1388,'Base de données Mono'!D:D,0))</f>
        <v>SES8</v>
      </c>
      <c r="D1388" s="36" t="str">
        <f>INDEX('Base de données Mono'!A:A,MATCH(B1388,'Base de données Mono'!D:D,0))</f>
        <v>JG</v>
      </c>
      <c r="E1388" s="37" t="s">
        <v>303</v>
      </c>
      <c r="F1388" s="41">
        <f t="shared" si="340"/>
        <v>17</v>
      </c>
      <c r="G1388" s="41">
        <f t="shared" si="341"/>
        <v>4</v>
      </c>
      <c r="I1388" s="131">
        <f>INDEX('Base de données Mono'!K:K,MATCH(B1388,'Base de données Mono'!D:D,0))</f>
        <v>0.22916666666666666</v>
      </c>
      <c r="J1388" s="131">
        <f>INDEX('Base de données Mono'!L:L,MATCH(B1388,'Base de données Mono'!D:D,0))</f>
        <v>0.85416666666666663</v>
      </c>
      <c r="K1388" s="131">
        <f>INDEX('Base de données Mono'!M:M,MATCH(B1388,'Base de données Mono'!D:D,0))</f>
        <v>0.3125</v>
      </c>
      <c r="L1388" s="131">
        <f>INDEX('Base de données Mono'!N:N,MATCH(B1388,'Base de données Mono'!D:D,0))</f>
        <v>0.5625</v>
      </c>
      <c r="M1388" s="33" t="s">
        <v>46</v>
      </c>
      <c r="N1388" s="33">
        <f>IF(AND(E1388="Electricité",M1388="Hiver"),INDEX('Base de données Mono'!E:E,MATCH(B1388,'Base de données Mono'!D:D,0)),IF(AND(E1388="Electricité",M1388="Mi-saison"),INDEX('Base de données Mono'!F:F,MATCH(B1388,'Base de données Mono'!D:D,0)),IF(AND(E1388="Electricité",M1388="Eté"),INDEX('Base de données Mono'!G:G,MATCH(B1388,'Base de données Mono'!D:D,0)),IF(AND(E1388="Gaz",M1388="Hiver"),INDEX('Base de données Mono'!J:J,MATCH(B1388,'Base de données Mono'!D:D,0)),IF(AND(E1388="Gaz",M1388="Mi-saison"),INDEX('Base de données Mono'!#REF!,MATCH(B1388,'Base de données Mono'!D:D,0)),IF(AND(E1388="Gaz",M1388="Eté"),INDEX('Base de données Mono'!#REF!,MATCH(B1388,'Base de données Mono'!D:D,0)),"-"))))))</f>
        <v>40</v>
      </c>
      <c r="O1388" s="123">
        <v>45403</v>
      </c>
      <c r="P1388" s="123">
        <v>45409</v>
      </c>
      <c r="Q1388" s="34">
        <v>55</v>
      </c>
      <c r="R1388" s="33">
        <f t="shared" si="342"/>
        <v>15</v>
      </c>
      <c r="S1388" s="34">
        <v>0.3</v>
      </c>
      <c r="T1388" s="34">
        <f t="shared" si="334"/>
        <v>6</v>
      </c>
      <c r="U1388" s="33">
        <f t="shared" si="343"/>
        <v>27</v>
      </c>
      <c r="V1388" s="38" t="s">
        <v>827</v>
      </c>
      <c r="W1388" s="39">
        <f t="shared" si="344"/>
        <v>0.375</v>
      </c>
      <c r="X1388" s="40" t="s">
        <v>304</v>
      </c>
      <c r="Y1388" s="40" t="s">
        <v>284</v>
      </c>
      <c r="Z1388" s="40" t="s">
        <v>305</v>
      </c>
      <c r="AA1388" s="33" t="s">
        <v>771</v>
      </c>
      <c r="AB1388" s="95"/>
      <c r="AC1388" s="95" t="s">
        <v>836</v>
      </c>
    </row>
    <row r="1389" spans="1:29" ht="14.45" customHeight="1" x14ac:dyDescent="0.25">
      <c r="A1389" s="36" t="str">
        <f>INDEX('Base de données Mono'!C:C,MATCH(B1389,'Base de données Mono'!D:D,0))</f>
        <v>MULHOUSE</v>
      </c>
      <c r="B1389" t="s">
        <v>184</v>
      </c>
      <c r="C1389" s="36" t="str">
        <f>INDEX('Base de données Mono'!B:B,MATCH(B1389,'Base de données Mono'!D:D,0))</f>
        <v>SES8</v>
      </c>
      <c r="D1389" s="36" t="str">
        <f>INDEX('Base de données Mono'!A:A,MATCH(B1389,'Base de données Mono'!D:D,0))</f>
        <v>JG</v>
      </c>
      <c r="E1389" s="37" t="s">
        <v>303</v>
      </c>
      <c r="F1389" s="41">
        <f t="shared" si="340"/>
        <v>17</v>
      </c>
      <c r="G1389" s="41">
        <f t="shared" si="341"/>
        <v>4</v>
      </c>
      <c r="I1389" s="131">
        <f>INDEX('Base de données Mono'!K:K,MATCH(B1389,'Base de données Mono'!D:D,0))</f>
        <v>0.24305555555555555</v>
      </c>
      <c r="J1389" s="131">
        <f>INDEX('Base de données Mono'!L:L,MATCH(B1389,'Base de données Mono'!D:D,0))</f>
        <v>0.84375</v>
      </c>
      <c r="K1389" s="131" t="str">
        <f>INDEX('Base de données Mono'!M:M,MATCH(B1389,'Base de données Mono'!D:D,0))</f>
        <v>-</v>
      </c>
      <c r="L1389" s="131" t="str">
        <f>INDEX('Base de données Mono'!N:N,MATCH(B1389,'Base de données Mono'!D:D,0))</f>
        <v>-</v>
      </c>
      <c r="M1389" s="33" t="s">
        <v>46</v>
      </c>
      <c r="N1389" s="33">
        <f>IF(AND(E1389="Electricité",M1389="Hiver"),INDEX('Base de données Mono'!E:E,MATCH(B1389,'Base de données Mono'!D:D,0)),IF(AND(E1389="Electricité",M1389="Mi-saison"),INDEX('Base de données Mono'!F:F,MATCH(B1389,'Base de données Mono'!D:D,0)),IF(AND(E1389="Electricité",M1389="Eté"),INDEX('Base de données Mono'!G:G,MATCH(B1389,'Base de données Mono'!D:D,0)),IF(AND(E1389="Gaz",M1389="Hiver"),INDEX('Base de données Mono'!J:J,MATCH(B1389,'Base de données Mono'!D:D,0)),IF(AND(E1389="Gaz",M1389="Mi-saison"),INDEX('Base de données Mono'!#REF!,MATCH(B1389,'Base de données Mono'!D:D,0)),IF(AND(E1389="Gaz",M1389="Eté"),INDEX('Base de données Mono'!#REF!,MATCH(B1389,'Base de données Mono'!D:D,0)),"-"))))))</f>
        <v>45</v>
      </c>
      <c r="O1389" s="123">
        <v>45404</v>
      </c>
      <c r="P1389" s="123">
        <v>45410</v>
      </c>
      <c r="Q1389" s="34">
        <v>75</v>
      </c>
      <c r="R1389" s="33">
        <f t="shared" si="342"/>
        <v>30</v>
      </c>
      <c r="S1389" s="34">
        <v>1</v>
      </c>
      <c r="T1389" s="34">
        <f t="shared" si="334"/>
        <v>6</v>
      </c>
      <c r="U1389" s="33">
        <f t="shared" si="343"/>
        <v>180</v>
      </c>
      <c r="V1389" s="38" t="s">
        <v>827</v>
      </c>
      <c r="W1389" s="39">
        <f t="shared" si="344"/>
        <v>0.66666666666666663</v>
      </c>
      <c r="X1389" s="40" t="s">
        <v>304</v>
      </c>
      <c r="Y1389" s="40" t="s">
        <v>284</v>
      </c>
      <c r="Z1389" s="40" t="s">
        <v>307</v>
      </c>
      <c r="AA1389" s="33" t="s">
        <v>313</v>
      </c>
      <c r="AB1389" s="95"/>
      <c r="AC1389" s="95"/>
    </row>
    <row r="1390" spans="1:29" ht="14.45" customHeight="1" x14ac:dyDescent="0.25">
      <c r="A1390" s="36" t="str">
        <f>INDEX('Base de données Mono'!C:C,MATCH(B1390,'Base de données Mono'!D:D,0))</f>
        <v>CROIX ROUSSE</v>
      </c>
      <c r="B1390" t="s">
        <v>116</v>
      </c>
      <c r="C1390" s="36" t="str">
        <f>INDEX('Base de données Mono'!B:B,MATCH(B1390,'Base de données Mono'!D:D,0))</f>
        <v>SES8</v>
      </c>
      <c r="D1390" s="36" t="str">
        <f>INDEX('Base de données Mono'!A:A,MATCH(B1390,'Base de données Mono'!D:D,0))</f>
        <v>JG</v>
      </c>
      <c r="E1390" s="37" t="s">
        <v>303</v>
      </c>
      <c r="F1390" s="41">
        <f t="shared" ref="F1390:F1414" si="345">IF(O1390="","-",IF(AND(X1390="Nuit",WEEKDAY(O1390,2)=7,O1390&lt;&gt;P1390),WEEKNUM(O1390,2),WEEKNUM(O1390,2)-1))+1</f>
        <v>17</v>
      </c>
      <c r="G1390" s="41">
        <f t="shared" ref="G1390:G1414" si="346">IF(O1390="","-",MONTH(O1390))</f>
        <v>4</v>
      </c>
      <c r="I1390" s="131">
        <f>INDEX('Base de données Mono'!K:K,MATCH(B1390,'Base de données Mono'!D:D,0))</f>
        <v>0.20486111111111113</v>
      </c>
      <c r="J1390" s="131">
        <f>INDEX('Base de données Mono'!L:L,MATCH(B1390,'Base de données Mono'!D:D,0))</f>
        <v>0.89583333333333337</v>
      </c>
      <c r="K1390" s="131">
        <f>INDEX('Base de données Mono'!M:M,MATCH(B1390,'Base de données Mono'!D:D,0))</f>
        <v>0.29166666666666669</v>
      </c>
      <c r="L1390" s="131">
        <f>INDEX('Base de données Mono'!N:N,MATCH(B1390,'Base de données Mono'!D:D,0))</f>
        <v>0.5625</v>
      </c>
      <c r="M1390" s="33" t="s">
        <v>46</v>
      </c>
      <c r="N1390" s="33">
        <f>IF(AND(E1390="Electricité",M1390="Hiver"),INDEX('Base de données Mono'!E:E,MATCH(B1390,'Base de données Mono'!D:D,0)),IF(AND(E1390="Electricité",M1390="Mi-saison"),INDEX('Base de données Mono'!F:F,MATCH(B1390,'Base de données Mono'!D:D,0)),IF(AND(E1390="Electricité",M1390="Eté"),INDEX('Base de données Mono'!G:G,MATCH(B1390,'Base de données Mono'!D:D,0)),IF(AND(E1390="Gaz",M1390="Hiver"),INDEX('Base de données Mono'!J:J,MATCH(B1390,'Base de données Mono'!D:D,0)),IF(AND(E1390="Gaz",M1390="Mi-saison"),INDEX('Base de données Mono'!#REF!,MATCH(B1390,'Base de données Mono'!D:D,0)),IF(AND(E1390="Gaz",M1390="Eté"),INDEX('Base de données Mono'!#REF!,MATCH(B1390,'Base de données Mono'!D:D,0)),"-"))))))</f>
        <v>80</v>
      </c>
      <c r="O1390" s="123">
        <v>45403</v>
      </c>
      <c r="P1390" s="123">
        <v>45409</v>
      </c>
      <c r="Q1390" s="34">
        <v>115</v>
      </c>
      <c r="R1390" s="33">
        <f t="shared" ref="R1390:R1414" si="347">IF(Q1390="","",Q1390-N1390)</f>
        <v>35</v>
      </c>
      <c r="S1390" s="34">
        <v>0.8</v>
      </c>
      <c r="T1390" s="34">
        <f t="shared" si="334"/>
        <v>6</v>
      </c>
      <c r="U1390" s="33">
        <f t="shared" ref="U1390:U1414" si="348">R1390*S1390*T1390</f>
        <v>168</v>
      </c>
      <c r="V1390" s="38" t="s">
        <v>827</v>
      </c>
      <c r="W1390" s="39">
        <f t="shared" ref="W1390:W1414" si="349">IFERROR(IF(E1390="Gaz","-",R1390/N1390),"-")</f>
        <v>0.4375</v>
      </c>
      <c r="X1390" s="40" t="s">
        <v>304</v>
      </c>
      <c r="Y1390" s="40" t="s">
        <v>284</v>
      </c>
      <c r="Z1390" s="40" t="s">
        <v>305</v>
      </c>
      <c r="AA1390" s="33" t="s">
        <v>771</v>
      </c>
      <c r="AB1390" s="95"/>
      <c r="AC1390" s="95"/>
    </row>
    <row r="1391" spans="1:29" ht="14.45" customHeight="1" x14ac:dyDescent="0.25">
      <c r="A1391" s="36" t="str">
        <f>INDEX('Base de données Mono'!C:C,MATCH(B1391,'Base de données Mono'!D:D,0))</f>
        <v>MONTPELLIER COMEDIE</v>
      </c>
      <c r="B1391" t="s">
        <v>179</v>
      </c>
      <c r="C1391" s="36" t="str">
        <f>INDEX('Base de données Mono'!B:B,MATCH(B1391,'Base de données Mono'!D:D,0))</f>
        <v>SES8</v>
      </c>
      <c r="D1391" s="36" t="str">
        <f>INDEX('Base de données Mono'!A:A,MATCH(B1391,'Base de données Mono'!D:D,0))</f>
        <v>AD</v>
      </c>
      <c r="E1391" s="37" t="s">
        <v>303</v>
      </c>
      <c r="F1391" s="41">
        <f t="shared" si="345"/>
        <v>17</v>
      </c>
      <c r="G1391" s="41">
        <f t="shared" si="346"/>
        <v>4</v>
      </c>
      <c r="I1391" s="131">
        <f>INDEX('Base de données Mono'!K:K,MATCH(B1391,'Base de données Mono'!D:D,0))</f>
        <v>0.1875</v>
      </c>
      <c r="J1391" s="131">
        <f>INDEX('Base de données Mono'!L:L,MATCH(B1391,'Base de données Mono'!D:D,0))</f>
        <v>0.91666666666666663</v>
      </c>
      <c r="K1391" s="131">
        <f>INDEX('Base de données Mono'!M:M,MATCH(B1391,'Base de données Mono'!D:D,0))</f>
        <v>0.29166666666666669</v>
      </c>
      <c r="L1391" s="131">
        <f>INDEX('Base de données Mono'!N:N,MATCH(B1391,'Base de données Mono'!D:D,0))</f>
        <v>0.54166666666666663</v>
      </c>
      <c r="M1391" s="33" t="s">
        <v>46</v>
      </c>
      <c r="N1391" s="33">
        <f>IF(AND(E1391="Electricité",M1391="Hiver"),INDEX('Base de données Mono'!E:E,MATCH(B1391,'Base de données Mono'!D:D,0)),IF(AND(E1391="Electricité",M1391="Mi-saison"),INDEX('Base de données Mono'!F:F,MATCH(B1391,'Base de données Mono'!D:D,0)),IF(AND(E1391="Electricité",M1391="Eté"),INDEX('Base de données Mono'!G:G,MATCH(B1391,'Base de données Mono'!D:D,0)),IF(AND(E1391="Gaz",M1391="Hiver"),INDEX('Base de données Mono'!J:J,MATCH(B1391,'Base de données Mono'!D:D,0)),IF(AND(E1391="Gaz",M1391="Mi-saison"),INDEX('Base de données Mono'!#REF!,MATCH(B1391,'Base de données Mono'!D:D,0)),IF(AND(E1391="Gaz",M1391="Eté"),INDEX('Base de données Mono'!#REF!,MATCH(B1391,'Base de données Mono'!D:D,0)),"-"))))))</f>
        <v>60</v>
      </c>
      <c r="O1391" s="123">
        <v>45403</v>
      </c>
      <c r="P1391" s="123">
        <v>45409</v>
      </c>
      <c r="Q1391" s="34">
        <v>65</v>
      </c>
      <c r="R1391" s="33">
        <f t="shared" si="347"/>
        <v>5</v>
      </c>
      <c r="S1391" s="34">
        <v>6.7</v>
      </c>
      <c r="T1391" s="34">
        <f t="shared" si="334"/>
        <v>6</v>
      </c>
      <c r="U1391" s="33">
        <f t="shared" si="348"/>
        <v>201</v>
      </c>
      <c r="V1391" s="38" t="s">
        <v>827</v>
      </c>
      <c r="W1391" s="39">
        <f t="shared" si="349"/>
        <v>8.3333333333333329E-2</v>
      </c>
      <c r="X1391" s="40" t="s">
        <v>304</v>
      </c>
      <c r="Y1391" s="40" t="s">
        <v>284</v>
      </c>
      <c r="Z1391" s="40" t="s">
        <v>305</v>
      </c>
      <c r="AA1391" s="33" t="s">
        <v>771</v>
      </c>
      <c r="AB1391" s="95"/>
      <c r="AC1391" s="95"/>
    </row>
    <row r="1392" spans="1:29" ht="14.45" customHeight="1" x14ac:dyDescent="0.25">
      <c r="A1392" s="36" t="str">
        <f>INDEX('Base de données Mono'!C:C,MATCH(B1392,'Base de données Mono'!D:D,0))</f>
        <v>MONTPELLIER COMEDIE</v>
      </c>
      <c r="B1392" t="s">
        <v>179</v>
      </c>
      <c r="C1392" s="36" t="str">
        <f>INDEX('Base de données Mono'!B:B,MATCH(B1392,'Base de données Mono'!D:D,0))</f>
        <v>SES8</v>
      </c>
      <c r="D1392" s="36" t="str">
        <f>INDEX('Base de données Mono'!A:A,MATCH(B1392,'Base de données Mono'!D:D,0))</f>
        <v>AD</v>
      </c>
      <c r="E1392" s="37" t="s">
        <v>303</v>
      </c>
      <c r="F1392" s="41">
        <f t="shared" si="345"/>
        <v>17</v>
      </c>
      <c r="G1392" s="41">
        <f t="shared" si="346"/>
        <v>4</v>
      </c>
      <c r="I1392" s="131">
        <f>INDEX('Base de données Mono'!K:K,MATCH(B1392,'Base de données Mono'!D:D,0))</f>
        <v>0.1875</v>
      </c>
      <c r="J1392" s="131">
        <f>INDEX('Base de données Mono'!L:L,MATCH(B1392,'Base de données Mono'!D:D,0))</f>
        <v>0.91666666666666663</v>
      </c>
      <c r="K1392" s="131">
        <f>INDEX('Base de données Mono'!M:M,MATCH(B1392,'Base de données Mono'!D:D,0))</f>
        <v>0.29166666666666669</v>
      </c>
      <c r="L1392" s="131">
        <f>INDEX('Base de données Mono'!N:N,MATCH(B1392,'Base de données Mono'!D:D,0))</f>
        <v>0.54166666666666663</v>
      </c>
      <c r="M1392" s="33" t="s">
        <v>46</v>
      </c>
      <c r="N1392" s="33">
        <f>IF(AND(E1392="Electricité",M1392="Hiver"),INDEX('Base de données Mono'!E:E,MATCH(B1392,'Base de données Mono'!D:D,0)),IF(AND(E1392="Electricité",M1392="Mi-saison"),INDEX('Base de données Mono'!F:F,MATCH(B1392,'Base de données Mono'!D:D,0)),IF(AND(E1392="Electricité",M1392="Eté"),INDEX('Base de données Mono'!G:G,MATCH(B1392,'Base de données Mono'!D:D,0)),IF(AND(E1392="Gaz",M1392="Hiver"),INDEX('Base de données Mono'!J:J,MATCH(B1392,'Base de données Mono'!D:D,0)),IF(AND(E1392="Gaz",M1392="Mi-saison"),INDEX('Base de données Mono'!#REF!,MATCH(B1392,'Base de données Mono'!D:D,0)),IF(AND(E1392="Gaz",M1392="Eté"),INDEX('Base de données Mono'!#REF!,MATCH(B1392,'Base de données Mono'!D:D,0)),"-"))))))</f>
        <v>60</v>
      </c>
      <c r="O1392" s="123">
        <v>45409</v>
      </c>
      <c r="P1392" s="123">
        <v>45410</v>
      </c>
      <c r="Q1392" s="34">
        <v>70</v>
      </c>
      <c r="R1392" s="33">
        <f t="shared" si="347"/>
        <v>10</v>
      </c>
      <c r="S1392" s="34">
        <v>9</v>
      </c>
      <c r="T1392" s="34">
        <f t="shared" ref="T1392:T1423" si="350">P1392-O1392</f>
        <v>1</v>
      </c>
      <c r="U1392" s="33">
        <f t="shared" si="348"/>
        <v>90</v>
      </c>
      <c r="V1392" s="38" t="s">
        <v>827</v>
      </c>
      <c r="W1392" s="39">
        <f t="shared" si="349"/>
        <v>0.16666666666666666</v>
      </c>
      <c r="X1392" s="40" t="s">
        <v>304</v>
      </c>
      <c r="Y1392" s="40" t="s">
        <v>284</v>
      </c>
      <c r="Z1392" s="40" t="s">
        <v>305</v>
      </c>
      <c r="AA1392" s="33" t="s">
        <v>771</v>
      </c>
      <c r="AB1392" s="95"/>
      <c r="AC1392" s="95"/>
    </row>
    <row r="1393" spans="1:29" ht="14.45" customHeight="1" x14ac:dyDescent="0.25">
      <c r="A1393" s="36" t="str">
        <f>INDEX('Base de données Mono'!C:C,MATCH(B1393,'Base de données Mono'!D:D,0))</f>
        <v>VILLEJUIF</v>
      </c>
      <c r="B1393" t="s">
        <v>273</v>
      </c>
      <c r="C1393" s="36" t="str">
        <f>INDEX('Base de données Mono'!B:B,MATCH(B1393,'Base de données Mono'!D:D,0))</f>
        <v>SES8</v>
      </c>
      <c r="D1393" s="36" t="str">
        <f>INDEX('Base de données Mono'!A:A,MATCH(B1393,'Base de données Mono'!D:D,0))</f>
        <v>JG</v>
      </c>
      <c r="E1393" s="37" t="s">
        <v>303</v>
      </c>
      <c r="F1393" s="41">
        <f t="shared" si="345"/>
        <v>17</v>
      </c>
      <c r="G1393" s="41">
        <f t="shared" si="346"/>
        <v>4</v>
      </c>
      <c r="I1393" s="131">
        <f>INDEX('Base de données Mono'!K:K,MATCH(B1393,'Base de données Mono'!D:D,0))</f>
        <v>0.23611111111111113</v>
      </c>
      <c r="J1393" s="131">
        <f>INDEX('Base de données Mono'!L:L,MATCH(B1393,'Base de données Mono'!D:D,0))</f>
        <v>0.85416666666666663</v>
      </c>
      <c r="K1393" s="131">
        <f>INDEX('Base de données Mono'!M:M,MATCH(B1393,'Base de données Mono'!D:D,0))</f>
        <v>0.31944444444444448</v>
      </c>
      <c r="L1393" s="131">
        <f>INDEX('Base de données Mono'!N:N,MATCH(B1393,'Base de données Mono'!D:D,0))</f>
        <v>0.55208333333333337</v>
      </c>
      <c r="M1393" s="33" t="s">
        <v>46</v>
      </c>
      <c r="N1393" s="33">
        <f>IF(AND(E1393="Electricité",M1393="Hiver"),INDEX('Base de données Mono'!E:E,MATCH(B1393,'Base de données Mono'!D:D,0)),IF(AND(E1393="Electricité",M1393="Mi-saison"),INDEX('Base de données Mono'!F:F,MATCH(B1393,'Base de données Mono'!D:D,0)),IF(AND(E1393="Electricité",M1393="Eté"),INDEX('Base de données Mono'!G:G,MATCH(B1393,'Base de données Mono'!D:D,0)),IF(AND(E1393="Gaz",M1393="Hiver"),INDEX('Base de données Mono'!J:J,MATCH(B1393,'Base de données Mono'!D:D,0)),IF(AND(E1393="Gaz",M1393="Mi-saison"),INDEX('Base de données Mono'!#REF!,MATCH(B1393,'Base de données Mono'!D:D,0)),IF(AND(E1393="Gaz",M1393="Eté"),INDEX('Base de données Mono'!#REF!,MATCH(B1393,'Base de données Mono'!D:D,0)),"-"))))))</f>
        <v>45</v>
      </c>
      <c r="O1393" s="123">
        <v>45403</v>
      </c>
      <c r="P1393" s="123">
        <v>45409</v>
      </c>
      <c r="Q1393" s="34">
        <v>55</v>
      </c>
      <c r="R1393" s="33">
        <f t="shared" si="347"/>
        <v>10</v>
      </c>
      <c r="S1393" s="34">
        <v>0.3</v>
      </c>
      <c r="T1393" s="34">
        <f t="shared" si="350"/>
        <v>6</v>
      </c>
      <c r="U1393" s="33">
        <f t="shared" si="348"/>
        <v>18</v>
      </c>
      <c r="V1393" s="38" t="s">
        <v>827</v>
      </c>
      <c r="W1393" s="39">
        <f t="shared" si="349"/>
        <v>0.22222222222222221</v>
      </c>
      <c r="X1393" s="40" t="s">
        <v>304</v>
      </c>
      <c r="Y1393" s="40" t="s">
        <v>284</v>
      </c>
      <c r="Z1393" s="40" t="s">
        <v>305</v>
      </c>
      <c r="AA1393" s="33" t="s">
        <v>771</v>
      </c>
      <c r="AB1393" s="95"/>
      <c r="AC1393" s="95"/>
    </row>
    <row r="1394" spans="1:29" ht="14.45" customHeight="1" x14ac:dyDescent="0.25">
      <c r="A1394" s="36" t="str">
        <f>INDEX('Base de données Mono'!C:C,MATCH(B1394,'Base de données Mono'!D:D,0))</f>
        <v>VILLEJUIF</v>
      </c>
      <c r="B1394" t="s">
        <v>273</v>
      </c>
      <c r="C1394" s="36" t="str">
        <f>INDEX('Base de données Mono'!B:B,MATCH(B1394,'Base de données Mono'!D:D,0))</f>
        <v>SES8</v>
      </c>
      <c r="D1394" s="36" t="str">
        <f>INDEX('Base de données Mono'!A:A,MATCH(B1394,'Base de données Mono'!D:D,0))</f>
        <v>JG</v>
      </c>
      <c r="E1394" s="37" t="s">
        <v>303</v>
      </c>
      <c r="F1394" s="41">
        <f t="shared" si="345"/>
        <v>17</v>
      </c>
      <c r="G1394" s="41">
        <f t="shared" si="346"/>
        <v>4</v>
      </c>
      <c r="I1394" s="131">
        <f>INDEX('Base de données Mono'!K:K,MATCH(B1394,'Base de données Mono'!D:D,0))</f>
        <v>0.23611111111111113</v>
      </c>
      <c r="J1394" s="131">
        <f>INDEX('Base de données Mono'!L:L,MATCH(B1394,'Base de données Mono'!D:D,0))</f>
        <v>0.85416666666666663</v>
      </c>
      <c r="K1394" s="131">
        <f>INDEX('Base de données Mono'!M:M,MATCH(B1394,'Base de données Mono'!D:D,0))</f>
        <v>0.31944444444444448</v>
      </c>
      <c r="L1394" s="131">
        <f>INDEX('Base de données Mono'!N:N,MATCH(B1394,'Base de données Mono'!D:D,0))</f>
        <v>0.55208333333333337</v>
      </c>
      <c r="M1394" s="33" t="s">
        <v>46</v>
      </c>
      <c r="N1394" s="33">
        <f>IF(AND(E1394="Electricité",M1394="Hiver"),INDEX('Base de données Mono'!E:E,MATCH(B1394,'Base de données Mono'!D:D,0)),IF(AND(E1394="Electricité",M1394="Mi-saison"),INDEX('Base de données Mono'!F:F,MATCH(B1394,'Base de données Mono'!D:D,0)),IF(AND(E1394="Electricité",M1394="Eté"),INDEX('Base de données Mono'!G:G,MATCH(B1394,'Base de données Mono'!D:D,0)),IF(AND(E1394="Gaz",M1394="Hiver"),INDEX('Base de données Mono'!J:J,MATCH(B1394,'Base de données Mono'!D:D,0)),IF(AND(E1394="Gaz",M1394="Mi-saison"),INDEX('Base de données Mono'!#REF!,MATCH(B1394,'Base de données Mono'!D:D,0)),IF(AND(E1394="Gaz",M1394="Eté"),INDEX('Base de données Mono'!#REF!,MATCH(B1394,'Base de données Mono'!D:D,0)),"-"))))))</f>
        <v>45</v>
      </c>
      <c r="O1394" s="123">
        <v>45404</v>
      </c>
      <c r="P1394" s="123">
        <v>45410</v>
      </c>
      <c r="Q1394" s="34">
        <v>80</v>
      </c>
      <c r="R1394" s="33">
        <f t="shared" si="347"/>
        <v>35</v>
      </c>
      <c r="S1394" s="34">
        <v>0.3</v>
      </c>
      <c r="T1394" s="34">
        <f t="shared" si="350"/>
        <v>6</v>
      </c>
      <c r="U1394" s="33">
        <f t="shared" si="348"/>
        <v>63</v>
      </c>
      <c r="V1394" s="38" t="s">
        <v>827</v>
      </c>
      <c r="W1394" s="39">
        <f t="shared" si="349"/>
        <v>0.77777777777777779</v>
      </c>
      <c r="X1394" s="40" t="s">
        <v>304</v>
      </c>
      <c r="Y1394" s="40" t="s">
        <v>284</v>
      </c>
      <c r="Z1394" s="40" t="s">
        <v>307</v>
      </c>
      <c r="AA1394" s="33" t="s">
        <v>313</v>
      </c>
      <c r="AB1394" s="95"/>
      <c r="AC1394" s="95"/>
    </row>
    <row r="1395" spans="1:29" ht="14.45" customHeight="1" x14ac:dyDescent="0.25">
      <c r="A1395" s="36" t="str">
        <f>INDEX('Base de données Mono'!C:C,MATCH(B1395,'Base de données Mono'!D:D,0))</f>
        <v>VILLEJUIF</v>
      </c>
      <c r="B1395" t="s">
        <v>273</v>
      </c>
      <c r="C1395" s="36" t="str">
        <f>INDEX('Base de données Mono'!B:B,MATCH(B1395,'Base de données Mono'!D:D,0))</f>
        <v>SES8</v>
      </c>
      <c r="D1395" s="36" t="str">
        <f>INDEX('Base de données Mono'!A:A,MATCH(B1395,'Base de données Mono'!D:D,0))</f>
        <v>JG</v>
      </c>
      <c r="E1395" s="37" t="s">
        <v>303</v>
      </c>
      <c r="F1395" s="41">
        <f t="shared" si="345"/>
        <v>17</v>
      </c>
      <c r="G1395" s="41">
        <f t="shared" si="346"/>
        <v>4</v>
      </c>
      <c r="I1395" s="131">
        <f>INDEX('Base de données Mono'!K:K,MATCH(B1395,'Base de données Mono'!D:D,0))</f>
        <v>0.23611111111111113</v>
      </c>
      <c r="J1395" s="131">
        <f>INDEX('Base de données Mono'!L:L,MATCH(B1395,'Base de données Mono'!D:D,0))</f>
        <v>0.85416666666666663</v>
      </c>
      <c r="K1395" s="131">
        <f>INDEX('Base de données Mono'!M:M,MATCH(B1395,'Base de données Mono'!D:D,0))</f>
        <v>0.31944444444444448</v>
      </c>
      <c r="L1395" s="131">
        <f>INDEX('Base de données Mono'!N:N,MATCH(B1395,'Base de données Mono'!D:D,0))</f>
        <v>0.55208333333333337</v>
      </c>
      <c r="M1395" s="33" t="s">
        <v>46</v>
      </c>
      <c r="N1395" s="33">
        <f>IF(AND(E1395="Electricité",M1395="Hiver"),INDEX('Base de données Mono'!E:E,MATCH(B1395,'Base de données Mono'!D:D,0)),IF(AND(E1395="Electricité",M1395="Mi-saison"),INDEX('Base de données Mono'!F:F,MATCH(B1395,'Base de données Mono'!D:D,0)),IF(AND(E1395="Electricité",M1395="Eté"),INDEX('Base de données Mono'!G:G,MATCH(B1395,'Base de données Mono'!D:D,0)),IF(AND(E1395="Gaz",M1395="Hiver"),INDEX('Base de données Mono'!J:J,MATCH(B1395,'Base de données Mono'!D:D,0)),IF(AND(E1395="Gaz",M1395="Mi-saison"),INDEX('Base de données Mono'!#REF!,MATCH(B1395,'Base de données Mono'!D:D,0)),IF(AND(E1395="Gaz",M1395="Eté"),INDEX('Base de données Mono'!#REF!,MATCH(B1395,'Base de données Mono'!D:D,0)),"-"))))))</f>
        <v>45</v>
      </c>
      <c r="O1395" s="123">
        <v>45409</v>
      </c>
      <c r="P1395" s="123">
        <v>45410</v>
      </c>
      <c r="Q1395" s="34">
        <v>60</v>
      </c>
      <c r="R1395" s="33">
        <f t="shared" si="347"/>
        <v>15</v>
      </c>
      <c r="S1395" s="34">
        <v>2.6</v>
      </c>
      <c r="T1395" s="34">
        <f t="shared" si="350"/>
        <v>1</v>
      </c>
      <c r="U1395" s="33">
        <f t="shared" si="348"/>
        <v>39</v>
      </c>
      <c r="V1395" s="38" t="s">
        <v>827</v>
      </c>
      <c r="W1395" s="39">
        <f t="shared" si="349"/>
        <v>0.33333333333333331</v>
      </c>
      <c r="X1395" s="40" t="s">
        <v>304</v>
      </c>
      <c r="Y1395" s="40" t="s">
        <v>284</v>
      </c>
      <c r="Z1395" s="40" t="s">
        <v>305</v>
      </c>
      <c r="AA1395" s="33" t="s">
        <v>771</v>
      </c>
      <c r="AB1395" s="95"/>
      <c r="AC1395" s="95"/>
    </row>
    <row r="1396" spans="1:29" ht="14.45" customHeight="1" x14ac:dyDescent="0.25">
      <c r="A1396" s="36" t="str">
        <f>INDEX('Base de données Mono'!C:C,MATCH(B1396,'Base de données Mono'!D:D,0))</f>
        <v>BOULOGNE SEMBAT</v>
      </c>
      <c r="B1396" t="s">
        <v>8</v>
      </c>
      <c r="C1396" s="36" t="str">
        <f>INDEX('Base de données Mono'!B:B,MATCH(B1396,'Base de données Mono'!D:D,0))</f>
        <v>SES8</v>
      </c>
      <c r="D1396" s="36" t="str">
        <f>INDEX('Base de données Mono'!A:A,MATCH(B1396,'Base de données Mono'!D:D,0))</f>
        <v>AD</v>
      </c>
      <c r="E1396" s="37" t="s">
        <v>303</v>
      </c>
      <c r="F1396" s="41">
        <f t="shared" si="345"/>
        <v>17</v>
      </c>
      <c r="G1396" s="41">
        <f t="shared" si="346"/>
        <v>4</v>
      </c>
      <c r="I1396" s="131">
        <f>INDEX('Base de données Mono'!K:K,MATCH(B1396,'Base de données Mono'!D:D,0))</f>
        <v>0.20138888888888887</v>
      </c>
      <c r="J1396" s="131">
        <f>INDEX('Base de données Mono'!L:L,MATCH(B1396,'Base de données Mono'!D:D,0))</f>
        <v>0.97916666666666663</v>
      </c>
      <c r="K1396" s="131">
        <f>INDEX('Base de données Mono'!M:M,MATCH(B1396,'Base de données Mono'!D:D,0))</f>
        <v>0.2638888888888889</v>
      </c>
      <c r="L1396" s="131">
        <f>INDEX('Base de données Mono'!N:N,MATCH(B1396,'Base de données Mono'!D:D,0))</f>
        <v>0.85416666666666663</v>
      </c>
      <c r="M1396" s="33" t="s">
        <v>46</v>
      </c>
      <c r="N1396" s="33">
        <f>IF(AND(E1396="Electricité",M1396="Hiver"),INDEX('Base de données Mono'!E:E,MATCH(B1396,'Base de données Mono'!D:D,0)),IF(AND(E1396="Electricité",M1396="Mi-saison"),INDEX('Base de données Mono'!F:F,MATCH(B1396,'Base de données Mono'!D:D,0)),IF(AND(E1396="Electricité",M1396="Eté"),INDEX('Base de données Mono'!G:G,MATCH(B1396,'Base de données Mono'!D:D,0)),IF(AND(E1396="Gaz",M1396="Hiver"),INDEX('Base de données Mono'!J:J,MATCH(B1396,'Base de données Mono'!D:D,0)),IF(AND(E1396="Gaz",M1396="Mi-saison"),INDEX('Base de données Mono'!#REF!,MATCH(B1396,'Base de données Mono'!D:D,0)),IF(AND(E1396="Gaz",M1396="Eté"),INDEX('Base de données Mono'!#REF!,MATCH(B1396,'Base de données Mono'!D:D,0)),"-"))))))</f>
        <v>85</v>
      </c>
      <c r="O1396" s="123">
        <v>45403</v>
      </c>
      <c r="P1396" s="123">
        <v>45405</v>
      </c>
      <c r="Q1396" s="34">
        <v>130</v>
      </c>
      <c r="R1396" s="33">
        <f t="shared" si="347"/>
        <v>45</v>
      </c>
      <c r="S1396" s="34">
        <v>0.8</v>
      </c>
      <c r="T1396" s="34">
        <f t="shared" si="350"/>
        <v>2</v>
      </c>
      <c r="U1396" s="33">
        <f t="shared" si="348"/>
        <v>72</v>
      </c>
      <c r="V1396" s="38" t="s">
        <v>827</v>
      </c>
      <c r="W1396" s="39">
        <f t="shared" si="349"/>
        <v>0.52941176470588236</v>
      </c>
      <c r="X1396" s="40" t="s">
        <v>304</v>
      </c>
      <c r="Y1396" s="40" t="s">
        <v>284</v>
      </c>
      <c r="Z1396" s="40" t="s">
        <v>307</v>
      </c>
      <c r="AA1396" s="33" t="s">
        <v>414</v>
      </c>
      <c r="AB1396" s="95"/>
      <c r="AC1396" s="95"/>
    </row>
    <row r="1397" spans="1:29" ht="14.45" customHeight="1" x14ac:dyDescent="0.25">
      <c r="A1397" s="36" t="str">
        <f>INDEX('Base de données Mono'!C:C,MATCH(B1397,'Base de données Mono'!D:D,0))</f>
        <v>BOULOGNE SEMBAT</v>
      </c>
      <c r="B1397" t="s">
        <v>8</v>
      </c>
      <c r="C1397" s="36" t="str">
        <f>INDEX('Base de données Mono'!B:B,MATCH(B1397,'Base de données Mono'!D:D,0))</f>
        <v>SES8</v>
      </c>
      <c r="D1397" s="36" t="str">
        <f>INDEX('Base de données Mono'!A:A,MATCH(B1397,'Base de données Mono'!D:D,0))</f>
        <v>AD</v>
      </c>
      <c r="E1397" s="37" t="s">
        <v>303</v>
      </c>
      <c r="F1397" s="41">
        <f t="shared" si="345"/>
        <v>17</v>
      </c>
      <c r="G1397" s="41">
        <f t="shared" si="346"/>
        <v>4</v>
      </c>
      <c r="I1397" s="131">
        <f>INDEX('Base de données Mono'!K:K,MATCH(B1397,'Base de données Mono'!D:D,0))</f>
        <v>0.20138888888888887</v>
      </c>
      <c r="J1397" s="131">
        <f>INDEX('Base de données Mono'!L:L,MATCH(B1397,'Base de données Mono'!D:D,0))</f>
        <v>0.97916666666666663</v>
      </c>
      <c r="K1397" s="131">
        <f>INDEX('Base de données Mono'!M:M,MATCH(B1397,'Base de données Mono'!D:D,0))</f>
        <v>0.2638888888888889</v>
      </c>
      <c r="L1397" s="131">
        <f>INDEX('Base de données Mono'!N:N,MATCH(B1397,'Base de données Mono'!D:D,0))</f>
        <v>0.85416666666666663</v>
      </c>
      <c r="M1397" s="33" t="s">
        <v>46</v>
      </c>
      <c r="N1397" s="33">
        <f>IF(AND(E1397="Electricité",M1397="Hiver"),INDEX('Base de données Mono'!E:E,MATCH(B1397,'Base de données Mono'!D:D,0)),IF(AND(E1397="Electricité",M1397="Mi-saison"),INDEX('Base de données Mono'!F:F,MATCH(B1397,'Base de données Mono'!D:D,0)),IF(AND(E1397="Electricité",M1397="Eté"),INDEX('Base de données Mono'!G:G,MATCH(B1397,'Base de données Mono'!D:D,0)),IF(AND(E1397="Gaz",M1397="Hiver"),INDEX('Base de données Mono'!J:J,MATCH(B1397,'Base de données Mono'!D:D,0)),IF(AND(E1397="Gaz",M1397="Mi-saison"),INDEX('Base de données Mono'!#REF!,MATCH(B1397,'Base de données Mono'!D:D,0)),IF(AND(E1397="Gaz",M1397="Eté"),INDEX('Base de données Mono'!#REF!,MATCH(B1397,'Base de données Mono'!D:D,0)),"-"))))))</f>
        <v>85</v>
      </c>
      <c r="O1397" s="123">
        <v>45406</v>
      </c>
      <c r="P1397" s="123">
        <v>45409</v>
      </c>
      <c r="Q1397" s="34">
        <v>135</v>
      </c>
      <c r="R1397" s="33">
        <f t="shared" si="347"/>
        <v>50</v>
      </c>
      <c r="S1397" s="34">
        <v>0.3</v>
      </c>
      <c r="T1397" s="34">
        <f t="shared" si="350"/>
        <v>3</v>
      </c>
      <c r="U1397" s="33">
        <f t="shared" si="348"/>
        <v>45</v>
      </c>
      <c r="V1397" s="38" t="s">
        <v>827</v>
      </c>
      <c r="W1397" s="39">
        <f t="shared" si="349"/>
        <v>0.58823529411764708</v>
      </c>
      <c r="X1397" s="40" t="s">
        <v>304</v>
      </c>
      <c r="Y1397" s="40" t="s">
        <v>284</v>
      </c>
      <c r="Z1397" s="40" t="s">
        <v>307</v>
      </c>
      <c r="AA1397" s="33" t="s">
        <v>414</v>
      </c>
      <c r="AB1397" s="95"/>
      <c r="AC1397" s="95"/>
    </row>
    <row r="1398" spans="1:29" ht="14.45" customHeight="1" x14ac:dyDescent="0.25">
      <c r="A1398" s="36" t="str">
        <f>INDEX('Base de données Mono'!C:C,MATCH(B1398,'Base de données Mono'!D:D,0))</f>
        <v>BOULOGNE SEMBAT</v>
      </c>
      <c r="B1398" t="s">
        <v>8</v>
      </c>
      <c r="C1398" s="36" t="str">
        <f>INDEX('Base de données Mono'!B:B,MATCH(B1398,'Base de données Mono'!D:D,0))</f>
        <v>SES8</v>
      </c>
      <c r="D1398" s="36" t="str">
        <f>INDEX('Base de données Mono'!A:A,MATCH(B1398,'Base de données Mono'!D:D,0))</f>
        <v>AD</v>
      </c>
      <c r="E1398" s="37" t="s">
        <v>303</v>
      </c>
      <c r="F1398" s="41">
        <f t="shared" si="345"/>
        <v>17</v>
      </c>
      <c r="G1398" s="41">
        <f t="shared" si="346"/>
        <v>4</v>
      </c>
      <c r="I1398" s="131">
        <f>INDEX('Base de données Mono'!K:K,MATCH(B1398,'Base de données Mono'!D:D,0))</f>
        <v>0.20138888888888887</v>
      </c>
      <c r="J1398" s="131">
        <f>INDEX('Base de données Mono'!L:L,MATCH(B1398,'Base de données Mono'!D:D,0))</f>
        <v>0.97916666666666663</v>
      </c>
      <c r="K1398" s="131">
        <f>INDEX('Base de données Mono'!M:M,MATCH(B1398,'Base de données Mono'!D:D,0))</f>
        <v>0.2638888888888889</v>
      </c>
      <c r="L1398" s="131">
        <f>INDEX('Base de données Mono'!N:N,MATCH(B1398,'Base de données Mono'!D:D,0))</f>
        <v>0.85416666666666663</v>
      </c>
      <c r="M1398" s="33" t="s">
        <v>46</v>
      </c>
      <c r="N1398" s="33">
        <f>IF(AND(E1398="Electricité",M1398="Hiver"),INDEX('Base de données Mono'!E:E,MATCH(B1398,'Base de données Mono'!D:D,0)),IF(AND(E1398="Electricité",M1398="Mi-saison"),INDEX('Base de données Mono'!F:F,MATCH(B1398,'Base de données Mono'!D:D,0)),IF(AND(E1398="Electricité",M1398="Eté"),INDEX('Base de données Mono'!G:G,MATCH(B1398,'Base de données Mono'!D:D,0)),IF(AND(E1398="Gaz",M1398="Hiver"),INDEX('Base de données Mono'!J:J,MATCH(B1398,'Base de données Mono'!D:D,0)),IF(AND(E1398="Gaz",M1398="Mi-saison"),INDEX('Base de données Mono'!#REF!,MATCH(B1398,'Base de données Mono'!D:D,0)),IF(AND(E1398="Gaz",M1398="Eté"),INDEX('Base de données Mono'!#REF!,MATCH(B1398,'Base de données Mono'!D:D,0)),"-"))))))</f>
        <v>85</v>
      </c>
      <c r="O1398" s="123">
        <v>45409</v>
      </c>
      <c r="P1398" s="123">
        <v>45410</v>
      </c>
      <c r="Q1398" s="34">
        <v>135</v>
      </c>
      <c r="R1398" s="33">
        <f t="shared" si="347"/>
        <v>50</v>
      </c>
      <c r="S1398" s="34">
        <v>1.3</v>
      </c>
      <c r="T1398" s="34">
        <f t="shared" si="350"/>
        <v>1</v>
      </c>
      <c r="U1398" s="33">
        <f t="shared" si="348"/>
        <v>65</v>
      </c>
      <c r="V1398" s="38" t="s">
        <v>827</v>
      </c>
      <c r="W1398" s="39">
        <f t="shared" si="349"/>
        <v>0.58823529411764708</v>
      </c>
      <c r="X1398" s="40" t="s">
        <v>304</v>
      </c>
      <c r="Y1398" s="40" t="s">
        <v>284</v>
      </c>
      <c r="Z1398" s="40" t="s">
        <v>307</v>
      </c>
      <c r="AA1398" s="33" t="s">
        <v>414</v>
      </c>
      <c r="AB1398" s="95"/>
      <c r="AC1398" s="95"/>
    </row>
    <row r="1399" spans="1:29" ht="14.45" customHeight="1" x14ac:dyDescent="0.25">
      <c r="A1399" s="36" t="str">
        <f>INDEX('Base de données Mono'!C:C,MATCH(B1399,'Base de données Mono'!D:D,0))</f>
        <v>CAEN</v>
      </c>
      <c r="B1399" t="s">
        <v>10</v>
      </c>
      <c r="C1399" s="36" t="str">
        <f>INDEX('Base de données Mono'!B:B,MATCH(B1399,'Base de données Mono'!D:D,0))</f>
        <v>SES8</v>
      </c>
      <c r="D1399" s="36" t="str">
        <f>INDEX('Base de données Mono'!A:A,MATCH(B1399,'Base de données Mono'!D:D,0))</f>
        <v>AD</v>
      </c>
      <c r="E1399" s="37" t="s">
        <v>303</v>
      </c>
      <c r="F1399" s="41">
        <f t="shared" si="345"/>
        <v>17</v>
      </c>
      <c r="G1399" s="41">
        <f t="shared" si="346"/>
        <v>4</v>
      </c>
      <c r="I1399" s="131">
        <f>INDEX('Base de données Mono'!K:K,MATCH(B1399,'Base de données Mono'!D:D,0))</f>
        <v>0.22222222222222221</v>
      </c>
      <c r="J1399" s="131">
        <f>INDEX('Base de données Mono'!L:L,MATCH(B1399,'Base de données Mono'!D:D,0))</f>
        <v>0.875</v>
      </c>
      <c r="K1399" s="131">
        <f>INDEX('Base de données Mono'!M:M,MATCH(B1399,'Base de données Mono'!D:D,0))</f>
        <v>0.29166666666666702</v>
      </c>
      <c r="L1399" s="131">
        <f>INDEX('Base de données Mono'!N:N,MATCH(B1399,'Base de données Mono'!D:D,0))</f>
        <v>0.54166666666666663</v>
      </c>
      <c r="M1399" s="33" t="s">
        <v>46</v>
      </c>
      <c r="N1399" s="33">
        <f>IF(AND(E1399="Electricité",M1399="Hiver"),INDEX('Base de données Mono'!E:E,MATCH(B1399,'Base de données Mono'!D:D,0)),IF(AND(E1399="Electricité",M1399="Mi-saison"),INDEX('Base de données Mono'!F:F,MATCH(B1399,'Base de données Mono'!D:D,0)),IF(AND(E1399="Electricité",M1399="Eté"),INDEX('Base de données Mono'!G:G,MATCH(B1399,'Base de données Mono'!D:D,0)),IF(AND(E1399="Gaz",M1399="Hiver"),INDEX('Base de données Mono'!J:J,MATCH(B1399,'Base de données Mono'!D:D,0)),IF(AND(E1399="Gaz",M1399="Mi-saison"),INDEX('Base de données Mono'!#REF!,MATCH(B1399,'Base de données Mono'!D:D,0)),IF(AND(E1399="Gaz",M1399="Eté"),INDEX('Base de données Mono'!#REF!,MATCH(B1399,'Base de données Mono'!D:D,0)),"-"))))))</f>
        <v>75</v>
      </c>
      <c r="O1399" s="123">
        <v>45404</v>
      </c>
      <c r="P1399" s="123">
        <v>45407</v>
      </c>
      <c r="Q1399" s="34">
        <v>85</v>
      </c>
      <c r="R1399" s="33">
        <f t="shared" si="347"/>
        <v>10</v>
      </c>
      <c r="S1399" s="34">
        <v>8</v>
      </c>
      <c r="T1399" s="34">
        <f t="shared" si="350"/>
        <v>3</v>
      </c>
      <c r="U1399" s="33">
        <f t="shared" si="348"/>
        <v>240</v>
      </c>
      <c r="V1399" s="38" t="s">
        <v>827</v>
      </c>
      <c r="W1399" s="39">
        <f t="shared" si="349"/>
        <v>0.13333333333333333</v>
      </c>
      <c r="X1399" s="40" t="s">
        <v>304</v>
      </c>
      <c r="Y1399" s="40" t="s">
        <v>284</v>
      </c>
      <c r="Z1399" s="40" t="s">
        <v>305</v>
      </c>
      <c r="AA1399" s="33" t="s">
        <v>771</v>
      </c>
      <c r="AB1399" s="95"/>
      <c r="AC1399" s="95"/>
    </row>
    <row r="1400" spans="1:29" ht="14.45" customHeight="1" x14ac:dyDescent="0.25">
      <c r="A1400" s="36" t="str">
        <f>INDEX('Base de données Mono'!C:C,MATCH(B1400,'Base de données Mono'!D:D,0))</f>
        <v>CAEN</v>
      </c>
      <c r="B1400" t="s">
        <v>10</v>
      </c>
      <c r="C1400" s="36" t="str">
        <f>INDEX('Base de données Mono'!B:B,MATCH(B1400,'Base de données Mono'!D:D,0))</f>
        <v>SES8</v>
      </c>
      <c r="D1400" s="36" t="str">
        <f>INDEX('Base de données Mono'!A:A,MATCH(B1400,'Base de données Mono'!D:D,0))</f>
        <v>AD</v>
      </c>
      <c r="E1400" s="37" t="s">
        <v>303</v>
      </c>
      <c r="F1400" s="41">
        <f t="shared" si="345"/>
        <v>17</v>
      </c>
      <c r="G1400" s="41">
        <f t="shared" si="346"/>
        <v>4</v>
      </c>
      <c r="I1400" s="131">
        <f>INDEX('Base de données Mono'!K:K,MATCH(B1400,'Base de données Mono'!D:D,0))</f>
        <v>0.22222222222222221</v>
      </c>
      <c r="J1400" s="131">
        <f>INDEX('Base de données Mono'!L:L,MATCH(B1400,'Base de données Mono'!D:D,0))</f>
        <v>0.875</v>
      </c>
      <c r="K1400" s="131">
        <f>INDEX('Base de données Mono'!M:M,MATCH(B1400,'Base de données Mono'!D:D,0))</f>
        <v>0.29166666666666702</v>
      </c>
      <c r="L1400" s="131">
        <f>INDEX('Base de données Mono'!N:N,MATCH(B1400,'Base de données Mono'!D:D,0))</f>
        <v>0.54166666666666663</v>
      </c>
      <c r="M1400" s="33" t="s">
        <v>46</v>
      </c>
      <c r="N1400" s="33">
        <f>IF(AND(E1400="Electricité",M1400="Hiver"),INDEX('Base de données Mono'!E:E,MATCH(B1400,'Base de données Mono'!D:D,0)),IF(AND(E1400="Electricité",M1400="Mi-saison"),INDEX('Base de données Mono'!F:F,MATCH(B1400,'Base de données Mono'!D:D,0)),IF(AND(E1400="Electricité",M1400="Eté"),INDEX('Base de données Mono'!G:G,MATCH(B1400,'Base de données Mono'!D:D,0)),IF(AND(E1400="Gaz",M1400="Hiver"),INDEX('Base de données Mono'!J:J,MATCH(B1400,'Base de données Mono'!D:D,0)),IF(AND(E1400="Gaz",M1400="Mi-saison"),INDEX('Base de données Mono'!#REF!,MATCH(B1400,'Base de données Mono'!D:D,0)),IF(AND(E1400="Gaz",M1400="Eté"),INDEX('Base de données Mono'!#REF!,MATCH(B1400,'Base de données Mono'!D:D,0)),"-"))))))</f>
        <v>75</v>
      </c>
      <c r="O1400" s="123">
        <v>45408</v>
      </c>
      <c r="P1400" s="123">
        <v>45410</v>
      </c>
      <c r="Q1400" s="34">
        <v>85</v>
      </c>
      <c r="R1400" s="33">
        <f t="shared" si="347"/>
        <v>10</v>
      </c>
      <c r="S1400" s="34">
        <v>3</v>
      </c>
      <c r="T1400" s="34">
        <f t="shared" si="350"/>
        <v>2</v>
      </c>
      <c r="U1400" s="33">
        <f t="shared" si="348"/>
        <v>60</v>
      </c>
      <c r="V1400" s="38" t="s">
        <v>827</v>
      </c>
      <c r="W1400" s="39">
        <f t="shared" si="349"/>
        <v>0.13333333333333333</v>
      </c>
      <c r="X1400" s="40" t="s">
        <v>304</v>
      </c>
      <c r="Y1400" s="40" t="s">
        <v>284</v>
      </c>
      <c r="Z1400" s="40" t="s">
        <v>305</v>
      </c>
      <c r="AA1400" s="33" t="s">
        <v>771</v>
      </c>
      <c r="AB1400" s="95"/>
      <c r="AC1400" s="95"/>
    </row>
    <row r="1401" spans="1:29" ht="14.45" customHeight="1" x14ac:dyDescent="0.25">
      <c r="A1401" s="36" t="str">
        <f>INDEX('Base de données Mono'!C:C,MATCH(B1401,'Base de données Mono'!D:D,0))</f>
        <v>LE HAVRE</v>
      </c>
      <c r="B1401" t="s">
        <v>152</v>
      </c>
      <c r="C1401" s="36" t="str">
        <f>INDEX('Base de données Mono'!B:B,MATCH(B1401,'Base de données Mono'!D:D,0))</f>
        <v>SES8</v>
      </c>
      <c r="D1401" s="36" t="str">
        <f>INDEX('Base de données Mono'!A:A,MATCH(B1401,'Base de données Mono'!D:D,0))</f>
        <v>AD</v>
      </c>
      <c r="E1401" s="37" t="s">
        <v>303</v>
      </c>
      <c r="F1401" s="41">
        <f t="shared" si="345"/>
        <v>17</v>
      </c>
      <c r="G1401" s="41">
        <f t="shared" si="346"/>
        <v>4</v>
      </c>
      <c r="I1401" s="131">
        <f>INDEX('Base de données Mono'!K:K,MATCH(B1401,'Base de données Mono'!D:D,0))</f>
        <v>0.1875</v>
      </c>
      <c r="J1401" s="131">
        <f>INDEX('Base de données Mono'!L:L,MATCH(B1401,'Base de données Mono'!D:D,0))</f>
        <v>0.88541666666666663</v>
      </c>
      <c r="K1401" s="131" t="str">
        <f>INDEX('Base de données Mono'!M:M,MATCH(B1401,'Base de données Mono'!D:D,0))</f>
        <v>-</v>
      </c>
      <c r="L1401" s="131" t="str">
        <f>INDEX('Base de données Mono'!N:N,MATCH(B1401,'Base de données Mono'!D:D,0))</f>
        <v>-</v>
      </c>
      <c r="M1401" s="33" t="s">
        <v>46</v>
      </c>
      <c r="N1401" s="33">
        <f>IF(AND(E1401="Electricité",M1401="Hiver"),INDEX('Base de données Mono'!E:E,MATCH(B1401,'Base de données Mono'!D:D,0)),IF(AND(E1401="Electricité",M1401="Mi-saison"),INDEX('Base de données Mono'!F:F,MATCH(B1401,'Base de données Mono'!D:D,0)),IF(AND(E1401="Electricité",M1401="Eté"),INDEX('Base de données Mono'!G:G,MATCH(B1401,'Base de données Mono'!D:D,0)),IF(AND(E1401="Gaz",M1401="Hiver"),INDEX('Base de données Mono'!J:J,MATCH(B1401,'Base de données Mono'!D:D,0)),IF(AND(E1401="Gaz",M1401="Mi-saison"),INDEX('Base de données Mono'!#REF!,MATCH(B1401,'Base de données Mono'!D:D,0)),IF(AND(E1401="Gaz",M1401="Eté"),INDEX('Base de données Mono'!#REF!,MATCH(B1401,'Base de données Mono'!D:D,0)),"-"))))))</f>
        <v>60</v>
      </c>
      <c r="O1401" s="123">
        <v>45403</v>
      </c>
      <c r="P1401" s="123">
        <v>45407</v>
      </c>
      <c r="Q1401" s="34">
        <v>70</v>
      </c>
      <c r="R1401" s="33">
        <f t="shared" si="347"/>
        <v>10</v>
      </c>
      <c r="S1401" s="34">
        <v>2</v>
      </c>
      <c r="T1401" s="34">
        <f t="shared" si="350"/>
        <v>4</v>
      </c>
      <c r="U1401" s="33">
        <f t="shared" si="348"/>
        <v>80</v>
      </c>
      <c r="V1401" s="38" t="s">
        <v>827</v>
      </c>
      <c r="W1401" s="39">
        <f t="shared" si="349"/>
        <v>0.16666666666666666</v>
      </c>
      <c r="X1401" s="40" t="s">
        <v>304</v>
      </c>
      <c r="Y1401" s="40" t="s">
        <v>284</v>
      </c>
      <c r="Z1401" s="40" t="s">
        <v>305</v>
      </c>
      <c r="AA1401" s="33" t="s">
        <v>771</v>
      </c>
      <c r="AB1401" s="95"/>
      <c r="AC1401" s="95"/>
    </row>
    <row r="1402" spans="1:29" ht="14.45" customHeight="1" x14ac:dyDescent="0.25">
      <c r="A1402" s="36" t="str">
        <f>INDEX('Base de données Mono'!C:C,MATCH(B1402,'Base de données Mono'!D:D,0))</f>
        <v>LE HAVRE</v>
      </c>
      <c r="B1402" t="s">
        <v>152</v>
      </c>
      <c r="C1402" s="36" t="str">
        <f>INDEX('Base de données Mono'!B:B,MATCH(B1402,'Base de données Mono'!D:D,0))</f>
        <v>SES8</v>
      </c>
      <c r="D1402" s="36" t="str">
        <f>INDEX('Base de données Mono'!A:A,MATCH(B1402,'Base de données Mono'!D:D,0))</f>
        <v>AD</v>
      </c>
      <c r="E1402" s="37" t="s">
        <v>303</v>
      </c>
      <c r="F1402" s="41">
        <f>IF(O1402="","-",IF(AND(X1402="Nuit",WEEKDAY(O1402,2)=7,O1402&lt;&gt;P1402),WEEKNUM(O1402,2),WEEKNUM(O1402,2)-1))+1</f>
        <v>17</v>
      </c>
      <c r="G1402" s="41">
        <f>IF(O1402="","-",MONTH(O1402))</f>
        <v>4</v>
      </c>
      <c r="I1402" s="131">
        <f>INDEX('Base de données Mono'!K:K,MATCH(B1402,'Base de données Mono'!D:D,0))</f>
        <v>0.1875</v>
      </c>
      <c r="J1402" s="131">
        <f>INDEX('Base de données Mono'!L:L,MATCH(B1402,'Base de données Mono'!D:D,0))</f>
        <v>0.88541666666666663</v>
      </c>
      <c r="K1402" s="131" t="str">
        <f>INDEX('Base de données Mono'!M:M,MATCH(B1402,'Base de données Mono'!D:D,0))</f>
        <v>-</v>
      </c>
      <c r="L1402" s="131" t="str">
        <f>INDEX('Base de données Mono'!N:N,MATCH(B1402,'Base de données Mono'!D:D,0))</f>
        <v>-</v>
      </c>
      <c r="M1402" s="33" t="s">
        <v>46</v>
      </c>
      <c r="N1402" s="33">
        <f>IF(AND(E1402="Electricité",M1402="Hiver"),INDEX('Base de données Mono'!E:E,MATCH(B1402,'Base de données Mono'!D:D,0)),IF(AND(E1402="Electricité",M1402="Mi-saison"),INDEX('Base de données Mono'!F:F,MATCH(B1402,'Base de données Mono'!D:D,0)),IF(AND(E1402="Electricité",M1402="Eté"),INDEX('Base de données Mono'!G:G,MATCH(B1402,'Base de données Mono'!D:D,0)),IF(AND(E1402="Gaz",M1402="Hiver"),INDEX('Base de données Mono'!J:J,MATCH(B1402,'Base de données Mono'!D:D,0)),IF(AND(E1402="Gaz",M1402="Mi-saison"),INDEX('Base de données Mono'!#REF!,MATCH(B1402,'Base de données Mono'!D:D,0)),IF(AND(E1402="Gaz",M1402="Eté"),INDEX('Base de données Mono'!#REF!,MATCH(B1402,'Base de données Mono'!D:D,0)),"-"))))))</f>
        <v>60</v>
      </c>
      <c r="O1402" s="123">
        <v>45407</v>
      </c>
      <c r="P1402" s="123">
        <v>45408</v>
      </c>
      <c r="Q1402" s="34">
        <v>105</v>
      </c>
      <c r="R1402" s="33">
        <f>IF(Q1402="","",Q1402-N1402)</f>
        <v>45</v>
      </c>
      <c r="S1402" s="34">
        <v>1.5</v>
      </c>
      <c r="T1402" s="34">
        <f>P1402-O1402</f>
        <v>1</v>
      </c>
      <c r="U1402" s="33">
        <f>R1402*S1402*T1402</f>
        <v>67.5</v>
      </c>
      <c r="V1402" s="38" t="s">
        <v>827</v>
      </c>
      <c r="W1402" s="39">
        <f>IFERROR(IF(E1402="Gaz","-",R1402/N1402),"-")</f>
        <v>0.75</v>
      </c>
      <c r="X1402" s="40" t="s">
        <v>304</v>
      </c>
      <c r="Y1402" s="40" t="s">
        <v>284</v>
      </c>
      <c r="Z1402" s="40" t="s">
        <v>307</v>
      </c>
      <c r="AA1402" s="33" t="s">
        <v>313</v>
      </c>
      <c r="AB1402" s="95"/>
      <c r="AC1402" s="95"/>
    </row>
    <row r="1403" spans="1:29" ht="14.45" customHeight="1" x14ac:dyDescent="0.25">
      <c r="A1403" s="36" t="str">
        <f>INDEX('Base de données Mono'!C:C,MATCH(B1403,'Base de données Mono'!D:D,0))</f>
        <v>LE HAVRE</v>
      </c>
      <c r="B1403" t="s">
        <v>152</v>
      </c>
      <c r="C1403" s="36" t="str">
        <f>INDEX('Base de données Mono'!B:B,MATCH(B1403,'Base de données Mono'!D:D,0))</f>
        <v>SES8</v>
      </c>
      <c r="D1403" s="36" t="str">
        <f>INDEX('Base de données Mono'!A:A,MATCH(B1403,'Base de données Mono'!D:D,0))</f>
        <v>AD</v>
      </c>
      <c r="E1403" s="37" t="s">
        <v>303</v>
      </c>
      <c r="F1403" s="41">
        <f>IF(O1403="","-",IF(AND(X1403="Nuit",WEEKDAY(O1403,2)=7,O1403&lt;&gt;P1403),WEEKNUM(O1403,2),WEEKNUM(O1403,2)-1))+1</f>
        <v>17</v>
      </c>
      <c r="G1403" s="41">
        <f>IF(O1403="","-",MONTH(O1403))</f>
        <v>4</v>
      </c>
      <c r="I1403" s="131">
        <f>INDEX('Base de données Mono'!K:K,MATCH(B1403,'Base de données Mono'!D:D,0))</f>
        <v>0.1875</v>
      </c>
      <c r="J1403" s="131">
        <f>INDEX('Base de données Mono'!L:L,MATCH(B1403,'Base de données Mono'!D:D,0))</f>
        <v>0.88541666666666663</v>
      </c>
      <c r="K1403" s="131" t="str">
        <f>INDEX('Base de données Mono'!M:M,MATCH(B1403,'Base de données Mono'!D:D,0))</f>
        <v>-</v>
      </c>
      <c r="L1403" s="131" t="str">
        <f>INDEX('Base de données Mono'!N:N,MATCH(B1403,'Base de données Mono'!D:D,0))</f>
        <v>-</v>
      </c>
      <c r="M1403" s="33" t="s">
        <v>46</v>
      </c>
      <c r="N1403" s="33">
        <f>IF(AND(E1403="Electricité",M1403="Hiver"),INDEX('Base de données Mono'!E:E,MATCH(B1403,'Base de données Mono'!D:D,0)),IF(AND(E1403="Electricité",M1403="Mi-saison"),INDEX('Base de données Mono'!F:F,MATCH(B1403,'Base de données Mono'!D:D,0)),IF(AND(E1403="Electricité",M1403="Eté"),INDEX('Base de données Mono'!G:G,MATCH(B1403,'Base de données Mono'!D:D,0)),IF(AND(E1403="Gaz",M1403="Hiver"),INDEX('Base de données Mono'!J:J,MATCH(B1403,'Base de données Mono'!D:D,0)),IF(AND(E1403="Gaz",M1403="Mi-saison"),INDEX('Base de données Mono'!#REF!,MATCH(B1403,'Base de données Mono'!D:D,0)),IF(AND(E1403="Gaz",M1403="Eté"),INDEX('Base de données Mono'!#REF!,MATCH(B1403,'Base de données Mono'!D:D,0)),"-"))))))</f>
        <v>60</v>
      </c>
      <c r="O1403" s="123">
        <v>45408</v>
      </c>
      <c r="P1403" s="123">
        <v>45410</v>
      </c>
      <c r="Q1403" s="34">
        <v>70</v>
      </c>
      <c r="R1403" s="33">
        <f>IF(Q1403="","",Q1403-N1403)</f>
        <v>10</v>
      </c>
      <c r="S1403" s="34">
        <v>2.5</v>
      </c>
      <c r="T1403" s="34">
        <f>P1403-O1403</f>
        <v>2</v>
      </c>
      <c r="U1403" s="33">
        <f>R1403*S1403*T1403</f>
        <v>50</v>
      </c>
      <c r="V1403" s="38" t="s">
        <v>827</v>
      </c>
      <c r="W1403" s="39">
        <f>IFERROR(IF(E1403="Gaz","-",R1403/N1403),"-")</f>
        <v>0.16666666666666666</v>
      </c>
      <c r="X1403" s="40" t="s">
        <v>304</v>
      </c>
      <c r="Y1403" s="40" t="s">
        <v>284</v>
      </c>
      <c r="Z1403" s="40" t="s">
        <v>305</v>
      </c>
      <c r="AA1403" s="33" t="s">
        <v>771</v>
      </c>
      <c r="AB1403" s="95"/>
      <c r="AC1403" s="95"/>
    </row>
    <row r="1404" spans="1:29" ht="14.45" customHeight="1" x14ac:dyDescent="0.25">
      <c r="A1404" s="36" t="str">
        <f>INDEX('Base de données Mono'!C:C,MATCH(B1404,'Base de données Mono'!D:D,0))</f>
        <v>SABLONS</v>
      </c>
      <c r="B1404" t="s">
        <v>32</v>
      </c>
      <c r="C1404" s="36" t="str">
        <f>INDEX('Base de données Mono'!B:B,MATCH(B1404,'Base de données Mono'!D:D,0))</f>
        <v>SES8</v>
      </c>
      <c r="D1404" s="36" t="str">
        <f>INDEX('Base de données Mono'!A:A,MATCH(B1404,'Base de données Mono'!D:D,0))</f>
        <v>AD</v>
      </c>
      <c r="E1404" s="37" t="s">
        <v>303</v>
      </c>
      <c r="F1404" s="41">
        <f t="shared" si="345"/>
        <v>17</v>
      </c>
      <c r="G1404" s="41">
        <f t="shared" si="346"/>
        <v>4</v>
      </c>
      <c r="I1404" s="131">
        <f>INDEX('Base de données Mono'!K:K,MATCH(B1404,'Base de données Mono'!D:D,0))</f>
        <v>0.23611111111111113</v>
      </c>
      <c r="J1404" s="131">
        <f>INDEX('Base de données Mono'!L:L,MATCH(B1404,'Base de données Mono'!D:D,0))</f>
        <v>0.91666666666666663</v>
      </c>
      <c r="K1404" s="131">
        <f>INDEX('Base de données Mono'!M:M,MATCH(B1404,'Base de données Mono'!D:D,0))</f>
        <v>0.25694444444444448</v>
      </c>
      <c r="L1404" s="131">
        <f>INDEX('Base de données Mono'!N:N,MATCH(B1404,'Base de données Mono'!D:D,0))</f>
        <v>0.60069444444444442</v>
      </c>
      <c r="M1404" s="33" t="s">
        <v>46</v>
      </c>
      <c r="N1404" s="33">
        <f>IF(AND(E1404="Electricité",M1404="Hiver"),INDEX('Base de données Mono'!E:E,MATCH(B1404,'Base de données Mono'!D:D,0)),IF(AND(E1404="Electricité",M1404="Mi-saison"),INDEX('Base de données Mono'!F:F,MATCH(B1404,'Base de données Mono'!D:D,0)),IF(AND(E1404="Electricité",M1404="Eté"),INDEX('Base de données Mono'!G:G,MATCH(B1404,'Base de données Mono'!D:D,0)),IF(AND(E1404="Gaz",M1404="Hiver"),INDEX('Base de données Mono'!J:J,MATCH(B1404,'Base de données Mono'!D:D,0)),IF(AND(E1404="Gaz",M1404="Mi-saison"),INDEX('Base de données Mono'!#REF!,MATCH(B1404,'Base de données Mono'!D:D,0)),IF(AND(E1404="Gaz",M1404="Eté"),INDEX('Base de données Mono'!#REF!,MATCH(B1404,'Base de données Mono'!D:D,0)),"-"))))))</f>
        <v>70</v>
      </c>
      <c r="O1404" s="123">
        <v>45403</v>
      </c>
      <c r="P1404" s="123">
        <v>45406</v>
      </c>
      <c r="Q1404" s="34">
        <v>85</v>
      </c>
      <c r="R1404" s="33">
        <f t="shared" si="347"/>
        <v>15</v>
      </c>
      <c r="S1404" s="34">
        <v>7.6</v>
      </c>
      <c r="T1404" s="34">
        <f t="shared" si="350"/>
        <v>3</v>
      </c>
      <c r="U1404" s="33">
        <f t="shared" si="348"/>
        <v>342</v>
      </c>
      <c r="V1404" s="38" t="s">
        <v>827</v>
      </c>
      <c r="W1404" s="39">
        <f t="shared" si="349"/>
        <v>0.21428571428571427</v>
      </c>
      <c r="X1404" s="40" t="s">
        <v>304</v>
      </c>
      <c r="Y1404" s="40" t="s">
        <v>284</v>
      </c>
      <c r="Z1404" s="40" t="s">
        <v>305</v>
      </c>
      <c r="AA1404" s="33" t="s">
        <v>771</v>
      </c>
      <c r="AB1404" s="95"/>
      <c r="AC1404" s="95"/>
    </row>
    <row r="1405" spans="1:29" ht="14.45" customHeight="1" x14ac:dyDescent="0.25">
      <c r="A1405" s="36" t="str">
        <f>INDEX('Base de données Mono'!C:C,MATCH(B1405,'Base de données Mono'!D:D,0))</f>
        <v>SABLONS</v>
      </c>
      <c r="B1405" t="s">
        <v>32</v>
      </c>
      <c r="C1405" s="36" t="str">
        <f>INDEX('Base de données Mono'!B:B,MATCH(B1405,'Base de données Mono'!D:D,0))</f>
        <v>SES8</v>
      </c>
      <c r="D1405" s="36" t="str">
        <f>INDEX('Base de données Mono'!A:A,MATCH(B1405,'Base de données Mono'!D:D,0))</f>
        <v>AD</v>
      </c>
      <c r="E1405" s="37" t="s">
        <v>303</v>
      </c>
      <c r="F1405" s="41">
        <f t="shared" si="345"/>
        <v>17</v>
      </c>
      <c r="G1405" s="41">
        <f t="shared" si="346"/>
        <v>4</v>
      </c>
      <c r="I1405" s="131">
        <f>INDEX('Base de données Mono'!K:K,MATCH(B1405,'Base de données Mono'!D:D,0))</f>
        <v>0.23611111111111113</v>
      </c>
      <c r="J1405" s="131">
        <f>INDEX('Base de données Mono'!L:L,MATCH(B1405,'Base de données Mono'!D:D,0))</f>
        <v>0.91666666666666663</v>
      </c>
      <c r="K1405" s="131">
        <f>INDEX('Base de données Mono'!M:M,MATCH(B1405,'Base de données Mono'!D:D,0))</f>
        <v>0.25694444444444448</v>
      </c>
      <c r="L1405" s="131">
        <f>INDEX('Base de données Mono'!N:N,MATCH(B1405,'Base de données Mono'!D:D,0))</f>
        <v>0.60069444444444442</v>
      </c>
      <c r="M1405" s="33" t="s">
        <v>46</v>
      </c>
      <c r="N1405" s="33">
        <f>IF(AND(E1405="Electricité",M1405="Hiver"),INDEX('Base de données Mono'!E:E,MATCH(B1405,'Base de données Mono'!D:D,0)),IF(AND(E1405="Electricité",M1405="Mi-saison"),INDEX('Base de données Mono'!F:F,MATCH(B1405,'Base de données Mono'!D:D,0)),IF(AND(E1405="Electricité",M1405="Eté"),INDEX('Base de données Mono'!G:G,MATCH(B1405,'Base de données Mono'!D:D,0)),IF(AND(E1405="Gaz",M1405="Hiver"),INDEX('Base de données Mono'!J:J,MATCH(B1405,'Base de données Mono'!D:D,0)),IF(AND(E1405="Gaz",M1405="Mi-saison"),INDEX('Base de données Mono'!#REF!,MATCH(B1405,'Base de données Mono'!D:D,0)),IF(AND(E1405="Gaz",M1405="Eté"),INDEX('Base de données Mono'!#REF!,MATCH(B1405,'Base de données Mono'!D:D,0)),"-"))))))</f>
        <v>70</v>
      </c>
      <c r="O1405" s="123">
        <v>45406</v>
      </c>
      <c r="P1405" s="123">
        <v>45407</v>
      </c>
      <c r="Q1405" s="34">
        <v>110</v>
      </c>
      <c r="R1405" s="33">
        <f t="shared" si="347"/>
        <v>40</v>
      </c>
      <c r="S1405" s="34">
        <v>7.6</v>
      </c>
      <c r="T1405" s="34">
        <f t="shared" si="350"/>
        <v>1</v>
      </c>
      <c r="U1405" s="33">
        <f t="shared" si="348"/>
        <v>304</v>
      </c>
      <c r="V1405" s="38" t="s">
        <v>827</v>
      </c>
      <c r="W1405" s="39">
        <f t="shared" si="349"/>
        <v>0.5714285714285714</v>
      </c>
      <c r="X1405" s="40" t="s">
        <v>304</v>
      </c>
      <c r="Y1405" s="40" t="s">
        <v>284</v>
      </c>
      <c r="Z1405" s="40" t="s">
        <v>311</v>
      </c>
      <c r="AA1405" s="33" t="s">
        <v>775</v>
      </c>
      <c r="AB1405" s="95"/>
      <c r="AC1405" s="95"/>
    </row>
    <row r="1406" spans="1:29" ht="14.45" customHeight="1" x14ac:dyDescent="0.25">
      <c r="A1406" s="36" t="str">
        <f>INDEX('Base de données Mono'!C:C,MATCH(B1406,'Base de données Mono'!D:D,0))</f>
        <v>SABLONS</v>
      </c>
      <c r="B1406" t="s">
        <v>32</v>
      </c>
      <c r="C1406" s="36" t="str">
        <f>INDEX('Base de données Mono'!B:B,MATCH(B1406,'Base de données Mono'!D:D,0))</f>
        <v>SES8</v>
      </c>
      <c r="D1406" s="36" t="str">
        <f>INDEX('Base de données Mono'!A:A,MATCH(B1406,'Base de données Mono'!D:D,0))</f>
        <v>AD</v>
      </c>
      <c r="E1406" s="37" t="s">
        <v>303</v>
      </c>
      <c r="F1406" s="41">
        <f t="shared" si="345"/>
        <v>17</v>
      </c>
      <c r="G1406" s="41">
        <f t="shared" si="346"/>
        <v>4</v>
      </c>
      <c r="I1406" s="131">
        <f>INDEX('Base de données Mono'!K:K,MATCH(B1406,'Base de données Mono'!D:D,0))</f>
        <v>0.23611111111111113</v>
      </c>
      <c r="J1406" s="131">
        <f>INDEX('Base de données Mono'!L:L,MATCH(B1406,'Base de données Mono'!D:D,0))</f>
        <v>0.91666666666666663</v>
      </c>
      <c r="K1406" s="131">
        <f>INDEX('Base de données Mono'!M:M,MATCH(B1406,'Base de données Mono'!D:D,0))</f>
        <v>0.25694444444444448</v>
      </c>
      <c r="L1406" s="131">
        <f>INDEX('Base de données Mono'!N:N,MATCH(B1406,'Base de données Mono'!D:D,0))</f>
        <v>0.60069444444444442</v>
      </c>
      <c r="M1406" s="33" t="s">
        <v>46</v>
      </c>
      <c r="N1406" s="33">
        <f>IF(AND(E1406="Electricité",M1406="Hiver"),INDEX('Base de données Mono'!E:E,MATCH(B1406,'Base de données Mono'!D:D,0)),IF(AND(E1406="Electricité",M1406="Mi-saison"),INDEX('Base de données Mono'!F:F,MATCH(B1406,'Base de données Mono'!D:D,0)),IF(AND(E1406="Electricité",M1406="Eté"),INDEX('Base de données Mono'!G:G,MATCH(B1406,'Base de données Mono'!D:D,0)),IF(AND(E1406="Gaz",M1406="Hiver"),INDEX('Base de données Mono'!J:J,MATCH(B1406,'Base de données Mono'!D:D,0)),IF(AND(E1406="Gaz",M1406="Mi-saison"),INDEX('Base de données Mono'!#REF!,MATCH(B1406,'Base de données Mono'!D:D,0)),IF(AND(E1406="Gaz",M1406="Eté"),INDEX('Base de données Mono'!#REF!,MATCH(B1406,'Base de données Mono'!D:D,0)),"-"))))))</f>
        <v>70</v>
      </c>
      <c r="O1406" s="123">
        <v>45407</v>
      </c>
      <c r="P1406" s="123">
        <v>45410</v>
      </c>
      <c r="Q1406" s="34">
        <v>85</v>
      </c>
      <c r="R1406" s="33">
        <f t="shared" si="347"/>
        <v>15</v>
      </c>
      <c r="S1406" s="34">
        <v>7.6</v>
      </c>
      <c r="T1406" s="34">
        <f t="shared" si="350"/>
        <v>3</v>
      </c>
      <c r="U1406" s="33">
        <f t="shared" si="348"/>
        <v>342</v>
      </c>
      <c r="V1406" s="38" t="s">
        <v>827</v>
      </c>
      <c r="W1406" s="39">
        <f t="shared" si="349"/>
        <v>0.21428571428571427</v>
      </c>
      <c r="X1406" s="40" t="s">
        <v>304</v>
      </c>
      <c r="Y1406" s="40" t="s">
        <v>284</v>
      </c>
      <c r="Z1406" s="40" t="s">
        <v>305</v>
      </c>
      <c r="AA1406" s="33" t="s">
        <v>771</v>
      </c>
      <c r="AB1406" s="95"/>
      <c r="AC1406" s="95"/>
    </row>
    <row r="1407" spans="1:29" ht="14.45" customHeight="1" x14ac:dyDescent="0.25">
      <c r="A1407" s="36" t="str">
        <f>INDEX('Base de données Mono'!C:C,MATCH(B1407,'Base de données Mono'!D:D,0))</f>
        <v>SAINT RAPHAEL</v>
      </c>
      <c r="B1407" t="s">
        <v>36</v>
      </c>
      <c r="C1407" s="36" t="str">
        <f>INDEX('Base de données Mono'!B:B,MATCH(B1407,'Base de données Mono'!D:D,0))</f>
        <v>SES8</v>
      </c>
      <c r="D1407" s="36" t="str">
        <f>INDEX('Base de données Mono'!A:A,MATCH(B1407,'Base de données Mono'!D:D,0))</f>
        <v>JG</v>
      </c>
      <c r="E1407" s="37" t="s">
        <v>303</v>
      </c>
      <c r="F1407" s="41">
        <f t="shared" si="345"/>
        <v>17</v>
      </c>
      <c r="G1407" s="41">
        <f t="shared" si="346"/>
        <v>4</v>
      </c>
      <c r="I1407" s="131">
        <f>INDEX('Base de données Mono'!K:K,MATCH(B1407,'Base de données Mono'!D:D,0))</f>
        <v>0.20833333333333334</v>
      </c>
      <c r="J1407" s="131">
        <f>INDEX('Base de données Mono'!L:L,MATCH(B1407,'Base de données Mono'!D:D,0))</f>
        <v>0.85416666666666663</v>
      </c>
      <c r="K1407" s="131">
        <f>INDEX('Base de données Mono'!M:M,MATCH(B1407,'Base de données Mono'!D:D,0))</f>
        <v>0.3125</v>
      </c>
      <c r="L1407" s="131">
        <f>INDEX('Base de données Mono'!N:N,MATCH(B1407,'Base de données Mono'!D:D,0))</f>
        <v>0.55902777777777779</v>
      </c>
      <c r="M1407" s="33" t="s">
        <v>46</v>
      </c>
      <c r="N1407" s="33">
        <f>IF(AND(E1407="Electricité",M1407="Hiver"),INDEX('Base de données Mono'!E:E,MATCH(B1407,'Base de données Mono'!D:D,0)),IF(AND(E1407="Electricité",M1407="Mi-saison"),INDEX('Base de données Mono'!F:F,MATCH(B1407,'Base de données Mono'!D:D,0)),IF(AND(E1407="Electricité",M1407="Eté"),INDEX('Base de données Mono'!G:G,MATCH(B1407,'Base de données Mono'!D:D,0)),IF(AND(E1407="Gaz",M1407="Hiver"),INDEX('Base de données Mono'!J:J,MATCH(B1407,'Base de données Mono'!D:D,0)),IF(AND(E1407="Gaz",M1407="Mi-saison"),INDEX('Base de données Mono'!#REF!,MATCH(B1407,'Base de données Mono'!D:D,0)),IF(AND(E1407="Gaz",M1407="Eté"),INDEX('Base de données Mono'!#REF!,MATCH(B1407,'Base de données Mono'!D:D,0)),"-"))))))</f>
        <v>35</v>
      </c>
      <c r="O1407" s="123">
        <v>45403</v>
      </c>
      <c r="P1407" s="123">
        <v>45404</v>
      </c>
      <c r="Q1407" s="34">
        <v>55</v>
      </c>
      <c r="R1407" s="33">
        <f t="shared" si="347"/>
        <v>20</v>
      </c>
      <c r="S1407" s="34">
        <v>2.5</v>
      </c>
      <c r="T1407" s="34">
        <f t="shared" si="350"/>
        <v>1</v>
      </c>
      <c r="U1407" s="33">
        <f t="shared" si="348"/>
        <v>50</v>
      </c>
      <c r="V1407" s="38" t="s">
        <v>827</v>
      </c>
      <c r="W1407" s="39">
        <f t="shared" si="349"/>
        <v>0.5714285714285714</v>
      </c>
      <c r="X1407" s="40" t="s">
        <v>304</v>
      </c>
      <c r="Y1407" s="40" t="s">
        <v>284</v>
      </c>
      <c r="Z1407" s="40" t="s">
        <v>307</v>
      </c>
      <c r="AA1407" s="33" t="s">
        <v>313</v>
      </c>
      <c r="AB1407" s="95"/>
      <c r="AC1407" s="95"/>
    </row>
    <row r="1408" spans="1:29" ht="14.45" customHeight="1" x14ac:dyDescent="0.25">
      <c r="A1408" s="36" t="str">
        <f>INDEX('Base de données Mono'!C:C,MATCH(B1408,'Base de données Mono'!D:D,0))</f>
        <v>SAINT RAPHAEL</v>
      </c>
      <c r="B1408" t="s">
        <v>36</v>
      </c>
      <c r="C1408" s="36" t="str">
        <f>INDEX('Base de données Mono'!B:B,MATCH(B1408,'Base de données Mono'!D:D,0))</f>
        <v>SES8</v>
      </c>
      <c r="D1408" s="36" t="str">
        <f>INDEX('Base de données Mono'!A:A,MATCH(B1408,'Base de données Mono'!D:D,0))</f>
        <v>JG</v>
      </c>
      <c r="E1408" s="37" t="s">
        <v>303</v>
      </c>
      <c r="F1408" s="41">
        <f t="shared" si="345"/>
        <v>17</v>
      </c>
      <c r="G1408" s="41">
        <f t="shared" si="346"/>
        <v>4</v>
      </c>
      <c r="I1408" s="131">
        <f>INDEX('Base de données Mono'!K:K,MATCH(B1408,'Base de données Mono'!D:D,0))</f>
        <v>0.20833333333333334</v>
      </c>
      <c r="J1408" s="131">
        <f>INDEX('Base de données Mono'!L:L,MATCH(B1408,'Base de données Mono'!D:D,0))</f>
        <v>0.85416666666666663</v>
      </c>
      <c r="K1408" s="131">
        <f>INDEX('Base de données Mono'!M:M,MATCH(B1408,'Base de données Mono'!D:D,0))</f>
        <v>0.3125</v>
      </c>
      <c r="L1408" s="131">
        <f>INDEX('Base de données Mono'!N:N,MATCH(B1408,'Base de données Mono'!D:D,0))</f>
        <v>0.55902777777777779</v>
      </c>
      <c r="M1408" s="33" t="s">
        <v>46</v>
      </c>
      <c r="N1408" s="33">
        <f>IF(AND(E1408="Electricité",M1408="Hiver"),INDEX('Base de données Mono'!E:E,MATCH(B1408,'Base de données Mono'!D:D,0)),IF(AND(E1408="Electricité",M1408="Mi-saison"),INDEX('Base de données Mono'!F:F,MATCH(B1408,'Base de données Mono'!D:D,0)),IF(AND(E1408="Electricité",M1408="Eté"),INDEX('Base de données Mono'!G:G,MATCH(B1408,'Base de données Mono'!D:D,0)),IF(AND(E1408="Gaz",M1408="Hiver"),INDEX('Base de données Mono'!J:J,MATCH(B1408,'Base de données Mono'!D:D,0)),IF(AND(E1408="Gaz",M1408="Mi-saison"),INDEX('Base de données Mono'!#REF!,MATCH(B1408,'Base de données Mono'!D:D,0)),IF(AND(E1408="Gaz",M1408="Eté"),INDEX('Base de données Mono'!#REF!,MATCH(B1408,'Base de données Mono'!D:D,0)),"-"))))))</f>
        <v>35</v>
      </c>
      <c r="O1408" s="123">
        <v>45404</v>
      </c>
      <c r="P1408" s="123">
        <v>45405</v>
      </c>
      <c r="Q1408" s="34">
        <v>55</v>
      </c>
      <c r="R1408" s="33">
        <f t="shared" si="347"/>
        <v>20</v>
      </c>
      <c r="S1408" s="34">
        <v>4.5</v>
      </c>
      <c r="T1408" s="34">
        <f t="shared" si="350"/>
        <v>1</v>
      </c>
      <c r="U1408" s="33">
        <f t="shared" si="348"/>
        <v>90</v>
      </c>
      <c r="V1408" s="38" t="s">
        <v>827</v>
      </c>
      <c r="W1408" s="39">
        <f t="shared" si="349"/>
        <v>0.5714285714285714</v>
      </c>
      <c r="X1408" s="40" t="s">
        <v>304</v>
      </c>
      <c r="Y1408" s="40" t="s">
        <v>284</v>
      </c>
      <c r="Z1408" s="40" t="s">
        <v>311</v>
      </c>
      <c r="AA1408" s="33" t="s">
        <v>775</v>
      </c>
      <c r="AB1408" s="95"/>
      <c r="AC1408" s="95"/>
    </row>
    <row r="1409" spans="1:29" ht="14.45" customHeight="1" x14ac:dyDescent="0.25">
      <c r="A1409" s="36" t="str">
        <f>INDEX('Base de données Mono'!C:C,MATCH(B1409,'Base de données Mono'!D:D,0))</f>
        <v>SAINT RAPHAEL</v>
      </c>
      <c r="B1409" t="s">
        <v>36</v>
      </c>
      <c r="C1409" s="36" t="str">
        <f>INDEX('Base de données Mono'!B:B,MATCH(B1409,'Base de données Mono'!D:D,0))</f>
        <v>SES8</v>
      </c>
      <c r="D1409" s="36" t="str">
        <f>INDEX('Base de données Mono'!A:A,MATCH(B1409,'Base de données Mono'!D:D,0))</f>
        <v>JG</v>
      </c>
      <c r="E1409" s="37" t="s">
        <v>303</v>
      </c>
      <c r="F1409" s="41">
        <f t="shared" si="345"/>
        <v>17</v>
      </c>
      <c r="G1409" s="41">
        <f t="shared" si="346"/>
        <v>4</v>
      </c>
      <c r="I1409" s="131">
        <f>INDEX('Base de données Mono'!K:K,MATCH(B1409,'Base de données Mono'!D:D,0))</f>
        <v>0.20833333333333334</v>
      </c>
      <c r="J1409" s="131">
        <f>INDEX('Base de données Mono'!L:L,MATCH(B1409,'Base de données Mono'!D:D,0))</f>
        <v>0.85416666666666663</v>
      </c>
      <c r="K1409" s="131">
        <f>INDEX('Base de données Mono'!M:M,MATCH(B1409,'Base de données Mono'!D:D,0))</f>
        <v>0.3125</v>
      </c>
      <c r="L1409" s="131">
        <f>INDEX('Base de données Mono'!N:N,MATCH(B1409,'Base de données Mono'!D:D,0))</f>
        <v>0.55902777777777779</v>
      </c>
      <c r="M1409" s="33" t="s">
        <v>46</v>
      </c>
      <c r="N1409" s="33">
        <f>IF(AND(E1409="Electricité",M1409="Hiver"),INDEX('Base de données Mono'!E:E,MATCH(B1409,'Base de données Mono'!D:D,0)),IF(AND(E1409="Electricité",M1409="Mi-saison"),INDEX('Base de données Mono'!F:F,MATCH(B1409,'Base de données Mono'!D:D,0)),IF(AND(E1409="Electricité",M1409="Eté"),INDEX('Base de données Mono'!G:G,MATCH(B1409,'Base de données Mono'!D:D,0)),IF(AND(E1409="Gaz",M1409="Hiver"),INDEX('Base de données Mono'!J:J,MATCH(B1409,'Base de données Mono'!D:D,0)),IF(AND(E1409="Gaz",M1409="Mi-saison"),INDEX('Base de données Mono'!#REF!,MATCH(B1409,'Base de données Mono'!D:D,0)),IF(AND(E1409="Gaz",M1409="Eté"),INDEX('Base de données Mono'!#REF!,MATCH(B1409,'Base de données Mono'!D:D,0)),"-"))))))</f>
        <v>35</v>
      </c>
      <c r="O1409" s="123">
        <v>45405</v>
      </c>
      <c r="P1409" s="123">
        <v>45406</v>
      </c>
      <c r="Q1409" s="34">
        <v>45</v>
      </c>
      <c r="R1409" s="33">
        <f t="shared" si="347"/>
        <v>10</v>
      </c>
      <c r="S1409" s="34">
        <v>8.5</v>
      </c>
      <c r="T1409" s="34">
        <f t="shared" si="350"/>
        <v>1</v>
      </c>
      <c r="U1409" s="33">
        <f t="shared" si="348"/>
        <v>85</v>
      </c>
      <c r="V1409" s="38" t="s">
        <v>827</v>
      </c>
      <c r="W1409" s="39">
        <f t="shared" si="349"/>
        <v>0.2857142857142857</v>
      </c>
      <c r="X1409" s="40" t="s">
        <v>304</v>
      </c>
      <c r="Y1409" s="40" t="s">
        <v>284</v>
      </c>
      <c r="Z1409" s="40" t="s">
        <v>311</v>
      </c>
      <c r="AA1409" s="33" t="s">
        <v>775</v>
      </c>
      <c r="AB1409" s="95"/>
      <c r="AC1409" s="95"/>
    </row>
    <row r="1410" spans="1:29" ht="14.45" customHeight="1" x14ac:dyDescent="0.25">
      <c r="A1410" s="36" t="str">
        <f>INDEX('Base de données Mono'!C:C,MATCH(B1410,'Base de données Mono'!D:D,0))</f>
        <v>SAINT RAPHAEL</v>
      </c>
      <c r="B1410" t="s">
        <v>36</v>
      </c>
      <c r="C1410" s="36" t="str">
        <f>INDEX('Base de données Mono'!B:B,MATCH(B1410,'Base de données Mono'!D:D,0))</f>
        <v>SES8</v>
      </c>
      <c r="D1410" s="36" t="str">
        <f>INDEX('Base de données Mono'!A:A,MATCH(B1410,'Base de données Mono'!D:D,0))</f>
        <v>JG</v>
      </c>
      <c r="E1410" s="37" t="s">
        <v>303</v>
      </c>
      <c r="F1410" s="41">
        <f t="shared" si="345"/>
        <v>17</v>
      </c>
      <c r="G1410" s="41">
        <f t="shared" si="346"/>
        <v>4</v>
      </c>
      <c r="I1410" s="131">
        <f>INDEX('Base de données Mono'!K:K,MATCH(B1410,'Base de données Mono'!D:D,0))</f>
        <v>0.20833333333333334</v>
      </c>
      <c r="J1410" s="131">
        <f>INDEX('Base de données Mono'!L:L,MATCH(B1410,'Base de données Mono'!D:D,0))</f>
        <v>0.85416666666666663</v>
      </c>
      <c r="K1410" s="131">
        <f>INDEX('Base de données Mono'!M:M,MATCH(B1410,'Base de données Mono'!D:D,0))</f>
        <v>0.3125</v>
      </c>
      <c r="L1410" s="131">
        <f>INDEX('Base de données Mono'!N:N,MATCH(B1410,'Base de données Mono'!D:D,0))</f>
        <v>0.55902777777777779</v>
      </c>
      <c r="M1410" s="33" t="s">
        <v>46</v>
      </c>
      <c r="N1410" s="33">
        <f>IF(AND(E1410="Electricité",M1410="Hiver"),INDEX('Base de données Mono'!E:E,MATCH(B1410,'Base de données Mono'!D:D,0)),IF(AND(E1410="Electricité",M1410="Mi-saison"),INDEX('Base de données Mono'!F:F,MATCH(B1410,'Base de données Mono'!D:D,0)),IF(AND(E1410="Electricité",M1410="Eté"),INDEX('Base de données Mono'!G:G,MATCH(B1410,'Base de données Mono'!D:D,0)),IF(AND(E1410="Gaz",M1410="Hiver"),INDEX('Base de données Mono'!J:J,MATCH(B1410,'Base de données Mono'!D:D,0)),IF(AND(E1410="Gaz",M1410="Mi-saison"),INDEX('Base de données Mono'!#REF!,MATCH(B1410,'Base de données Mono'!D:D,0)),IF(AND(E1410="Gaz",M1410="Eté"),INDEX('Base de données Mono'!#REF!,MATCH(B1410,'Base de données Mono'!D:D,0)),"-"))))))</f>
        <v>35</v>
      </c>
      <c r="O1410" s="123">
        <v>45406</v>
      </c>
      <c r="P1410" s="123">
        <v>45410</v>
      </c>
      <c r="Q1410" s="34">
        <v>55</v>
      </c>
      <c r="R1410" s="33">
        <f t="shared" si="347"/>
        <v>20</v>
      </c>
      <c r="S1410" s="34">
        <v>2.5</v>
      </c>
      <c r="T1410" s="34">
        <f t="shared" si="350"/>
        <v>4</v>
      </c>
      <c r="U1410" s="33">
        <f t="shared" si="348"/>
        <v>200</v>
      </c>
      <c r="V1410" s="38" t="s">
        <v>827</v>
      </c>
      <c r="W1410" s="39">
        <f t="shared" si="349"/>
        <v>0.5714285714285714</v>
      </c>
      <c r="X1410" s="40" t="s">
        <v>304</v>
      </c>
      <c r="Y1410" s="40" t="s">
        <v>284</v>
      </c>
      <c r="Z1410" s="40" t="s">
        <v>307</v>
      </c>
      <c r="AA1410" s="33" t="s">
        <v>313</v>
      </c>
      <c r="AB1410" s="95"/>
      <c r="AC1410" s="95"/>
    </row>
    <row r="1411" spans="1:29" ht="14.45" customHeight="1" x14ac:dyDescent="0.25">
      <c r="A1411" s="36" t="str">
        <f>INDEX('Base de données Mono'!C:C,MATCH(B1411,'Base de données Mono'!D:D,0))</f>
        <v>CHAVILLE</v>
      </c>
      <c r="B1411" t="s">
        <v>12</v>
      </c>
      <c r="C1411" s="36" t="str">
        <f>INDEX('Base de données Mono'!B:B,MATCH(B1411,'Base de données Mono'!D:D,0))</f>
        <v>SES8</v>
      </c>
      <c r="D1411" s="36" t="str">
        <f>INDEX('Base de données Mono'!A:A,MATCH(B1411,'Base de données Mono'!D:D,0))</f>
        <v>AD</v>
      </c>
      <c r="E1411" s="37" t="s">
        <v>303</v>
      </c>
      <c r="F1411" s="41">
        <f t="shared" si="345"/>
        <v>17</v>
      </c>
      <c r="G1411" s="41">
        <f t="shared" si="346"/>
        <v>4</v>
      </c>
      <c r="I1411" s="131">
        <f>INDEX('Base de données Mono'!K:K,MATCH(B1411,'Base de données Mono'!D:D,0))</f>
        <v>0.25</v>
      </c>
      <c r="J1411" s="131">
        <f>INDEX('Base de données Mono'!L:L,MATCH(B1411,'Base de données Mono'!D:D,0))</f>
        <v>0.89583333333333337</v>
      </c>
      <c r="K1411" s="131">
        <f>INDEX('Base de données Mono'!M:M,MATCH(B1411,'Base de données Mono'!D:D,0))</f>
        <v>0.29166666666666702</v>
      </c>
      <c r="L1411" s="131">
        <f>INDEX('Base de données Mono'!N:N,MATCH(B1411,'Base de données Mono'!D:D,0))</f>
        <v>0.80208333333333337</v>
      </c>
      <c r="M1411" s="33" t="s">
        <v>46</v>
      </c>
      <c r="N1411" s="33">
        <f>IF(AND(E1411="Electricité",M1411="Hiver"),INDEX('Base de données Mono'!E:E,MATCH(B1411,'Base de données Mono'!D:D,0)),IF(AND(E1411="Electricité",M1411="Mi-saison"),INDEX('Base de données Mono'!F:F,MATCH(B1411,'Base de données Mono'!D:D,0)),IF(AND(E1411="Electricité",M1411="Eté"),INDEX('Base de données Mono'!G:G,MATCH(B1411,'Base de données Mono'!D:D,0)),IF(AND(E1411="Gaz",M1411="Hiver"),INDEX('Base de données Mono'!J:J,MATCH(B1411,'Base de données Mono'!D:D,0)),IF(AND(E1411="Gaz",M1411="Mi-saison"),INDEX('Base de données Mono'!#REF!,MATCH(B1411,'Base de données Mono'!D:D,0)),IF(AND(E1411="Gaz",M1411="Eté"),INDEX('Base de données Mono'!#REF!,MATCH(B1411,'Base de données Mono'!D:D,0)),"-"))))))</f>
        <v>80</v>
      </c>
      <c r="O1411" s="123">
        <v>45403</v>
      </c>
      <c r="P1411" s="123">
        <v>45404</v>
      </c>
      <c r="Q1411" s="34">
        <v>110</v>
      </c>
      <c r="R1411" s="33">
        <f t="shared" si="347"/>
        <v>30</v>
      </c>
      <c r="S1411" s="34">
        <v>8</v>
      </c>
      <c r="T1411" s="34">
        <f t="shared" si="350"/>
        <v>1</v>
      </c>
      <c r="U1411" s="33">
        <f t="shared" si="348"/>
        <v>240</v>
      </c>
      <c r="V1411" s="38" t="s">
        <v>827</v>
      </c>
      <c r="W1411" s="39">
        <f t="shared" si="349"/>
        <v>0.375</v>
      </c>
      <c r="X1411" s="40" t="s">
        <v>304</v>
      </c>
      <c r="Y1411" s="40" t="s">
        <v>284</v>
      </c>
      <c r="Z1411" s="40" t="s">
        <v>311</v>
      </c>
      <c r="AA1411" s="33" t="s">
        <v>775</v>
      </c>
      <c r="AB1411" s="95"/>
      <c r="AC1411" s="95"/>
    </row>
    <row r="1412" spans="1:29" ht="14.45" customHeight="1" x14ac:dyDescent="0.25">
      <c r="A1412" s="36" t="str">
        <f>INDEX('Base de données Mono'!C:C,MATCH(B1412,'Base de données Mono'!D:D,0))</f>
        <v>CHAVILLE</v>
      </c>
      <c r="B1412" t="s">
        <v>12</v>
      </c>
      <c r="C1412" s="36" t="str">
        <f>INDEX('Base de données Mono'!B:B,MATCH(B1412,'Base de données Mono'!D:D,0))</f>
        <v>SES8</v>
      </c>
      <c r="D1412" s="36" t="str">
        <f>INDEX('Base de données Mono'!A:A,MATCH(B1412,'Base de données Mono'!D:D,0))</f>
        <v>AD</v>
      </c>
      <c r="E1412" s="37" t="s">
        <v>303</v>
      </c>
      <c r="F1412" s="41">
        <f t="shared" si="345"/>
        <v>17</v>
      </c>
      <c r="G1412" s="41">
        <f t="shared" si="346"/>
        <v>4</v>
      </c>
      <c r="I1412" s="131">
        <f>INDEX('Base de données Mono'!K:K,MATCH(B1412,'Base de données Mono'!D:D,0))</f>
        <v>0.25</v>
      </c>
      <c r="J1412" s="131">
        <f>INDEX('Base de données Mono'!L:L,MATCH(B1412,'Base de données Mono'!D:D,0))</f>
        <v>0.89583333333333337</v>
      </c>
      <c r="K1412" s="131">
        <f>INDEX('Base de données Mono'!M:M,MATCH(B1412,'Base de données Mono'!D:D,0))</f>
        <v>0.29166666666666702</v>
      </c>
      <c r="L1412" s="131">
        <f>INDEX('Base de données Mono'!N:N,MATCH(B1412,'Base de données Mono'!D:D,0))</f>
        <v>0.80208333333333337</v>
      </c>
      <c r="M1412" s="33" t="s">
        <v>46</v>
      </c>
      <c r="N1412" s="33">
        <f>IF(AND(E1412="Electricité",M1412="Hiver"),INDEX('Base de données Mono'!E:E,MATCH(B1412,'Base de données Mono'!D:D,0)),IF(AND(E1412="Electricité",M1412="Mi-saison"),INDEX('Base de données Mono'!F:F,MATCH(B1412,'Base de données Mono'!D:D,0)),IF(AND(E1412="Electricité",M1412="Eté"),INDEX('Base de données Mono'!G:G,MATCH(B1412,'Base de données Mono'!D:D,0)),IF(AND(E1412="Gaz",M1412="Hiver"),INDEX('Base de données Mono'!J:J,MATCH(B1412,'Base de données Mono'!D:D,0)),IF(AND(E1412="Gaz",M1412="Mi-saison"),INDEX('Base de données Mono'!#REF!,MATCH(B1412,'Base de données Mono'!D:D,0)),IF(AND(E1412="Gaz",M1412="Eté"),INDEX('Base de données Mono'!#REF!,MATCH(B1412,'Base de données Mono'!D:D,0)),"-"))))))</f>
        <v>80</v>
      </c>
      <c r="O1412" s="123">
        <v>45403</v>
      </c>
      <c r="P1412" s="123">
        <v>45404</v>
      </c>
      <c r="Q1412" s="34">
        <v>130</v>
      </c>
      <c r="R1412" s="33">
        <f t="shared" si="347"/>
        <v>50</v>
      </c>
      <c r="S1412" s="34">
        <v>0.5</v>
      </c>
      <c r="T1412" s="34">
        <f t="shared" si="350"/>
        <v>1</v>
      </c>
      <c r="U1412" s="33">
        <f t="shared" si="348"/>
        <v>25</v>
      </c>
      <c r="V1412" s="38" t="s">
        <v>827</v>
      </c>
      <c r="W1412" s="39">
        <f t="shared" si="349"/>
        <v>0.625</v>
      </c>
      <c r="X1412" s="40" t="s">
        <v>304</v>
      </c>
      <c r="Y1412" s="40" t="s">
        <v>284</v>
      </c>
      <c r="Z1412" s="40" t="s">
        <v>307</v>
      </c>
      <c r="AA1412" s="33" t="s">
        <v>414</v>
      </c>
      <c r="AB1412" s="95"/>
      <c r="AC1412" s="95"/>
    </row>
    <row r="1413" spans="1:29" ht="14.45" customHeight="1" x14ac:dyDescent="0.25">
      <c r="A1413" s="36" t="str">
        <f>INDEX('Base de données Mono'!C:C,MATCH(B1413,'Base de données Mono'!D:D,0))</f>
        <v>CHAVILLE</v>
      </c>
      <c r="B1413" t="s">
        <v>12</v>
      </c>
      <c r="C1413" s="36" t="str">
        <f>INDEX('Base de données Mono'!B:B,MATCH(B1413,'Base de données Mono'!D:D,0))</f>
        <v>SES8</v>
      </c>
      <c r="D1413" s="36" t="str">
        <f>INDEX('Base de données Mono'!A:A,MATCH(B1413,'Base de données Mono'!D:D,0))</f>
        <v>AD</v>
      </c>
      <c r="E1413" s="37" t="s">
        <v>303</v>
      </c>
      <c r="F1413" s="41">
        <f t="shared" si="345"/>
        <v>17</v>
      </c>
      <c r="G1413" s="41">
        <f t="shared" si="346"/>
        <v>4</v>
      </c>
      <c r="I1413" s="131">
        <f>INDEX('Base de données Mono'!K:K,MATCH(B1413,'Base de données Mono'!D:D,0))</f>
        <v>0.25</v>
      </c>
      <c r="J1413" s="131">
        <f>INDEX('Base de données Mono'!L:L,MATCH(B1413,'Base de données Mono'!D:D,0))</f>
        <v>0.89583333333333337</v>
      </c>
      <c r="K1413" s="131">
        <f>INDEX('Base de données Mono'!M:M,MATCH(B1413,'Base de données Mono'!D:D,0))</f>
        <v>0.29166666666666702</v>
      </c>
      <c r="L1413" s="131">
        <f>INDEX('Base de données Mono'!N:N,MATCH(B1413,'Base de données Mono'!D:D,0))</f>
        <v>0.80208333333333337</v>
      </c>
      <c r="M1413" s="33" t="s">
        <v>46</v>
      </c>
      <c r="N1413" s="33">
        <f>IF(AND(E1413="Electricité",M1413="Hiver"),INDEX('Base de données Mono'!E:E,MATCH(B1413,'Base de données Mono'!D:D,0)),IF(AND(E1413="Electricité",M1413="Mi-saison"),INDEX('Base de données Mono'!F:F,MATCH(B1413,'Base de données Mono'!D:D,0)),IF(AND(E1413="Electricité",M1413="Eté"),INDEX('Base de données Mono'!G:G,MATCH(B1413,'Base de données Mono'!D:D,0)),IF(AND(E1413="Gaz",M1413="Hiver"),INDEX('Base de données Mono'!J:J,MATCH(B1413,'Base de données Mono'!D:D,0)),IF(AND(E1413="Gaz",M1413="Mi-saison"),INDEX('Base de données Mono'!#REF!,MATCH(B1413,'Base de données Mono'!D:D,0)),IF(AND(E1413="Gaz",M1413="Eté"),INDEX('Base de données Mono'!#REF!,MATCH(B1413,'Base de données Mono'!D:D,0)),"-"))))))</f>
        <v>80</v>
      </c>
      <c r="O1413" s="123">
        <v>45404</v>
      </c>
      <c r="P1413" s="123">
        <v>45409</v>
      </c>
      <c r="Q1413" s="34">
        <v>110</v>
      </c>
      <c r="R1413" s="33">
        <f t="shared" si="347"/>
        <v>30</v>
      </c>
      <c r="S1413" s="34">
        <v>0.5</v>
      </c>
      <c r="T1413" s="34">
        <f t="shared" si="350"/>
        <v>5</v>
      </c>
      <c r="U1413" s="33">
        <f t="shared" si="348"/>
        <v>75</v>
      </c>
      <c r="V1413" s="38" t="s">
        <v>827</v>
      </c>
      <c r="W1413" s="39">
        <f t="shared" si="349"/>
        <v>0.375</v>
      </c>
      <c r="X1413" s="40" t="s">
        <v>304</v>
      </c>
      <c r="Y1413" s="40" t="s">
        <v>284</v>
      </c>
      <c r="Z1413" s="40" t="s">
        <v>307</v>
      </c>
      <c r="AA1413" s="33" t="s">
        <v>414</v>
      </c>
      <c r="AB1413" s="95"/>
      <c r="AC1413" s="95"/>
    </row>
    <row r="1414" spans="1:29" ht="14.45" customHeight="1" x14ac:dyDescent="0.25">
      <c r="A1414" s="36" t="str">
        <f>INDEX('Base de données Mono'!C:C,MATCH(B1414,'Base de données Mono'!D:D,0))</f>
        <v>CHAVILLE</v>
      </c>
      <c r="B1414" t="s">
        <v>12</v>
      </c>
      <c r="C1414" s="36" t="str">
        <f>INDEX('Base de données Mono'!B:B,MATCH(B1414,'Base de données Mono'!D:D,0))</f>
        <v>SES8</v>
      </c>
      <c r="D1414" s="36" t="str">
        <f>INDEX('Base de données Mono'!A:A,MATCH(B1414,'Base de données Mono'!D:D,0))</f>
        <v>AD</v>
      </c>
      <c r="E1414" s="37" t="s">
        <v>303</v>
      </c>
      <c r="F1414" s="41">
        <f t="shared" si="345"/>
        <v>17</v>
      </c>
      <c r="G1414" s="41">
        <f t="shared" si="346"/>
        <v>4</v>
      </c>
      <c r="I1414" s="131">
        <f>INDEX('Base de données Mono'!K:K,MATCH(B1414,'Base de données Mono'!D:D,0))</f>
        <v>0.25</v>
      </c>
      <c r="J1414" s="131">
        <f>INDEX('Base de données Mono'!L:L,MATCH(B1414,'Base de données Mono'!D:D,0))</f>
        <v>0.89583333333333337</v>
      </c>
      <c r="K1414" s="131">
        <f>INDEX('Base de données Mono'!M:M,MATCH(B1414,'Base de données Mono'!D:D,0))</f>
        <v>0.29166666666666702</v>
      </c>
      <c r="L1414" s="131">
        <f>INDEX('Base de données Mono'!N:N,MATCH(B1414,'Base de données Mono'!D:D,0))</f>
        <v>0.80208333333333337</v>
      </c>
      <c r="M1414" s="33" t="s">
        <v>46</v>
      </c>
      <c r="N1414" s="33">
        <f>IF(AND(E1414="Electricité",M1414="Hiver"),INDEX('Base de données Mono'!E:E,MATCH(B1414,'Base de données Mono'!D:D,0)),IF(AND(E1414="Electricité",M1414="Mi-saison"),INDEX('Base de données Mono'!F:F,MATCH(B1414,'Base de données Mono'!D:D,0)),IF(AND(E1414="Electricité",M1414="Eté"),INDEX('Base de données Mono'!G:G,MATCH(B1414,'Base de données Mono'!D:D,0)),IF(AND(E1414="Gaz",M1414="Hiver"),INDEX('Base de données Mono'!J:J,MATCH(B1414,'Base de données Mono'!D:D,0)),IF(AND(E1414="Gaz",M1414="Mi-saison"),INDEX('Base de données Mono'!#REF!,MATCH(B1414,'Base de données Mono'!D:D,0)),IF(AND(E1414="Gaz",M1414="Eté"),INDEX('Base de données Mono'!#REF!,MATCH(B1414,'Base de données Mono'!D:D,0)),"-"))))))</f>
        <v>80</v>
      </c>
      <c r="O1414" s="123">
        <v>45408</v>
      </c>
      <c r="P1414" s="123">
        <v>45410</v>
      </c>
      <c r="Q1414" s="34">
        <v>120</v>
      </c>
      <c r="R1414" s="33">
        <f t="shared" si="347"/>
        <v>40</v>
      </c>
      <c r="S1414" s="34">
        <v>2</v>
      </c>
      <c r="T1414" s="34">
        <f t="shared" si="350"/>
        <v>2</v>
      </c>
      <c r="U1414" s="33">
        <f t="shared" si="348"/>
        <v>160</v>
      </c>
      <c r="V1414" s="38" t="s">
        <v>827</v>
      </c>
      <c r="W1414" s="39">
        <f t="shared" si="349"/>
        <v>0.5</v>
      </c>
      <c r="X1414" s="40" t="s">
        <v>304</v>
      </c>
      <c r="Y1414" s="40" t="s">
        <v>284</v>
      </c>
      <c r="Z1414" s="40" t="s">
        <v>311</v>
      </c>
      <c r="AA1414" s="33" t="s">
        <v>775</v>
      </c>
      <c r="AB1414" s="95"/>
      <c r="AC1414" s="95"/>
    </row>
    <row r="1415" spans="1:29" ht="14.45" customHeight="1" x14ac:dyDescent="0.25">
      <c r="A1415" s="36" t="str">
        <f>INDEX('Base de données Mono'!C:C,MATCH(B1415,'Base de données Mono'!D:D,0))</f>
        <v>VANNES</v>
      </c>
      <c r="B1415" t="s">
        <v>260</v>
      </c>
      <c r="C1415" s="36" t="str">
        <f>INDEX('Base de données Mono'!B:B,MATCH(B1415,'Base de données Mono'!D:D,0))</f>
        <v>SES8</v>
      </c>
      <c r="D1415" s="36" t="str">
        <f>INDEX('Base de données Mono'!A:A,MATCH(B1415,'Base de données Mono'!D:D,0))</f>
        <v>AD</v>
      </c>
      <c r="E1415" s="37" t="s">
        <v>303</v>
      </c>
      <c r="F1415" s="41">
        <f t="shared" ref="F1415:F1431" si="351">IF(O1415="","-",IF(AND(X1415="Nuit",WEEKDAY(O1415,2)=7,O1415&lt;&gt;P1415),WEEKNUM(O1415,2),WEEKNUM(O1415,2)-1))+1</f>
        <v>17</v>
      </c>
      <c r="G1415" s="41">
        <f t="shared" ref="G1415:G1431" si="352">IF(O1415="","-",MONTH(O1415))</f>
        <v>4</v>
      </c>
      <c r="I1415" s="131">
        <f>INDEX('Base de données Mono'!K:K,MATCH(B1415,'Base de données Mono'!D:D,0))</f>
        <v>0.24305555555555555</v>
      </c>
      <c r="J1415" s="131">
        <f>INDEX('Base de données Mono'!L:L,MATCH(B1415,'Base de données Mono'!D:D,0))</f>
        <v>0.83333333333333337</v>
      </c>
      <c r="K1415" s="131">
        <f>INDEX('Base de données Mono'!M:M,MATCH(B1415,'Base de données Mono'!D:D,0))</f>
        <v>0.34722222222222227</v>
      </c>
      <c r="L1415" s="131">
        <f>INDEX('Base de données Mono'!N:N,MATCH(B1415,'Base de données Mono'!D:D,0))</f>
        <v>0.57986111111111105</v>
      </c>
      <c r="M1415" s="33" t="s">
        <v>46</v>
      </c>
      <c r="N1415" s="33">
        <f>IF(AND(E1415="Electricité",M1415="Hiver"),INDEX('Base de données Mono'!E:E,MATCH(B1415,'Base de données Mono'!D:D,0)),IF(AND(E1415="Electricité",M1415="Mi-saison"),INDEX('Base de données Mono'!F:F,MATCH(B1415,'Base de données Mono'!D:D,0)),IF(AND(E1415="Electricité",M1415="Eté"),INDEX('Base de données Mono'!G:G,MATCH(B1415,'Base de données Mono'!D:D,0)),IF(AND(E1415="Gaz",M1415="Hiver"),INDEX('Base de données Mono'!J:J,MATCH(B1415,'Base de données Mono'!D:D,0)),IF(AND(E1415="Gaz",M1415="Mi-saison"),INDEX('Base de données Mono'!#REF!,MATCH(B1415,'Base de données Mono'!D:D,0)),IF(AND(E1415="Gaz",M1415="Eté"),INDEX('Base de données Mono'!#REF!,MATCH(B1415,'Base de données Mono'!D:D,0)),"-"))))))</f>
        <v>45</v>
      </c>
      <c r="O1415" s="123">
        <v>45403</v>
      </c>
      <c r="P1415" s="123">
        <v>45405</v>
      </c>
      <c r="Q1415" s="34">
        <v>75</v>
      </c>
      <c r="R1415" s="33">
        <f t="shared" ref="R1415:R1431" si="353">IF(Q1415="","",Q1415-N1415)</f>
        <v>30</v>
      </c>
      <c r="S1415" s="34">
        <v>1</v>
      </c>
      <c r="T1415" s="34">
        <f t="shared" si="350"/>
        <v>2</v>
      </c>
      <c r="U1415" s="33">
        <f t="shared" ref="U1415:U1431" si="354">R1415*S1415*T1415</f>
        <v>60</v>
      </c>
      <c r="V1415" s="38" t="s">
        <v>827</v>
      </c>
      <c r="W1415" s="39">
        <f t="shared" ref="W1415:W1431" si="355">IFERROR(IF(E1415="Gaz","-",R1415/N1415),"-")</f>
        <v>0.66666666666666663</v>
      </c>
      <c r="X1415" s="40" t="s">
        <v>304</v>
      </c>
      <c r="Y1415" s="40" t="s">
        <v>284</v>
      </c>
      <c r="Z1415" s="40" t="s">
        <v>307</v>
      </c>
      <c r="AA1415" s="33" t="s">
        <v>414</v>
      </c>
      <c r="AB1415" s="95"/>
      <c r="AC1415" s="95"/>
    </row>
    <row r="1416" spans="1:29" ht="14.45" customHeight="1" x14ac:dyDescent="0.25">
      <c r="A1416" s="36" t="str">
        <f>INDEX('Base de données Mono'!C:C,MATCH(B1416,'Base de données Mono'!D:D,0))</f>
        <v>VANNES</v>
      </c>
      <c r="B1416" t="s">
        <v>260</v>
      </c>
      <c r="C1416" s="36" t="str">
        <f>INDEX('Base de données Mono'!B:B,MATCH(B1416,'Base de données Mono'!D:D,0))</f>
        <v>SES8</v>
      </c>
      <c r="D1416" s="36" t="str">
        <f>INDEX('Base de données Mono'!A:A,MATCH(B1416,'Base de données Mono'!D:D,0))</f>
        <v>AD</v>
      </c>
      <c r="E1416" s="37" t="s">
        <v>303</v>
      </c>
      <c r="F1416" s="41">
        <f t="shared" ref="F1416" si="356">IF(O1416="","-",IF(AND(X1416="Nuit",WEEKDAY(O1416,2)=7,O1416&lt;&gt;P1416),WEEKNUM(O1416,2),WEEKNUM(O1416,2)-1))+1</f>
        <v>17</v>
      </c>
      <c r="G1416" s="41">
        <f t="shared" ref="G1416" si="357">IF(O1416="","-",MONTH(O1416))</f>
        <v>4</v>
      </c>
      <c r="I1416" s="131">
        <f>INDEX('Base de données Mono'!K:K,MATCH(B1416,'Base de données Mono'!D:D,0))</f>
        <v>0.24305555555555555</v>
      </c>
      <c r="J1416" s="131">
        <f>INDEX('Base de données Mono'!L:L,MATCH(B1416,'Base de données Mono'!D:D,0))</f>
        <v>0.83333333333333337</v>
      </c>
      <c r="K1416" s="131">
        <f>INDEX('Base de données Mono'!M:M,MATCH(B1416,'Base de données Mono'!D:D,0))</f>
        <v>0.34722222222222227</v>
      </c>
      <c r="L1416" s="131">
        <f>INDEX('Base de données Mono'!N:N,MATCH(B1416,'Base de données Mono'!D:D,0))</f>
        <v>0.57986111111111105</v>
      </c>
      <c r="M1416" s="33" t="s">
        <v>46</v>
      </c>
      <c r="N1416" s="33">
        <f>IF(AND(E1416="Electricité",M1416="Hiver"),INDEX('Base de données Mono'!E:E,MATCH(B1416,'Base de données Mono'!D:D,0)),IF(AND(E1416="Electricité",M1416="Mi-saison"),INDEX('Base de données Mono'!F:F,MATCH(B1416,'Base de données Mono'!D:D,0)),IF(AND(E1416="Electricité",M1416="Eté"),INDEX('Base de données Mono'!G:G,MATCH(B1416,'Base de données Mono'!D:D,0)),IF(AND(E1416="Gaz",M1416="Hiver"),INDEX('Base de données Mono'!J:J,MATCH(B1416,'Base de données Mono'!D:D,0)),IF(AND(E1416="Gaz",M1416="Mi-saison"),INDEX('Base de données Mono'!#REF!,MATCH(B1416,'Base de données Mono'!D:D,0)),IF(AND(E1416="Gaz",M1416="Eté"),INDEX('Base de données Mono'!#REF!,MATCH(B1416,'Base de données Mono'!D:D,0)),"-"))))))</f>
        <v>45</v>
      </c>
      <c r="O1416" s="123">
        <v>45405</v>
      </c>
      <c r="P1416" s="123">
        <v>45409</v>
      </c>
      <c r="Q1416" s="34">
        <v>75</v>
      </c>
      <c r="R1416" s="33">
        <f t="shared" ref="R1416" si="358">IF(Q1416="","",Q1416-N1416)</f>
        <v>30</v>
      </c>
      <c r="S1416" s="34">
        <v>0.3</v>
      </c>
      <c r="T1416" s="34">
        <f t="shared" ref="T1416" si="359">P1416-O1416</f>
        <v>4</v>
      </c>
      <c r="U1416" s="33">
        <f t="shared" ref="U1416" si="360">R1416*S1416*T1416</f>
        <v>36</v>
      </c>
      <c r="V1416" s="38" t="s">
        <v>827</v>
      </c>
      <c r="W1416" s="39">
        <f t="shared" ref="W1416" si="361">IFERROR(IF(E1416="Gaz","-",R1416/N1416),"-")</f>
        <v>0.66666666666666663</v>
      </c>
      <c r="X1416" s="40" t="s">
        <v>304</v>
      </c>
      <c r="Y1416" s="40" t="s">
        <v>284</v>
      </c>
      <c r="Z1416" s="40" t="s">
        <v>307</v>
      </c>
      <c r="AA1416" s="33" t="s">
        <v>414</v>
      </c>
      <c r="AB1416" s="95"/>
      <c r="AC1416" s="95"/>
    </row>
    <row r="1417" spans="1:29" ht="14.45" customHeight="1" x14ac:dyDescent="0.25">
      <c r="A1417" s="36" t="str">
        <f>INDEX('Base de données Mono'!C:C,MATCH(B1417,'Base de données Mono'!D:D,0))</f>
        <v>VANNES</v>
      </c>
      <c r="B1417" t="s">
        <v>260</v>
      </c>
      <c r="C1417" s="36" t="str">
        <f>INDEX('Base de données Mono'!B:B,MATCH(B1417,'Base de données Mono'!D:D,0))</f>
        <v>SES8</v>
      </c>
      <c r="D1417" s="36" t="str">
        <f>INDEX('Base de données Mono'!A:A,MATCH(B1417,'Base de données Mono'!D:D,0))</f>
        <v>AD</v>
      </c>
      <c r="E1417" s="37" t="s">
        <v>303</v>
      </c>
      <c r="F1417" s="41">
        <f t="shared" si="351"/>
        <v>17</v>
      </c>
      <c r="G1417" s="41">
        <f t="shared" si="352"/>
        <v>4</v>
      </c>
      <c r="I1417" s="131">
        <f>INDEX('Base de données Mono'!K:K,MATCH(B1417,'Base de données Mono'!D:D,0))</f>
        <v>0.24305555555555555</v>
      </c>
      <c r="J1417" s="131">
        <f>INDEX('Base de données Mono'!L:L,MATCH(B1417,'Base de données Mono'!D:D,0))</f>
        <v>0.83333333333333337</v>
      </c>
      <c r="K1417" s="131">
        <f>INDEX('Base de données Mono'!M:M,MATCH(B1417,'Base de données Mono'!D:D,0))</f>
        <v>0.34722222222222227</v>
      </c>
      <c r="L1417" s="131">
        <f>INDEX('Base de données Mono'!N:N,MATCH(B1417,'Base de données Mono'!D:D,0))</f>
        <v>0.57986111111111105</v>
      </c>
      <c r="M1417" s="33" t="s">
        <v>46</v>
      </c>
      <c r="N1417" s="33">
        <f>IF(AND(E1417="Electricité",M1417="Hiver"),INDEX('Base de données Mono'!E:E,MATCH(B1417,'Base de données Mono'!D:D,0)),IF(AND(E1417="Electricité",M1417="Mi-saison"),INDEX('Base de données Mono'!F:F,MATCH(B1417,'Base de données Mono'!D:D,0)),IF(AND(E1417="Electricité",M1417="Eté"),INDEX('Base de données Mono'!G:G,MATCH(B1417,'Base de données Mono'!D:D,0)),IF(AND(E1417="Gaz",M1417="Hiver"),INDEX('Base de données Mono'!J:J,MATCH(B1417,'Base de données Mono'!D:D,0)),IF(AND(E1417="Gaz",M1417="Mi-saison"),INDEX('Base de données Mono'!#REF!,MATCH(B1417,'Base de données Mono'!D:D,0)),IF(AND(E1417="Gaz",M1417="Eté"),INDEX('Base de données Mono'!#REF!,MATCH(B1417,'Base de données Mono'!D:D,0)),"-"))))))</f>
        <v>45</v>
      </c>
      <c r="O1417" s="123">
        <v>45405</v>
      </c>
      <c r="P1417" s="123">
        <v>45409</v>
      </c>
      <c r="Q1417" s="34">
        <v>50</v>
      </c>
      <c r="R1417" s="33">
        <f t="shared" si="353"/>
        <v>5</v>
      </c>
      <c r="S1417" s="34">
        <v>2</v>
      </c>
      <c r="T1417" s="34">
        <f t="shared" si="350"/>
        <v>4</v>
      </c>
      <c r="U1417" s="33">
        <f t="shared" si="354"/>
        <v>40</v>
      </c>
      <c r="V1417" s="38" t="s">
        <v>827</v>
      </c>
      <c r="W1417" s="39">
        <f t="shared" si="355"/>
        <v>0.1111111111111111</v>
      </c>
      <c r="X1417" s="40" t="s">
        <v>304</v>
      </c>
      <c r="Y1417" s="40" t="s">
        <v>284</v>
      </c>
      <c r="Z1417" s="40" t="s">
        <v>305</v>
      </c>
      <c r="AA1417" s="33" t="s">
        <v>771</v>
      </c>
      <c r="AB1417" s="95"/>
      <c r="AC1417" s="95"/>
    </row>
    <row r="1418" spans="1:29" ht="14.45" customHeight="1" x14ac:dyDescent="0.25">
      <c r="A1418" s="36" t="str">
        <f>INDEX('Base de données Mono'!C:C,MATCH(B1418,'Base de données Mono'!D:D,0))</f>
        <v>ASNIERES MARCHE</v>
      </c>
      <c r="B1418" t="s">
        <v>5</v>
      </c>
      <c r="C1418" s="36" t="str">
        <f>INDEX('Base de données Mono'!B:B,MATCH(B1418,'Base de données Mono'!D:D,0))</f>
        <v>SES8</v>
      </c>
      <c r="D1418" s="36" t="str">
        <f>INDEX('Base de données Mono'!A:A,MATCH(B1418,'Base de données Mono'!D:D,0))</f>
        <v>AD</v>
      </c>
      <c r="E1418" s="37" t="s">
        <v>303</v>
      </c>
      <c r="F1418" s="41">
        <f t="shared" si="351"/>
        <v>17</v>
      </c>
      <c r="G1418" s="41">
        <f t="shared" si="352"/>
        <v>4</v>
      </c>
      <c r="I1418" s="131">
        <f>INDEX('Base de données Mono'!K:K,MATCH(B1418,'Base de données Mono'!D:D,0))</f>
        <v>0.20833333333333334</v>
      </c>
      <c r="J1418" s="131">
        <f>INDEX('Base de données Mono'!L:L,MATCH(B1418,'Base de données Mono'!D:D,0))</f>
        <v>0.83333333333333337</v>
      </c>
      <c r="K1418" s="131">
        <f>INDEX('Base de données Mono'!M:M,MATCH(B1418,'Base de données Mono'!D:D,0))</f>
        <v>0.25</v>
      </c>
      <c r="L1418" s="131">
        <f>INDEX('Base de données Mono'!N:N,MATCH(B1418,'Base de données Mono'!D:D,0))</f>
        <v>0.79166666666666663</v>
      </c>
      <c r="M1418" s="33" t="s">
        <v>46</v>
      </c>
      <c r="N1418" s="33">
        <f>IF(AND(E1418="Electricité",M1418="Hiver"),INDEX('Base de données Mono'!E:E,MATCH(B1418,'Base de données Mono'!D:D,0)),IF(AND(E1418="Electricité",M1418="Mi-saison"),INDEX('Base de données Mono'!F:F,MATCH(B1418,'Base de données Mono'!D:D,0)),IF(AND(E1418="Electricité",M1418="Eté"),INDEX('Base de données Mono'!G:G,MATCH(B1418,'Base de données Mono'!D:D,0)),IF(AND(E1418="Gaz",M1418="Hiver"),INDEX('Base de données Mono'!J:J,MATCH(B1418,'Base de données Mono'!D:D,0)),IF(AND(E1418="Gaz",M1418="Mi-saison"),INDEX('Base de données Mono'!#REF!,MATCH(B1418,'Base de données Mono'!D:D,0)),IF(AND(E1418="Gaz",M1418="Eté"),INDEX('Base de données Mono'!#REF!,MATCH(B1418,'Base de données Mono'!D:D,0)),"-"))))))</f>
        <v>45</v>
      </c>
      <c r="O1418" s="123">
        <v>45404</v>
      </c>
      <c r="P1418" s="123">
        <v>45410</v>
      </c>
      <c r="Q1418" s="34">
        <v>80</v>
      </c>
      <c r="R1418" s="33">
        <f t="shared" si="353"/>
        <v>35</v>
      </c>
      <c r="S1418" s="34">
        <v>0.8</v>
      </c>
      <c r="T1418" s="34">
        <f t="shared" si="350"/>
        <v>6</v>
      </c>
      <c r="U1418" s="33">
        <f t="shared" si="354"/>
        <v>168</v>
      </c>
      <c r="V1418" s="38" t="s">
        <v>827</v>
      </c>
      <c r="W1418" s="39">
        <f t="shared" si="355"/>
        <v>0.77777777777777779</v>
      </c>
      <c r="X1418" s="40" t="s">
        <v>304</v>
      </c>
      <c r="Y1418" s="40" t="s">
        <v>284</v>
      </c>
      <c r="Z1418" s="40" t="s">
        <v>307</v>
      </c>
      <c r="AA1418" s="33" t="s">
        <v>313</v>
      </c>
      <c r="AB1418" s="95"/>
      <c r="AC1418" s="95"/>
    </row>
    <row r="1419" spans="1:29" ht="14.45" customHeight="1" x14ac:dyDescent="0.25">
      <c r="A1419" s="36" t="str">
        <f>INDEX('Base de données Mono'!C:C,MATCH(B1419,'Base de données Mono'!D:D,0))</f>
        <v>VINCI COURBEVOIE</v>
      </c>
      <c r="B1419" t="s">
        <v>279</v>
      </c>
      <c r="C1419" s="36" t="str">
        <f>INDEX('Base de données Mono'!B:B,MATCH(B1419,'Base de données Mono'!D:D,0))</f>
        <v>SES8</v>
      </c>
      <c r="D1419" s="36" t="str">
        <f>INDEX('Base de données Mono'!A:A,MATCH(B1419,'Base de données Mono'!D:D,0))</f>
        <v>AD</v>
      </c>
      <c r="E1419" s="37" t="s">
        <v>303</v>
      </c>
      <c r="F1419" s="41">
        <f t="shared" si="351"/>
        <v>17</v>
      </c>
      <c r="G1419" s="41">
        <f t="shared" si="352"/>
        <v>4</v>
      </c>
      <c r="I1419" s="131">
        <f>INDEX('Base de données Mono'!K:K,MATCH(B1419,'Base de données Mono'!D:D,0))</f>
        <v>0.25</v>
      </c>
      <c r="J1419" s="131">
        <f>INDEX('Base de données Mono'!L:L,MATCH(B1419,'Base de données Mono'!D:D,0))</f>
        <v>0.91666666666666663</v>
      </c>
      <c r="K1419" s="131">
        <f>INDEX('Base de données Mono'!M:M,MATCH(B1419,'Base de données Mono'!D:D,0))</f>
        <v>0.27777777777777779</v>
      </c>
      <c r="L1419" s="131">
        <f>INDEX('Base de données Mono'!N:N,MATCH(B1419,'Base de données Mono'!D:D,0))</f>
        <v>0.5625</v>
      </c>
      <c r="M1419" s="33" t="s">
        <v>46</v>
      </c>
      <c r="N1419" s="33">
        <f>IF(AND(E1419="Electricité",M1419="Hiver"),INDEX('Base de données Mono'!E:E,MATCH(B1419,'Base de données Mono'!D:D,0)),IF(AND(E1419="Electricité",M1419="Mi-saison"),INDEX('Base de données Mono'!F:F,MATCH(B1419,'Base de données Mono'!D:D,0)),IF(AND(E1419="Electricité",M1419="Eté"),INDEX('Base de données Mono'!G:G,MATCH(B1419,'Base de données Mono'!D:D,0)),IF(AND(E1419="Gaz",M1419="Hiver"),INDEX('Base de données Mono'!J:J,MATCH(B1419,'Base de données Mono'!D:D,0)),IF(AND(E1419="Gaz",M1419="Mi-saison"),INDEX('Base de données Mono'!#REF!,MATCH(B1419,'Base de données Mono'!D:D,0)),IF(AND(E1419="Gaz",M1419="Eté"),INDEX('Base de données Mono'!#REF!,MATCH(B1419,'Base de données Mono'!D:D,0)),"-"))))))</f>
        <v>75</v>
      </c>
      <c r="O1419" s="123">
        <v>45403</v>
      </c>
      <c r="P1419" s="123">
        <v>45410</v>
      </c>
      <c r="Q1419" s="34">
        <v>85</v>
      </c>
      <c r="R1419" s="33">
        <f t="shared" si="353"/>
        <v>10</v>
      </c>
      <c r="S1419" s="34">
        <v>2.5</v>
      </c>
      <c r="T1419" s="34">
        <f t="shared" si="350"/>
        <v>7</v>
      </c>
      <c r="U1419" s="33">
        <f t="shared" si="354"/>
        <v>175</v>
      </c>
      <c r="V1419" s="38" t="s">
        <v>827</v>
      </c>
      <c r="W1419" s="39">
        <f t="shared" si="355"/>
        <v>0.13333333333333333</v>
      </c>
      <c r="X1419" s="40" t="s">
        <v>304</v>
      </c>
      <c r="Y1419" s="40" t="s">
        <v>284</v>
      </c>
      <c r="Z1419" s="40" t="s">
        <v>305</v>
      </c>
      <c r="AA1419" s="33" t="s">
        <v>771</v>
      </c>
      <c r="AB1419" s="95"/>
      <c r="AC1419" s="95"/>
    </row>
    <row r="1420" spans="1:29" ht="14.45" customHeight="1" x14ac:dyDescent="0.25">
      <c r="A1420" s="36" t="str">
        <f>INDEX('Base de données Mono'!C:C,MATCH(B1420,'Base de données Mono'!D:D,0))</f>
        <v>RENNES COLOMBIA</v>
      </c>
      <c r="B1420" t="s">
        <v>30</v>
      </c>
      <c r="C1420" s="36" t="str">
        <f>INDEX('Base de données Mono'!B:B,MATCH(B1420,'Base de données Mono'!D:D,0))</f>
        <v>SES8</v>
      </c>
      <c r="D1420" s="36" t="str">
        <f>INDEX('Base de données Mono'!A:A,MATCH(B1420,'Base de données Mono'!D:D,0))</f>
        <v>AD</v>
      </c>
      <c r="E1420" s="37" t="s">
        <v>303</v>
      </c>
      <c r="F1420" s="41">
        <f t="shared" si="351"/>
        <v>17</v>
      </c>
      <c r="G1420" s="41">
        <f t="shared" si="352"/>
        <v>4</v>
      </c>
      <c r="I1420" s="131">
        <f>INDEX('Base de données Mono'!K:K,MATCH(B1420,'Base de données Mono'!D:D,0))</f>
        <v>0.22916666666666666</v>
      </c>
      <c r="J1420" s="131">
        <f>INDEX('Base de données Mono'!L:L,MATCH(B1420,'Base de données Mono'!D:D,0))</f>
        <v>0.86458333333333337</v>
      </c>
      <c r="K1420" s="131" t="str">
        <f>INDEX('Base de données Mono'!M:M,MATCH(B1420,'Base de données Mono'!D:D,0))</f>
        <v>-</v>
      </c>
      <c r="L1420" s="131" t="str">
        <f>INDEX('Base de données Mono'!N:N,MATCH(B1420,'Base de données Mono'!D:D,0))</f>
        <v>-</v>
      </c>
      <c r="M1420" s="33" t="s">
        <v>46</v>
      </c>
      <c r="N1420" s="33">
        <f>IF(AND(E1420="Electricité",M1420="Hiver"),INDEX('Base de données Mono'!E:E,MATCH(B1420,'Base de données Mono'!D:D,0)),IF(AND(E1420="Electricité",M1420="Mi-saison"),INDEX('Base de données Mono'!F:F,MATCH(B1420,'Base de données Mono'!D:D,0)),IF(AND(E1420="Electricité",M1420="Eté"),INDEX('Base de données Mono'!G:G,MATCH(B1420,'Base de données Mono'!D:D,0)),IF(AND(E1420="Gaz",M1420="Hiver"),INDEX('Base de données Mono'!J:J,MATCH(B1420,'Base de données Mono'!D:D,0)),IF(AND(E1420="Gaz",M1420="Mi-saison"),INDEX('Base de données Mono'!#REF!,MATCH(B1420,'Base de données Mono'!D:D,0)),IF(AND(E1420="Gaz",M1420="Eté"),INDEX('Base de données Mono'!#REF!,MATCH(B1420,'Base de données Mono'!D:D,0)),"-"))))))</f>
        <v>60</v>
      </c>
      <c r="O1420" s="123">
        <v>45403</v>
      </c>
      <c r="P1420" s="123">
        <v>45410</v>
      </c>
      <c r="Q1420" s="34">
        <v>70</v>
      </c>
      <c r="R1420" s="33">
        <f t="shared" si="353"/>
        <v>10</v>
      </c>
      <c r="S1420" s="34">
        <v>8</v>
      </c>
      <c r="T1420" s="34">
        <f t="shared" si="350"/>
        <v>7</v>
      </c>
      <c r="U1420" s="33">
        <f t="shared" si="354"/>
        <v>560</v>
      </c>
      <c r="V1420" s="38" t="s">
        <v>827</v>
      </c>
      <c r="W1420" s="39">
        <f t="shared" si="355"/>
        <v>0.16666666666666666</v>
      </c>
      <c r="X1420" s="40" t="s">
        <v>304</v>
      </c>
      <c r="Y1420" s="40" t="s">
        <v>284</v>
      </c>
      <c r="Z1420" s="40" t="s">
        <v>305</v>
      </c>
      <c r="AA1420" s="33" t="s">
        <v>771</v>
      </c>
      <c r="AB1420" s="95"/>
      <c r="AC1420" s="95"/>
    </row>
    <row r="1421" spans="1:29" ht="14.45" customHeight="1" x14ac:dyDescent="0.25">
      <c r="A1421" s="36" t="str">
        <f>INDEX('Base de données Mono'!C:C,MATCH(B1421,'Base de données Mono'!D:D,0))</f>
        <v>RENNES COLOMBIA</v>
      </c>
      <c r="B1421" t="s">
        <v>30</v>
      </c>
      <c r="C1421" s="36" t="str">
        <f>INDEX('Base de données Mono'!B:B,MATCH(B1421,'Base de données Mono'!D:D,0))</f>
        <v>SES8</v>
      </c>
      <c r="D1421" s="36" t="str">
        <f>INDEX('Base de données Mono'!A:A,MATCH(B1421,'Base de données Mono'!D:D,0))</f>
        <v>AD</v>
      </c>
      <c r="E1421" s="37" t="s">
        <v>303</v>
      </c>
      <c r="F1421" s="41">
        <f t="shared" si="351"/>
        <v>17</v>
      </c>
      <c r="G1421" s="41">
        <f t="shared" si="352"/>
        <v>4</v>
      </c>
      <c r="I1421" s="131">
        <f>INDEX('Base de données Mono'!K:K,MATCH(B1421,'Base de données Mono'!D:D,0))</f>
        <v>0.22916666666666666</v>
      </c>
      <c r="J1421" s="131">
        <f>INDEX('Base de données Mono'!L:L,MATCH(B1421,'Base de données Mono'!D:D,0))</f>
        <v>0.86458333333333337</v>
      </c>
      <c r="K1421" s="131" t="str">
        <f>INDEX('Base de données Mono'!M:M,MATCH(B1421,'Base de données Mono'!D:D,0))</f>
        <v>-</v>
      </c>
      <c r="L1421" s="131" t="str">
        <f>INDEX('Base de données Mono'!N:N,MATCH(B1421,'Base de données Mono'!D:D,0))</f>
        <v>-</v>
      </c>
      <c r="M1421" s="33" t="s">
        <v>46</v>
      </c>
      <c r="N1421" s="33">
        <f>IF(AND(E1421="Electricité",M1421="Hiver"),INDEX('Base de données Mono'!E:E,MATCH(B1421,'Base de données Mono'!D:D,0)),IF(AND(E1421="Electricité",M1421="Mi-saison"),INDEX('Base de données Mono'!F:F,MATCH(B1421,'Base de données Mono'!D:D,0)),IF(AND(E1421="Electricité",M1421="Eté"),INDEX('Base de données Mono'!G:G,MATCH(B1421,'Base de données Mono'!D:D,0)),IF(AND(E1421="Gaz",M1421="Hiver"),INDEX('Base de données Mono'!J:J,MATCH(B1421,'Base de données Mono'!D:D,0)),IF(AND(E1421="Gaz",M1421="Mi-saison"),INDEX('Base de données Mono'!#REF!,MATCH(B1421,'Base de données Mono'!D:D,0)),IF(AND(E1421="Gaz",M1421="Eté"),INDEX('Base de données Mono'!#REF!,MATCH(B1421,'Base de données Mono'!D:D,0)),"-"))))))</f>
        <v>60</v>
      </c>
      <c r="O1421" s="123">
        <v>45410</v>
      </c>
      <c r="P1421" s="123">
        <v>45410</v>
      </c>
      <c r="Q1421" s="34">
        <v>65</v>
      </c>
      <c r="R1421" s="33">
        <f t="shared" si="353"/>
        <v>5</v>
      </c>
      <c r="S1421" s="34">
        <v>10</v>
      </c>
      <c r="T1421" s="34">
        <v>1</v>
      </c>
      <c r="U1421" s="33">
        <f t="shared" si="354"/>
        <v>50</v>
      </c>
      <c r="V1421" s="38" t="s">
        <v>827</v>
      </c>
      <c r="W1421" s="39">
        <f t="shared" si="355"/>
        <v>8.3333333333333329E-2</v>
      </c>
      <c r="X1421" s="40" t="s">
        <v>730</v>
      </c>
      <c r="Y1421" s="40" t="s">
        <v>284</v>
      </c>
      <c r="Z1421" s="40" t="s">
        <v>305</v>
      </c>
      <c r="AA1421" s="33" t="s">
        <v>771</v>
      </c>
      <c r="AB1421" s="95"/>
      <c r="AC1421" s="95"/>
    </row>
    <row r="1422" spans="1:29" ht="14.45" customHeight="1" x14ac:dyDescent="0.25">
      <c r="A1422" s="36" t="str">
        <f>INDEX('Base de données Mono'!C:C,MATCH(B1422,'Base de données Mono'!D:D,0))</f>
        <v>COLOMBES</v>
      </c>
      <c r="B1422" t="s">
        <v>14</v>
      </c>
      <c r="C1422" s="36" t="str">
        <f>INDEX('Base de données Mono'!B:B,MATCH(B1422,'Base de données Mono'!D:D,0))</f>
        <v>SES8</v>
      </c>
      <c r="D1422" s="36" t="str">
        <f>INDEX('Base de données Mono'!A:A,MATCH(B1422,'Base de données Mono'!D:D,0))</f>
        <v>AD</v>
      </c>
      <c r="E1422" s="37" t="s">
        <v>303</v>
      </c>
      <c r="F1422" s="41">
        <f t="shared" si="351"/>
        <v>17</v>
      </c>
      <c r="G1422" s="41">
        <f t="shared" si="352"/>
        <v>4</v>
      </c>
      <c r="I1422" s="131">
        <f>INDEX('Base de données Mono'!K:K,MATCH(B1422,'Base de données Mono'!D:D,0))</f>
        <v>0.24305555555555555</v>
      </c>
      <c r="J1422" s="131">
        <f>INDEX('Base de données Mono'!L:L,MATCH(B1422,'Base de données Mono'!D:D,0))</f>
        <v>0.89583333333333337</v>
      </c>
      <c r="K1422" s="131">
        <f>INDEX('Base de données Mono'!M:M,MATCH(B1422,'Base de données Mono'!D:D,0))</f>
        <v>0.27083333333333331</v>
      </c>
      <c r="L1422" s="131">
        <f>INDEX('Base de données Mono'!N:N,MATCH(B1422,'Base de données Mono'!D:D,0))</f>
        <v>0.55902777777777779</v>
      </c>
      <c r="M1422" s="33" t="s">
        <v>46</v>
      </c>
      <c r="N1422" s="33">
        <f>IF(AND(E1422="Electricité",M1422="Hiver"),INDEX('Base de données Mono'!E:E,MATCH(B1422,'Base de données Mono'!D:D,0)),IF(AND(E1422="Electricité",M1422="Mi-saison"),INDEX('Base de données Mono'!F:F,MATCH(B1422,'Base de données Mono'!D:D,0)),IF(AND(E1422="Electricité",M1422="Eté"),INDEX('Base de données Mono'!G:G,MATCH(B1422,'Base de données Mono'!D:D,0)),IF(AND(E1422="Gaz",M1422="Hiver"),INDEX('Base de données Mono'!J:J,MATCH(B1422,'Base de données Mono'!D:D,0)),IF(AND(E1422="Gaz",M1422="Mi-saison"),INDEX('Base de données Mono'!#REF!,MATCH(B1422,'Base de données Mono'!D:D,0)),IF(AND(E1422="Gaz",M1422="Eté"),INDEX('Base de données Mono'!#REF!,MATCH(B1422,'Base de données Mono'!D:D,0)),"-"))))))</f>
        <v>75</v>
      </c>
      <c r="O1422" s="123">
        <v>45404</v>
      </c>
      <c r="P1422" s="123">
        <v>45405</v>
      </c>
      <c r="Q1422" s="34">
        <v>115</v>
      </c>
      <c r="R1422" s="33">
        <f t="shared" si="353"/>
        <v>40</v>
      </c>
      <c r="S1422" s="34">
        <v>0.5</v>
      </c>
      <c r="T1422" s="34">
        <f t="shared" si="350"/>
        <v>1</v>
      </c>
      <c r="U1422" s="33">
        <f t="shared" si="354"/>
        <v>20</v>
      </c>
      <c r="V1422" s="38" t="s">
        <v>827</v>
      </c>
      <c r="W1422" s="39">
        <f t="shared" si="355"/>
        <v>0.53333333333333333</v>
      </c>
      <c r="X1422" s="40" t="s">
        <v>304</v>
      </c>
      <c r="Y1422" s="40" t="s">
        <v>284</v>
      </c>
      <c r="Z1422" s="40" t="s">
        <v>307</v>
      </c>
      <c r="AA1422" s="33" t="s">
        <v>313</v>
      </c>
      <c r="AB1422" s="95"/>
      <c r="AC1422" s="95"/>
    </row>
    <row r="1423" spans="1:29" ht="14.45" customHeight="1" x14ac:dyDescent="0.25">
      <c r="A1423" s="36" t="str">
        <f>INDEX('Base de données Mono'!C:C,MATCH(B1423,'Base de données Mono'!D:D,0))</f>
        <v>COLOMBES</v>
      </c>
      <c r="B1423" t="s">
        <v>14</v>
      </c>
      <c r="C1423" s="36" t="str">
        <f>INDEX('Base de données Mono'!B:B,MATCH(B1423,'Base de données Mono'!D:D,0))</f>
        <v>SES8</v>
      </c>
      <c r="D1423" s="36" t="str">
        <f>INDEX('Base de données Mono'!A:A,MATCH(B1423,'Base de données Mono'!D:D,0))</f>
        <v>AD</v>
      </c>
      <c r="E1423" s="37" t="s">
        <v>303</v>
      </c>
      <c r="F1423" s="41">
        <f t="shared" si="351"/>
        <v>17</v>
      </c>
      <c r="G1423" s="41">
        <f t="shared" si="352"/>
        <v>4</v>
      </c>
      <c r="I1423" s="131">
        <f>INDEX('Base de données Mono'!K:K,MATCH(B1423,'Base de données Mono'!D:D,0))</f>
        <v>0.24305555555555555</v>
      </c>
      <c r="J1423" s="131">
        <f>INDEX('Base de données Mono'!L:L,MATCH(B1423,'Base de données Mono'!D:D,0))</f>
        <v>0.89583333333333337</v>
      </c>
      <c r="K1423" s="131">
        <f>INDEX('Base de données Mono'!M:M,MATCH(B1423,'Base de données Mono'!D:D,0))</f>
        <v>0.27083333333333331</v>
      </c>
      <c r="L1423" s="131">
        <f>INDEX('Base de données Mono'!N:N,MATCH(B1423,'Base de données Mono'!D:D,0))</f>
        <v>0.55902777777777779</v>
      </c>
      <c r="M1423" s="33" t="s">
        <v>46</v>
      </c>
      <c r="N1423" s="33">
        <f>IF(AND(E1423="Electricité",M1423="Hiver"),INDEX('Base de données Mono'!E:E,MATCH(B1423,'Base de données Mono'!D:D,0)),IF(AND(E1423="Electricité",M1423="Mi-saison"),INDEX('Base de données Mono'!F:F,MATCH(B1423,'Base de données Mono'!D:D,0)),IF(AND(E1423="Electricité",M1423="Eté"),INDEX('Base de données Mono'!G:G,MATCH(B1423,'Base de données Mono'!D:D,0)),IF(AND(E1423="Gaz",M1423="Hiver"),INDEX('Base de données Mono'!J:J,MATCH(B1423,'Base de données Mono'!D:D,0)),IF(AND(E1423="Gaz",M1423="Mi-saison"),INDEX('Base de données Mono'!#REF!,MATCH(B1423,'Base de données Mono'!D:D,0)),IF(AND(E1423="Gaz",M1423="Eté"),INDEX('Base de données Mono'!#REF!,MATCH(B1423,'Base de données Mono'!D:D,0)),"-"))))))</f>
        <v>75</v>
      </c>
      <c r="O1423" s="123">
        <v>45405</v>
      </c>
      <c r="P1423" s="123">
        <v>45410</v>
      </c>
      <c r="Q1423" s="34">
        <v>120</v>
      </c>
      <c r="R1423" s="33">
        <f t="shared" si="353"/>
        <v>45</v>
      </c>
      <c r="S1423" s="34">
        <v>8.3000000000000007</v>
      </c>
      <c r="T1423" s="34">
        <f t="shared" si="350"/>
        <v>5</v>
      </c>
      <c r="U1423" s="33">
        <f t="shared" si="354"/>
        <v>1867.5000000000002</v>
      </c>
      <c r="V1423" s="38" t="s">
        <v>827</v>
      </c>
      <c r="W1423" s="39">
        <f t="shared" si="355"/>
        <v>0.6</v>
      </c>
      <c r="X1423" s="40" t="s">
        <v>304</v>
      </c>
      <c r="Y1423" s="40" t="s">
        <v>284</v>
      </c>
      <c r="Z1423" s="40" t="s">
        <v>311</v>
      </c>
      <c r="AA1423" s="33" t="s">
        <v>775</v>
      </c>
      <c r="AB1423" s="95"/>
      <c r="AC1423" s="95" t="s">
        <v>852</v>
      </c>
    </row>
    <row r="1424" spans="1:29" ht="14.45" customHeight="1" x14ac:dyDescent="0.25">
      <c r="A1424" s="36" t="str">
        <f>INDEX('Base de données Mono'!C:C,MATCH(B1424,'Base de données Mono'!D:D,0))</f>
        <v>BOULOGNE LES PASSAGES</v>
      </c>
      <c r="B1424" t="s">
        <v>7</v>
      </c>
      <c r="C1424" s="36" t="str">
        <f>INDEX('Base de données Mono'!B:B,MATCH(B1424,'Base de données Mono'!D:D,0))</f>
        <v>SES8</v>
      </c>
      <c r="D1424" s="36" t="str">
        <f>INDEX('Base de données Mono'!A:A,MATCH(B1424,'Base de données Mono'!D:D,0))</f>
        <v>AD</v>
      </c>
      <c r="E1424" s="37" t="s">
        <v>303</v>
      </c>
      <c r="F1424" s="41">
        <f t="shared" si="351"/>
        <v>17</v>
      </c>
      <c r="G1424" s="41">
        <f t="shared" si="352"/>
        <v>4</v>
      </c>
      <c r="I1424" s="131">
        <f>INDEX('Base de données Mono'!K:K,MATCH(B1424,'Base de données Mono'!D:D,0))</f>
        <v>0.20833333333333334</v>
      </c>
      <c r="J1424" s="131">
        <f>INDEX('Base de données Mono'!L:L,MATCH(B1424,'Base de données Mono'!D:D,0))</f>
        <v>0.85416666666666663</v>
      </c>
      <c r="K1424" s="131" t="str">
        <f>INDEX('Base de données Mono'!M:M,MATCH(B1424,'Base de données Mono'!D:D,0))</f>
        <v>-</v>
      </c>
      <c r="L1424" s="131" t="str">
        <f>INDEX('Base de données Mono'!N:N,MATCH(B1424,'Base de données Mono'!D:D,0))</f>
        <v>-</v>
      </c>
      <c r="M1424" s="33" t="s">
        <v>46</v>
      </c>
      <c r="N1424" s="33">
        <f>IF(AND(E1424="Electricité",M1424="Hiver"),INDEX('Base de données Mono'!E:E,MATCH(B1424,'Base de données Mono'!D:D,0)),IF(AND(E1424="Electricité",M1424="Mi-saison"),INDEX('Base de données Mono'!F:F,MATCH(B1424,'Base de données Mono'!D:D,0)),IF(AND(E1424="Electricité",M1424="Eté"),INDEX('Base de données Mono'!G:G,MATCH(B1424,'Base de données Mono'!D:D,0)),IF(AND(E1424="Gaz",M1424="Hiver"),INDEX('Base de données Mono'!J:J,MATCH(B1424,'Base de données Mono'!D:D,0)),IF(AND(E1424="Gaz",M1424="Mi-saison"),INDEX('Base de données Mono'!#REF!,MATCH(B1424,'Base de données Mono'!D:D,0)),IF(AND(E1424="Gaz",M1424="Eté"),INDEX('Base de données Mono'!#REF!,MATCH(B1424,'Base de données Mono'!D:D,0)),"-"))))))</f>
        <v>95</v>
      </c>
      <c r="O1424" s="123">
        <v>45403</v>
      </c>
      <c r="P1424" s="123">
        <v>45404</v>
      </c>
      <c r="Q1424" s="34">
        <v>105</v>
      </c>
      <c r="R1424" s="33">
        <f t="shared" si="353"/>
        <v>10</v>
      </c>
      <c r="S1424" s="34">
        <v>8.5</v>
      </c>
      <c r="T1424" s="34">
        <f t="shared" ref="T1424:T1461" si="362">P1424-O1424</f>
        <v>1</v>
      </c>
      <c r="U1424" s="33">
        <f t="shared" si="354"/>
        <v>85</v>
      </c>
      <c r="V1424" s="38" t="s">
        <v>827</v>
      </c>
      <c r="W1424" s="39">
        <f t="shared" si="355"/>
        <v>0.10526315789473684</v>
      </c>
      <c r="X1424" s="40" t="s">
        <v>304</v>
      </c>
      <c r="Y1424" s="40" t="s">
        <v>284</v>
      </c>
      <c r="Z1424" s="40" t="s">
        <v>305</v>
      </c>
      <c r="AA1424" s="33" t="s">
        <v>771</v>
      </c>
      <c r="AB1424" s="95"/>
      <c r="AC1424" s="95"/>
    </row>
    <row r="1425" spans="1:29" ht="14.45" customHeight="1" x14ac:dyDescent="0.25">
      <c r="A1425" s="36" t="str">
        <f>INDEX('Base de données Mono'!C:C,MATCH(B1425,'Base de données Mono'!D:D,0))</f>
        <v>BOULOGNE LES PASSAGES</v>
      </c>
      <c r="B1425" t="s">
        <v>7</v>
      </c>
      <c r="C1425" s="36" t="str">
        <f>INDEX('Base de données Mono'!B:B,MATCH(B1425,'Base de données Mono'!D:D,0))</f>
        <v>SES8</v>
      </c>
      <c r="D1425" s="36" t="str">
        <f>INDEX('Base de données Mono'!A:A,MATCH(B1425,'Base de données Mono'!D:D,0))</f>
        <v>AD</v>
      </c>
      <c r="E1425" s="37" t="s">
        <v>303</v>
      </c>
      <c r="F1425" s="41">
        <f t="shared" si="351"/>
        <v>17</v>
      </c>
      <c r="G1425" s="41">
        <f t="shared" si="352"/>
        <v>4</v>
      </c>
      <c r="I1425" s="131">
        <f>INDEX('Base de données Mono'!K:K,MATCH(B1425,'Base de données Mono'!D:D,0))</f>
        <v>0.20833333333333334</v>
      </c>
      <c r="J1425" s="131">
        <f>INDEX('Base de données Mono'!L:L,MATCH(B1425,'Base de données Mono'!D:D,0))</f>
        <v>0.85416666666666663</v>
      </c>
      <c r="K1425" s="131" t="str">
        <f>INDEX('Base de données Mono'!M:M,MATCH(B1425,'Base de données Mono'!D:D,0))</f>
        <v>-</v>
      </c>
      <c r="L1425" s="131" t="str">
        <f>INDEX('Base de données Mono'!N:N,MATCH(B1425,'Base de données Mono'!D:D,0))</f>
        <v>-</v>
      </c>
      <c r="M1425" s="33" t="s">
        <v>46</v>
      </c>
      <c r="N1425" s="33">
        <f>IF(AND(E1425="Electricité",M1425="Hiver"),INDEX('Base de données Mono'!E:E,MATCH(B1425,'Base de données Mono'!D:D,0)),IF(AND(E1425="Electricité",M1425="Mi-saison"),INDEX('Base de données Mono'!F:F,MATCH(B1425,'Base de données Mono'!D:D,0)),IF(AND(E1425="Electricité",M1425="Eté"),INDEX('Base de données Mono'!G:G,MATCH(B1425,'Base de données Mono'!D:D,0)),IF(AND(E1425="Gaz",M1425="Hiver"),INDEX('Base de données Mono'!J:J,MATCH(B1425,'Base de données Mono'!D:D,0)),IF(AND(E1425="Gaz",M1425="Mi-saison"),INDEX('Base de données Mono'!#REF!,MATCH(B1425,'Base de données Mono'!D:D,0)),IF(AND(E1425="Gaz",M1425="Eté"),INDEX('Base de données Mono'!#REF!,MATCH(B1425,'Base de données Mono'!D:D,0)),"-"))))))</f>
        <v>95</v>
      </c>
      <c r="O1425" s="123">
        <v>45404</v>
      </c>
      <c r="P1425" s="123">
        <v>45410</v>
      </c>
      <c r="Q1425" s="34">
        <v>150</v>
      </c>
      <c r="R1425" s="33">
        <f t="shared" si="353"/>
        <v>55</v>
      </c>
      <c r="S1425" s="34">
        <v>1</v>
      </c>
      <c r="T1425" s="34">
        <f t="shared" si="362"/>
        <v>6</v>
      </c>
      <c r="U1425" s="33">
        <f t="shared" si="354"/>
        <v>330</v>
      </c>
      <c r="V1425" s="38" t="s">
        <v>827</v>
      </c>
      <c r="W1425" s="39">
        <f t="shared" si="355"/>
        <v>0.57894736842105265</v>
      </c>
      <c r="X1425" s="40" t="s">
        <v>304</v>
      </c>
      <c r="Y1425" s="40" t="s">
        <v>284</v>
      </c>
      <c r="Z1425" s="40" t="s">
        <v>307</v>
      </c>
      <c r="AA1425" s="33" t="s">
        <v>313</v>
      </c>
      <c r="AB1425" s="95"/>
      <c r="AC1425" s="95"/>
    </row>
    <row r="1426" spans="1:29" ht="14.45" customHeight="1" x14ac:dyDescent="0.25">
      <c r="A1426" s="36" t="str">
        <f>INDEX('Base de données Mono'!C:C,MATCH(B1426,'Base de données Mono'!D:D,0))</f>
        <v>BOULOGNE LES PASSAGES</v>
      </c>
      <c r="B1426" t="s">
        <v>7</v>
      </c>
      <c r="C1426" s="36" t="str">
        <f>INDEX('Base de données Mono'!B:B,MATCH(B1426,'Base de données Mono'!D:D,0))</f>
        <v>SES8</v>
      </c>
      <c r="D1426" s="36" t="str">
        <f>INDEX('Base de données Mono'!A:A,MATCH(B1426,'Base de données Mono'!D:D,0))</f>
        <v>AD</v>
      </c>
      <c r="E1426" s="37" t="s">
        <v>303</v>
      </c>
      <c r="F1426" s="41">
        <f t="shared" si="351"/>
        <v>17</v>
      </c>
      <c r="G1426" s="41">
        <f t="shared" si="352"/>
        <v>4</v>
      </c>
      <c r="I1426" s="131">
        <f>INDEX('Base de données Mono'!K:K,MATCH(B1426,'Base de données Mono'!D:D,0))</f>
        <v>0.20833333333333334</v>
      </c>
      <c r="J1426" s="131">
        <f>INDEX('Base de données Mono'!L:L,MATCH(B1426,'Base de données Mono'!D:D,0))</f>
        <v>0.85416666666666663</v>
      </c>
      <c r="K1426" s="131" t="str">
        <f>INDEX('Base de données Mono'!M:M,MATCH(B1426,'Base de données Mono'!D:D,0))</f>
        <v>-</v>
      </c>
      <c r="L1426" s="131" t="str">
        <f>INDEX('Base de données Mono'!N:N,MATCH(B1426,'Base de données Mono'!D:D,0))</f>
        <v>-</v>
      </c>
      <c r="M1426" s="33" t="s">
        <v>46</v>
      </c>
      <c r="N1426" s="33">
        <f>IF(AND(E1426="Electricité",M1426="Hiver"),INDEX('Base de données Mono'!E:E,MATCH(B1426,'Base de données Mono'!D:D,0)),IF(AND(E1426="Electricité",M1426="Mi-saison"),INDEX('Base de données Mono'!F:F,MATCH(B1426,'Base de données Mono'!D:D,0)),IF(AND(E1426="Electricité",M1426="Eté"),INDEX('Base de données Mono'!G:G,MATCH(B1426,'Base de données Mono'!D:D,0)),IF(AND(E1426="Gaz",M1426="Hiver"),INDEX('Base de données Mono'!J:J,MATCH(B1426,'Base de données Mono'!D:D,0)),IF(AND(E1426="Gaz",M1426="Mi-saison"),INDEX('Base de données Mono'!#REF!,MATCH(B1426,'Base de données Mono'!D:D,0)),IF(AND(E1426="Gaz",M1426="Eté"),INDEX('Base de données Mono'!#REF!,MATCH(B1426,'Base de données Mono'!D:D,0)),"-"))))))</f>
        <v>95</v>
      </c>
      <c r="O1426" s="123">
        <v>45404</v>
      </c>
      <c r="P1426" s="123">
        <v>45410</v>
      </c>
      <c r="Q1426" s="34">
        <v>105</v>
      </c>
      <c r="R1426" s="33">
        <f t="shared" si="353"/>
        <v>10</v>
      </c>
      <c r="S1426" s="34">
        <v>7.5</v>
      </c>
      <c r="T1426" s="34">
        <f t="shared" si="362"/>
        <v>6</v>
      </c>
      <c r="U1426" s="33">
        <f t="shared" si="354"/>
        <v>450</v>
      </c>
      <c r="V1426" s="38" t="s">
        <v>827</v>
      </c>
      <c r="W1426" s="39">
        <f t="shared" si="355"/>
        <v>0.10526315789473684</v>
      </c>
      <c r="X1426" s="40" t="s">
        <v>304</v>
      </c>
      <c r="Y1426" s="40" t="s">
        <v>284</v>
      </c>
      <c r="Z1426" s="40" t="s">
        <v>305</v>
      </c>
      <c r="AA1426" s="33" t="s">
        <v>771</v>
      </c>
      <c r="AB1426" s="95"/>
      <c r="AC1426" s="95"/>
    </row>
    <row r="1427" spans="1:29" ht="14.45" customHeight="1" x14ac:dyDescent="0.25">
      <c r="A1427" s="36" t="str">
        <f>INDEX('Base de données Mono'!C:C,MATCH(B1427,'Base de données Mono'!D:D,0))</f>
        <v>ANNECY COURRIER</v>
      </c>
      <c r="B1427" t="s">
        <v>59</v>
      </c>
      <c r="C1427" s="36" t="str">
        <f>INDEX('Base de données Mono'!B:B,MATCH(B1427,'Base de données Mono'!D:D,0))</f>
        <v>SES8</v>
      </c>
      <c r="D1427" s="36" t="str">
        <f>INDEX('Base de données Mono'!A:A,MATCH(B1427,'Base de données Mono'!D:D,0))</f>
        <v>JG</v>
      </c>
      <c r="E1427" s="37" t="s">
        <v>303</v>
      </c>
      <c r="F1427" s="41">
        <f t="shared" si="351"/>
        <v>17</v>
      </c>
      <c r="G1427" s="41">
        <f t="shared" si="352"/>
        <v>4</v>
      </c>
      <c r="I1427" s="131">
        <f>INDEX('Base de données Mono'!K:K,MATCH(B1427,'Base de données Mono'!D:D,0))</f>
        <v>0.20833333333333334</v>
      </c>
      <c r="J1427" s="131">
        <f>INDEX('Base de données Mono'!L:L,MATCH(B1427,'Base de données Mono'!D:D,0))</f>
        <v>0.83333333333333304</v>
      </c>
      <c r="K1427" s="131" t="str">
        <f>INDEX('Base de données Mono'!M:M,MATCH(B1427,'Base de données Mono'!D:D,0))</f>
        <v>-</v>
      </c>
      <c r="L1427" s="131" t="str">
        <f>INDEX('Base de données Mono'!N:N,MATCH(B1427,'Base de données Mono'!D:D,0))</f>
        <v>-</v>
      </c>
      <c r="M1427" s="33" t="s">
        <v>46</v>
      </c>
      <c r="N1427" s="33">
        <f>IF(AND(E1427="Electricité",M1427="Hiver"),INDEX('Base de données Mono'!E:E,MATCH(B1427,'Base de données Mono'!D:D,0)),IF(AND(E1427="Electricité",M1427="Mi-saison"),INDEX('Base de données Mono'!F:F,MATCH(B1427,'Base de données Mono'!D:D,0)),IF(AND(E1427="Electricité",M1427="Eté"),INDEX('Base de données Mono'!G:G,MATCH(B1427,'Base de données Mono'!D:D,0)),IF(AND(E1427="Gaz",M1427="Hiver"),INDEX('Base de données Mono'!J:J,MATCH(B1427,'Base de données Mono'!D:D,0)),IF(AND(E1427="Gaz",M1427="Mi-saison"),INDEX('Base de données Mono'!#REF!,MATCH(B1427,'Base de données Mono'!D:D,0)),IF(AND(E1427="Gaz",M1427="Eté"),INDEX('Base de données Mono'!#REF!,MATCH(B1427,'Base de données Mono'!D:D,0)),"-"))))))</f>
        <v>110</v>
      </c>
      <c r="O1427" s="123">
        <v>45403</v>
      </c>
      <c r="P1427" s="123">
        <v>45404</v>
      </c>
      <c r="Q1427" s="34">
        <v>160</v>
      </c>
      <c r="R1427" s="33">
        <f t="shared" si="353"/>
        <v>50</v>
      </c>
      <c r="S1427" s="34">
        <v>9</v>
      </c>
      <c r="T1427" s="34">
        <f t="shared" si="362"/>
        <v>1</v>
      </c>
      <c r="U1427" s="33">
        <f t="shared" si="354"/>
        <v>450</v>
      </c>
      <c r="V1427" s="38" t="s">
        <v>827</v>
      </c>
      <c r="W1427" s="39">
        <f t="shared" si="355"/>
        <v>0.45454545454545453</v>
      </c>
      <c r="X1427" s="40" t="s">
        <v>304</v>
      </c>
      <c r="Y1427" s="40" t="s">
        <v>284</v>
      </c>
      <c r="Z1427" s="40" t="s">
        <v>305</v>
      </c>
      <c r="AA1427" s="33" t="s">
        <v>771</v>
      </c>
      <c r="AB1427" s="95"/>
      <c r="AC1427" s="95"/>
    </row>
    <row r="1428" spans="1:29" ht="14.45" customHeight="1" x14ac:dyDescent="0.25">
      <c r="A1428" s="36" t="str">
        <f>INDEX('Base de données Mono'!C:C,MATCH(B1428,'Base de données Mono'!D:D,0))</f>
        <v>ANNECY COURRIER</v>
      </c>
      <c r="B1428" t="s">
        <v>59</v>
      </c>
      <c r="C1428" s="36" t="str">
        <f>INDEX('Base de données Mono'!B:B,MATCH(B1428,'Base de données Mono'!D:D,0))</f>
        <v>SES8</v>
      </c>
      <c r="D1428" s="36" t="str">
        <f>INDEX('Base de données Mono'!A:A,MATCH(B1428,'Base de données Mono'!D:D,0))</f>
        <v>JG</v>
      </c>
      <c r="E1428" s="37" t="s">
        <v>303</v>
      </c>
      <c r="F1428" s="41">
        <f>IF(O1428="","-",IF(AND(X1428="Nuit",WEEKDAY(O1428,2)=7,O1428&lt;&gt;P1428),WEEKNUM(O1428,2),WEEKNUM(O1428,2)-1))+1</f>
        <v>17</v>
      </c>
      <c r="G1428" s="41">
        <f>IF(O1428="","-",MONTH(O1428))</f>
        <v>4</v>
      </c>
      <c r="I1428" s="131">
        <f>INDEX('Base de données Mono'!K:K,MATCH(B1428,'Base de données Mono'!D:D,0))</f>
        <v>0.20833333333333334</v>
      </c>
      <c r="J1428" s="131">
        <f>INDEX('Base de données Mono'!L:L,MATCH(B1428,'Base de données Mono'!D:D,0))</f>
        <v>0.83333333333333304</v>
      </c>
      <c r="K1428" s="131" t="str">
        <f>INDEX('Base de données Mono'!M:M,MATCH(B1428,'Base de données Mono'!D:D,0))</f>
        <v>-</v>
      </c>
      <c r="L1428" s="131" t="str">
        <f>INDEX('Base de données Mono'!N:N,MATCH(B1428,'Base de données Mono'!D:D,0))</f>
        <v>-</v>
      </c>
      <c r="M1428" s="33" t="s">
        <v>46</v>
      </c>
      <c r="N1428" s="33">
        <f>IF(AND(E1428="Electricité",M1428="Hiver"),INDEX('Base de données Mono'!E:E,MATCH(B1428,'Base de données Mono'!D:D,0)),IF(AND(E1428="Electricité",M1428="Mi-saison"),INDEX('Base de données Mono'!F:F,MATCH(B1428,'Base de données Mono'!D:D,0)),IF(AND(E1428="Electricité",M1428="Eté"),INDEX('Base de données Mono'!G:G,MATCH(B1428,'Base de données Mono'!D:D,0)),IF(AND(E1428="Gaz",M1428="Hiver"),INDEX('Base de données Mono'!J:J,MATCH(B1428,'Base de données Mono'!D:D,0)),IF(AND(E1428="Gaz",M1428="Mi-saison"),INDEX('Base de données Mono'!#REF!,MATCH(B1428,'Base de données Mono'!D:D,0)),IF(AND(E1428="Gaz",M1428="Eté"),INDEX('Base de données Mono'!#REF!,MATCH(B1428,'Base de données Mono'!D:D,0)),"-"))))))</f>
        <v>110</v>
      </c>
      <c r="O1428" s="123">
        <v>45404</v>
      </c>
      <c r="P1428" s="123">
        <v>45410</v>
      </c>
      <c r="Q1428" s="34">
        <v>180</v>
      </c>
      <c r="R1428" s="33">
        <f>IF(Q1428="","",Q1428-N1428)</f>
        <v>70</v>
      </c>
      <c r="S1428" s="34">
        <v>1</v>
      </c>
      <c r="T1428" s="34">
        <f>P1428-O1428</f>
        <v>6</v>
      </c>
      <c r="U1428" s="33">
        <f>R1428*S1428*T1428</f>
        <v>420</v>
      </c>
      <c r="V1428" s="38" t="s">
        <v>827</v>
      </c>
      <c r="W1428" s="39">
        <f>IFERROR(IF(E1428="Gaz","-",R1428/N1428),"-")</f>
        <v>0.63636363636363635</v>
      </c>
      <c r="X1428" s="40" t="s">
        <v>304</v>
      </c>
      <c r="Y1428" s="40" t="s">
        <v>284</v>
      </c>
      <c r="Z1428" s="95" t="s">
        <v>307</v>
      </c>
      <c r="AA1428" s="95" t="s">
        <v>313</v>
      </c>
      <c r="AB1428" s="95"/>
      <c r="AC1428" s="95"/>
    </row>
    <row r="1429" spans="1:29" ht="14.45" customHeight="1" x14ac:dyDescent="0.25">
      <c r="A1429" s="36" t="str">
        <f>INDEX('Base de données Mono'!C:C,MATCH(B1429,'Base de données Mono'!D:D,0))</f>
        <v>ANNECY COURRIER</v>
      </c>
      <c r="B1429" t="s">
        <v>59</v>
      </c>
      <c r="C1429" s="36" t="str">
        <f>INDEX('Base de données Mono'!B:B,MATCH(B1429,'Base de données Mono'!D:D,0))</f>
        <v>SES8</v>
      </c>
      <c r="D1429" s="36" t="str">
        <f>INDEX('Base de données Mono'!A:A,MATCH(B1429,'Base de données Mono'!D:D,0))</f>
        <v>JG</v>
      </c>
      <c r="E1429" s="37" t="s">
        <v>303</v>
      </c>
      <c r="F1429" s="41">
        <f t="shared" si="351"/>
        <v>17</v>
      </c>
      <c r="G1429" s="41">
        <f t="shared" si="352"/>
        <v>4</v>
      </c>
      <c r="I1429" s="131">
        <f>INDEX('Base de données Mono'!K:K,MATCH(B1429,'Base de données Mono'!D:D,0))</f>
        <v>0.20833333333333334</v>
      </c>
      <c r="J1429" s="131">
        <f>INDEX('Base de données Mono'!L:L,MATCH(B1429,'Base de données Mono'!D:D,0))</f>
        <v>0.83333333333333304</v>
      </c>
      <c r="K1429" s="131" t="str">
        <f>INDEX('Base de données Mono'!M:M,MATCH(B1429,'Base de données Mono'!D:D,0))</f>
        <v>-</v>
      </c>
      <c r="L1429" s="131" t="str">
        <f>INDEX('Base de données Mono'!N:N,MATCH(B1429,'Base de données Mono'!D:D,0))</f>
        <v>-</v>
      </c>
      <c r="M1429" s="33" t="s">
        <v>46</v>
      </c>
      <c r="N1429" s="33">
        <f>IF(AND(E1429="Electricité",M1429="Hiver"),INDEX('Base de données Mono'!E:E,MATCH(B1429,'Base de données Mono'!D:D,0)),IF(AND(E1429="Electricité",M1429="Mi-saison"),INDEX('Base de données Mono'!F:F,MATCH(B1429,'Base de données Mono'!D:D,0)),IF(AND(E1429="Electricité",M1429="Eté"),INDEX('Base de données Mono'!G:G,MATCH(B1429,'Base de données Mono'!D:D,0)),IF(AND(E1429="Gaz",M1429="Hiver"),INDEX('Base de données Mono'!J:J,MATCH(B1429,'Base de données Mono'!D:D,0)),IF(AND(E1429="Gaz",M1429="Mi-saison"),INDEX('Base de données Mono'!#REF!,MATCH(B1429,'Base de données Mono'!D:D,0)),IF(AND(E1429="Gaz",M1429="Eté"),INDEX('Base de données Mono'!#REF!,MATCH(B1429,'Base de données Mono'!D:D,0)),"-"))))))</f>
        <v>110</v>
      </c>
      <c r="O1429" s="123">
        <v>45404</v>
      </c>
      <c r="P1429" s="123">
        <v>45410</v>
      </c>
      <c r="Q1429" s="34">
        <v>155</v>
      </c>
      <c r="R1429" s="33">
        <f t="shared" si="353"/>
        <v>45</v>
      </c>
      <c r="S1429" s="34">
        <v>8</v>
      </c>
      <c r="T1429" s="34">
        <f t="shared" si="362"/>
        <v>6</v>
      </c>
      <c r="U1429" s="33">
        <f t="shared" si="354"/>
        <v>2160</v>
      </c>
      <c r="V1429" s="38" t="s">
        <v>827</v>
      </c>
      <c r="W1429" s="39">
        <f t="shared" si="355"/>
        <v>0.40909090909090912</v>
      </c>
      <c r="X1429" s="40" t="s">
        <v>304</v>
      </c>
      <c r="Y1429" s="40" t="s">
        <v>284</v>
      </c>
      <c r="Z1429" s="40" t="s">
        <v>305</v>
      </c>
      <c r="AA1429" s="33" t="s">
        <v>771</v>
      </c>
      <c r="AB1429" s="95"/>
      <c r="AC1429" s="95"/>
    </row>
    <row r="1430" spans="1:29" ht="14.45" customHeight="1" x14ac:dyDescent="0.25">
      <c r="A1430" s="36" t="str">
        <f>INDEX('Base de données Mono'!C:C,MATCH(B1430,'Base de données Mono'!D:D,0))</f>
        <v>OULLINS</v>
      </c>
      <c r="B1430" t="s">
        <v>203</v>
      </c>
      <c r="C1430" s="36" t="str">
        <f>INDEX('Base de données Mono'!B:B,MATCH(B1430,'Base de données Mono'!D:D,0))</f>
        <v>SES8</v>
      </c>
      <c r="D1430" s="36" t="str">
        <f>INDEX('Base de données Mono'!A:A,MATCH(B1430,'Base de données Mono'!D:D,0))</f>
        <v>JG</v>
      </c>
      <c r="E1430" s="37" t="s">
        <v>303</v>
      </c>
      <c r="F1430" s="41">
        <f t="shared" si="351"/>
        <v>17</v>
      </c>
      <c r="G1430" s="41">
        <f t="shared" si="352"/>
        <v>4</v>
      </c>
      <c r="I1430" s="131">
        <f>INDEX('Base de données Mono'!K:K,MATCH(B1430,'Base de données Mono'!D:D,0))</f>
        <v>0.1875</v>
      </c>
      <c r="J1430" s="131">
        <f>INDEX('Base de données Mono'!L:L,MATCH(B1430,'Base de données Mono'!D:D,0))</f>
        <v>0.83333333333333337</v>
      </c>
      <c r="K1430" s="131">
        <f>INDEX('Base de données Mono'!M:M,MATCH(B1430,'Base de données Mono'!D:D,0))</f>
        <v>0.27083333333333331</v>
      </c>
      <c r="L1430" s="131">
        <f>INDEX('Base de données Mono'!N:N,MATCH(B1430,'Base de données Mono'!D:D,0))</f>
        <v>0.8125</v>
      </c>
      <c r="M1430" s="33" t="s">
        <v>46</v>
      </c>
      <c r="N1430" s="33">
        <f>IF(AND(E1430="Electricité",M1430="Hiver"),INDEX('Base de données Mono'!E:E,MATCH(B1430,'Base de données Mono'!D:D,0)),IF(AND(E1430="Electricité",M1430="Mi-saison"),INDEX('Base de données Mono'!F:F,MATCH(B1430,'Base de données Mono'!D:D,0)),IF(AND(E1430="Electricité",M1430="Eté"),INDEX('Base de données Mono'!G:G,MATCH(B1430,'Base de données Mono'!D:D,0)),IF(AND(E1430="Gaz",M1430="Hiver"),INDEX('Base de données Mono'!J:J,MATCH(B1430,'Base de données Mono'!D:D,0)),IF(AND(E1430="Gaz",M1430="Mi-saison"),INDEX('Base de données Mono'!#REF!,MATCH(B1430,'Base de données Mono'!D:D,0)),IF(AND(E1430="Gaz",M1430="Eté"),INDEX('Base de données Mono'!#REF!,MATCH(B1430,'Base de données Mono'!D:D,0)),"-"))))))</f>
        <v>45</v>
      </c>
      <c r="O1430" s="123">
        <v>45403</v>
      </c>
      <c r="P1430" s="123">
        <v>45410</v>
      </c>
      <c r="Q1430" s="34">
        <v>50</v>
      </c>
      <c r="R1430" s="33">
        <f t="shared" si="353"/>
        <v>5</v>
      </c>
      <c r="S1430" s="34">
        <v>8.5</v>
      </c>
      <c r="T1430" s="34">
        <f t="shared" si="362"/>
        <v>7</v>
      </c>
      <c r="U1430" s="33">
        <f t="shared" si="354"/>
        <v>297.5</v>
      </c>
      <c r="V1430" s="38" t="s">
        <v>827</v>
      </c>
      <c r="W1430" s="39">
        <f t="shared" si="355"/>
        <v>0.1111111111111111</v>
      </c>
      <c r="X1430" s="40" t="s">
        <v>304</v>
      </c>
      <c r="Y1430" s="40" t="s">
        <v>284</v>
      </c>
      <c r="Z1430" s="40" t="s">
        <v>305</v>
      </c>
      <c r="AA1430" s="33" t="s">
        <v>771</v>
      </c>
      <c r="AB1430" s="95"/>
      <c r="AC1430" s="95"/>
    </row>
    <row r="1431" spans="1:29" ht="14.45" customHeight="1" x14ac:dyDescent="0.25">
      <c r="A1431" s="36" t="str">
        <f>INDEX('Base de données Mono'!C:C,MATCH(B1431,'Base de données Mono'!D:D,0))</f>
        <v>POITIERS</v>
      </c>
      <c r="B1431" t="s">
        <v>212</v>
      </c>
      <c r="C1431" s="36" t="str">
        <f>INDEX('Base de données Mono'!B:B,MATCH(B1431,'Base de données Mono'!D:D,0))</f>
        <v>SES8</v>
      </c>
      <c r="D1431" s="36" t="str">
        <f>INDEX('Base de données Mono'!A:A,MATCH(B1431,'Base de données Mono'!D:D,0))</f>
        <v>AD</v>
      </c>
      <c r="E1431" s="37" t="s">
        <v>303</v>
      </c>
      <c r="F1431" s="41">
        <f t="shared" si="351"/>
        <v>17</v>
      </c>
      <c r="G1431" s="41">
        <f t="shared" si="352"/>
        <v>4</v>
      </c>
      <c r="I1431" s="131">
        <f>INDEX('Base de données Mono'!K:K,MATCH(B1431,'Base de données Mono'!D:D,0))</f>
        <v>0.22916666666666666</v>
      </c>
      <c r="J1431" s="131">
        <f>INDEX('Base de données Mono'!L:L,MATCH(B1431,'Base de données Mono'!D:D,0))</f>
        <v>0.875</v>
      </c>
      <c r="K1431" s="131">
        <f>INDEX('Base de données Mono'!M:M,MATCH(B1431,'Base de données Mono'!D:D,0))</f>
        <v>0.22916666666666666</v>
      </c>
      <c r="L1431" s="131">
        <f>INDEX('Base de données Mono'!N:N,MATCH(B1431,'Base de données Mono'!D:D,0))</f>
        <v>0.54166666666666663</v>
      </c>
      <c r="M1431" s="33" t="s">
        <v>46</v>
      </c>
      <c r="N1431" s="33">
        <f>IF(AND(E1431="Electricité",M1431="Hiver"),INDEX('Base de données Mono'!E:E,MATCH(B1431,'Base de données Mono'!D:D,0)),IF(AND(E1431="Electricité",M1431="Mi-saison"),INDEX('Base de données Mono'!F:F,MATCH(B1431,'Base de données Mono'!D:D,0)),IF(AND(E1431="Electricité",M1431="Eté"),INDEX('Base de données Mono'!G:G,MATCH(B1431,'Base de données Mono'!D:D,0)),IF(AND(E1431="Gaz",M1431="Hiver"),INDEX('Base de données Mono'!J:J,MATCH(B1431,'Base de données Mono'!D:D,0)),IF(AND(E1431="Gaz",M1431="Mi-saison"),INDEX('Base de données Mono'!#REF!,MATCH(B1431,'Base de données Mono'!D:D,0)),IF(AND(E1431="Gaz",M1431="Eté"),INDEX('Base de données Mono'!#REF!,MATCH(B1431,'Base de données Mono'!D:D,0)),"-"))))))</f>
        <v>75</v>
      </c>
      <c r="O1431" s="123">
        <v>45403</v>
      </c>
      <c r="P1431" s="123">
        <v>45410</v>
      </c>
      <c r="Q1431" s="34">
        <v>90</v>
      </c>
      <c r="R1431" s="33">
        <f t="shared" si="353"/>
        <v>15</v>
      </c>
      <c r="S1431" s="34">
        <v>8.5</v>
      </c>
      <c r="T1431" s="34">
        <f t="shared" si="362"/>
        <v>7</v>
      </c>
      <c r="U1431" s="33">
        <f t="shared" si="354"/>
        <v>892.5</v>
      </c>
      <c r="V1431" s="38" t="s">
        <v>827</v>
      </c>
      <c r="W1431" s="39">
        <f t="shared" si="355"/>
        <v>0.2</v>
      </c>
      <c r="X1431" s="40" t="s">
        <v>304</v>
      </c>
      <c r="Y1431" s="40" t="s">
        <v>284</v>
      </c>
      <c r="Z1431" s="40" t="s">
        <v>305</v>
      </c>
      <c r="AA1431" s="33" t="s">
        <v>771</v>
      </c>
      <c r="AB1431" s="95"/>
      <c r="AC1431" s="95"/>
    </row>
    <row r="1432" spans="1:29" ht="14.45" customHeight="1" x14ac:dyDescent="0.25">
      <c r="A1432" s="36" t="str">
        <f>INDEX('Base de données Mono'!C:C,MATCH(B1432,'Base de données Mono'!D:D,0))</f>
        <v>MONTREUIL</v>
      </c>
      <c r="B1432" t="s">
        <v>25</v>
      </c>
      <c r="C1432" s="36" t="str">
        <f>INDEX('Base de données Mono'!B:B,MATCH(B1432,'Base de données Mono'!D:D,0))</f>
        <v>SES8</v>
      </c>
      <c r="D1432" s="36" t="str">
        <f>INDEX('Base de données Mono'!A:A,MATCH(B1432,'Base de données Mono'!D:D,0))</f>
        <v>JG</v>
      </c>
      <c r="E1432" s="37" t="s">
        <v>303</v>
      </c>
      <c r="F1432" s="41">
        <f t="shared" ref="F1432:F1461" si="363">IF(O1432="","-",IF(AND(X1432="Nuit",WEEKDAY(O1432,2)=7,O1432&lt;&gt;P1432),WEEKNUM(O1432,2),WEEKNUM(O1432,2)-1))+1</f>
        <v>17</v>
      </c>
      <c r="G1432" s="41">
        <f t="shared" ref="G1432:G1461" si="364">IF(O1432="","-",MONTH(O1432))</f>
        <v>4</v>
      </c>
      <c r="I1432" s="131">
        <f>INDEX('Base de données Mono'!K:K,MATCH(B1432,'Base de données Mono'!D:D,0))</f>
        <v>0.24305555555555555</v>
      </c>
      <c r="J1432" s="131">
        <f>INDEX('Base de données Mono'!L:L,MATCH(B1432,'Base de données Mono'!D:D,0))</f>
        <v>0.875</v>
      </c>
      <c r="K1432" s="131">
        <f>INDEX('Base de données Mono'!M:M,MATCH(B1432,'Base de données Mono'!D:D,0))</f>
        <v>0.27083333333333331</v>
      </c>
      <c r="L1432" s="131">
        <f>INDEX('Base de données Mono'!N:N,MATCH(B1432,'Base de données Mono'!D:D,0))</f>
        <v>0.55902777777777779</v>
      </c>
      <c r="M1432" s="33" t="s">
        <v>46</v>
      </c>
      <c r="N1432" s="33">
        <f>IF(AND(E1432="Electricité",M1432="Hiver"),INDEX('Base de données Mono'!E:E,MATCH(B1432,'Base de données Mono'!D:D,0)),IF(AND(E1432="Electricité",M1432="Mi-saison"),INDEX('Base de données Mono'!F:F,MATCH(B1432,'Base de données Mono'!D:D,0)),IF(AND(E1432="Electricité",M1432="Eté"),INDEX('Base de données Mono'!G:G,MATCH(B1432,'Base de données Mono'!D:D,0)),IF(AND(E1432="Gaz",M1432="Hiver"),INDEX('Base de données Mono'!J:J,MATCH(B1432,'Base de données Mono'!D:D,0)),IF(AND(E1432="Gaz",M1432="Mi-saison"),INDEX('Base de données Mono'!#REF!,MATCH(B1432,'Base de données Mono'!D:D,0)),IF(AND(E1432="Gaz",M1432="Eté"),INDEX('Base de données Mono'!#REF!,MATCH(B1432,'Base de données Mono'!D:D,0)),"-"))))))</f>
        <v>95</v>
      </c>
      <c r="O1432" s="123">
        <v>45403</v>
      </c>
      <c r="P1432" s="123">
        <v>45404</v>
      </c>
      <c r="Q1432" s="34">
        <v>105</v>
      </c>
      <c r="R1432" s="33">
        <f t="shared" ref="R1432:R1461" si="365">IF(Q1432="","",Q1432-N1432)</f>
        <v>10</v>
      </c>
      <c r="S1432" s="34">
        <v>8.8000000000000007</v>
      </c>
      <c r="T1432" s="34">
        <f t="shared" si="362"/>
        <v>1</v>
      </c>
      <c r="U1432" s="33">
        <f t="shared" ref="U1432:U1461" si="366">R1432*S1432*T1432</f>
        <v>88</v>
      </c>
      <c r="V1432" s="38" t="s">
        <v>827</v>
      </c>
      <c r="W1432" s="39">
        <f t="shared" ref="W1432:W1461" si="367">IFERROR(IF(E1432="Gaz","-",R1432/N1432),"-")</f>
        <v>0.10526315789473684</v>
      </c>
      <c r="X1432" s="40" t="s">
        <v>304</v>
      </c>
      <c r="Y1432" s="40" t="s">
        <v>284</v>
      </c>
      <c r="Z1432" s="40" t="s">
        <v>305</v>
      </c>
      <c r="AA1432" s="33" t="s">
        <v>771</v>
      </c>
      <c r="AB1432" s="95"/>
      <c r="AC1432" s="95"/>
    </row>
    <row r="1433" spans="1:29" ht="14.45" customHeight="1" x14ac:dyDescent="0.25">
      <c r="A1433" s="36" t="str">
        <f>INDEX('Base de données Mono'!C:C,MATCH(B1433,'Base de données Mono'!D:D,0))</f>
        <v>MONTREUIL</v>
      </c>
      <c r="B1433" t="s">
        <v>25</v>
      </c>
      <c r="C1433" s="36" t="str">
        <f>INDEX('Base de données Mono'!B:B,MATCH(B1433,'Base de données Mono'!D:D,0))</f>
        <v>SES8</v>
      </c>
      <c r="D1433" s="36" t="str">
        <f>INDEX('Base de données Mono'!A:A,MATCH(B1433,'Base de données Mono'!D:D,0))</f>
        <v>JG</v>
      </c>
      <c r="E1433" s="37" t="s">
        <v>303</v>
      </c>
      <c r="F1433" s="41">
        <f t="shared" si="363"/>
        <v>17</v>
      </c>
      <c r="G1433" s="41">
        <f t="shared" si="364"/>
        <v>4</v>
      </c>
      <c r="I1433" s="131">
        <f>INDEX('Base de données Mono'!K:K,MATCH(B1433,'Base de données Mono'!D:D,0))</f>
        <v>0.24305555555555555</v>
      </c>
      <c r="J1433" s="131">
        <f>INDEX('Base de données Mono'!L:L,MATCH(B1433,'Base de données Mono'!D:D,0))</f>
        <v>0.875</v>
      </c>
      <c r="K1433" s="131">
        <f>INDEX('Base de données Mono'!M:M,MATCH(B1433,'Base de données Mono'!D:D,0))</f>
        <v>0.27083333333333331</v>
      </c>
      <c r="L1433" s="131">
        <f>INDEX('Base de données Mono'!N:N,MATCH(B1433,'Base de données Mono'!D:D,0))</f>
        <v>0.55902777777777779</v>
      </c>
      <c r="M1433" s="33" t="s">
        <v>46</v>
      </c>
      <c r="N1433" s="33">
        <f>IF(AND(E1433="Electricité",M1433="Hiver"),INDEX('Base de données Mono'!E:E,MATCH(B1433,'Base de données Mono'!D:D,0)),IF(AND(E1433="Electricité",M1433="Mi-saison"),INDEX('Base de données Mono'!F:F,MATCH(B1433,'Base de données Mono'!D:D,0)),IF(AND(E1433="Electricité",M1433="Eté"),INDEX('Base de données Mono'!G:G,MATCH(B1433,'Base de données Mono'!D:D,0)),IF(AND(E1433="Gaz",M1433="Hiver"),INDEX('Base de données Mono'!J:J,MATCH(B1433,'Base de données Mono'!D:D,0)),IF(AND(E1433="Gaz",M1433="Mi-saison"),INDEX('Base de données Mono'!#REF!,MATCH(B1433,'Base de données Mono'!D:D,0)),IF(AND(E1433="Gaz",M1433="Eté"),INDEX('Base de données Mono'!#REF!,MATCH(B1433,'Base de données Mono'!D:D,0)),"-"))))))</f>
        <v>95</v>
      </c>
      <c r="O1433" s="123">
        <v>45404</v>
      </c>
      <c r="P1433" s="123">
        <v>45410</v>
      </c>
      <c r="Q1433" s="34">
        <v>110</v>
      </c>
      <c r="R1433" s="33">
        <f t="shared" si="365"/>
        <v>15</v>
      </c>
      <c r="S1433" s="34">
        <v>8.8000000000000007</v>
      </c>
      <c r="T1433" s="34">
        <f t="shared" si="362"/>
        <v>6</v>
      </c>
      <c r="U1433" s="33">
        <f t="shared" si="366"/>
        <v>792</v>
      </c>
      <c r="V1433" s="38" t="s">
        <v>827</v>
      </c>
      <c r="W1433" s="39">
        <f t="shared" si="367"/>
        <v>0.15789473684210525</v>
      </c>
      <c r="X1433" s="40" t="s">
        <v>304</v>
      </c>
      <c r="Y1433" s="40" t="s">
        <v>284</v>
      </c>
      <c r="Z1433" s="40" t="s">
        <v>305</v>
      </c>
      <c r="AA1433" s="33" t="s">
        <v>771</v>
      </c>
      <c r="AB1433" s="95"/>
      <c r="AC1433" s="95"/>
    </row>
    <row r="1434" spans="1:29" ht="14.45" customHeight="1" x14ac:dyDescent="0.25">
      <c r="A1434" s="36" t="str">
        <f>INDEX('Base de données Mono'!C:C,MATCH(B1434,'Base de données Mono'!D:D,0))</f>
        <v>PLACE DES FETES</v>
      </c>
      <c r="B1434" t="s">
        <v>210</v>
      </c>
      <c r="C1434" s="36" t="str">
        <f>INDEX('Base de données Mono'!B:B,MATCH(B1434,'Base de données Mono'!D:D,0))</f>
        <v>SES8</v>
      </c>
      <c r="D1434" s="36" t="str">
        <f>INDEX('Base de données Mono'!A:A,MATCH(B1434,'Base de données Mono'!D:D,0))</f>
        <v>AD</v>
      </c>
      <c r="E1434" s="37" t="s">
        <v>303</v>
      </c>
      <c r="F1434" s="41">
        <f t="shared" si="363"/>
        <v>17</v>
      </c>
      <c r="G1434" s="41">
        <f t="shared" si="364"/>
        <v>4</v>
      </c>
      <c r="I1434" s="131">
        <f>INDEX('Base de données Mono'!K:K,MATCH(B1434,'Base de données Mono'!D:D,0))</f>
        <v>0.22916666666666666</v>
      </c>
      <c r="J1434" s="131">
        <f>INDEX('Base de données Mono'!L:L,MATCH(B1434,'Base de données Mono'!D:D,0))</f>
        <v>0.86111111111111116</v>
      </c>
      <c r="K1434" s="131">
        <f>INDEX('Base de données Mono'!M:M,MATCH(B1434,'Base de données Mono'!D:D,0))</f>
        <v>0.27777777777777779</v>
      </c>
      <c r="L1434" s="131">
        <f>INDEX('Base de données Mono'!N:N,MATCH(B1434,'Base de données Mono'!D:D,0))</f>
        <v>0.77777777777777779</v>
      </c>
      <c r="M1434" s="33" t="s">
        <v>46</v>
      </c>
      <c r="N1434" s="33">
        <f>IF(AND(E1434="Electricité",M1434="Hiver"),INDEX('Base de données Mono'!E:E,MATCH(B1434,'Base de données Mono'!D:D,0)),IF(AND(E1434="Electricité",M1434="Mi-saison"),INDEX('Base de données Mono'!F:F,MATCH(B1434,'Base de données Mono'!D:D,0)),IF(AND(E1434="Electricité",M1434="Eté"),INDEX('Base de données Mono'!G:G,MATCH(B1434,'Base de données Mono'!D:D,0)),IF(AND(E1434="Gaz",M1434="Hiver"),INDEX('Base de données Mono'!J:J,MATCH(B1434,'Base de données Mono'!D:D,0)),IF(AND(E1434="Gaz",M1434="Mi-saison"),INDEX('Base de données Mono'!#REF!,MATCH(B1434,'Base de données Mono'!D:D,0)),IF(AND(E1434="Gaz",M1434="Eté"),INDEX('Base de données Mono'!#REF!,MATCH(B1434,'Base de données Mono'!D:D,0)),"-"))))))</f>
        <v>85</v>
      </c>
      <c r="O1434" s="123">
        <v>45403</v>
      </c>
      <c r="P1434" s="123">
        <v>45409</v>
      </c>
      <c r="Q1434" s="34">
        <v>115</v>
      </c>
      <c r="R1434" s="33">
        <v>30</v>
      </c>
      <c r="S1434" s="34">
        <v>0.5</v>
      </c>
      <c r="T1434" s="34">
        <f t="shared" si="362"/>
        <v>6</v>
      </c>
      <c r="U1434" s="33">
        <v>45</v>
      </c>
      <c r="V1434" s="38" t="s">
        <v>827</v>
      </c>
      <c r="W1434" s="39">
        <v>0.35294117647058826</v>
      </c>
      <c r="X1434" s="40" t="s">
        <v>304</v>
      </c>
      <c r="Y1434" s="40" t="s">
        <v>284</v>
      </c>
      <c r="Z1434" s="40" t="s">
        <v>307</v>
      </c>
      <c r="AA1434" s="95" t="s">
        <v>414</v>
      </c>
      <c r="AB1434" s="95"/>
      <c r="AC1434" s="95"/>
    </row>
    <row r="1435" spans="1:29" ht="14.45" customHeight="1" x14ac:dyDescent="0.25">
      <c r="A1435" s="36" t="str">
        <f>INDEX('Base de données Mono'!C:C,MATCH(B1435,'Base de données Mono'!D:D,0))</f>
        <v>PLACE DES FETES</v>
      </c>
      <c r="B1435" t="s">
        <v>210</v>
      </c>
      <c r="C1435" s="36" t="str">
        <f>INDEX('Base de données Mono'!B:B,MATCH(B1435,'Base de données Mono'!D:D,0))</f>
        <v>SES8</v>
      </c>
      <c r="D1435" s="36" t="str">
        <f>INDEX('Base de données Mono'!A:A,MATCH(B1435,'Base de données Mono'!D:D,0))</f>
        <v>AD</v>
      </c>
      <c r="E1435" s="37" t="s">
        <v>303</v>
      </c>
      <c r="F1435" s="41">
        <f t="shared" si="363"/>
        <v>17</v>
      </c>
      <c r="G1435" s="41">
        <f t="shared" si="364"/>
        <v>4</v>
      </c>
      <c r="I1435" s="131">
        <f>INDEX('Base de données Mono'!K:K,MATCH(B1435,'Base de données Mono'!D:D,0))</f>
        <v>0.22916666666666666</v>
      </c>
      <c r="J1435" s="131">
        <f>INDEX('Base de données Mono'!L:L,MATCH(B1435,'Base de données Mono'!D:D,0))</f>
        <v>0.86111111111111116</v>
      </c>
      <c r="K1435" s="131">
        <f>INDEX('Base de données Mono'!M:M,MATCH(B1435,'Base de données Mono'!D:D,0))</f>
        <v>0.27777777777777779</v>
      </c>
      <c r="L1435" s="131">
        <f>INDEX('Base de données Mono'!N:N,MATCH(B1435,'Base de données Mono'!D:D,0))</f>
        <v>0.77777777777777779</v>
      </c>
      <c r="M1435" s="33" t="s">
        <v>46</v>
      </c>
      <c r="N1435" s="33">
        <f>IF(AND(E1435="Electricité",M1435="Hiver"),INDEX('Base de données Mono'!E:E,MATCH(B1435,'Base de données Mono'!D:D,0)),IF(AND(E1435="Electricité",M1435="Mi-saison"),INDEX('Base de données Mono'!F:F,MATCH(B1435,'Base de données Mono'!D:D,0)),IF(AND(E1435="Electricité",M1435="Eté"),INDEX('Base de données Mono'!G:G,MATCH(B1435,'Base de données Mono'!D:D,0)),IF(AND(E1435="Gaz",M1435="Hiver"),INDEX('Base de données Mono'!J:J,MATCH(B1435,'Base de données Mono'!D:D,0)),IF(AND(E1435="Gaz",M1435="Mi-saison"),INDEX('Base de données Mono'!#REF!,MATCH(B1435,'Base de données Mono'!D:D,0)),IF(AND(E1435="Gaz",M1435="Eté"),INDEX('Base de données Mono'!#REF!,MATCH(B1435,'Base de données Mono'!D:D,0)),"-"))))))</f>
        <v>85</v>
      </c>
      <c r="O1435" s="123">
        <v>45404</v>
      </c>
      <c r="P1435" s="123">
        <v>45410</v>
      </c>
      <c r="Q1435" s="34">
        <v>120</v>
      </c>
      <c r="R1435" s="33">
        <v>40</v>
      </c>
      <c r="S1435" s="34">
        <v>0.3</v>
      </c>
      <c r="T1435" s="34">
        <f t="shared" si="362"/>
        <v>6</v>
      </c>
      <c r="U1435" s="33">
        <v>72</v>
      </c>
      <c r="V1435" s="38" t="s">
        <v>827</v>
      </c>
      <c r="W1435" s="39">
        <v>0.47058823529411764</v>
      </c>
      <c r="X1435" s="40" t="s">
        <v>304</v>
      </c>
      <c r="Y1435" s="40" t="s">
        <v>284</v>
      </c>
      <c r="Z1435" s="40" t="s">
        <v>307</v>
      </c>
      <c r="AA1435" s="33" t="s">
        <v>313</v>
      </c>
      <c r="AB1435" s="95"/>
      <c r="AC1435" s="95"/>
    </row>
    <row r="1436" spans="1:29" x14ac:dyDescent="0.25">
      <c r="A1436" s="36" t="str">
        <f>INDEX('Base de données Mono'!C:C,MATCH(B1436,'Base de données Mono'!D:D,0))</f>
        <v>LES HUISSIERS</v>
      </c>
      <c r="B1436" t="s">
        <v>156</v>
      </c>
      <c r="C1436" s="36" t="str">
        <f>INDEX('Base de données Mono'!B:B,MATCH(B1436,'Base de données Mono'!D:D,0))</f>
        <v>SES8</v>
      </c>
      <c r="D1436" s="36" t="str">
        <f>INDEX('Base de données Mono'!A:A,MATCH(B1436,'Base de données Mono'!D:D,0))</f>
        <v>AD</v>
      </c>
      <c r="E1436" s="37" t="s">
        <v>303</v>
      </c>
      <c r="F1436" s="41">
        <f t="shared" si="363"/>
        <v>17</v>
      </c>
      <c r="G1436" s="41">
        <f t="shared" si="364"/>
        <v>4</v>
      </c>
      <c r="I1436" s="131">
        <f>INDEX('Base de données Mono'!K:K,MATCH(B1436,'Base de données Mono'!D:D,0))</f>
        <v>0.22916666666666666</v>
      </c>
      <c r="J1436" s="131">
        <f>INDEX('Base de données Mono'!L:L,MATCH(B1436,'Base de données Mono'!D:D,0))</f>
        <v>0.89583333333333337</v>
      </c>
      <c r="K1436" s="131">
        <f>INDEX('Base de données Mono'!M:M,MATCH(B1436,'Base de données Mono'!D:D,0))</f>
        <v>0.27777777777777779</v>
      </c>
      <c r="L1436" s="131">
        <f>INDEX('Base de données Mono'!N:N,MATCH(B1436,'Base de données Mono'!D:D,0))</f>
        <v>0.5625</v>
      </c>
      <c r="M1436" s="33" t="s">
        <v>46</v>
      </c>
      <c r="N1436" s="33">
        <f>IF(AND(E1436="Electricité",M1436="Hiver"),INDEX('Base de données Mono'!E:E,MATCH(B1436,'Base de données Mono'!D:D,0)),IF(AND(E1436="Electricité",M1436="Mi-saison"),INDEX('Base de données Mono'!F:F,MATCH(B1436,'Base de données Mono'!D:D,0)),IF(AND(E1436="Electricité",M1436="Eté"),INDEX('Base de données Mono'!G:G,MATCH(B1436,'Base de données Mono'!D:D,0)),IF(AND(E1436="Gaz",M1436="Hiver"),INDEX('Base de données Mono'!J:J,MATCH(B1436,'Base de données Mono'!D:D,0)),IF(AND(E1436="Gaz",M1436="Mi-saison"),INDEX('Base de données Mono'!#REF!,MATCH(B1436,'Base de données Mono'!D:D,0)),IF(AND(E1436="Gaz",M1436="Eté"),INDEX('Base de données Mono'!#REF!,MATCH(B1436,'Base de données Mono'!D:D,0)),"-"))))))</f>
        <v>65</v>
      </c>
      <c r="O1436" s="123">
        <v>45403</v>
      </c>
      <c r="P1436" s="123">
        <v>45404</v>
      </c>
      <c r="Q1436" s="34">
        <v>70</v>
      </c>
      <c r="R1436" s="33">
        <f t="shared" si="365"/>
        <v>5</v>
      </c>
      <c r="S1436" s="34">
        <v>8</v>
      </c>
      <c r="T1436" s="34">
        <f t="shared" si="362"/>
        <v>1</v>
      </c>
      <c r="U1436" s="33">
        <f t="shared" si="366"/>
        <v>40</v>
      </c>
      <c r="V1436" s="38" t="s">
        <v>827</v>
      </c>
      <c r="W1436" s="39">
        <f t="shared" si="367"/>
        <v>7.6923076923076927E-2</v>
      </c>
      <c r="X1436" s="40" t="s">
        <v>304</v>
      </c>
      <c r="Y1436" s="40" t="s">
        <v>284</v>
      </c>
      <c r="Z1436" s="40" t="s">
        <v>305</v>
      </c>
      <c r="AA1436" s="33" t="s">
        <v>771</v>
      </c>
      <c r="AB1436" s="95"/>
      <c r="AC1436" s="95"/>
    </row>
    <row r="1437" spans="1:29" x14ac:dyDescent="0.25">
      <c r="A1437" s="36" t="str">
        <f>INDEX('Base de données Mono'!C:C,MATCH(B1437,'Base de données Mono'!D:D,0))</f>
        <v>LES HUISSIERS</v>
      </c>
      <c r="B1437" t="s">
        <v>156</v>
      </c>
      <c r="C1437" s="36" t="str">
        <f>INDEX('Base de données Mono'!B:B,MATCH(B1437,'Base de données Mono'!D:D,0))</f>
        <v>SES8</v>
      </c>
      <c r="D1437" s="36" t="str">
        <f>INDEX('Base de données Mono'!A:A,MATCH(B1437,'Base de données Mono'!D:D,0))</f>
        <v>AD</v>
      </c>
      <c r="E1437" s="37" t="s">
        <v>303</v>
      </c>
      <c r="F1437" s="41">
        <f t="shared" si="363"/>
        <v>17</v>
      </c>
      <c r="G1437" s="41">
        <f t="shared" si="364"/>
        <v>4</v>
      </c>
      <c r="I1437" s="131">
        <f>INDEX('Base de données Mono'!K:K,MATCH(B1437,'Base de données Mono'!D:D,0))</f>
        <v>0.22916666666666666</v>
      </c>
      <c r="J1437" s="131">
        <f>INDEX('Base de données Mono'!L:L,MATCH(B1437,'Base de données Mono'!D:D,0))</f>
        <v>0.89583333333333337</v>
      </c>
      <c r="K1437" s="131">
        <f>INDEX('Base de données Mono'!M:M,MATCH(B1437,'Base de données Mono'!D:D,0))</f>
        <v>0.27777777777777779</v>
      </c>
      <c r="L1437" s="131">
        <f>INDEX('Base de données Mono'!N:N,MATCH(B1437,'Base de données Mono'!D:D,0))</f>
        <v>0.5625</v>
      </c>
      <c r="M1437" s="33" t="s">
        <v>46</v>
      </c>
      <c r="N1437" s="33">
        <f>IF(AND(E1437="Electricité",M1437="Hiver"),INDEX('Base de données Mono'!E:E,MATCH(B1437,'Base de données Mono'!D:D,0)),IF(AND(E1437="Electricité",M1437="Mi-saison"),INDEX('Base de données Mono'!F:F,MATCH(B1437,'Base de données Mono'!D:D,0)),IF(AND(E1437="Electricité",M1437="Eté"),INDEX('Base de données Mono'!G:G,MATCH(B1437,'Base de données Mono'!D:D,0)),IF(AND(E1437="Gaz",M1437="Hiver"),INDEX('Base de données Mono'!J:J,MATCH(B1437,'Base de données Mono'!D:D,0)),IF(AND(E1437="Gaz",M1437="Mi-saison"),INDEX('Base de données Mono'!#REF!,MATCH(B1437,'Base de données Mono'!D:D,0)),IF(AND(E1437="Gaz",M1437="Eté"),INDEX('Base de données Mono'!#REF!,MATCH(B1437,'Base de données Mono'!D:D,0)),"-"))))))</f>
        <v>65</v>
      </c>
      <c r="O1437" s="123">
        <v>45409</v>
      </c>
      <c r="P1437" s="123">
        <v>45410</v>
      </c>
      <c r="Q1437" s="34">
        <v>70</v>
      </c>
      <c r="R1437" s="33">
        <f t="shared" si="365"/>
        <v>5</v>
      </c>
      <c r="S1437" s="34">
        <v>8</v>
      </c>
      <c r="T1437" s="34">
        <f t="shared" si="362"/>
        <v>1</v>
      </c>
      <c r="U1437" s="33">
        <f t="shared" si="366"/>
        <v>40</v>
      </c>
      <c r="V1437" s="38" t="s">
        <v>827</v>
      </c>
      <c r="W1437" s="39">
        <f t="shared" si="367"/>
        <v>7.6923076923076927E-2</v>
      </c>
      <c r="X1437" s="40" t="s">
        <v>304</v>
      </c>
      <c r="Y1437" s="40" t="s">
        <v>284</v>
      </c>
      <c r="Z1437" s="40" t="s">
        <v>305</v>
      </c>
      <c r="AA1437" s="33" t="s">
        <v>771</v>
      </c>
      <c r="AB1437" s="95"/>
      <c r="AC1437" s="95"/>
    </row>
    <row r="1438" spans="1:29" x14ac:dyDescent="0.25">
      <c r="A1438" s="36" t="str">
        <f>INDEX('Base de données Mono'!C:C,MATCH(B1438,'Base de données Mono'!D:D,0))</f>
        <v>LES HUISSIERS</v>
      </c>
      <c r="B1438" t="s">
        <v>156</v>
      </c>
      <c r="C1438" s="36" t="str">
        <f>INDEX('Base de données Mono'!B:B,MATCH(B1438,'Base de données Mono'!D:D,0))</f>
        <v>SES8</v>
      </c>
      <c r="D1438" s="36" t="str">
        <f>INDEX('Base de données Mono'!A:A,MATCH(B1438,'Base de données Mono'!D:D,0))</f>
        <v>AD</v>
      </c>
      <c r="E1438" s="37" t="s">
        <v>303</v>
      </c>
      <c r="F1438" s="41">
        <f t="shared" si="363"/>
        <v>17</v>
      </c>
      <c r="G1438" s="41">
        <f t="shared" si="364"/>
        <v>4</v>
      </c>
      <c r="I1438" s="131">
        <f>INDEX('Base de données Mono'!K:K,MATCH(B1438,'Base de données Mono'!D:D,0))</f>
        <v>0.22916666666666666</v>
      </c>
      <c r="J1438" s="131">
        <f>INDEX('Base de données Mono'!L:L,MATCH(B1438,'Base de données Mono'!D:D,0))</f>
        <v>0.89583333333333337</v>
      </c>
      <c r="K1438" s="131">
        <f>INDEX('Base de données Mono'!M:M,MATCH(B1438,'Base de données Mono'!D:D,0))</f>
        <v>0.27777777777777779</v>
      </c>
      <c r="L1438" s="131">
        <f>INDEX('Base de données Mono'!N:N,MATCH(B1438,'Base de données Mono'!D:D,0))</f>
        <v>0.5625</v>
      </c>
      <c r="M1438" s="33" t="s">
        <v>46</v>
      </c>
      <c r="N1438" s="33">
        <f>IF(AND(E1438="Electricité",M1438="Hiver"),INDEX('Base de données Mono'!E:E,MATCH(B1438,'Base de données Mono'!D:D,0)),IF(AND(E1438="Electricité",M1438="Mi-saison"),INDEX('Base de données Mono'!F:F,MATCH(B1438,'Base de données Mono'!D:D,0)),IF(AND(E1438="Electricité",M1438="Eté"),INDEX('Base de données Mono'!G:G,MATCH(B1438,'Base de données Mono'!D:D,0)),IF(AND(E1438="Gaz",M1438="Hiver"),INDEX('Base de données Mono'!J:J,MATCH(B1438,'Base de données Mono'!D:D,0)),IF(AND(E1438="Gaz",M1438="Mi-saison"),INDEX('Base de données Mono'!#REF!,MATCH(B1438,'Base de données Mono'!D:D,0)),IF(AND(E1438="Gaz",M1438="Eté"),INDEX('Base de données Mono'!#REF!,MATCH(B1438,'Base de données Mono'!D:D,0)),"-"))))))</f>
        <v>65</v>
      </c>
      <c r="O1438" s="123">
        <v>45409</v>
      </c>
      <c r="P1438" s="123">
        <v>45410</v>
      </c>
      <c r="Q1438" s="34">
        <v>95</v>
      </c>
      <c r="R1438" s="33">
        <f t="shared" si="365"/>
        <v>30</v>
      </c>
      <c r="S1438" s="34">
        <v>1</v>
      </c>
      <c r="T1438" s="34">
        <f t="shared" si="362"/>
        <v>1</v>
      </c>
      <c r="U1438" s="33">
        <f t="shared" si="366"/>
        <v>30</v>
      </c>
      <c r="V1438" s="38" t="s">
        <v>827</v>
      </c>
      <c r="W1438" s="39">
        <f t="shared" si="367"/>
        <v>0.46153846153846156</v>
      </c>
      <c r="X1438" s="40" t="s">
        <v>304</v>
      </c>
      <c r="Y1438" s="40" t="s">
        <v>284</v>
      </c>
      <c r="Z1438" s="40" t="s">
        <v>311</v>
      </c>
      <c r="AA1438" s="33" t="s">
        <v>775</v>
      </c>
      <c r="AB1438" s="95"/>
      <c r="AC1438" s="95"/>
    </row>
    <row r="1439" spans="1:29" ht="14.45" customHeight="1" x14ac:dyDescent="0.25">
      <c r="A1439" s="36" t="str">
        <f>INDEX('Base de données Mono'!C:C,MATCH(B1439,'Base de données Mono'!D:D,0))</f>
        <v>ROQUETTE</v>
      </c>
      <c r="B1439" t="s">
        <v>225</v>
      </c>
      <c r="C1439" s="36" t="str">
        <f>INDEX('Base de données Mono'!B:B,MATCH(B1439,'Base de données Mono'!D:D,0))</f>
        <v>SES8</v>
      </c>
      <c r="D1439" s="36" t="str">
        <f>INDEX('Base de données Mono'!A:A,MATCH(B1439,'Base de données Mono'!D:D,0))</f>
        <v>JG</v>
      </c>
      <c r="E1439" s="37" t="s">
        <v>303</v>
      </c>
      <c r="F1439" s="41">
        <f t="shared" si="363"/>
        <v>17</v>
      </c>
      <c r="G1439" s="41">
        <f t="shared" si="364"/>
        <v>4</v>
      </c>
      <c r="I1439" s="131">
        <f>INDEX('Base de données Mono'!K:K,MATCH(B1439,'Base de données Mono'!D:D,0))</f>
        <v>0.25</v>
      </c>
      <c r="J1439" s="131">
        <f>INDEX('Base de données Mono'!L:L,MATCH(B1439,'Base de données Mono'!D:D,0))</f>
        <v>0.91666666666666663</v>
      </c>
      <c r="K1439" s="131">
        <f>INDEX('Base de données Mono'!M:M,MATCH(B1439,'Base de données Mono'!D:D,0))</f>
        <v>0.29166666666666669</v>
      </c>
      <c r="L1439" s="131">
        <f>INDEX('Base de données Mono'!N:N,MATCH(B1439,'Base de données Mono'!D:D,0))</f>
        <v>0.55208333333333337</v>
      </c>
      <c r="M1439" s="33" t="s">
        <v>46</v>
      </c>
      <c r="N1439" s="33">
        <f>IF(AND(E1439="Electricité",M1439="Hiver"),INDEX('Base de données Mono'!E:E,MATCH(B1439,'Base de données Mono'!D:D,0)),IF(AND(E1439="Electricité",M1439="Mi-saison"),INDEX('Base de données Mono'!F:F,MATCH(B1439,'Base de données Mono'!D:D,0)),IF(AND(E1439="Electricité",M1439="Eté"),INDEX('Base de données Mono'!G:G,MATCH(B1439,'Base de données Mono'!D:D,0)),IF(AND(E1439="Gaz",M1439="Hiver"),INDEX('Base de données Mono'!J:J,MATCH(B1439,'Base de données Mono'!D:D,0)),IF(AND(E1439="Gaz",M1439="Mi-saison"),INDEX('Base de données Mono'!#REF!,MATCH(B1439,'Base de données Mono'!D:D,0)),IF(AND(E1439="Gaz",M1439="Eté"),INDEX('Base de données Mono'!#REF!,MATCH(B1439,'Base de données Mono'!D:D,0)),"-"))))))</f>
        <v>60</v>
      </c>
      <c r="O1439" s="123">
        <v>45403</v>
      </c>
      <c r="P1439" s="123">
        <v>45404</v>
      </c>
      <c r="Q1439" s="34">
        <v>70</v>
      </c>
      <c r="R1439" s="33">
        <f t="shared" si="365"/>
        <v>10</v>
      </c>
      <c r="S1439" s="34">
        <v>6</v>
      </c>
      <c r="T1439" s="34">
        <f t="shared" si="362"/>
        <v>1</v>
      </c>
      <c r="U1439" s="33">
        <f t="shared" si="366"/>
        <v>60</v>
      </c>
      <c r="V1439" s="38" t="s">
        <v>827</v>
      </c>
      <c r="W1439" s="39">
        <f t="shared" si="367"/>
        <v>0.16666666666666666</v>
      </c>
      <c r="X1439" s="40" t="s">
        <v>304</v>
      </c>
      <c r="Y1439" s="40" t="s">
        <v>284</v>
      </c>
      <c r="Z1439" s="40" t="s">
        <v>305</v>
      </c>
      <c r="AA1439" s="33" t="s">
        <v>771</v>
      </c>
      <c r="AB1439" s="95"/>
      <c r="AC1439" s="95"/>
    </row>
    <row r="1440" spans="1:29" ht="14.45" customHeight="1" x14ac:dyDescent="0.25">
      <c r="A1440" s="36" t="str">
        <f>INDEX('Base de données Mono'!C:C,MATCH(B1440,'Base de données Mono'!D:D,0))</f>
        <v>ROQUETTE</v>
      </c>
      <c r="B1440" t="s">
        <v>225</v>
      </c>
      <c r="C1440" s="36" t="str">
        <f>INDEX('Base de données Mono'!B:B,MATCH(B1440,'Base de données Mono'!D:D,0))</f>
        <v>SES8</v>
      </c>
      <c r="D1440" s="36" t="str">
        <f>INDEX('Base de données Mono'!A:A,MATCH(B1440,'Base de données Mono'!D:D,0))</f>
        <v>JG</v>
      </c>
      <c r="E1440" s="37" t="s">
        <v>303</v>
      </c>
      <c r="F1440" s="41">
        <f t="shared" si="363"/>
        <v>17</v>
      </c>
      <c r="G1440" s="41">
        <f t="shared" si="364"/>
        <v>4</v>
      </c>
      <c r="I1440" s="131">
        <f>INDEX('Base de données Mono'!K:K,MATCH(B1440,'Base de données Mono'!D:D,0))</f>
        <v>0.25</v>
      </c>
      <c r="J1440" s="131">
        <f>INDEX('Base de données Mono'!L:L,MATCH(B1440,'Base de données Mono'!D:D,0))</f>
        <v>0.91666666666666663</v>
      </c>
      <c r="K1440" s="131">
        <f>INDEX('Base de données Mono'!M:M,MATCH(B1440,'Base de données Mono'!D:D,0))</f>
        <v>0.29166666666666669</v>
      </c>
      <c r="L1440" s="131">
        <f>INDEX('Base de données Mono'!N:N,MATCH(B1440,'Base de données Mono'!D:D,0))</f>
        <v>0.55208333333333337</v>
      </c>
      <c r="M1440" s="33" t="s">
        <v>46</v>
      </c>
      <c r="N1440" s="33">
        <f>IF(AND(E1440="Electricité",M1440="Hiver"),INDEX('Base de données Mono'!E:E,MATCH(B1440,'Base de données Mono'!D:D,0)),IF(AND(E1440="Electricité",M1440="Mi-saison"),INDEX('Base de données Mono'!F:F,MATCH(B1440,'Base de données Mono'!D:D,0)),IF(AND(E1440="Electricité",M1440="Eté"),INDEX('Base de données Mono'!G:G,MATCH(B1440,'Base de données Mono'!D:D,0)),IF(AND(E1440="Gaz",M1440="Hiver"),INDEX('Base de données Mono'!J:J,MATCH(B1440,'Base de données Mono'!D:D,0)),IF(AND(E1440="Gaz",M1440="Mi-saison"),INDEX('Base de données Mono'!#REF!,MATCH(B1440,'Base de données Mono'!D:D,0)),IF(AND(E1440="Gaz",M1440="Eté"),INDEX('Base de données Mono'!#REF!,MATCH(B1440,'Base de données Mono'!D:D,0)),"-"))))))</f>
        <v>60</v>
      </c>
      <c r="O1440" s="123">
        <v>45403</v>
      </c>
      <c r="P1440" s="123">
        <v>45407</v>
      </c>
      <c r="Q1440" s="34">
        <v>110</v>
      </c>
      <c r="R1440" s="33">
        <f t="shared" si="365"/>
        <v>50</v>
      </c>
      <c r="S1440" s="34">
        <v>2</v>
      </c>
      <c r="T1440" s="34">
        <f t="shared" si="362"/>
        <v>4</v>
      </c>
      <c r="U1440" s="33">
        <f t="shared" si="366"/>
        <v>400</v>
      </c>
      <c r="V1440" s="38" t="s">
        <v>827</v>
      </c>
      <c r="W1440" s="39">
        <f t="shared" si="367"/>
        <v>0.83333333333333337</v>
      </c>
      <c r="X1440" s="40" t="s">
        <v>304</v>
      </c>
      <c r="Y1440" s="40" t="s">
        <v>283</v>
      </c>
      <c r="Z1440" s="40" t="s">
        <v>749</v>
      </c>
      <c r="AA1440" s="33" t="s">
        <v>749</v>
      </c>
      <c r="AB1440" s="95"/>
      <c r="AC1440" s="95"/>
    </row>
    <row r="1441" spans="1:29" ht="14.45" customHeight="1" x14ac:dyDescent="0.25">
      <c r="A1441" s="36" t="str">
        <f>INDEX('Base de données Mono'!C:C,MATCH(B1441,'Base de données Mono'!D:D,0))</f>
        <v>ROQUETTE</v>
      </c>
      <c r="B1441" t="s">
        <v>225</v>
      </c>
      <c r="C1441" s="36" t="str">
        <f>INDEX('Base de données Mono'!B:B,MATCH(B1441,'Base de données Mono'!D:D,0))</f>
        <v>SES8</v>
      </c>
      <c r="D1441" s="36" t="str">
        <f>INDEX('Base de données Mono'!A:A,MATCH(B1441,'Base de données Mono'!D:D,0))</f>
        <v>JG</v>
      </c>
      <c r="E1441" s="37" t="s">
        <v>303</v>
      </c>
      <c r="F1441" s="41">
        <f t="shared" si="363"/>
        <v>17</v>
      </c>
      <c r="G1441" s="41">
        <f t="shared" si="364"/>
        <v>4</v>
      </c>
      <c r="I1441" s="131">
        <f>INDEX('Base de données Mono'!K:K,MATCH(B1441,'Base de données Mono'!D:D,0))</f>
        <v>0.25</v>
      </c>
      <c r="J1441" s="131">
        <f>INDEX('Base de données Mono'!L:L,MATCH(B1441,'Base de données Mono'!D:D,0))</f>
        <v>0.91666666666666663</v>
      </c>
      <c r="K1441" s="131">
        <f>INDEX('Base de données Mono'!M:M,MATCH(B1441,'Base de données Mono'!D:D,0))</f>
        <v>0.29166666666666669</v>
      </c>
      <c r="L1441" s="131">
        <f>INDEX('Base de données Mono'!N:N,MATCH(B1441,'Base de données Mono'!D:D,0))</f>
        <v>0.55208333333333337</v>
      </c>
      <c r="M1441" s="33" t="s">
        <v>46</v>
      </c>
      <c r="N1441" s="33">
        <f>IF(AND(E1441="Electricité",M1441="Hiver"),INDEX('Base de données Mono'!E:E,MATCH(B1441,'Base de données Mono'!D:D,0)),IF(AND(E1441="Electricité",M1441="Mi-saison"),INDEX('Base de données Mono'!F:F,MATCH(B1441,'Base de données Mono'!D:D,0)),IF(AND(E1441="Electricité",M1441="Eté"),INDEX('Base de données Mono'!G:G,MATCH(B1441,'Base de données Mono'!D:D,0)),IF(AND(E1441="Gaz",M1441="Hiver"),INDEX('Base de données Mono'!J:J,MATCH(B1441,'Base de données Mono'!D:D,0)),IF(AND(E1441="Gaz",M1441="Mi-saison"),INDEX('Base de données Mono'!#REF!,MATCH(B1441,'Base de données Mono'!D:D,0)),IF(AND(E1441="Gaz",M1441="Eté"),INDEX('Base de données Mono'!#REF!,MATCH(B1441,'Base de données Mono'!D:D,0)),"-"))))))</f>
        <v>60</v>
      </c>
      <c r="O1441" s="123">
        <v>45404</v>
      </c>
      <c r="P1441" s="123">
        <v>45406</v>
      </c>
      <c r="Q1441" s="34">
        <v>90</v>
      </c>
      <c r="R1441" s="33">
        <f t="shared" si="365"/>
        <v>30</v>
      </c>
      <c r="S1441" s="34">
        <v>6</v>
      </c>
      <c r="T1441" s="34">
        <f t="shared" si="362"/>
        <v>2</v>
      </c>
      <c r="U1441" s="33">
        <f t="shared" si="366"/>
        <v>360</v>
      </c>
      <c r="V1441" s="38" t="s">
        <v>827</v>
      </c>
      <c r="W1441" s="39">
        <f t="shared" si="367"/>
        <v>0.5</v>
      </c>
      <c r="X1441" s="40" t="s">
        <v>304</v>
      </c>
      <c r="Y1441" s="40" t="s">
        <v>283</v>
      </c>
      <c r="Z1441" s="40" t="s">
        <v>749</v>
      </c>
      <c r="AA1441" s="33" t="s">
        <v>749</v>
      </c>
      <c r="AB1441" s="95"/>
      <c r="AC1441" s="95"/>
    </row>
    <row r="1442" spans="1:29" ht="14.45" customHeight="1" x14ac:dyDescent="0.25">
      <c r="A1442" s="36" t="str">
        <f>INDEX('Base de données Mono'!C:C,MATCH(B1442,'Base de données Mono'!D:D,0))</f>
        <v>ROQUETTE</v>
      </c>
      <c r="B1442" t="s">
        <v>225</v>
      </c>
      <c r="C1442" s="36" t="str">
        <f>INDEX('Base de données Mono'!B:B,MATCH(B1442,'Base de données Mono'!D:D,0))</f>
        <v>SES8</v>
      </c>
      <c r="D1442" s="36" t="str">
        <f>INDEX('Base de données Mono'!A:A,MATCH(B1442,'Base de données Mono'!D:D,0))</f>
        <v>JG</v>
      </c>
      <c r="E1442" s="37" t="s">
        <v>303</v>
      </c>
      <c r="F1442" s="41">
        <f t="shared" si="363"/>
        <v>17</v>
      </c>
      <c r="G1442" s="41">
        <f t="shared" si="364"/>
        <v>4</v>
      </c>
      <c r="I1442" s="131">
        <f>INDEX('Base de données Mono'!K:K,MATCH(B1442,'Base de données Mono'!D:D,0))</f>
        <v>0.25</v>
      </c>
      <c r="J1442" s="131">
        <f>INDEX('Base de données Mono'!L:L,MATCH(B1442,'Base de données Mono'!D:D,0))</f>
        <v>0.91666666666666663</v>
      </c>
      <c r="K1442" s="131">
        <f>INDEX('Base de données Mono'!M:M,MATCH(B1442,'Base de données Mono'!D:D,0))</f>
        <v>0.29166666666666669</v>
      </c>
      <c r="L1442" s="131">
        <f>INDEX('Base de données Mono'!N:N,MATCH(B1442,'Base de données Mono'!D:D,0))</f>
        <v>0.55208333333333337</v>
      </c>
      <c r="M1442" s="33" t="s">
        <v>46</v>
      </c>
      <c r="N1442" s="33">
        <f>IF(AND(E1442="Electricité",M1442="Hiver"),INDEX('Base de données Mono'!E:E,MATCH(B1442,'Base de données Mono'!D:D,0)),IF(AND(E1442="Electricité",M1442="Mi-saison"),INDEX('Base de données Mono'!F:F,MATCH(B1442,'Base de données Mono'!D:D,0)),IF(AND(E1442="Electricité",M1442="Eté"),INDEX('Base de données Mono'!G:G,MATCH(B1442,'Base de données Mono'!D:D,0)),IF(AND(E1442="Gaz",M1442="Hiver"),INDEX('Base de données Mono'!J:J,MATCH(B1442,'Base de données Mono'!D:D,0)),IF(AND(E1442="Gaz",M1442="Mi-saison"),INDEX('Base de données Mono'!#REF!,MATCH(B1442,'Base de données Mono'!D:D,0)),IF(AND(E1442="Gaz",M1442="Eté"),INDEX('Base de données Mono'!#REF!,MATCH(B1442,'Base de données Mono'!D:D,0)),"-"))))))</f>
        <v>60</v>
      </c>
      <c r="O1442" s="123">
        <v>45406</v>
      </c>
      <c r="P1442" s="123">
        <v>45407</v>
      </c>
      <c r="Q1442" s="34">
        <v>70</v>
      </c>
      <c r="R1442" s="33">
        <f t="shared" si="365"/>
        <v>10</v>
      </c>
      <c r="S1442" s="34">
        <v>6</v>
      </c>
      <c r="T1442" s="34">
        <f t="shared" si="362"/>
        <v>1</v>
      </c>
      <c r="U1442" s="33">
        <f t="shared" si="366"/>
        <v>60</v>
      </c>
      <c r="V1442" s="38" t="s">
        <v>827</v>
      </c>
      <c r="W1442" s="39">
        <f t="shared" si="367"/>
        <v>0.16666666666666666</v>
      </c>
      <c r="X1442" s="40" t="s">
        <v>304</v>
      </c>
      <c r="Y1442" s="40" t="s">
        <v>284</v>
      </c>
      <c r="Z1442" s="40" t="s">
        <v>305</v>
      </c>
      <c r="AA1442" s="33" t="s">
        <v>771</v>
      </c>
      <c r="AB1442" s="95"/>
      <c r="AC1442" s="95"/>
    </row>
    <row r="1443" spans="1:29" ht="14.45" customHeight="1" x14ac:dyDescent="0.25">
      <c r="A1443" s="36" t="str">
        <f>INDEX('Base de données Mono'!C:C,MATCH(B1443,'Base de données Mono'!D:D,0))</f>
        <v>ROQUETTE</v>
      </c>
      <c r="B1443" t="s">
        <v>225</v>
      </c>
      <c r="C1443" s="36" t="str">
        <f>INDEX('Base de données Mono'!B:B,MATCH(B1443,'Base de données Mono'!D:D,0))</f>
        <v>SES8</v>
      </c>
      <c r="D1443" s="36" t="str">
        <f>INDEX('Base de données Mono'!A:A,MATCH(B1443,'Base de données Mono'!D:D,0))</f>
        <v>JG</v>
      </c>
      <c r="E1443" s="37" t="s">
        <v>303</v>
      </c>
      <c r="F1443" s="41">
        <f t="shared" si="363"/>
        <v>17</v>
      </c>
      <c r="G1443" s="41">
        <f t="shared" si="364"/>
        <v>4</v>
      </c>
      <c r="I1443" s="131">
        <f>INDEX('Base de données Mono'!K:K,MATCH(B1443,'Base de données Mono'!D:D,0))</f>
        <v>0.25</v>
      </c>
      <c r="J1443" s="131">
        <f>INDEX('Base de données Mono'!L:L,MATCH(B1443,'Base de données Mono'!D:D,0))</f>
        <v>0.91666666666666663</v>
      </c>
      <c r="K1443" s="131">
        <f>INDEX('Base de données Mono'!M:M,MATCH(B1443,'Base de données Mono'!D:D,0))</f>
        <v>0.29166666666666669</v>
      </c>
      <c r="L1443" s="131">
        <f>INDEX('Base de données Mono'!N:N,MATCH(B1443,'Base de données Mono'!D:D,0))</f>
        <v>0.55208333333333337</v>
      </c>
      <c r="M1443" s="33" t="s">
        <v>46</v>
      </c>
      <c r="N1443" s="33">
        <f>IF(AND(E1443="Electricité",M1443="Hiver"),INDEX('Base de données Mono'!E:E,MATCH(B1443,'Base de données Mono'!D:D,0)),IF(AND(E1443="Electricité",M1443="Mi-saison"),INDEX('Base de données Mono'!F:F,MATCH(B1443,'Base de données Mono'!D:D,0)),IF(AND(E1443="Electricité",M1443="Eté"),INDEX('Base de données Mono'!G:G,MATCH(B1443,'Base de données Mono'!D:D,0)),IF(AND(E1443="Gaz",M1443="Hiver"),INDEX('Base de données Mono'!J:J,MATCH(B1443,'Base de données Mono'!D:D,0)),IF(AND(E1443="Gaz",M1443="Mi-saison"),INDEX('Base de données Mono'!#REF!,MATCH(B1443,'Base de données Mono'!D:D,0)),IF(AND(E1443="Gaz",M1443="Eté"),INDEX('Base de données Mono'!#REF!,MATCH(B1443,'Base de données Mono'!D:D,0)),"-"))))))</f>
        <v>60</v>
      </c>
      <c r="O1443" s="123">
        <v>45407</v>
      </c>
      <c r="P1443" s="123">
        <v>45408</v>
      </c>
      <c r="Q1443" s="34">
        <v>90</v>
      </c>
      <c r="R1443" s="33">
        <f t="shared" si="365"/>
        <v>30</v>
      </c>
      <c r="S1443" s="34">
        <v>8</v>
      </c>
      <c r="T1443" s="34">
        <f t="shared" si="362"/>
        <v>1</v>
      </c>
      <c r="U1443" s="33">
        <f t="shared" si="366"/>
        <v>240</v>
      </c>
      <c r="V1443" s="38" t="s">
        <v>827</v>
      </c>
      <c r="W1443" s="39">
        <f t="shared" si="367"/>
        <v>0.5</v>
      </c>
      <c r="X1443" s="40" t="s">
        <v>304</v>
      </c>
      <c r="Y1443" s="40" t="s">
        <v>283</v>
      </c>
      <c r="Z1443" s="40" t="s">
        <v>749</v>
      </c>
      <c r="AA1443" s="33" t="s">
        <v>749</v>
      </c>
      <c r="AB1443" s="95"/>
      <c r="AC1443" s="95"/>
    </row>
    <row r="1444" spans="1:29" ht="14.45" customHeight="1" x14ac:dyDescent="0.25">
      <c r="A1444" s="36" t="str">
        <f>INDEX('Base de données Mono'!C:C,MATCH(B1444,'Base de données Mono'!D:D,0))</f>
        <v>ROQUETTE</v>
      </c>
      <c r="B1444" t="s">
        <v>225</v>
      </c>
      <c r="C1444" s="36" t="str">
        <f>INDEX('Base de données Mono'!B:B,MATCH(B1444,'Base de données Mono'!D:D,0))</f>
        <v>SES8</v>
      </c>
      <c r="D1444" s="36" t="str">
        <f>INDEX('Base de données Mono'!A:A,MATCH(B1444,'Base de données Mono'!D:D,0))</f>
        <v>JG</v>
      </c>
      <c r="E1444" s="37" t="s">
        <v>303</v>
      </c>
      <c r="F1444" s="41">
        <f t="shared" si="363"/>
        <v>17</v>
      </c>
      <c r="G1444" s="41">
        <f t="shared" si="364"/>
        <v>4</v>
      </c>
      <c r="I1444" s="131">
        <f>INDEX('Base de données Mono'!K:K,MATCH(B1444,'Base de données Mono'!D:D,0))</f>
        <v>0.25</v>
      </c>
      <c r="J1444" s="131">
        <f>INDEX('Base de données Mono'!L:L,MATCH(B1444,'Base de données Mono'!D:D,0))</f>
        <v>0.91666666666666663</v>
      </c>
      <c r="K1444" s="131">
        <f>INDEX('Base de données Mono'!M:M,MATCH(B1444,'Base de données Mono'!D:D,0))</f>
        <v>0.29166666666666669</v>
      </c>
      <c r="L1444" s="131">
        <f>INDEX('Base de données Mono'!N:N,MATCH(B1444,'Base de données Mono'!D:D,0))</f>
        <v>0.55208333333333337</v>
      </c>
      <c r="M1444" s="33" t="s">
        <v>46</v>
      </c>
      <c r="N1444" s="33">
        <f>IF(AND(E1444="Electricité",M1444="Hiver"),INDEX('Base de données Mono'!E:E,MATCH(B1444,'Base de données Mono'!D:D,0)),IF(AND(E1444="Electricité",M1444="Mi-saison"),INDEX('Base de données Mono'!F:F,MATCH(B1444,'Base de données Mono'!D:D,0)),IF(AND(E1444="Electricité",M1444="Eté"),INDEX('Base de données Mono'!G:G,MATCH(B1444,'Base de données Mono'!D:D,0)),IF(AND(E1444="Gaz",M1444="Hiver"),INDEX('Base de données Mono'!J:J,MATCH(B1444,'Base de données Mono'!D:D,0)),IF(AND(E1444="Gaz",M1444="Mi-saison"),INDEX('Base de données Mono'!#REF!,MATCH(B1444,'Base de données Mono'!D:D,0)),IF(AND(E1444="Gaz",M1444="Eté"),INDEX('Base de données Mono'!#REF!,MATCH(B1444,'Base de données Mono'!D:D,0)),"-"))))))</f>
        <v>60</v>
      </c>
      <c r="O1444" s="123">
        <v>45408</v>
      </c>
      <c r="P1444" s="123">
        <v>45410</v>
      </c>
      <c r="Q1444" s="34">
        <v>75</v>
      </c>
      <c r="R1444" s="33">
        <f t="shared" si="365"/>
        <v>15</v>
      </c>
      <c r="S1444" s="34">
        <v>8</v>
      </c>
      <c r="T1444" s="34">
        <f t="shared" si="362"/>
        <v>2</v>
      </c>
      <c r="U1444" s="33">
        <f t="shared" si="366"/>
        <v>240</v>
      </c>
      <c r="V1444" s="38" t="s">
        <v>827</v>
      </c>
      <c r="W1444" s="39">
        <f t="shared" si="367"/>
        <v>0.25</v>
      </c>
      <c r="X1444" s="40" t="s">
        <v>304</v>
      </c>
      <c r="Y1444" s="40" t="s">
        <v>284</v>
      </c>
      <c r="Z1444" s="40" t="s">
        <v>305</v>
      </c>
      <c r="AA1444" s="33" t="s">
        <v>771</v>
      </c>
      <c r="AB1444" s="95"/>
      <c r="AC1444" s="95"/>
    </row>
    <row r="1445" spans="1:29" ht="14.45" customHeight="1" x14ac:dyDescent="0.25">
      <c r="A1445" s="36" t="str">
        <f>INDEX('Base de données Mono'!C:C,MATCH(B1445,'Base de données Mono'!D:D,0))</f>
        <v>GRENOBLE CASERNE</v>
      </c>
      <c r="B1445" t="s">
        <v>135</v>
      </c>
      <c r="C1445" s="36" t="str">
        <f>INDEX('Base de données Mono'!B:B,MATCH(B1445,'Base de données Mono'!D:D,0))</f>
        <v>SES8</v>
      </c>
      <c r="D1445" s="36" t="str">
        <f>INDEX('Base de données Mono'!A:A,MATCH(B1445,'Base de données Mono'!D:D,0))</f>
        <v>JG</v>
      </c>
      <c r="E1445" s="37" t="s">
        <v>303</v>
      </c>
      <c r="F1445" s="41">
        <f t="shared" si="363"/>
        <v>17</v>
      </c>
      <c r="G1445" s="41">
        <f t="shared" si="364"/>
        <v>4</v>
      </c>
      <c r="I1445" s="131">
        <f>INDEX('Base de données Mono'!K:K,MATCH(B1445,'Base de données Mono'!D:D,0))</f>
        <v>0.22222222222222221</v>
      </c>
      <c r="J1445" s="131">
        <f>INDEX('Base de données Mono'!L:L,MATCH(B1445,'Base de données Mono'!D:D,0))</f>
        <v>0.89583333333333337</v>
      </c>
      <c r="K1445" s="131">
        <f>INDEX('Base de données Mono'!M:M,MATCH(B1445,'Base de données Mono'!D:D,0))</f>
        <v>0.3125</v>
      </c>
      <c r="L1445" s="131">
        <f>INDEX('Base de données Mono'!N:N,MATCH(B1445,'Base de données Mono'!D:D,0))</f>
        <v>0.55208333333333337</v>
      </c>
      <c r="M1445" s="33" t="s">
        <v>46</v>
      </c>
      <c r="N1445" s="33">
        <f>IF(AND(E1445="Electricité",M1445="Hiver"),INDEX('Base de données Mono'!E:E,MATCH(B1445,'Base de données Mono'!D:D,0)),IF(AND(E1445="Electricité",M1445="Mi-saison"),INDEX('Base de données Mono'!F:F,MATCH(B1445,'Base de données Mono'!D:D,0)),IF(AND(E1445="Electricité",M1445="Eté"),INDEX('Base de données Mono'!G:G,MATCH(B1445,'Base de données Mono'!D:D,0)),IF(AND(E1445="Gaz",M1445="Hiver"),INDEX('Base de données Mono'!J:J,MATCH(B1445,'Base de données Mono'!D:D,0)),IF(AND(E1445="Gaz",M1445="Mi-saison"),INDEX('Base de données Mono'!#REF!,MATCH(B1445,'Base de données Mono'!D:D,0)),IF(AND(E1445="Gaz",M1445="Eté"),INDEX('Base de données Mono'!#REF!,MATCH(B1445,'Base de données Mono'!D:D,0)),"-"))))))</f>
        <v>40</v>
      </c>
      <c r="O1445" s="123">
        <v>45403</v>
      </c>
      <c r="P1445" s="123">
        <v>45404</v>
      </c>
      <c r="Q1445" s="34">
        <v>70</v>
      </c>
      <c r="R1445" s="33">
        <f t="shared" si="365"/>
        <v>30</v>
      </c>
      <c r="S1445" s="34">
        <v>0.3</v>
      </c>
      <c r="T1445" s="34">
        <f t="shared" si="362"/>
        <v>1</v>
      </c>
      <c r="U1445" s="33">
        <f t="shared" si="366"/>
        <v>9</v>
      </c>
      <c r="V1445" s="38" t="s">
        <v>827</v>
      </c>
      <c r="W1445" s="39">
        <f t="shared" si="367"/>
        <v>0.75</v>
      </c>
      <c r="X1445" s="40" t="s">
        <v>304</v>
      </c>
      <c r="Y1445" s="40" t="s">
        <v>284</v>
      </c>
      <c r="Z1445" s="40" t="s">
        <v>307</v>
      </c>
      <c r="AA1445" s="33" t="s">
        <v>414</v>
      </c>
      <c r="AB1445" s="95"/>
      <c r="AC1445" s="95"/>
    </row>
    <row r="1446" spans="1:29" ht="14.45" customHeight="1" x14ac:dyDescent="0.25">
      <c r="A1446" s="36" t="str">
        <f>INDEX('Base de données Mono'!C:C,MATCH(B1446,'Base de données Mono'!D:D,0))</f>
        <v>GRENOBLE CASERNE</v>
      </c>
      <c r="B1446" t="s">
        <v>135</v>
      </c>
      <c r="C1446" s="36" t="str">
        <f>INDEX('Base de données Mono'!B:B,MATCH(B1446,'Base de données Mono'!D:D,0))</f>
        <v>SES8</v>
      </c>
      <c r="D1446" s="36" t="str">
        <f>INDEX('Base de données Mono'!A:A,MATCH(B1446,'Base de données Mono'!D:D,0))</f>
        <v>JG</v>
      </c>
      <c r="E1446" s="37" t="s">
        <v>303</v>
      </c>
      <c r="F1446" s="41">
        <f t="shared" si="363"/>
        <v>17</v>
      </c>
      <c r="G1446" s="41">
        <f t="shared" si="364"/>
        <v>4</v>
      </c>
      <c r="I1446" s="131">
        <f>INDEX('Base de données Mono'!K:K,MATCH(B1446,'Base de données Mono'!D:D,0))</f>
        <v>0.22222222222222221</v>
      </c>
      <c r="J1446" s="131">
        <f>INDEX('Base de données Mono'!L:L,MATCH(B1446,'Base de données Mono'!D:D,0))</f>
        <v>0.89583333333333337</v>
      </c>
      <c r="K1446" s="131">
        <f>INDEX('Base de données Mono'!M:M,MATCH(B1446,'Base de données Mono'!D:D,0))</f>
        <v>0.3125</v>
      </c>
      <c r="L1446" s="131">
        <f>INDEX('Base de données Mono'!N:N,MATCH(B1446,'Base de données Mono'!D:D,0))</f>
        <v>0.55208333333333337</v>
      </c>
      <c r="M1446" s="33" t="s">
        <v>46</v>
      </c>
      <c r="N1446" s="33">
        <f>IF(AND(E1446="Electricité",M1446="Hiver"),INDEX('Base de données Mono'!E:E,MATCH(B1446,'Base de données Mono'!D:D,0)),IF(AND(E1446="Electricité",M1446="Mi-saison"),INDEX('Base de données Mono'!F:F,MATCH(B1446,'Base de données Mono'!D:D,0)),IF(AND(E1446="Electricité",M1446="Eté"),INDEX('Base de données Mono'!G:G,MATCH(B1446,'Base de données Mono'!D:D,0)),IF(AND(E1446="Gaz",M1446="Hiver"),INDEX('Base de données Mono'!J:J,MATCH(B1446,'Base de données Mono'!D:D,0)),IF(AND(E1446="Gaz",M1446="Mi-saison"),INDEX('Base de données Mono'!#REF!,MATCH(B1446,'Base de données Mono'!D:D,0)),IF(AND(E1446="Gaz",M1446="Eté"),INDEX('Base de données Mono'!#REF!,MATCH(B1446,'Base de données Mono'!D:D,0)),"-"))))))</f>
        <v>40</v>
      </c>
      <c r="O1446" s="123">
        <v>45404</v>
      </c>
      <c r="P1446" s="123">
        <v>45405</v>
      </c>
      <c r="Q1446" s="34">
        <v>60</v>
      </c>
      <c r="R1446" s="33">
        <f t="shared" si="365"/>
        <v>20</v>
      </c>
      <c r="S1446" s="34">
        <v>7.8</v>
      </c>
      <c r="T1446" s="34">
        <f t="shared" si="362"/>
        <v>1</v>
      </c>
      <c r="U1446" s="33">
        <f t="shared" si="366"/>
        <v>156</v>
      </c>
      <c r="V1446" s="38" t="s">
        <v>827</v>
      </c>
      <c r="W1446" s="39">
        <f t="shared" si="367"/>
        <v>0.5</v>
      </c>
      <c r="X1446" s="40" t="s">
        <v>304</v>
      </c>
      <c r="Y1446" s="40" t="s">
        <v>284</v>
      </c>
      <c r="Z1446" s="40" t="s">
        <v>311</v>
      </c>
      <c r="AA1446" s="33" t="s">
        <v>775</v>
      </c>
      <c r="AB1446" s="95"/>
      <c r="AC1446" s="95"/>
    </row>
    <row r="1447" spans="1:29" ht="14.45" customHeight="1" x14ac:dyDescent="0.25">
      <c r="A1447" s="36" t="str">
        <f>INDEX('Base de données Mono'!C:C,MATCH(B1447,'Base de données Mono'!D:D,0))</f>
        <v>GRENOBLE CASERNE</v>
      </c>
      <c r="B1447" t="s">
        <v>135</v>
      </c>
      <c r="C1447" s="36" t="str">
        <f>INDEX('Base de données Mono'!B:B,MATCH(B1447,'Base de données Mono'!D:D,0))</f>
        <v>SES8</v>
      </c>
      <c r="D1447" s="36" t="str">
        <f>INDEX('Base de données Mono'!A:A,MATCH(B1447,'Base de données Mono'!D:D,0))</f>
        <v>JG</v>
      </c>
      <c r="E1447" s="37" t="s">
        <v>303</v>
      </c>
      <c r="F1447" s="41">
        <f t="shared" si="363"/>
        <v>17</v>
      </c>
      <c r="G1447" s="41">
        <f t="shared" si="364"/>
        <v>4</v>
      </c>
      <c r="I1447" s="131">
        <f>INDEX('Base de données Mono'!K:K,MATCH(B1447,'Base de données Mono'!D:D,0))</f>
        <v>0.22222222222222221</v>
      </c>
      <c r="J1447" s="131">
        <f>INDEX('Base de données Mono'!L:L,MATCH(B1447,'Base de données Mono'!D:D,0))</f>
        <v>0.89583333333333337</v>
      </c>
      <c r="K1447" s="131">
        <f>INDEX('Base de données Mono'!M:M,MATCH(B1447,'Base de données Mono'!D:D,0))</f>
        <v>0.3125</v>
      </c>
      <c r="L1447" s="131">
        <f>INDEX('Base de données Mono'!N:N,MATCH(B1447,'Base de données Mono'!D:D,0))</f>
        <v>0.55208333333333337</v>
      </c>
      <c r="M1447" s="33" t="s">
        <v>46</v>
      </c>
      <c r="N1447" s="33">
        <f>IF(AND(E1447="Electricité",M1447="Hiver"),INDEX('Base de données Mono'!E:E,MATCH(B1447,'Base de données Mono'!D:D,0)),IF(AND(E1447="Electricité",M1447="Mi-saison"),INDEX('Base de données Mono'!F:F,MATCH(B1447,'Base de données Mono'!D:D,0)),IF(AND(E1447="Electricité",M1447="Eté"),INDEX('Base de données Mono'!G:G,MATCH(B1447,'Base de données Mono'!D:D,0)),IF(AND(E1447="Gaz",M1447="Hiver"),INDEX('Base de données Mono'!J:J,MATCH(B1447,'Base de données Mono'!D:D,0)),IF(AND(E1447="Gaz",M1447="Mi-saison"),INDEX('Base de données Mono'!#REF!,MATCH(B1447,'Base de données Mono'!D:D,0)),IF(AND(E1447="Gaz",M1447="Eté"),INDEX('Base de données Mono'!#REF!,MATCH(B1447,'Base de données Mono'!D:D,0)),"-"))))))</f>
        <v>40</v>
      </c>
      <c r="O1447" s="123">
        <v>45406</v>
      </c>
      <c r="P1447" s="123">
        <v>45407</v>
      </c>
      <c r="Q1447" s="34">
        <v>60</v>
      </c>
      <c r="R1447" s="33">
        <f>IF(Q1447="","",Q1447-N1447)</f>
        <v>20</v>
      </c>
      <c r="S1447" s="34">
        <v>7.8</v>
      </c>
      <c r="T1447" s="34">
        <f>P1447-O1447</f>
        <v>1</v>
      </c>
      <c r="U1447" s="33">
        <f>R1447*S1447*T1447</f>
        <v>156</v>
      </c>
      <c r="V1447" s="38" t="s">
        <v>827</v>
      </c>
      <c r="W1447" s="39">
        <f>IFERROR(IF(E1447="Gaz","-",R1447/N1447),"-")</f>
        <v>0.5</v>
      </c>
      <c r="X1447" s="40" t="s">
        <v>304</v>
      </c>
      <c r="Y1447" s="40" t="s">
        <v>284</v>
      </c>
      <c r="Z1447" s="40" t="s">
        <v>311</v>
      </c>
      <c r="AA1447" s="33" t="s">
        <v>775</v>
      </c>
      <c r="AB1447" s="95"/>
      <c r="AC1447" s="95"/>
    </row>
    <row r="1448" spans="1:29" ht="14.45" customHeight="1" x14ac:dyDescent="0.25">
      <c r="A1448" s="36" t="str">
        <f>INDEX('Base de données Mono'!C:C,MATCH(B1448,'Base de données Mono'!D:D,0))</f>
        <v>TERNES</v>
      </c>
      <c r="B1448" t="s">
        <v>251</v>
      </c>
      <c r="C1448" s="36" t="str">
        <f>INDEX('Base de données Mono'!B:B,MATCH(B1448,'Base de données Mono'!D:D,0))</f>
        <v>SES8</v>
      </c>
      <c r="D1448" s="36" t="str">
        <f>INDEX('Base de données Mono'!A:A,MATCH(B1448,'Base de données Mono'!D:D,0))</f>
        <v>AD</v>
      </c>
      <c r="E1448" s="37" t="s">
        <v>303</v>
      </c>
      <c r="F1448" s="41">
        <f t="shared" si="363"/>
        <v>17</v>
      </c>
      <c r="G1448" s="41">
        <f t="shared" si="364"/>
        <v>4</v>
      </c>
      <c r="I1448" s="131">
        <f>INDEX('Base de données Mono'!K:K,MATCH(B1448,'Base de données Mono'!D:D,0))</f>
        <v>0.1875</v>
      </c>
      <c r="J1448" s="131">
        <f>INDEX('Base de données Mono'!L:L,MATCH(B1448,'Base de données Mono'!D:D,0))</f>
        <v>0.89583333333333337</v>
      </c>
      <c r="K1448" s="131">
        <f>INDEX('Base de données Mono'!M:M,MATCH(B1448,'Base de données Mono'!D:D,0))</f>
        <v>0.22916666666666666</v>
      </c>
      <c r="L1448" s="131">
        <f>INDEX('Base de données Mono'!N:N,MATCH(B1448,'Base de données Mono'!D:D,0))</f>
        <v>0.8125</v>
      </c>
      <c r="M1448" s="33" t="s">
        <v>46</v>
      </c>
      <c r="N1448" s="33">
        <f>IF(AND(E1448="Electricité",M1448="Hiver"),INDEX('Base de données Mono'!E:E,MATCH(B1448,'Base de données Mono'!D:D,0)),IF(AND(E1448="Electricité",M1448="Mi-saison"),INDEX('Base de données Mono'!F:F,MATCH(B1448,'Base de données Mono'!D:D,0)),IF(AND(E1448="Electricité",M1448="Eté"),INDEX('Base de données Mono'!G:G,MATCH(B1448,'Base de données Mono'!D:D,0)),IF(AND(E1448="Gaz",M1448="Hiver"),INDEX('Base de données Mono'!J:J,MATCH(B1448,'Base de données Mono'!D:D,0)),IF(AND(E1448="Gaz",M1448="Mi-saison"),INDEX('Base de données Mono'!#REF!,MATCH(B1448,'Base de données Mono'!D:D,0)),IF(AND(E1448="Gaz",M1448="Eté"),INDEX('Base de données Mono'!#REF!,MATCH(B1448,'Base de données Mono'!D:D,0)),"-"))))))</f>
        <v>80</v>
      </c>
      <c r="O1448" s="123">
        <v>45403</v>
      </c>
      <c r="P1448" s="123">
        <v>45407</v>
      </c>
      <c r="Q1448" s="34">
        <v>105</v>
      </c>
      <c r="R1448" s="33">
        <f t="shared" ref="R1448" si="368">IF(Q1448="","",Q1448-N1448)</f>
        <v>25</v>
      </c>
      <c r="S1448" s="34">
        <v>0.5</v>
      </c>
      <c r="T1448" s="34">
        <f t="shared" ref="T1448" si="369">P1448-O1448</f>
        <v>4</v>
      </c>
      <c r="U1448" s="33">
        <f t="shared" ref="U1448" si="370">R1448*S1448*T1448</f>
        <v>50</v>
      </c>
      <c r="V1448" s="38" t="s">
        <v>827</v>
      </c>
      <c r="W1448" s="39">
        <f t="shared" ref="W1448" si="371">IFERROR(IF(E1448="Gaz","-",R1448/N1448),"-")</f>
        <v>0.3125</v>
      </c>
      <c r="X1448" s="40" t="s">
        <v>304</v>
      </c>
      <c r="Y1448" s="40" t="s">
        <v>284</v>
      </c>
      <c r="Z1448" s="40" t="s">
        <v>305</v>
      </c>
      <c r="AA1448" s="33" t="s">
        <v>771</v>
      </c>
      <c r="AB1448" s="95"/>
      <c r="AC1448" s="95"/>
    </row>
    <row r="1449" spans="1:29" ht="14.45" customHeight="1" x14ac:dyDescent="0.25">
      <c r="A1449" s="36" t="str">
        <f>INDEX('Base de données Mono'!C:C,MATCH(B1449,'Base de données Mono'!D:D,0))</f>
        <v>TERNES</v>
      </c>
      <c r="B1449" t="s">
        <v>251</v>
      </c>
      <c r="C1449" s="36" t="str">
        <f>INDEX('Base de données Mono'!B:B,MATCH(B1449,'Base de données Mono'!D:D,0))</f>
        <v>SES8</v>
      </c>
      <c r="D1449" s="36" t="str">
        <f>INDEX('Base de données Mono'!A:A,MATCH(B1449,'Base de données Mono'!D:D,0))</f>
        <v>AD</v>
      </c>
      <c r="E1449" s="37" t="s">
        <v>303</v>
      </c>
      <c r="F1449" s="41">
        <f t="shared" si="363"/>
        <v>17</v>
      </c>
      <c r="G1449" s="41">
        <f t="shared" si="364"/>
        <v>4</v>
      </c>
      <c r="I1449" s="131">
        <f>INDEX('Base de données Mono'!K:K,MATCH(B1449,'Base de données Mono'!D:D,0))</f>
        <v>0.1875</v>
      </c>
      <c r="J1449" s="131">
        <f>INDEX('Base de données Mono'!L:L,MATCH(B1449,'Base de données Mono'!D:D,0))</f>
        <v>0.89583333333333337</v>
      </c>
      <c r="K1449" s="131">
        <f>INDEX('Base de données Mono'!M:M,MATCH(B1449,'Base de données Mono'!D:D,0))</f>
        <v>0.22916666666666666</v>
      </c>
      <c r="L1449" s="131">
        <f>INDEX('Base de données Mono'!N:N,MATCH(B1449,'Base de données Mono'!D:D,0))</f>
        <v>0.8125</v>
      </c>
      <c r="M1449" s="33" t="s">
        <v>46</v>
      </c>
      <c r="N1449" s="33">
        <f>IF(AND(E1449="Electricité",M1449="Hiver"),INDEX('Base de données Mono'!E:E,MATCH(B1449,'Base de données Mono'!D:D,0)),IF(AND(E1449="Electricité",M1449="Mi-saison"),INDEX('Base de données Mono'!F:F,MATCH(B1449,'Base de données Mono'!D:D,0)),IF(AND(E1449="Electricité",M1449="Eté"),INDEX('Base de données Mono'!G:G,MATCH(B1449,'Base de données Mono'!D:D,0)),IF(AND(E1449="Gaz",M1449="Hiver"),INDEX('Base de données Mono'!J:J,MATCH(B1449,'Base de données Mono'!D:D,0)),IF(AND(E1449="Gaz",M1449="Mi-saison"),INDEX('Base de données Mono'!#REF!,MATCH(B1449,'Base de données Mono'!D:D,0)),IF(AND(E1449="Gaz",M1449="Eté"),INDEX('Base de données Mono'!#REF!,MATCH(B1449,'Base de données Mono'!D:D,0)),"-"))))))</f>
        <v>80</v>
      </c>
      <c r="O1449" s="123">
        <v>45407</v>
      </c>
      <c r="P1449" s="123">
        <v>45409</v>
      </c>
      <c r="Q1449" s="34">
        <v>110</v>
      </c>
      <c r="R1449" s="33">
        <f t="shared" si="365"/>
        <v>30</v>
      </c>
      <c r="S1449" s="34">
        <v>0.5</v>
      </c>
      <c r="T1449" s="34">
        <f t="shared" si="362"/>
        <v>2</v>
      </c>
      <c r="U1449" s="33">
        <f t="shared" si="366"/>
        <v>30</v>
      </c>
      <c r="V1449" s="38" t="s">
        <v>827</v>
      </c>
      <c r="W1449" s="39">
        <f t="shared" si="367"/>
        <v>0.375</v>
      </c>
      <c r="X1449" s="40" t="s">
        <v>304</v>
      </c>
      <c r="Y1449" s="40" t="s">
        <v>284</v>
      </c>
      <c r="Z1449" s="40" t="s">
        <v>305</v>
      </c>
      <c r="AA1449" s="33" t="s">
        <v>771</v>
      </c>
      <c r="AB1449" s="95"/>
      <c r="AC1449" s="95"/>
    </row>
    <row r="1450" spans="1:29" ht="14.45" customHeight="1" x14ac:dyDescent="0.25">
      <c r="A1450" s="36" t="str">
        <f>INDEX('Base de données Mono'!C:C,MATCH(B1450,'Base de données Mono'!D:D,0))</f>
        <v>TERNES</v>
      </c>
      <c r="B1450" t="s">
        <v>251</v>
      </c>
      <c r="C1450" s="36" t="str">
        <f>INDEX('Base de données Mono'!B:B,MATCH(B1450,'Base de données Mono'!D:D,0))</f>
        <v>SES8</v>
      </c>
      <c r="D1450" s="36" t="str">
        <f>INDEX('Base de données Mono'!A:A,MATCH(B1450,'Base de données Mono'!D:D,0))</f>
        <v>AD</v>
      </c>
      <c r="E1450" s="37" t="s">
        <v>303</v>
      </c>
      <c r="F1450" s="41">
        <f t="shared" si="363"/>
        <v>17</v>
      </c>
      <c r="G1450" s="41">
        <f t="shared" si="364"/>
        <v>4</v>
      </c>
      <c r="I1450" s="131">
        <f>INDEX('Base de données Mono'!K:K,MATCH(B1450,'Base de données Mono'!D:D,0))</f>
        <v>0.1875</v>
      </c>
      <c r="J1450" s="131">
        <f>INDEX('Base de données Mono'!L:L,MATCH(B1450,'Base de données Mono'!D:D,0))</f>
        <v>0.89583333333333337</v>
      </c>
      <c r="K1450" s="131">
        <f>INDEX('Base de données Mono'!M:M,MATCH(B1450,'Base de données Mono'!D:D,0))</f>
        <v>0.22916666666666666</v>
      </c>
      <c r="L1450" s="131">
        <f>INDEX('Base de données Mono'!N:N,MATCH(B1450,'Base de données Mono'!D:D,0))</f>
        <v>0.8125</v>
      </c>
      <c r="M1450" s="33" t="s">
        <v>46</v>
      </c>
      <c r="N1450" s="33">
        <f>IF(AND(E1450="Electricité",M1450="Hiver"),INDEX('Base de données Mono'!E:E,MATCH(B1450,'Base de données Mono'!D:D,0)),IF(AND(E1450="Electricité",M1450="Mi-saison"),INDEX('Base de données Mono'!F:F,MATCH(B1450,'Base de données Mono'!D:D,0)),IF(AND(E1450="Electricité",M1450="Eté"),INDEX('Base de données Mono'!G:G,MATCH(B1450,'Base de données Mono'!D:D,0)),IF(AND(E1450="Gaz",M1450="Hiver"),INDEX('Base de données Mono'!J:J,MATCH(B1450,'Base de données Mono'!D:D,0)),IF(AND(E1450="Gaz",M1450="Mi-saison"),INDEX('Base de données Mono'!#REF!,MATCH(B1450,'Base de données Mono'!D:D,0)),IF(AND(E1450="Gaz",M1450="Eté"),INDEX('Base de données Mono'!#REF!,MATCH(B1450,'Base de données Mono'!D:D,0)),"-"))))))</f>
        <v>80</v>
      </c>
      <c r="O1450" s="123">
        <v>45404</v>
      </c>
      <c r="P1450" s="123">
        <v>45410</v>
      </c>
      <c r="Q1450" s="34">
        <v>125</v>
      </c>
      <c r="R1450" s="33">
        <f t="shared" si="365"/>
        <v>45</v>
      </c>
      <c r="S1450" s="34">
        <v>0.5</v>
      </c>
      <c r="T1450" s="34">
        <f t="shared" si="362"/>
        <v>6</v>
      </c>
      <c r="U1450" s="33">
        <f t="shared" si="366"/>
        <v>135</v>
      </c>
      <c r="V1450" s="38" t="s">
        <v>827</v>
      </c>
      <c r="W1450" s="39">
        <f t="shared" si="367"/>
        <v>0.5625</v>
      </c>
      <c r="X1450" s="40" t="s">
        <v>304</v>
      </c>
      <c r="Y1450" s="40" t="s">
        <v>284</v>
      </c>
      <c r="Z1450" s="40" t="s">
        <v>307</v>
      </c>
      <c r="AA1450" s="33" t="s">
        <v>313</v>
      </c>
      <c r="AB1450" s="95"/>
      <c r="AC1450" s="95"/>
    </row>
    <row r="1451" spans="1:29" ht="14.45" customHeight="1" x14ac:dyDescent="0.25">
      <c r="A1451" s="36" t="str">
        <f>INDEX('Base de données Mono'!C:C,MATCH(B1451,'Base de données Mono'!D:D,0))</f>
        <v>LES TOITS DE BOULOGNE</v>
      </c>
      <c r="B1451" t="s">
        <v>158</v>
      </c>
      <c r="C1451" s="36" t="str">
        <f>INDEX('Base de données Mono'!B:B,MATCH(B1451,'Base de données Mono'!D:D,0))</f>
        <v>SES8</v>
      </c>
      <c r="D1451" s="36" t="str">
        <f>INDEX('Base de données Mono'!A:A,MATCH(B1451,'Base de données Mono'!D:D,0))</f>
        <v>AD</v>
      </c>
      <c r="E1451" s="37" t="s">
        <v>303</v>
      </c>
      <c r="F1451" s="41">
        <f>IF(O1451="","-",IF(AND(X1451="Nuit",WEEKDAY(O1451,2)=7,O1451&lt;&gt;P1451),WEEKNUM(O1451,2),WEEKNUM(O1451,2)-1))+1</f>
        <v>17</v>
      </c>
      <c r="G1451" s="41">
        <f>IF(O1451="","-",MONTH(O1451))</f>
        <v>4</v>
      </c>
      <c r="I1451" s="131">
        <f>INDEX('Base de données Mono'!K:K,MATCH(B1451,'Base de données Mono'!D:D,0))</f>
        <v>0.22916666666666666</v>
      </c>
      <c r="J1451" s="131">
        <f>INDEX('Base de données Mono'!L:L,MATCH(B1451,'Base de données Mono'!D:D,0))</f>
        <v>0.875</v>
      </c>
      <c r="K1451" s="131">
        <f>INDEX('Base de données Mono'!M:M,MATCH(B1451,'Base de données Mono'!D:D,0))</f>
        <v>0.29166666666666669</v>
      </c>
      <c r="L1451" s="131">
        <f>INDEX('Base de données Mono'!N:N,MATCH(B1451,'Base de données Mono'!D:D,0))</f>
        <v>0.83333333333333337</v>
      </c>
      <c r="M1451" s="33" t="s">
        <v>46</v>
      </c>
      <c r="N1451" s="33">
        <f>IF(AND(E1451="Electricité",M1451="Hiver"),INDEX('Base de données Mono'!E:E,MATCH(B1451,'Base de données Mono'!D:D,0)),IF(AND(E1451="Electricité",M1451="Mi-saison"),INDEX('Base de données Mono'!F:F,MATCH(B1451,'Base de données Mono'!D:D,0)),IF(AND(E1451="Electricité",M1451="Eté"),INDEX('Base de données Mono'!G:G,MATCH(B1451,'Base de données Mono'!D:D,0)),IF(AND(E1451="Gaz",M1451="Hiver"),INDEX('Base de données Mono'!J:J,MATCH(B1451,'Base de données Mono'!D:D,0)),IF(AND(E1451="Gaz",M1451="Mi-saison"),INDEX('Base de données Mono'!#REF!,MATCH(B1451,'Base de données Mono'!D:D,0)),IF(AND(E1451="Gaz",M1451="Eté"),INDEX('Base de données Mono'!#REF!,MATCH(B1451,'Base de données Mono'!D:D,0)),"-"))))))</f>
        <v>70</v>
      </c>
      <c r="O1451" s="123">
        <v>45403</v>
      </c>
      <c r="P1451" s="123">
        <v>45404</v>
      </c>
      <c r="Q1451" s="34">
        <v>105</v>
      </c>
      <c r="R1451" s="33">
        <f t="shared" si="365"/>
        <v>35</v>
      </c>
      <c r="S1451" s="34">
        <v>8.5</v>
      </c>
      <c r="T1451" s="34">
        <f t="shared" si="362"/>
        <v>1</v>
      </c>
      <c r="U1451" s="33">
        <f t="shared" si="366"/>
        <v>297.5</v>
      </c>
      <c r="V1451" s="38" t="s">
        <v>827</v>
      </c>
      <c r="W1451" s="39">
        <f t="shared" si="367"/>
        <v>0.5</v>
      </c>
      <c r="X1451" s="40" t="s">
        <v>304</v>
      </c>
      <c r="Y1451" s="40" t="s">
        <v>284</v>
      </c>
      <c r="Z1451" s="40" t="s">
        <v>305</v>
      </c>
      <c r="AA1451" s="33" t="s">
        <v>771</v>
      </c>
      <c r="AB1451" s="95"/>
      <c r="AC1451" s="95"/>
    </row>
    <row r="1452" spans="1:29" ht="14.45" customHeight="1" x14ac:dyDescent="0.25">
      <c r="A1452" s="36" t="str">
        <f>INDEX('Base de données Mono'!C:C,MATCH(B1452,'Base de données Mono'!D:D,0))</f>
        <v>LES TOITS DE BOULOGNE</v>
      </c>
      <c r="B1452" t="s">
        <v>158</v>
      </c>
      <c r="C1452" s="36" t="str">
        <f>INDEX('Base de données Mono'!B:B,MATCH(B1452,'Base de données Mono'!D:D,0))</f>
        <v>SES8</v>
      </c>
      <c r="D1452" s="36" t="str">
        <f>INDEX('Base de données Mono'!A:A,MATCH(B1452,'Base de données Mono'!D:D,0))</f>
        <v>AD</v>
      </c>
      <c r="E1452" s="37" t="s">
        <v>303</v>
      </c>
      <c r="F1452" s="41">
        <f>IF(O1452="","-",IF(AND(X1452="Nuit",WEEKDAY(O1452,2)=7,O1452&lt;&gt;P1452),WEEKNUM(O1452,2),WEEKNUM(O1452,2)-1))+1</f>
        <v>17</v>
      </c>
      <c r="G1452" s="41">
        <f>IF(O1452="","-",MONTH(O1452))</f>
        <v>4</v>
      </c>
      <c r="I1452" s="131">
        <f>INDEX('Base de données Mono'!K:K,MATCH(B1452,'Base de données Mono'!D:D,0))</f>
        <v>0.22916666666666666</v>
      </c>
      <c r="J1452" s="131">
        <f>INDEX('Base de données Mono'!L:L,MATCH(B1452,'Base de données Mono'!D:D,0))</f>
        <v>0.875</v>
      </c>
      <c r="K1452" s="131">
        <f>INDEX('Base de données Mono'!M:M,MATCH(B1452,'Base de données Mono'!D:D,0))</f>
        <v>0.29166666666666669</v>
      </c>
      <c r="L1452" s="131">
        <f>INDEX('Base de données Mono'!N:N,MATCH(B1452,'Base de données Mono'!D:D,0))</f>
        <v>0.83333333333333337</v>
      </c>
      <c r="M1452" s="33" t="s">
        <v>46</v>
      </c>
      <c r="N1452" s="33">
        <f>IF(AND(E1452="Electricité",M1452="Hiver"),INDEX('Base de données Mono'!E:E,MATCH(B1452,'Base de données Mono'!D:D,0)),IF(AND(E1452="Electricité",M1452="Mi-saison"),INDEX('Base de données Mono'!F:F,MATCH(B1452,'Base de données Mono'!D:D,0)),IF(AND(E1452="Electricité",M1452="Eté"),INDEX('Base de données Mono'!G:G,MATCH(B1452,'Base de données Mono'!D:D,0)),IF(AND(E1452="Gaz",M1452="Hiver"),INDEX('Base de données Mono'!J:J,MATCH(B1452,'Base de données Mono'!D:D,0)),IF(AND(E1452="Gaz",M1452="Mi-saison"),INDEX('Base de données Mono'!#REF!,MATCH(B1452,'Base de données Mono'!D:D,0)),IF(AND(E1452="Gaz",M1452="Eté"),INDEX('Base de données Mono'!#REF!,MATCH(B1452,'Base de données Mono'!D:D,0)),"-"))))))</f>
        <v>70</v>
      </c>
      <c r="O1452" s="123">
        <v>45404</v>
      </c>
      <c r="P1452" s="123">
        <v>45410</v>
      </c>
      <c r="Q1452" s="34">
        <v>140</v>
      </c>
      <c r="R1452" s="33">
        <f t="shared" si="365"/>
        <v>70</v>
      </c>
      <c r="S1452" s="34">
        <v>0.5</v>
      </c>
      <c r="T1452" s="34">
        <f t="shared" si="362"/>
        <v>6</v>
      </c>
      <c r="U1452" s="33">
        <f t="shared" si="366"/>
        <v>210</v>
      </c>
      <c r="V1452" s="38" t="s">
        <v>827</v>
      </c>
      <c r="W1452" s="39">
        <f t="shared" si="367"/>
        <v>1</v>
      </c>
      <c r="X1452" s="40" t="s">
        <v>304</v>
      </c>
      <c r="Y1452" s="40" t="s">
        <v>284</v>
      </c>
      <c r="Z1452" s="40" t="s">
        <v>307</v>
      </c>
      <c r="AA1452" s="33" t="s">
        <v>313</v>
      </c>
      <c r="AB1452" s="95"/>
      <c r="AC1452" s="95"/>
    </row>
    <row r="1453" spans="1:29" ht="14.45" customHeight="1" x14ac:dyDescent="0.25">
      <c r="A1453" s="36" t="str">
        <f>INDEX('Base de données Mono'!C:C,MATCH(B1453,'Base de données Mono'!D:D,0))</f>
        <v>LES TOITS DE BOULOGNE</v>
      </c>
      <c r="B1453" t="s">
        <v>158</v>
      </c>
      <c r="C1453" s="36" t="str">
        <f>INDEX('Base de données Mono'!B:B,MATCH(B1453,'Base de données Mono'!D:D,0))</f>
        <v>SES8</v>
      </c>
      <c r="D1453" s="36" t="str">
        <f>INDEX('Base de données Mono'!A:A,MATCH(B1453,'Base de données Mono'!D:D,0))</f>
        <v>AD</v>
      </c>
      <c r="E1453" s="37" t="s">
        <v>303</v>
      </c>
      <c r="F1453" s="41">
        <f>IF(O1453="","-",IF(AND(X1453="Nuit",WEEKDAY(O1453,2)=7,O1453&lt;&gt;P1453),WEEKNUM(O1453,2),WEEKNUM(O1453,2)-1))+1</f>
        <v>17</v>
      </c>
      <c r="G1453" s="41">
        <f>IF(O1453="","-",MONTH(O1453))</f>
        <v>4</v>
      </c>
      <c r="I1453" s="131">
        <f>INDEX('Base de données Mono'!K:K,MATCH(B1453,'Base de données Mono'!D:D,0))</f>
        <v>0.22916666666666666</v>
      </c>
      <c r="J1453" s="131">
        <f>INDEX('Base de données Mono'!L:L,MATCH(B1453,'Base de données Mono'!D:D,0))</f>
        <v>0.875</v>
      </c>
      <c r="K1453" s="131">
        <f>INDEX('Base de données Mono'!M:M,MATCH(B1453,'Base de données Mono'!D:D,0))</f>
        <v>0.29166666666666669</v>
      </c>
      <c r="L1453" s="131">
        <f>INDEX('Base de données Mono'!N:N,MATCH(B1453,'Base de données Mono'!D:D,0))</f>
        <v>0.83333333333333337</v>
      </c>
      <c r="M1453" s="33" t="s">
        <v>46</v>
      </c>
      <c r="N1453" s="33">
        <f>IF(AND(E1453="Electricité",M1453="Hiver"),INDEX('Base de données Mono'!E:E,MATCH(B1453,'Base de données Mono'!D:D,0)),IF(AND(E1453="Electricité",M1453="Mi-saison"),INDEX('Base de données Mono'!F:F,MATCH(B1453,'Base de données Mono'!D:D,0)),IF(AND(E1453="Electricité",M1453="Eté"),INDEX('Base de données Mono'!G:G,MATCH(B1453,'Base de données Mono'!D:D,0)),IF(AND(E1453="Gaz",M1453="Hiver"),INDEX('Base de données Mono'!J:J,MATCH(B1453,'Base de données Mono'!D:D,0)),IF(AND(E1453="Gaz",M1453="Mi-saison"),INDEX('Base de données Mono'!#REF!,MATCH(B1453,'Base de données Mono'!D:D,0)),IF(AND(E1453="Gaz",M1453="Eté"),INDEX('Base de données Mono'!#REF!,MATCH(B1453,'Base de données Mono'!D:D,0)),"-"))))))</f>
        <v>70</v>
      </c>
      <c r="O1453" s="123">
        <v>45404</v>
      </c>
      <c r="P1453" s="123">
        <v>45409</v>
      </c>
      <c r="Q1453" s="34">
        <v>95</v>
      </c>
      <c r="R1453" s="33">
        <f t="shared" si="365"/>
        <v>25</v>
      </c>
      <c r="S1453" s="34">
        <v>8</v>
      </c>
      <c r="T1453" s="34">
        <f t="shared" si="362"/>
        <v>5</v>
      </c>
      <c r="U1453" s="33">
        <f t="shared" si="366"/>
        <v>1000</v>
      </c>
      <c r="V1453" s="38" t="s">
        <v>827</v>
      </c>
      <c r="W1453" s="39">
        <f t="shared" si="367"/>
        <v>0.35714285714285715</v>
      </c>
      <c r="X1453" s="40" t="s">
        <v>304</v>
      </c>
      <c r="Y1453" s="40" t="s">
        <v>284</v>
      </c>
      <c r="Z1453" s="40" t="s">
        <v>305</v>
      </c>
      <c r="AA1453" s="33" t="s">
        <v>771</v>
      </c>
      <c r="AB1453" s="95"/>
      <c r="AC1453" s="95"/>
    </row>
    <row r="1454" spans="1:29" ht="14.45" customHeight="1" x14ac:dyDescent="0.25">
      <c r="A1454" s="36" t="str">
        <f>INDEX('Base de données Mono'!C:C,MATCH(B1454,'Base de données Mono'!D:D,0))</f>
        <v>LES TOITS DE BOULOGNE</v>
      </c>
      <c r="B1454" t="s">
        <v>158</v>
      </c>
      <c r="C1454" s="36" t="str">
        <f>INDEX('Base de données Mono'!B:B,MATCH(B1454,'Base de données Mono'!D:D,0))</f>
        <v>SES8</v>
      </c>
      <c r="D1454" s="36" t="str">
        <f>INDEX('Base de données Mono'!A:A,MATCH(B1454,'Base de données Mono'!D:D,0))</f>
        <v>AD</v>
      </c>
      <c r="E1454" s="37" t="s">
        <v>303</v>
      </c>
      <c r="F1454" s="41">
        <f t="shared" si="363"/>
        <v>17</v>
      </c>
      <c r="G1454" s="41">
        <f t="shared" si="364"/>
        <v>4</v>
      </c>
      <c r="I1454" s="131">
        <f>INDEX('Base de données Mono'!K:K,MATCH(B1454,'Base de données Mono'!D:D,0))</f>
        <v>0.22916666666666666</v>
      </c>
      <c r="J1454" s="131">
        <f>INDEX('Base de données Mono'!L:L,MATCH(B1454,'Base de données Mono'!D:D,0))</f>
        <v>0.875</v>
      </c>
      <c r="K1454" s="131">
        <f>INDEX('Base de données Mono'!M:M,MATCH(B1454,'Base de données Mono'!D:D,0))</f>
        <v>0.29166666666666669</v>
      </c>
      <c r="L1454" s="131">
        <f>INDEX('Base de données Mono'!N:N,MATCH(B1454,'Base de données Mono'!D:D,0))</f>
        <v>0.83333333333333337</v>
      </c>
      <c r="M1454" s="33" t="s">
        <v>46</v>
      </c>
      <c r="N1454" s="33">
        <f>IF(AND(E1454="Electricité",M1454="Hiver"),INDEX('Base de données Mono'!E:E,MATCH(B1454,'Base de données Mono'!D:D,0)),IF(AND(E1454="Electricité",M1454="Mi-saison"),INDEX('Base de données Mono'!F:F,MATCH(B1454,'Base de données Mono'!D:D,0)),IF(AND(E1454="Electricité",M1454="Eté"),INDEX('Base de données Mono'!G:G,MATCH(B1454,'Base de données Mono'!D:D,0)),IF(AND(E1454="Gaz",M1454="Hiver"),INDEX('Base de données Mono'!J:J,MATCH(B1454,'Base de données Mono'!D:D,0)),IF(AND(E1454="Gaz",M1454="Mi-saison"),INDEX('Base de données Mono'!#REF!,MATCH(B1454,'Base de données Mono'!D:D,0)),IF(AND(E1454="Gaz",M1454="Eté"),INDEX('Base de données Mono'!#REF!,MATCH(B1454,'Base de données Mono'!D:D,0)),"-"))))))</f>
        <v>70</v>
      </c>
      <c r="O1454" s="123">
        <v>45409</v>
      </c>
      <c r="P1454" s="123">
        <v>45410</v>
      </c>
      <c r="Q1454" s="34">
        <v>95</v>
      </c>
      <c r="R1454" s="33">
        <f t="shared" si="365"/>
        <v>25</v>
      </c>
      <c r="S1454" s="34">
        <v>9.5</v>
      </c>
      <c r="T1454" s="34">
        <f t="shared" si="362"/>
        <v>1</v>
      </c>
      <c r="U1454" s="33">
        <f t="shared" si="366"/>
        <v>237.5</v>
      </c>
      <c r="V1454" s="38" t="s">
        <v>827</v>
      </c>
      <c r="W1454" s="39">
        <f t="shared" si="367"/>
        <v>0.35714285714285715</v>
      </c>
      <c r="X1454" s="40" t="s">
        <v>304</v>
      </c>
      <c r="Y1454" s="40" t="s">
        <v>284</v>
      </c>
      <c r="Z1454" s="40" t="s">
        <v>305</v>
      </c>
      <c r="AA1454" s="33" t="s">
        <v>771</v>
      </c>
      <c r="AB1454" s="95"/>
      <c r="AC1454" s="95" t="s">
        <v>858</v>
      </c>
    </row>
    <row r="1455" spans="1:29" ht="14.45" customHeight="1" x14ac:dyDescent="0.25">
      <c r="A1455" s="36" t="str">
        <f>INDEX('Base de données Mono'!C:C,MATCH(B1455,'Base de données Mono'!D:D,0))</f>
        <v>ITALIE</v>
      </c>
      <c r="B1455" t="s">
        <v>147</v>
      </c>
      <c r="C1455" s="36" t="str">
        <f>INDEX('Base de données Mono'!B:B,MATCH(B1455,'Base de données Mono'!D:D,0))</f>
        <v>SES8</v>
      </c>
      <c r="D1455" s="36" t="str">
        <f>INDEX('Base de données Mono'!A:A,MATCH(B1455,'Base de données Mono'!D:D,0))</f>
        <v>JG</v>
      </c>
      <c r="E1455" s="37" t="s">
        <v>303</v>
      </c>
      <c r="F1455" s="41">
        <f t="shared" si="363"/>
        <v>17</v>
      </c>
      <c r="G1455" s="41">
        <f t="shared" si="364"/>
        <v>4</v>
      </c>
      <c r="I1455" s="131">
        <f>INDEX('Base de données Mono'!K:K,MATCH(B1455,'Base de données Mono'!D:D,0))</f>
        <v>0.24305555555555555</v>
      </c>
      <c r="J1455" s="131">
        <f>INDEX('Base de données Mono'!L:L,MATCH(B1455,'Base de données Mono'!D:D,0))</f>
        <v>0.9375</v>
      </c>
      <c r="K1455" s="131" t="str">
        <f>INDEX('Base de données Mono'!M:M,MATCH(B1455,'Base de données Mono'!D:D,0))</f>
        <v>-</v>
      </c>
      <c r="L1455" s="131" t="str">
        <f>INDEX('Base de données Mono'!N:N,MATCH(B1455,'Base de données Mono'!D:D,0))</f>
        <v>-</v>
      </c>
      <c r="M1455" s="33" t="s">
        <v>46</v>
      </c>
      <c r="N1455" s="33">
        <f>IF(AND(E1455="Electricité",M1455="Hiver"),INDEX('Base de données Mono'!E:E,MATCH(B1455,'Base de données Mono'!D:D,0)),IF(AND(E1455="Electricité",M1455="Mi-saison"),INDEX('Base de données Mono'!F:F,MATCH(B1455,'Base de données Mono'!D:D,0)),IF(AND(E1455="Electricité",M1455="Eté"),INDEX('Base de données Mono'!G:G,MATCH(B1455,'Base de données Mono'!D:D,0)),IF(AND(E1455="Gaz",M1455="Hiver"),INDEX('Base de données Mono'!J:J,MATCH(B1455,'Base de données Mono'!D:D,0)),IF(AND(E1455="Gaz",M1455="Mi-saison"),INDEX('Base de données Mono'!#REF!,MATCH(B1455,'Base de données Mono'!D:D,0)),IF(AND(E1455="Gaz",M1455="Eté"),INDEX('Base de données Mono'!#REF!,MATCH(B1455,'Base de données Mono'!D:D,0)),"-"))))))</f>
        <v>110</v>
      </c>
      <c r="O1455" s="123">
        <v>45403</v>
      </c>
      <c r="P1455" s="123">
        <v>45405</v>
      </c>
      <c r="Q1455" s="34">
        <v>125</v>
      </c>
      <c r="R1455" s="33">
        <f t="shared" si="365"/>
        <v>15</v>
      </c>
      <c r="S1455" s="34">
        <v>7</v>
      </c>
      <c r="T1455" s="34">
        <f t="shared" si="362"/>
        <v>2</v>
      </c>
      <c r="U1455" s="33">
        <f t="shared" si="366"/>
        <v>210</v>
      </c>
      <c r="V1455" s="38" t="s">
        <v>827</v>
      </c>
      <c r="W1455" s="39">
        <f t="shared" si="367"/>
        <v>0.13636363636363635</v>
      </c>
      <c r="X1455" s="40" t="s">
        <v>304</v>
      </c>
      <c r="Y1455" s="40" t="s">
        <v>284</v>
      </c>
      <c r="Z1455" s="40" t="s">
        <v>305</v>
      </c>
      <c r="AA1455" s="33" t="s">
        <v>771</v>
      </c>
      <c r="AB1455" s="95"/>
      <c r="AC1455" s="95"/>
    </row>
    <row r="1456" spans="1:29" ht="14.45" customHeight="1" x14ac:dyDescent="0.25">
      <c r="A1456" s="36" t="str">
        <f>INDEX('Base de données Mono'!C:C,MATCH(B1456,'Base de données Mono'!D:D,0))</f>
        <v>VAUGIRARD</v>
      </c>
      <c r="B1456" t="s">
        <v>262</v>
      </c>
      <c r="C1456" s="36" t="str">
        <f>INDEX('Base de données Mono'!B:B,MATCH(B1456,'Base de données Mono'!D:D,0))</f>
        <v>SES8</v>
      </c>
      <c r="D1456" s="36" t="str">
        <f>INDEX('Base de données Mono'!A:A,MATCH(B1456,'Base de données Mono'!D:D,0))</f>
        <v>AD</v>
      </c>
      <c r="E1456" s="37" t="s">
        <v>303</v>
      </c>
      <c r="F1456" s="41">
        <f t="shared" si="363"/>
        <v>17</v>
      </c>
      <c r="G1456" s="41">
        <f t="shared" si="364"/>
        <v>4</v>
      </c>
      <c r="I1456" s="131">
        <f>INDEX('Base de données Mono'!K:K,MATCH(B1456,'Base de données Mono'!D:D,0))</f>
        <v>0.20138888888888887</v>
      </c>
      <c r="J1456" s="131">
        <f>INDEX('Base de données Mono'!L:L,MATCH(B1456,'Base de données Mono'!D:D,0))</f>
        <v>0.92708333333333337</v>
      </c>
      <c r="K1456" s="131">
        <f>INDEX('Base de données Mono'!M:M,MATCH(B1456,'Base de données Mono'!D:D,0))</f>
        <v>0.2638888888888889</v>
      </c>
      <c r="L1456" s="131">
        <f>INDEX('Base de données Mono'!N:N,MATCH(B1456,'Base de données Mono'!D:D,0))</f>
        <v>0.5625</v>
      </c>
      <c r="M1456" s="33" t="s">
        <v>46</v>
      </c>
      <c r="N1456" s="33">
        <f>IF(AND(E1456="Electricité",M1456="Hiver"),INDEX('Base de données Mono'!E:E,MATCH(B1456,'Base de données Mono'!D:D,0)),IF(AND(E1456="Electricité",M1456="Mi-saison"),INDEX('Base de données Mono'!F:F,MATCH(B1456,'Base de données Mono'!D:D,0)),IF(AND(E1456="Electricité",M1456="Eté"),INDEX('Base de données Mono'!G:G,MATCH(B1456,'Base de données Mono'!D:D,0)),IF(AND(E1456="Gaz",M1456="Hiver"),INDEX('Base de données Mono'!J:J,MATCH(B1456,'Base de données Mono'!D:D,0)),IF(AND(E1456="Gaz",M1456="Mi-saison"),INDEX('Base de données Mono'!#REF!,MATCH(B1456,'Base de données Mono'!D:D,0)),IF(AND(E1456="Gaz",M1456="Eté"),INDEX('Base de données Mono'!#REF!,MATCH(B1456,'Base de données Mono'!D:D,0)),"-"))))))</f>
        <v>80</v>
      </c>
      <c r="O1456" s="123">
        <v>45403</v>
      </c>
      <c r="P1456" s="123">
        <v>45409</v>
      </c>
      <c r="Q1456" s="34">
        <v>165</v>
      </c>
      <c r="R1456" s="33">
        <f t="shared" si="365"/>
        <v>85</v>
      </c>
      <c r="S1456" s="34">
        <v>0.6</v>
      </c>
      <c r="T1456" s="34">
        <f t="shared" si="362"/>
        <v>6</v>
      </c>
      <c r="U1456" s="33">
        <f t="shared" si="366"/>
        <v>306</v>
      </c>
      <c r="V1456" s="38" t="s">
        <v>827</v>
      </c>
      <c r="W1456" s="39">
        <f t="shared" si="367"/>
        <v>1.0625</v>
      </c>
      <c r="X1456" s="40" t="s">
        <v>304</v>
      </c>
      <c r="Y1456" s="40" t="s">
        <v>284</v>
      </c>
      <c r="Z1456" s="40" t="s">
        <v>311</v>
      </c>
      <c r="AA1456" s="33" t="s">
        <v>775</v>
      </c>
      <c r="AB1456" s="95"/>
      <c r="AC1456" s="95"/>
    </row>
    <row r="1457" spans="1:29" ht="14.45" customHeight="1" x14ac:dyDescent="0.25">
      <c r="A1457" s="36" t="str">
        <f>INDEX('Base de données Mono'!C:C,MATCH(B1457,'Base de données Mono'!D:D,0))</f>
        <v>VAUGIRARD</v>
      </c>
      <c r="B1457" t="s">
        <v>262</v>
      </c>
      <c r="C1457" s="36" t="str">
        <f>INDEX('Base de données Mono'!B:B,MATCH(B1457,'Base de données Mono'!D:D,0))</f>
        <v>SES8</v>
      </c>
      <c r="D1457" s="36" t="str">
        <f>INDEX('Base de données Mono'!A:A,MATCH(B1457,'Base de données Mono'!D:D,0))</f>
        <v>AD</v>
      </c>
      <c r="E1457" s="37" t="s">
        <v>303</v>
      </c>
      <c r="F1457" s="41">
        <f t="shared" si="363"/>
        <v>17</v>
      </c>
      <c r="G1457" s="41">
        <f t="shared" si="364"/>
        <v>4</v>
      </c>
      <c r="I1457" s="131">
        <f>INDEX('Base de données Mono'!K:K,MATCH(B1457,'Base de données Mono'!D:D,0))</f>
        <v>0.20138888888888887</v>
      </c>
      <c r="J1457" s="131">
        <f>INDEX('Base de données Mono'!L:L,MATCH(B1457,'Base de données Mono'!D:D,0))</f>
        <v>0.92708333333333337</v>
      </c>
      <c r="K1457" s="131">
        <f>INDEX('Base de données Mono'!M:M,MATCH(B1457,'Base de données Mono'!D:D,0))</f>
        <v>0.2638888888888889</v>
      </c>
      <c r="L1457" s="131">
        <f>INDEX('Base de données Mono'!N:N,MATCH(B1457,'Base de données Mono'!D:D,0))</f>
        <v>0.5625</v>
      </c>
      <c r="M1457" s="33" t="s">
        <v>46</v>
      </c>
      <c r="N1457" s="33">
        <f>IF(AND(E1457="Electricité",M1457="Hiver"),INDEX('Base de données Mono'!E:E,MATCH(B1457,'Base de données Mono'!D:D,0)),IF(AND(E1457="Electricité",M1457="Mi-saison"),INDEX('Base de données Mono'!F:F,MATCH(B1457,'Base de données Mono'!D:D,0)),IF(AND(E1457="Electricité",M1457="Eté"),INDEX('Base de données Mono'!G:G,MATCH(B1457,'Base de données Mono'!D:D,0)),IF(AND(E1457="Gaz",M1457="Hiver"),INDEX('Base de données Mono'!J:J,MATCH(B1457,'Base de données Mono'!D:D,0)),IF(AND(E1457="Gaz",M1457="Mi-saison"),INDEX('Base de données Mono'!#REF!,MATCH(B1457,'Base de données Mono'!D:D,0)),IF(AND(E1457="Gaz",M1457="Eté"),INDEX('Base de données Mono'!#REF!,MATCH(B1457,'Base de données Mono'!D:D,0)),"-"))))))</f>
        <v>80</v>
      </c>
      <c r="O1457" s="123">
        <v>45409</v>
      </c>
      <c r="P1457" s="123">
        <v>45410</v>
      </c>
      <c r="Q1457" s="34">
        <v>165</v>
      </c>
      <c r="R1457" s="33">
        <f t="shared" si="365"/>
        <v>85</v>
      </c>
      <c r="S1457" s="34">
        <v>6</v>
      </c>
      <c r="T1457" s="34">
        <f t="shared" si="362"/>
        <v>1</v>
      </c>
      <c r="U1457" s="33">
        <f t="shared" si="366"/>
        <v>510</v>
      </c>
      <c r="V1457" s="38" t="s">
        <v>827</v>
      </c>
      <c r="W1457" s="39">
        <f t="shared" si="367"/>
        <v>1.0625</v>
      </c>
      <c r="X1457" s="40" t="s">
        <v>304</v>
      </c>
      <c r="Y1457" s="40" t="s">
        <v>284</v>
      </c>
      <c r="Z1457" s="40" t="s">
        <v>311</v>
      </c>
      <c r="AA1457" s="33" t="s">
        <v>775</v>
      </c>
      <c r="AB1457" s="95"/>
      <c r="AC1457" s="95"/>
    </row>
    <row r="1458" spans="1:29" ht="14.45" customHeight="1" x14ac:dyDescent="0.25">
      <c r="A1458" s="36" t="str">
        <f>INDEX('Base de données Mono'!C:C,MATCH(B1458,'Base de données Mono'!D:D,0))</f>
        <v>SAINT MAUR</v>
      </c>
      <c r="B1458" t="s">
        <v>235</v>
      </c>
      <c r="C1458" s="36" t="str">
        <f>INDEX('Base de données Mono'!B:B,MATCH(B1458,'Base de données Mono'!D:D,0))</f>
        <v>SES8</v>
      </c>
      <c r="D1458" s="36" t="str">
        <f>INDEX('Base de données Mono'!A:A,MATCH(B1458,'Base de données Mono'!D:D,0))</f>
        <v>JG</v>
      </c>
      <c r="E1458" s="37" t="s">
        <v>303</v>
      </c>
      <c r="F1458" s="41">
        <f t="shared" si="363"/>
        <v>17</v>
      </c>
      <c r="G1458" s="41">
        <f t="shared" si="364"/>
        <v>4</v>
      </c>
      <c r="I1458" s="131">
        <f>INDEX('Base de données Mono'!K:K,MATCH(B1458,'Base de données Mono'!D:D,0))</f>
        <v>0.24305555555555555</v>
      </c>
      <c r="J1458" s="131">
        <f>INDEX('Base de données Mono'!L:L,MATCH(B1458,'Base de données Mono'!D:D,0))</f>
        <v>0.875</v>
      </c>
      <c r="K1458" s="131">
        <f>INDEX('Base de données Mono'!M:M,MATCH(B1458,'Base de données Mono'!D:D,0))</f>
        <v>0.28472222222222221</v>
      </c>
      <c r="L1458" s="131">
        <f>INDEX('Base de données Mono'!N:N,MATCH(B1458,'Base de données Mono'!D:D,0))</f>
        <v>0.55208333333333337</v>
      </c>
      <c r="M1458" s="33" t="s">
        <v>46</v>
      </c>
      <c r="N1458" s="33">
        <f>IF(AND(E1458="Electricité",M1458="Hiver"),INDEX('Base de données Mono'!E:E,MATCH(B1458,'Base de données Mono'!D:D,0)),IF(AND(E1458="Electricité",M1458="Mi-saison"),INDEX('Base de données Mono'!F:F,MATCH(B1458,'Base de données Mono'!D:D,0)),IF(AND(E1458="Electricité",M1458="Eté"),INDEX('Base de données Mono'!G:G,MATCH(B1458,'Base de données Mono'!D:D,0)),IF(AND(E1458="Gaz",M1458="Hiver"),INDEX('Base de données Mono'!J:J,MATCH(B1458,'Base de données Mono'!D:D,0)),IF(AND(E1458="Gaz",M1458="Mi-saison"),INDEX('Base de données Mono'!#REF!,MATCH(B1458,'Base de données Mono'!D:D,0)),IF(AND(E1458="Gaz",M1458="Eté"),INDEX('Base de données Mono'!#REF!,MATCH(B1458,'Base de données Mono'!D:D,0)),"-"))))))</f>
        <v>50</v>
      </c>
      <c r="O1458" s="123">
        <v>45403</v>
      </c>
      <c r="P1458" s="123">
        <v>45409</v>
      </c>
      <c r="Q1458" s="34">
        <v>60</v>
      </c>
      <c r="R1458" s="33">
        <f t="shared" si="365"/>
        <v>10</v>
      </c>
      <c r="S1458" s="34">
        <v>8.3000000000000007</v>
      </c>
      <c r="T1458" s="34">
        <f t="shared" si="362"/>
        <v>6</v>
      </c>
      <c r="U1458" s="33">
        <f t="shared" si="366"/>
        <v>498</v>
      </c>
      <c r="V1458" s="38" t="s">
        <v>827</v>
      </c>
      <c r="W1458" s="39">
        <f t="shared" si="367"/>
        <v>0.2</v>
      </c>
      <c r="X1458" s="40" t="s">
        <v>304</v>
      </c>
      <c r="Y1458" s="40" t="s">
        <v>284</v>
      </c>
      <c r="Z1458" s="40" t="s">
        <v>305</v>
      </c>
      <c r="AA1458" s="33" t="s">
        <v>771</v>
      </c>
      <c r="AB1458" s="95"/>
      <c r="AC1458" s="95"/>
    </row>
    <row r="1459" spans="1:29" ht="14.45" customHeight="1" x14ac:dyDescent="0.25">
      <c r="A1459" s="36" t="str">
        <f>INDEX('Base de données Mono'!C:C,MATCH(B1459,'Base de données Mono'!D:D,0))</f>
        <v>SAINT MAUR</v>
      </c>
      <c r="B1459" t="s">
        <v>235</v>
      </c>
      <c r="C1459" s="36" t="str">
        <f>INDEX('Base de données Mono'!B:B,MATCH(B1459,'Base de données Mono'!D:D,0))</f>
        <v>SES8</v>
      </c>
      <c r="D1459" s="36" t="str">
        <f>INDEX('Base de données Mono'!A:A,MATCH(B1459,'Base de données Mono'!D:D,0))</f>
        <v>JG</v>
      </c>
      <c r="E1459" s="37" t="s">
        <v>303</v>
      </c>
      <c r="F1459" s="41">
        <f t="shared" si="363"/>
        <v>17</v>
      </c>
      <c r="G1459" s="41">
        <f t="shared" si="364"/>
        <v>4</v>
      </c>
      <c r="I1459" s="131">
        <f>INDEX('Base de données Mono'!K:K,MATCH(B1459,'Base de données Mono'!D:D,0))</f>
        <v>0.24305555555555555</v>
      </c>
      <c r="J1459" s="131">
        <f>INDEX('Base de données Mono'!L:L,MATCH(B1459,'Base de données Mono'!D:D,0))</f>
        <v>0.875</v>
      </c>
      <c r="K1459" s="131">
        <f>INDEX('Base de données Mono'!M:M,MATCH(B1459,'Base de données Mono'!D:D,0))</f>
        <v>0.28472222222222221</v>
      </c>
      <c r="L1459" s="131">
        <f>INDEX('Base de données Mono'!N:N,MATCH(B1459,'Base de données Mono'!D:D,0))</f>
        <v>0.55208333333333337</v>
      </c>
      <c r="M1459" s="33" t="s">
        <v>46</v>
      </c>
      <c r="N1459" s="33">
        <f>IF(AND(E1459="Electricité",M1459="Hiver"),INDEX('Base de données Mono'!E:E,MATCH(B1459,'Base de données Mono'!D:D,0)),IF(AND(E1459="Electricité",M1459="Mi-saison"),INDEX('Base de données Mono'!F:F,MATCH(B1459,'Base de données Mono'!D:D,0)),IF(AND(E1459="Electricité",M1459="Eté"),INDEX('Base de données Mono'!G:G,MATCH(B1459,'Base de données Mono'!D:D,0)),IF(AND(E1459="Gaz",M1459="Hiver"),INDEX('Base de données Mono'!J:J,MATCH(B1459,'Base de données Mono'!D:D,0)),IF(AND(E1459="Gaz",M1459="Mi-saison"),INDEX('Base de données Mono'!#REF!,MATCH(B1459,'Base de données Mono'!D:D,0)),IF(AND(E1459="Gaz",M1459="Eté"),INDEX('Base de données Mono'!#REF!,MATCH(B1459,'Base de données Mono'!D:D,0)),"-"))))))</f>
        <v>50</v>
      </c>
      <c r="O1459" s="123">
        <v>45403</v>
      </c>
      <c r="P1459" s="123">
        <v>45409</v>
      </c>
      <c r="Q1459" s="34">
        <v>80</v>
      </c>
      <c r="R1459" s="33">
        <f t="shared" si="365"/>
        <v>30</v>
      </c>
      <c r="S1459" s="34">
        <v>0.5</v>
      </c>
      <c r="T1459" s="34">
        <f t="shared" si="362"/>
        <v>6</v>
      </c>
      <c r="U1459" s="33">
        <f t="shared" si="366"/>
        <v>90</v>
      </c>
      <c r="V1459" s="38" t="s">
        <v>827</v>
      </c>
      <c r="W1459" s="39">
        <f t="shared" si="367"/>
        <v>0.6</v>
      </c>
      <c r="X1459" s="40" t="s">
        <v>304</v>
      </c>
      <c r="Y1459" s="40" t="s">
        <v>284</v>
      </c>
      <c r="Z1459" s="40" t="s">
        <v>307</v>
      </c>
      <c r="AA1459" s="33" t="s">
        <v>414</v>
      </c>
      <c r="AB1459" s="95"/>
      <c r="AC1459" s="95"/>
    </row>
    <row r="1460" spans="1:29" ht="14.45" customHeight="1" x14ac:dyDescent="0.25">
      <c r="A1460" s="36" t="str">
        <f>INDEX('Base de données Mono'!C:C,MATCH(B1460,'Base de données Mono'!D:D,0))</f>
        <v>SAINT MAUR</v>
      </c>
      <c r="B1460" t="s">
        <v>235</v>
      </c>
      <c r="C1460" s="36" t="str">
        <f>INDEX('Base de données Mono'!B:B,MATCH(B1460,'Base de données Mono'!D:D,0))</f>
        <v>SES8</v>
      </c>
      <c r="D1460" s="36" t="str">
        <f>INDEX('Base de données Mono'!A:A,MATCH(B1460,'Base de données Mono'!D:D,0))</f>
        <v>JG</v>
      </c>
      <c r="E1460" s="37" t="s">
        <v>303</v>
      </c>
      <c r="F1460" s="41">
        <f t="shared" si="363"/>
        <v>17</v>
      </c>
      <c r="G1460" s="41">
        <f t="shared" si="364"/>
        <v>4</v>
      </c>
      <c r="I1460" s="131">
        <f>INDEX('Base de données Mono'!K:K,MATCH(B1460,'Base de données Mono'!D:D,0))</f>
        <v>0.24305555555555555</v>
      </c>
      <c r="J1460" s="131">
        <f>INDEX('Base de données Mono'!L:L,MATCH(B1460,'Base de données Mono'!D:D,0))</f>
        <v>0.875</v>
      </c>
      <c r="K1460" s="131">
        <f>INDEX('Base de données Mono'!M:M,MATCH(B1460,'Base de données Mono'!D:D,0))</f>
        <v>0.28472222222222221</v>
      </c>
      <c r="L1460" s="131">
        <f>INDEX('Base de données Mono'!N:N,MATCH(B1460,'Base de données Mono'!D:D,0))</f>
        <v>0.55208333333333337</v>
      </c>
      <c r="M1460" s="33" t="s">
        <v>46</v>
      </c>
      <c r="N1460" s="33">
        <f>IF(AND(E1460="Electricité",M1460="Hiver"),INDEX('Base de données Mono'!E:E,MATCH(B1460,'Base de données Mono'!D:D,0)),IF(AND(E1460="Electricité",M1460="Mi-saison"),INDEX('Base de données Mono'!F:F,MATCH(B1460,'Base de données Mono'!D:D,0)),IF(AND(E1460="Electricité",M1460="Eté"),INDEX('Base de données Mono'!G:G,MATCH(B1460,'Base de données Mono'!D:D,0)),IF(AND(E1460="Gaz",M1460="Hiver"),INDEX('Base de données Mono'!J:J,MATCH(B1460,'Base de données Mono'!D:D,0)),IF(AND(E1460="Gaz",M1460="Mi-saison"),INDEX('Base de données Mono'!#REF!,MATCH(B1460,'Base de données Mono'!D:D,0)),IF(AND(E1460="Gaz",M1460="Eté"),INDEX('Base de données Mono'!#REF!,MATCH(B1460,'Base de données Mono'!D:D,0)),"-"))))))</f>
        <v>50</v>
      </c>
      <c r="O1460" s="123">
        <v>45409</v>
      </c>
      <c r="P1460" s="123">
        <v>45410</v>
      </c>
      <c r="Q1460" s="34">
        <v>55</v>
      </c>
      <c r="R1460" s="33">
        <f t="shared" si="365"/>
        <v>5</v>
      </c>
      <c r="S1460" s="34">
        <v>9.8000000000000007</v>
      </c>
      <c r="T1460" s="34">
        <f t="shared" si="362"/>
        <v>1</v>
      </c>
      <c r="U1460" s="33">
        <f t="shared" si="366"/>
        <v>49</v>
      </c>
      <c r="V1460" s="38" t="s">
        <v>827</v>
      </c>
      <c r="W1460" s="39">
        <f t="shared" si="367"/>
        <v>0.1</v>
      </c>
      <c r="X1460" s="40" t="s">
        <v>304</v>
      </c>
      <c r="Y1460" s="40" t="s">
        <v>284</v>
      </c>
      <c r="Z1460" s="40" t="s">
        <v>305</v>
      </c>
      <c r="AA1460" s="33" t="s">
        <v>771</v>
      </c>
      <c r="AB1460" s="95"/>
      <c r="AC1460" s="95"/>
    </row>
    <row r="1461" spans="1:29" ht="14.45" customHeight="1" x14ac:dyDescent="0.25">
      <c r="A1461" s="36" t="str">
        <f>INDEX('Base de données Mono'!C:C,MATCH(B1461,'Base de données Mono'!D:D,0))</f>
        <v>RUEIL MALMAISON</v>
      </c>
      <c r="B1461" t="s">
        <v>31</v>
      </c>
      <c r="C1461" s="36" t="str">
        <f>INDEX('Base de données Mono'!B:B,MATCH(B1461,'Base de données Mono'!D:D,0))</f>
        <v>SES8</v>
      </c>
      <c r="D1461" s="36" t="str">
        <f>INDEX('Base de données Mono'!A:A,MATCH(B1461,'Base de données Mono'!D:D,0))</f>
        <v>AD</v>
      </c>
      <c r="E1461" s="37" t="s">
        <v>303</v>
      </c>
      <c r="F1461" s="41">
        <f t="shared" si="363"/>
        <v>17</v>
      </c>
      <c r="G1461" s="41">
        <f t="shared" si="364"/>
        <v>4</v>
      </c>
      <c r="I1461" s="131">
        <f>INDEX('Base de données Mono'!K:K,MATCH(B1461,'Base de données Mono'!D:D,0))</f>
        <v>0.26041666666666669</v>
      </c>
      <c r="J1461" s="131">
        <f>INDEX('Base de données Mono'!L:L,MATCH(B1461,'Base de données Mono'!D:D,0))</f>
        <v>0.92708333333333337</v>
      </c>
      <c r="K1461" s="131">
        <f>INDEX('Base de données Mono'!M:M,MATCH(B1461,'Base de données Mono'!D:D,0))</f>
        <v>0.27777777777777779</v>
      </c>
      <c r="L1461" s="131">
        <f>INDEX('Base de données Mono'!N:N,MATCH(B1461,'Base de données Mono'!D:D,0))</f>
        <v>0.59375</v>
      </c>
      <c r="M1461" s="33" t="s">
        <v>46</v>
      </c>
      <c r="N1461" s="33">
        <f>IF(AND(E1461="Electricité",M1461="Hiver"),INDEX('Base de données Mono'!E:E,MATCH(B1461,'Base de données Mono'!D:D,0)),IF(AND(E1461="Electricité",M1461="Mi-saison"),INDEX('Base de données Mono'!F:F,MATCH(B1461,'Base de données Mono'!D:D,0)),IF(AND(E1461="Electricité",M1461="Eté"),INDEX('Base de données Mono'!G:G,MATCH(B1461,'Base de données Mono'!D:D,0)),IF(AND(E1461="Gaz",M1461="Hiver"),INDEX('Base de données Mono'!J:J,MATCH(B1461,'Base de données Mono'!D:D,0)),IF(AND(E1461="Gaz",M1461="Mi-saison"),INDEX('Base de données Mono'!#REF!,MATCH(B1461,'Base de données Mono'!D:D,0)),IF(AND(E1461="Gaz",M1461="Eté"),INDEX('Base de données Mono'!#REF!,MATCH(B1461,'Base de données Mono'!D:D,0)),"-"))))))</f>
        <v>65</v>
      </c>
      <c r="O1461" s="123">
        <v>45403</v>
      </c>
      <c r="P1461" s="123">
        <v>45404</v>
      </c>
      <c r="Q1461" s="34">
        <v>100</v>
      </c>
      <c r="R1461" s="33">
        <f t="shared" si="365"/>
        <v>35</v>
      </c>
      <c r="S1461" s="34">
        <v>6</v>
      </c>
      <c r="T1461" s="34">
        <f t="shared" si="362"/>
        <v>1</v>
      </c>
      <c r="U1461" s="33">
        <f t="shared" si="366"/>
        <v>210</v>
      </c>
      <c r="V1461" s="38" t="s">
        <v>827</v>
      </c>
      <c r="W1461" s="39">
        <f t="shared" si="367"/>
        <v>0.53846153846153844</v>
      </c>
      <c r="X1461" s="40" t="s">
        <v>304</v>
      </c>
      <c r="Y1461" s="40" t="s">
        <v>284</v>
      </c>
      <c r="Z1461" s="40" t="s">
        <v>305</v>
      </c>
      <c r="AA1461" s="33" t="s">
        <v>771</v>
      </c>
      <c r="AB1461" s="95"/>
      <c r="AC1461" s="95"/>
    </row>
    <row r="1462" spans="1:29" ht="14.45" customHeight="1" x14ac:dyDescent="0.25">
      <c r="A1462" s="36" t="str">
        <f>INDEX('Base de données Mono'!C:C,MATCH(B1462,'Base de données Mono'!D:D,0))</f>
        <v>RUEIL MALMAISON</v>
      </c>
      <c r="B1462" t="s">
        <v>31</v>
      </c>
      <c r="C1462" s="36" t="str">
        <f>INDEX('Base de données Mono'!B:B,MATCH(B1462,'Base de données Mono'!D:D,0))</f>
        <v>SES8</v>
      </c>
      <c r="D1462" s="36" t="str">
        <f>INDEX('Base de données Mono'!A:A,MATCH(B1462,'Base de données Mono'!D:D,0))</f>
        <v>AD</v>
      </c>
      <c r="E1462" s="37" t="s">
        <v>303</v>
      </c>
      <c r="F1462" s="41">
        <f t="shared" ref="F1462:F1490" si="372">IF(O1462="","-",IF(AND(X1462="Nuit",WEEKDAY(O1462,2)=7,O1462&lt;&gt;P1462),WEEKNUM(O1462,2),WEEKNUM(O1462,2)-1))+1</f>
        <v>17</v>
      </c>
      <c r="G1462" s="41">
        <f t="shared" ref="G1462:G1490" si="373">IF(O1462="","-",MONTH(O1462))</f>
        <v>4</v>
      </c>
      <c r="I1462" s="131">
        <f>INDEX('Base de données Mono'!K:K,MATCH(B1462,'Base de données Mono'!D:D,0))</f>
        <v>0.26041666666666669</v>
      </c>
      <c r="J1462" s="131">
        <f>INDEX('Base de données Mono'!L:L,MATCH(B1462,'Base de données Mono'!D:D,0))</f>
        <v>0.92708333333333337</v>
      </c>
      <c r="K1462" s="131">
        <f>INDEX('Base de données Mono'!M:M,MATCH(B1462,'Base de données Mono'!D:D,0))</f>
        <v>0.27777777777777779</v>
      </c>
      <c r="L1462" s="131">
        <f>INDEX('Base de données Mono'!N:N,MATCH(B1462,'Base de données Mono'!D:D,0))</f>
        <v>0.59375</v>
      </c>
      <c r="M1462" s="33" t="s">
        <v>46</v>
      </c>
      <c r="N1462" s="33">
        <f>IF(AND(E1462="Electricité",M1462="Hiver"),INDEX('Base de données Mono'!E:E,MATCH(B1462,'Base de données Mono'!D:D,0)),IF(AND(E1462="Electricité",M1462="Mi-saison"),INDEX('Base de données Mono'!F:F,MATCH(B1462,'Base de données Mono'!D:D,0)),IF(AND(E1462="Electricité",M1462="Eté"),INDEX('Base de données Mono'!G:G,MATCH(B1462,'Base de données Mono'!D:D,0)),IF(AND(E1462="Gaz",M1462="Hiver"),INDEX('Base de données Mono'!J:J,MATCH(B1462,'Base de données Mono'!D:D,0)),IF(AND(E1462="Gaz",M1462="Mi-saison"),INDEX('Base de données Mono'!#REF!,MATCH(B1462,'Base de données Mono'!D:D,0)),IF(AND(E1462="Gaz",M1462="Eté"),INDEX('Base de données Mono'!#REF!,MATCH(B1462,'Base de données Mono'!D:D,0)),"-"))))))</f>
        <v>65</v>
      </c>
      <c r="O1462" s="123">
        <v>45404</v>
      </c>
      <c r="P1462" s="123">
        <v>45408</v>
      </c>
      <c r="Q1462" s="34">
        <v>75</v>
      </c>
      <c r="R1462" s="33">
        <f t="shared" ref="R1462:R1490" si="374">IF(Q1462="","",Q1462-N1462)</f>
        <v>10</v>
      </c>
      <c r="S1462" s="34">
        <v>0.3</v>
      </c>
      <c r="T1462" s="34">
        <f t="shared" ref="T1462:T1506" si="375">P1462-O1462</f>
        <v>4</v>
      </c>
      <c r="U1462" s="33">
        <f t="shared" ref="U1462:U1490" si="376">R1462*S1462*T1462</f>
        <v>12</v>
      </c>
      <c r="V1462" s="38" t="s">
        <v>827</v>
      </c>
      <c r="W1462" s="39">
        <f t="shared" ref="W1462:W1490" si="377">IFERROR(IF(E1462="Gaz","-",R1462/N1462),"-")</f>
        <v>0.15384615384615385</v>
      </c>
      <c r="X1462" s="40" t="s">
        <v>304</v>
      </c>
      <c r="Y1462" s="40" t="s">
        <v>284</v>
      </c>
      <c r="Z1462" s="40" t="s">
        <v>305</v>
      </c>
      <c r="AA1462" s="33" t="s">
        <v>771</v>
      </c>
      <c r="AB1462" s="95"/>
      <c r="AC1462" s="95"/>
    </row>
    <row r="1463" spans="1:29" ht="14.45" customHeight="1" x14ac:dyDescent="0.25">
      <c r="A1463" s="36" t="str">
        <f>INDEX('Base de données Mono'!C:C,MATCH(B1463,'Base de données Mono'!D:D,0))</f>
        <v>RUEIL MALMAISON</v>
      </c>
      <c r="B1463" t="s">
        <v>31</v>
      </c>
      <c r="C1463" s="36" t="str">
        <f>INDEX('Base de données Mono'!B:B,MATCH(B1463,'Base de données Mono'!D:D,0))</f>
        <v>SES8</v>
      </c>
      <c r="D1463" s="36" t="str">
        <f>INDEX('Base de données Mono'!A:A,MATCH(B1463,'Base de données Mono'!D:D,0))</f>
        <v>AD</v>
      </c>
      <c r="E1463" s="37" t="s">
        <v>303</v>
      </c>
      <c r="F1463" s="41">
        <f t="shared" si="372"/>
        <v>17</v>
      </c>
      <c r="G1463" s="41">
        <f t="shared" si="373"/>
        <v>4</v>
      </c>
      <c r="I1463" s="131">
        <f>INDEX('Base de données Mono'!K:K,MATCH(B1463,'Base de données Mono'!D:D,0))</f>
        <v>0.26041666666666669</v>
      </c>
      <c r="J1463" s="131">
        <f>INDEX('Base de données Mono'!L:L,MATCH(B1463,'Base de données Mono'!D:D,0))</f>
        <v>0.92708333333333337</v>
      </c>
      <c r="K1463" s="131">
        <f>INDEX('Base de données Mono'!M:M,MATCH(B1463,'Base de données Mono'!D:D,0))</f>
        <v>0.27777777777777779</v>
      </c>
      <c r="L1463" s="131">
        <f>INDEX('Base de données Mono'!N:N,MATCH(B1463,'Base de données Mono'!D:D,0))</f>
        <v>0.59375</v>
      </c>
      <c r="M1463" s="33" t="s">
        <v>46</v>
      </c>
      <c r="N1463" s="33">
        <f>IF(AND(E1463="Electricité",M1463="Hiver"),INDEX('Base de données Mono'!E:E,MATCH(B1463,'Base de données Mono'!D:D,0)),IF(AND(E1463="Electricité",M1463="Mi-saison"),INDEX('Base de données Mono'!F:F,MATCH(B1463,'Base de données Mono'!D:D,0)),IF(AND(E1463="Electricité",M1463="Eté"),INDEX('Base de données Mono'!G:G,MATCH(B1463,'Base de données Mono'!D:D,0)),IF(AND(E1463="Gaz",M1463="Hiver"),INDEX('Base de données Mono'!J:J,MATCH(B1463,'Base de données Mono'!D:D,0)),IF(AND(E1463="Gaz",M1463="Mi-saison"),INDEX('Base de données Mono'!#REF!,MATCH(B1463,'Base de données Mono'!D:D,0)),IF(AND(E1463="Gaz",M1463="Eté"),INDEX('Base de données Mono'!#REF!,MATCH(B1463,'Base de données Mono'!D:D,0)),"-"))))))</f>
        <v>65</v>
      </c>
      <c r="O1463" s="123">
        <v>45409</v>
      </c>
      <c r="P1463" s="123">
        <v>45410</v>
      </c>
      <c r="Q1463" s="34">
        <v>100</v>
      </c>
      <c r="R1463" s="33">
        <f t="shared" si="374"/>
        <v>35</v>
      </c>
      <c r="S1463" s="34">
        <v>0.5</v>
      </c>
      <c r="T1463" s="34">
        <f t="shared" si="375"/>
        <v>1</v>
      </c>
      <c r="U1463" s="33">
        <f t="shared" si="376"/>
        <v>17.5</v>
      </c>
      <c r="V1463" s="38" t="s">
        <v>827</v>
      </c>
      <c r="W1463" s="39">
        <f t="shared" si="377"/>
        <v>0.53846153846153844</v>
      </c>
      <c r="X1463" s="40" t="s">
        <v>304</v>
      </c>
      <c r="Y1463" s="40" t="s">
        <v>284</v>
      </c>
      <c r="Z1463" s="40" t="s">
        <v>305</v>
      </c>
      <c r="AA1463" s="33" t="s">
        <v>771</v>
      </c>
      <c r="AB1463" s="95"/>
      <c r="AC1463" s="95"/>
    </row>
    <row r="1464" spans="1:29" ht="14.45" customHeight="1" x14ac:dyDescent="0.25">
      <c r="A1464" s="36" t="str">
        <f>INDEX('Base de données Mono'!C:C,MATCH(B1464,'Base de données Mono'!D:D,0))</f>
        <v>MOULINS LES HALLES</v>
      </c>
      <c r="B1464" t="s">
        <v>26</v>
      </c>
      <c r="C1464" s="36" t="str">
        <f>INDEX('Base de données Mono'!B:B,MATCH(B1464,'Base de données Mono'!D:D,0))</f>
        <v>SES8</v>
      </c>
      <c r="D1464" s="36" t="str">
        <f>INDEX('Base de données Mono'!A:A,MATCH(B1464,'Base de données Mono'!D:D,0))</f>
        <v>AD</v>
      </c>
      <c r="E1464" s="37" t="s">
        <v>303</v>
      </c>
      <c r="F1464" s="41">
        <f t="shared" si="372"/>
        <v>17</v>
      </c>
      <c r="G1464" s="41">
        <f t="shared" si="373"/>
        <v>4</v>
      </c>
      <c r="I1464" s="131">
        <f>INDEX('Base de données Mono'!K:K,MATCH(B1464,'Base de données Mono'!D:D,0))</f>
        <v>0.20138888888888887</v>
      </c>
      <c r="J1464" s="131">
        <f>INDEX('Base de données Mono'!L:L,MATCH(B1464,'Base de données Mono'!D:D,0))</f>
        <v>0.85416666666666663</v>
      </c>
      <c r="K1464" s="131">
        <f>INDEX('Base de données Mono'!M:M,MATCH(B1464,'Base de données Mono'!D:D,0))</f>
        <v>0.20833333333333334</v>
      </c>
      <c r="L1464" s="131">
        <f>INDEX('Base de données Mono'!N:N,MATCH(B1464,'Base de données Mono'!D:D,0))</f>
        <v>0.54166666666666663</v>
      </c>
      <c r="M1464" s="33" t="s">
        <v>46</v>
      </c>
      <c r="N1464" s="33">
        <f>IF(AND(E1464="Electricité",M1464="Hiver"),INDEX('Base de données Mono'!E:E,MATCH(B1464,'Base de données Mono'!D:D,0)),IF(AND(E1464="Electricité",M1464="Mi-saison"),INDEX('Base de données Mono'!F:F,MATCH(B1464,'Base de données Mono'!D:D,0)),IF(AND(E1464="Electricité",M1464="Eté"),INDEX('Base de données Mono'!G:G,MATCH(B1464,'Base de données Mono'!D:D,0)),IF(AND(E1464="Gaz",M1464="Hiver"),INDEX('Base de données Mono'!J:J,MATCH(B1464,'Base de données Mono'!D:D,0)),IF(AND(E1464="Gaz",M1464="Mi-saison"),INDEX('Base de données Mono'!#REF!,MATCH(B1464,'Base de données Mono'!D:D,0)),IF(AND(E1464="Gaz",M1464="Eté"),INDEX('Base de données Mono'!#REF!,MATCH(B1464,'Base de données Mono'!D:D,0)),"-"))))))</f>
        <v>35</v>
      </c>
      <c r="O1464" s="123">
        <v>45407</v>
      </c>
      <c r="P1464" s="123">
        <v>45408</v>
      </c>
      <c r="Q1464" s="34">
        <v>45</v>
      </c>
      <c r="R1464" s="33">
        <f t="shared" si="374"/>
        <v>10</v>
      </c>
      <c r="S1464" s="34">
        <v>8</v>
      </c>
      <c r="T1464" s="34">
        <f t="shared" si="375"/>
        <v>1</v>
      </c>
      <c r="U1464" s="33">
        <f t="shared" si="376"/>
        <v>80</v>
      </c>
      <c r="V1464" s="38" t="s">
        <v>827</v>
      </c>
      <c r="W1464" s="39">
        <f t="shared" si="377"/>
        <v>0.2857142857142857</v>
      </c>
      <c r="X1464" s="40" t="s">
        <v>304</v>
      </c>
      <c r="Y1464" s="40" t="s">
        <v>283</v>
      </c>
      <c r="Z1464" s="40" t="s">
        <v>749</v>
      </c>
      <c r="AA1464" s="33" t="s">
        <v>749</v>
      </c>
      <c r="AB1464" s="95"/>
      <c r="AC1464" s="95"/>
    </row>
    <row r="1465" spans="1:29" ht="14.45" customHeight="1" x14ac:dyDescent="0.25">
      <c r="A1465" s="36" t="str">
        <f>INDEX('Base de données Mono'!C:C,MATCH(B1465,'Base de données Mono'!D:D,0))</f>
        <v>MOULINS LES HALLES</v>
      </c>
      <c r="B1465" t="s">
        <v>26</v>
      </c>
      <c r="C1465" s="36" t="str">
        <f>INDEX('Base de données Mono'!B:B,MATCH(B1465,'Base de données Mono'!D:D,0))</f>
        <v>SES8</v>
      </c>
      <c r="D1465" s="36" t="str">
        <f>INDEX('Base de données Mono'!A:A,MATCH(B1465,'Base de données Mono'!D:D,0))</f>
        <v>AD</v>
      </c>
      <c r="E1465" s="37" t="s">
        <v>303</v>
      </c>
      <c r="F1465" s="41">
        <f t="shared" si="372"/>
        <v>17</v>
      </c>
      <c r="G1465" s="41">
        <f t="shared" si="373"/>
        <v>4</v>
      </c>
      <c r="I1465" s="131">
        <f>INDEX('Base de données Mono'!K:K,MATCH(B1465,'Base de données Mono'!D:D,0))</f>
        <v>0.20138888888888887</v>
      </c>
      <c r="J1465" s="131">
        <f>INDEX('Base de données Mono'!L:L,MATCH(B1465,'Base de données Mono'!D:D,0))</f>
        <v>0.85416666666666663</v>
      </c>
      <c r="K1465" s="131">
        <f>INDEX('Base de données Mono'!M:M,MATCH(B1465,'Base de données Mono'!D:D,0))</f>
        <v>0.20833333333333334</v>
      </c>
      <c r="L1465" s="131">
        <f>INDEX('Base de données Mono'!N:N,MATCH(B1465,'Base de données Mono'!D:D,0))</f>
        <v>0.54166666666666663</v>
      </c>
      <c r="M1465" s="33" t="s">
        <v>46</v>
      </c>
      <c r="N1465" s="33">
        <f>IF(AND(E1465="Electricité",M1465="Hiver"),INDEX('Base de données Mono'!E:E,MATCH(B1465,'Base de données Mono'!D:D,0)),IF(AND(E1465="Electricité",M1465="Mi-saison"),INDEX('Base de données Mono'!F:F,MATCH(B1465,'Base de données Mono'!D:D,0)),IF(AND(E1465="Electricité",M1465="Eté"),INDEX('Base de données Mono'!G:G,MATCH(B1465,'Base de données Mono'!D:D,0)),IF(AND(E1465="Gaz",M1465="Hiver"),INDEX('Base de données Mono'!J:J,MATCH(B1465,'Base de données Mono'!D:D,0)),IF(AND(E1465="Gaz",M1465="Mi-saison"),INDEX('Base de données Mono'!#REF!,MATCH(B1465,'Base de données Mono'!D:D,0)),IF(AND(E1465="Gaz",M1465="Eté"),INDEX('Base de données Mono'!#REF!,MATCH(B1465,'Base de données Mono'!D:D,0)),"-"))))))</f>
        <v>35</v>
      </c>
      <c r="O1465" s="123">
        <v>45409</v>
      </c>
      <c r="P1465" s="123">
        <v>45410</v>
      </c>
      <c r="Q1465" s="34">
        <v>45</v>
      </c>
      <c r="R1465" s="33">
        <f t="shared" si="374"/>
        <v>10</v>
      </c>
      <c r="S1465" s="34">
        <v>3</v>
      </c>
      <c r="T1465" s="34">
        <f t="shared" si="375"/>
        <v>1</v>
      </c>
      <c r="U1465" s="33">
        <f t="shared" si="376"/>
        <v>30</v>
      </c>
      <c r="V1465" s="38" t="s">
        <v>827</v>
      </c>
      <c r="W1465" s="39">
        <f t="shared" si="377"/>
        <v>0.2857142857142857</v>
      </c>
      <c r="X1465" s="40" t="s">
        <v>304</v>
      </c>
      <c r="Y1465" s="40" t="s">
        <v>283</v>
      </c>
      <c r="Z1465" s="40" t="s">
        <v>749</v>
      </c>
      <c r="AA1465" s="33" t="s">
        <v>749</v>
      </c>
      <c r="AB1465" s="95"/>
      <c r="AC1465" s="95"/>
    </row>
    <row r="1466" spans="1:29" ht="14.45" customHeight="1" x14ac:dyDescent="0.25">
      <c r="A1466" s="36" t="str">
        <f>INDEX('Base de données Mono'!C:C,MATCH(B1466,'Base de données Mono'!D:D,0))</f>
        <v>MANTES LA JOLIE</v>
      </c>
      <c r="B1466" t="s">
        <v>23</v>
      </c>
      <c r="C1466" s="36" t="str">
        <f>INDEX('Base de données Mono'!B:B,MATCH(B1466,'Base de données Mono'!D:D,0))</f>
        <v>SES8</v>
      </c>
      <c r="D1466" s="36" t="str">
        <f>INDEX('Base de données Mono'!A:A,MATCH(B1466,'Base de données Mono'!D:D,0))</f>
        <v>AD</v>
      </c>
      <c r="E1466" s="37" t="s">
        <v>303</v>
      </c>
      <c r="F1466" s="41">
        <f t="shared" si="372"/>
        <v>17</v>
      </c>
      <c r="G1466" s="41">
        <f t="shared" si="373"/>
        <v>4</v>
      </c>
      <c r="I1466" s="131">
        <f>INDEX('Base de données Mono'!K:K,MATCH(B1466,'Base de données Mono'!D:D,0))</f>
        <v>0.20138888888888887</v>
      </c>
      <c r="J1466" s="131">
        <f>INDEX('Base de données Mono'!L:L,MATCH(B1466,'Base de données Mono'!D:D,0))</f>
        <v>0.875</v>
      </c>
      <c r="K1466" s="131">
        <f>INDEX('Base de données Mono'!M:M,MATCH(B1466,'Base de données Mono'!D:D,0))</f>
        <v>0.24305555555555555</v>
      </c>
      <c r="L1466" s="131">
        <f>INDEX('Base de données Mono'!N:N,MATCH(B1466,'Base de données Mono'!D:D,0))</f>
        <v>0.83333333333333337</v>
      </c>
      <c r="M1466" s="33" t="s">
        <v>46</v>
      </c>
      <c r="N1466" s="33">
        <f>IF(AND(E1466="Electricité",M1466="Hiver"),INDEX('Base de données Mono'!E:E,MATCH(B1466,'Base de données Mono'!D:D,0)),IF(AND(E1466="Electricité",M1466="Mi-saison"),INDEX('Base de données Mono'!F:F,MATCH(B1466,'Base de données Mono'!D:D,0)),IF(AND(E1466="Electricité",M1466="Eté"),INDEX('Base de données Mono'!G:G,MATCH(B1466,'Base de données Mono'!D:D,0)),IF(AND(E1466="Gaz",M1466="Hiver"),INDEX('Base de données Mono'!J:J,MATCH(B1466,'Base de données Mono'!D:D,0)),IF(AND(E1466="Gaz",M1466="Mi-saison"),INDEX('Base de données Mono'!#REF!,MATCH(B1466,'Base de données Mono'!D:D,0)),IF(AND(E1466="Gaz",M1466="Eté"),INDEX('Base de données Mono'!#REF!,MATCH(B1466,'Base de données Mono'!D:D,0)),"-"))))))</f>
        <v>35</v>
      </c>
      <c r="O1466" s="123">
        <v>45406</v>
      </c>
      <c r="P1466" s="123">
        <v>45408</v>
      </c>
      <c r="Q1466" s="34">
        <v>60</v>
      </c>
      <c r="R1466" s="33">
        <f t="shared" si="374"/>
        <v>25</v>
      </c>
      <c r="S1466" s="34">
        <v>3</v>
      </c>
      <c r="T1466" s="34">
        <f t="shared" si="375"/>
        <v>2</v>
      </c>
      <c r="U1466" s="33">
        <f t="shared" si="376"/>
        <v>150</v>
      </c>
      <c r="V1466" s="38" t="s">
        <v>827</v>
      </c>
      <c r="W1466" s="39">
        <f t="shared" si="377"/>
        <v>0.7142857142857143</v>
      </c>
      <c r="X1466" s="40" t="s">
        <v>304</v>
      </c>
      <c r="Y1466" s="40" t="s">
        <v>283</v>
      </c>
      <c r="Z1466" s="40" t="s">
        <v>749</v>
      </c>
      <c r="AA1466" s="33" t="s">
        <v>749</v>
      </c>
      <c r="AB1466" s="95"/>
      <c r="AC1466" s="95" t="s">
        <v>859</v>
      </c>
    </row>
    <row r="1467" spans="1:29" ht="14.45" customHeight="1" x14ac:dyDescent="0.25">
      <c r="A1467" s="36" t="str">
        <f>INDEX('Base de données Mono'!C:C,MATCH(B1467,'Base de données Mono'!D:D,0))</f>
        <v>MANTES LA JOLIE</v>
      </c>
      <c r="B1467" t="s">
        <v>23</v>
      </c>
      <c r="C1467" s="36" t="str">
        <f>INDEX('Base de données Mono'!B:B,MATCH(B1467,'Base de données Mono'!D:D,0))</f>
        <v>SES8</v>
      </c>
      <c r="D1467" s="36" t="str">
        <f>INDEX('Base de données Mono'!A:A,MATCH(B1467,'Base de données Mono'!D:D,0))</f>
        <v>AD</v>
      </c>
      <c r="E1467" s="37" t="s">
        <v>303</v>
      </c>
      <c r="F1467" s="41">
        <f t="shared" si="372"/>
        <v>17</v>
      </c>
      <c r="G1467" s="41">
        <f t="shared" si="373"/>
        <v>4</v>
      </c>
      <c r="I1467" s="131">
        <f>INDEX('Base de données Mono'!K:K,MATCH(B1467,'Base de données Mono'!D:D,0))</f>
        <v>0.20138888888888887</v>
      </c>
      <c r="J1467" s="131">
        <f>INDEX('Base de données Mono'!L:L,MATCH(B1467,'Base de données Mono'!D:D,0))</f>
        <v>0.875</v>
      </c>
      <c r="K1467" s="131">
        <f>INDEX('Base de données Mono'!M:M,MATCH(B1467,'Base de données Mono'!D:D,0))</f>
        <v>0.24305555555555555</v>
      </c>
      <c r="L1467" s="131">
        <f>INDEX('Base de données Mono'!N:N,MATCH(B1467,'Base de données Mono'!D:D,0))</f>
        <v>0.83333333333333337</v>
      </c>
      <c r="M1467" s="33" t="s">
        <v>46</v>
      </c>
      <c r="N1467" s="33">
        <f>IF(AND(E1467="Electricité",M1467="Hiver"),INDEX('Base de données Mono'!E:E,MATCH(B1467,'Base de données Mono'!D:D,0)),IF(AND(E1467="Electricité",M1467="Mi-saison"),INDEX('Base de données Mono'!F:F,MATCH(B1467,'Base de données Mono'!D:D,0)),IF(AND(E1467="Electricité",M1467="Eté"),INDEX('Base de données Mono'!G:G,MATCH(B1467,'Base de données Mono'!D:D,0)),IF(AND(E1467="Gaz",M1467="Hiver"),INDEX('Base de données Mono'!J:J,MATCH(B1467,'Base de données Mono'!D:D,0)),IF(AND(E1467="Gaz",M1467="Mi-saison"),INDEX('Base de données Mono'!#REF!,MATCH(B1467,'Base de données Mono'!D:D,0)),IF(AND(E1467="Gaz",M1467="Eté"),INDEX('Base de données Mono'!#REF!,MATCH(B1467,'Base de données Mono'!D:D,0)),"-"))))))</f>
        <v>35</v>
      </c>
      <c r="O1467" s="123">
        <v>45408</v>
      </c>
      <c r="P1467" s="123">
        <v>45410</v>
      </c>
      <c r="Q1467" s="34">
        <v>40</v>
      </c>
      <c r="R1467" s="33">
        <f t="shared" si="374"/>
        <v>5</v>
      </c>
      <c r="S1467" s="34">
        <v>2</v>
      </c>
      <c r="T1467" s="34">
        <f t="shared" si="375"/>
        <v>2</v>
      </c>
      <c r="U1467" s="33">
        <f t="shared" si="376"/>
        <v>20</v>
      </c>
      <c r="V1467" s="38" t="s">
        <v>827</v>
      </c>
      <c r="W1467" s="39">
        <f t="shared" si="377"/>
        <v>0.14285714285714285</v>
      </c>
      <c r="X1467" s="40" t="s">
        <v>304</v>
      </c>
      <c r="Y1467" s="40" t="s">
        <v>283</v>
      </c>
      <c r="Z1467" s="40" t="s">
        <v>749</v>
      </c>
      <c r="AA1467" s="33" t="s">
        <v>749</v>
      </c>
      <c r="AB1467" s="95"/>
      <c r="AC1467" s="95"/>
    </row>
    <row r="1468" spans="1:29" ht="14.45" customHeight="1" x14ac:dyDescent="0.25">
      <c r="A1468" s="36" t="str">
        <f>INDEX('Base de données Mono'!C:C,MATCH(B1468,'Base de données Mono'!D:D,0))</f>
        <v>LYON LA PART DIEU</v>
      </c>
      <c r="B1468" t="s">
        <v>21</v>
      </c>
      <c r="C1468" s="36" t="str">
        <f>INDEX('Base de données Mono'!B:B,MATCH(B1468,'Base de données Mono'!D:D,0))</f>
        <v>SES8</v>
      </c>
      <c r="D1468" s="36" t="str">
        <f>INDEX('Base de données Mono'!A:A,MATCH(B1468,'Base de données Mono'!D:D,0))</f>
        <v>JG</v>
      </c>
      <c r="E1468" s="37" t="s">
        <v>303</v>
      </c>
      <c r="F1468" s="41">
        <f t="shared" si="372"/>
        <v>17</v>
      </c>
      <c r="G1468" s="41">
        <f t="shared" si="373"/>
        <v>4</v>
      </c>
      <c r="I1468" s="131">
        <f>INDEX('Base de données Mono'!K:K,MATCH(B1468,'Base de données Mono'!D:D,0))</f>
        <v>0.1875</v>
      </c>
      <c r="J1468" s="131">
        <f>INDEX('Base de données Mono'!L:L,MATCH(B1468,'Base de données Mono'!D:D,0))</f>
        <v>0.83333333333333337</v>
      </c>
      <c r="K1468" s="131">
        <f>INDEX('Base de données Mono'!M:M,MATCH(B1468,'Base de données Mono'!D:D,0))</f>
        <v>0.25</v>
      </c>
      <c r="L1468" s="131">
        <f>INDEX('Base de données Mono'!N:N,MATCH(B1468,'Base de données Mono'!D:D,0))</f>
        <v>0.5</v>
      </c>
      <c r="M1468" s="33" t="s">
        <v>46</v>
      </c>
      <c r="N1468" s="33">
        <f>IF(AND(E1468="Electricité",M1468="Hiver"),INDEX('Base de données Mono'!E:E,MATCH(B1468,'Base de données Mono'!D:D,0)),IF(AND(E1468="Electricité",M1468="Mi-saison"),INDEX('Base de données Mono'!F:F,MATCH(B1468,'Base de données Mono'!D:D,0)),IF(AND(E1468="Electricité",M1468="Eté"),INDEX('Base de données Mono'!G:G,MATCH(B1468,'Base de données Mono'!D:D,0)),IF(AND(E1468="Gaz",M1468="Hiver"),INDEX('Base de données Mono'!J:J,MATCH(B1468,'Base de données Mono'!D:D,0)),IF(AND(E1468="Gaz",M1468="Mi-saison"),INDEX('Base de données Mono'!#REF!,MATCH(B1468,'Base de données Mono'!D:D,0)),IF(AND(E1468="Gaz",M1468="Eté"),INDEX('Base de données Mono'!#REF!,MATCH(B1468,'Base de données Mono'!D:D,0)),"-"))))))</f>
        <v>45</v>
      </c>
      <c r="O1468" s="123">
        <v>45404</v>
      </c>
      <c r="P1468" s="123">
        <v>45405</v>
      </c>
      <c r="Q1468" s="34">
        <v>55</v>
      </c>
      <c r="R1468" s="33">
        <f t="shared" si="374"/>
        <v>10</v>
      </c>
      <c r="S1468" s="34">
        <v>5.6</v>
      </c>
      <c r="T1468" s="34">
        <f t="shared" si="375"/>
        <v>1</v>
      </c>
      <c r="U1468" s="33">
        <f t="shared" si="376"/>
        <v>56</v>
      </c>
      <c r="V1468" s="38" t="s">
        <v>827</v>
      </c>
      <c r="W1468" s="39">
        <f t="shared" si="377"/>
        <v>0.22222222222222221</v>
      </c>
      <c r="X1468" s="40" t="s">
        <v>304</v>
      </c>
      <c r="Y1468" s="40" t="s">
        <v>284</v>
      </c>
      <c r="Z1468" s="40" t="s">
        <v>305</v>
      </c>
      <c r="AA1468" s="33" t="s">
        <v>771</v>
      </c>
      <c r="AB1468" s="95"/>
      <c r="AC1468" s="95"/>
    </row>
    <row r="1469" spans="1:29" ht="14.45" customHeight="1" x14ac:dyDescent="0.25">
      <c r="A1469" s="36" t="str">
        <f>INDEX('Base de données Mono'!C:C,MATCH(B1469,'Base de données Mono'!D:D,0))</f>
        <v>LYON LA PART DIEU</v>
      </c>
      <c r="B1469" t="s">
        <v>21</v>
      </c>
      <c r="C1469" s="36" t="str">
        <f>INDEX('Base de données Mono'!B:B,MATCH(B1469,'Base de données Mono'!D:D,0))</f>
        <v>SES8</v>
      </c>
      <c r="D1469" s="36" t="str">
        <f>INDEX('Base de données Mono'!A:A,MATCH(B1469,'Base de données Mono'!D:D,0))</f>
        <v>JG</v>
      </c>
      <c r="E1469" s="37" t="s">
        <v>303</v>
      </c>
      <c r="F1469" s="41">
        <f t="shared" ref="F1469" si="378">IF(O1469="","-",IF(AND(X1469="Nuit",WEEKDAY(O1469,2)=7,O1469&lt;&gt;P1469),WEEKNUM(O1469,2),WEEKNUM(O1469,2)-1))+1</f>
        <v>17</v>
      </c>
      <c r="G1469" s="41">
        <f t="shared" ref="G1469" si="379">IF(O1469="","-",MONTH(O1469))</f>
        <v>4</v>
      </c>
      <c r="I1469" s="131">
        <f>INDEX('Base de données Mono'!K:K,MATCH(B1469,'Base de données Mono'!D:D,0))</f>
        <v>0.1875</v>
      </c>
      <c r="J1469" s="131">
        <f>INDEX('Base de données Mono'!L:L,MATCH(B1469,'Base de données Mono'!D:D,0))</f>
        <v>0.83333333333333337</v>
      </c>
      <c r="K1469" s="131">
        <f>INDEX('Base de données Mono'!M:M,MATCH(B1469,'Base de données Mono'!D:D,0))</f>
        <v>0.25</v>
      </c>
      <c r="L1469" s="131">
        <f>INDEX('Base de données Mono'!N:N,MATCH(B1469,'Base de données Mono'!D:D,0))</f>
        <v>0.5</v>
      </c>
      <c r="M1469" s="33" t="s">
        <v>46</v>
      </c>
      <c r="N1469" s="33">
        <f>IF(AND(E1469="Electricité",M1469="Hiver"),INDEX('Base de données Mono'!E:E,MATCH(B1469,'Base de données Mono'!D:D,0)),IF(AND(E1469="Electricité",M1469="Mi-saison"),INDEX('Base de données Mono'!F:F,MATCH(B1469,'Base de données Mono'!D:D,0)),IF(AND(E1469="Electricité",M1469="Eté"),INDEX('Base de données Mono'!G:G,MATCH(B1469,'Base de données Mono'!D:D,0)),IF(AND(E1469="Gaz",M1469="Hiver"),INDEX('Base de données Mono'!J:J,MATCH(B1469,'Base de données Mono'!D:D,0)),IF(AND(E1469="Gaz",M1469="Mi-saison"),INDEX('Base de données Mono'!#REF!,MATCH(B1469,'Base de données Mono'!D:D,0)),IF(AND(E1469="Gaz",M1469="Eté"),INDEX('Base de données Mono'!#REF!,MATCH(B1469,'Base de données Mono'!D:D,0)),"-"))))))</f>
        <v>45</v>
      </c>
      <c r="O1469" s="123">
        <v>45404</v>
      </c>
      <c r="P1469" s="123">
        <v>45410</v>
      </c>
      <c r="Q1469" s="34">
        <v>115</v>
      </c>
      <c r="R1469" s="33">
        <f t="shared" si="374"/>
        <v>70</v>
      </c>
      <c r="S1469" s="34">
        <v>0.8</v>
      </c>
      <c r="T1469" s="34">
        <f t="shared" si="375"/>
        <v>6</v>
      </c>
      <c r="U1469" s="33">
        <f t="shared" si="376"/>
        <v>336</v>
      </c>
      <c r="V1469" s="38" t="s">
        <v>827</v>
      </c>
      <c r="W1469" s="39">
        <f t="shared" si="377"/>
        <v>1.5555555555555556</v>
      </c>
      <c r="X1469" s="40" t="s">
        <v>304</v>
      </c>
      <c r="Y1469" s="40" t="s">
        <v>284</v>
      </c>
      <c r="Z1469" s="40" t="s">
        <v>307</v>
      </c>
      <c r="AA1469" s="33" t="s">
        <v>313</v>
      </c>
      <c r="AB1469" s="95"/>
      <c r="AC1469" s="95"/>
    </row>
    <row r="1470" spans="1:29" ht="14.45" customHeight="1" x14ac:dyDescent="0.25">
      <c r="A1470" s="36" t="str">
        <f>INDEX('Base de données Mono'!C:C,MATCH(B1470,'Base de données Mono'!D:D,0))</f>
        <v>LYON LA PART DIEU</v>
      </c>
      <c r="B1470" t="s">
        <v>21</v>
      </c>
      <c r="C1470" s="36" t="str">
        <f>INDEX('Base de données Mono'!B:B,MATCH(B1470,'Base de données Mono'!D:D,0))</f>
        <v>SES8</v>
      </c>
      <c r="D1470" s="36" t="str">
        <f>INDEX('Base de données Mono'!A:A,MATCH(B1470,'Base de données Mono'!D:D,0))</f>
        <v>JG</v>
      </c>
      <c r="E1470" s="37" t="s">
        <v>303</v>
      </c>
      <c r="F1470" s="41">
        <f t="shared" si="372"/>
        <v>17</v>
      </c>
      <c r="G1470" s="41">
        <f t="shared" si="373"/>
        <v>4</v>
      </c>
      <c r="I1470" s="131">
        <f>INDEX('Base de données Mono'!K:K,MATCH(B1470,'Base de données Mono'!D:D,0))</f>
        <v>0.1875</v>
      </c>
      <c r="J1470" s="131">
        <f>INDEX('Base de données Mono'!L:L,MATCH(B1470,'Base de données Mono'!D:D,0))</f>
        <v>0.83333333333333337</v>
      </c>
      <c r="K1470" s="131">
        <f>INDEX('Base de données Mono'!M:M,MATCH(B1470,'Base de données Mono'!D:D,0))</f>
        <v>0.25</v>
      </c>
      <c r="L1470" s="131">
        <f>INDEX('Base de données Mono'!N:N,MATCH(B1470,'Base de données Mono'!D:D,0))</f>
        <v>0.5</v>
      </c>
      <c r="M1470" s="33" t="s">
        <v>46</v>
      </c>
      <c r="N1470" s="33">
        <f>IF(AND(E1470="Electricité",M1470="Hiver"),INDEX('Base de données Mono'!E:E,MATCH(B1470,'Base de données Mono'!D:D,0)),IF(AND(E1470="Electricité",M1470="Mi-saison"),INDEX('Base de données Mono'!F:F,MATCH(B1470,'Base de données Mono'!D:D,0)),IF(AND(E1470="Electricité",M1470="Eté"),INDEX('Base de données Mono'!G:G,MATCH(B1470,'Base de données Mono'!D:D,0)),IF(AND(E1470="Gaz",M1470="Hiver"),INDEX('Base de données Mono'!J:J,MATCH(B1470,'Base de données Mono'!D:D,0)),IF(AND(E1470="Gaz",M1470="Mi-saison"),INDEX('Base de données Mono'!#REF!,MATCH(B1470,'Base de données Mono'!D:D,0)),IF(AND(E1470="Gaz",M1470="Eté"),INDEX('Base de données Mono'!#REF!,MATCH(B1470,'Base de données Mono'!D:D,0)),"-"))))))</f>
        <v>45</v>
      </c>
      <c r="O1470" s="123">
        <v>45405</v>
      </c>
      <c r="P1470" s="123">
        <v>45410</v>
      </c>
      <c r="Q1470" s="34">
        <v>55</v>
      </c>
      <c r="R1470" s="33">
        <f t="shared" si="374"/>
        <v>10</v>
      </c>
      <c r="S1470" s="34">
        <v>7.7</v>
      </c>
      <c r="T1470" s="34">
        <f t="shared" si="375"/>
        <v>5</v>
      </c>
      <c r="U1470" s="33">
        <f t="shared" si="376"/>
        <v>385</v>
      </c>
      <c r="V1470" s="38" t="s">
        <v>827</v>
      </c>
      <c r="W1470" s="39">
        <f t="shared" si="377"/>
        <v>0.22222222222222221</v>
      </c>
      <c r="X1470" s="40" t="s">
        <v>304</v>
      </c>
      <c r="Y1470" s="40" t="s">
        <v>284</v>
      </c>
      <c r="Z1470" s="40" t="s">
        <v>305</v>
      </c>
      <c r="AA1470" s="33" t="s">
        <v>771</v>
      </c>
      <c r="AB1470" s="95"/>
      <c r="AC1470" s="95"/>
    </row>
    <row r="1471" spans="1:29" ht="14.45" customHeight="1" x14ac:dyDescent="0.25">
      <c r="A1471" s="36" t="str">
        <f>INDEX('Base de données Mono'!C:C,MATCH(B1471,'Base de données Mono'!D:D,0))</f>
        <v>CHAMBERY LES HALLES</v>
      </c>
      <c r="B1471" t="s">
        <v>11</v>
      </c>
      <c r="C1471" s="36" t="str">
        <f>INDEX('Base de données Mono'!B:B,MATCH(B1471,'Base de données Mono'!D:D,0))</f>
        <v>SES8</v>
      </c>
      <c r="D1471" s="36" t="str">
        <f>INDEX('Base de données Mono'!A:A,MATCH(B1471,'Base de données Mono'!D:D,0))</f>
        <v>JG</v>
      </c>
      <c r="E1471" s="37" t="s">
        <v>303</v>
      </c>
      <c r="F1471" s="41">
        <f t="shared" si="372"/>
        <v>17</v>
      </c>
      <c r="G1471" s="41">
        <f t="shared" si="373"/>
        <v>4</v>
      </c>
      <c r="I1471" s="131">
        <f>INDEX('Base de données Mono'!K:K,MATCH(B1471,'Base de données Mono'!D:D,0))</f>
        <v>0.20833333333333334</v>
      </c>
      <c r="J1471" s="131">
        <f>INDEX('Base de données Mono'!L:L,MATCH(B1471,'Base de données Mono'!D:D,0))</f>
        <v>0.86458333333333337</v>
      </c>
      <c r="K1471" s="131">
        <f>INDEX('Base de données Mono'!M:M,MATCH(B1471,'Base de données Mono'!D:D,0))</f>
        <v>0.29166666666666669</v>
      </c>
      <c r="L1471" s="131">
        <f>INDEX('Base de données Mono'!N:N,MATCH(B1471,'Base de données Mono'!D:D,0))</f>
        <v>0.53125</v>
      </c>
      <c r="M1471" s="33" t="s">
        <v>46</v>
      </c>
      <c r="N1471" s="33">
        <f>IF(AND(E1471="Electricité",M1471="Hiver"),INDEX('Base de données Mono'!E:E,MATCH(B1471,'Base de données Mono'!D:D,0)),IF(AND(E1471="Electricité",M1471="Mi-saison"),INDEX('Base de données Mono'!F:F,MATCH(B1471,'Base de données Mono'!D:D,0)),IF(AND(E1471="Electricité",M1471="Eté"),INDEX('Base de données Mono'!G:G,MATCH(B1471,'Base de données Mono'!D:D,0)),IF(AND(E1471="Gaz",M1471="Hiver"),INDEX('Base de données Mono'!J:J,MATCH(B1471,'Base de données Mono'!D:D,0)),IF(AND(E1471="Gaz",M1471="Mi-saison"),INDEX('Base de données Mono'!#REF!,MATCH(B1471,'Base de données Mono'!D:D,0)),IF(AND(E1471="Gaz",M1471="Eté"),INDEX('Base de données Mono'!#REF!,MATCH(B1471,'Base de données Mono'!D:D,0)),"-"))))))</f>
        <v>40</v>
      </c>
      <c r="O1471" s="123">
        <v>45403</v>
      </c>
      <c r="P1471" s="123">
        <v>45404</v>
      </c>
      <c r="Q1471" s="34">
        <v>70</v>
      </c>
      <c r="R1471" s="33">
        <f t="shared" si="374"/>
        <v>30</v>
      </c>
      <c r="S1471" s="34">
        <v>8.1999999999999993</v>
      </c>
      <c r="T1471" s="34">
        <f t="shared" si="375"/>
        <v>1</v>
      </c>
      <c r="U1471" s="33">
        <f t="shared" si="376"/>
        <v>245.99999999999997</v>
      </c>
      <c r="V1471" s="38" t="s">
        <v>827</v>
      </c>
      <c r="W1471" s="39">
        <f t="shared" si="377"/>
        <v>0.75</v>
      </c>
      <c r="X1471" s="40" t="s">
        <v>304</v>
      </c>
      <c r="Y1471" s="40" t="s">
        <v>284</v>
      </c>
      <c r="Z1471" s="40" t="s">
        <v>311</v>
      </c>
      <c r="AA1471" s="33" t="s">
        <v>775</v>
      </c>
      <c r="AB1471" s="95"/>
      <c r="AC1471" s="95"/>
    </row>
    <row r="1472" spans="1:29" ht="14.45" customHeight="1" x14ac:dyDescent="0.25">
      <c r="A1472" s="36" t="str">
        <f>INDEX('Base de données Mono'!C:C,MATCH(B1472,'Base de données Mono'!D:D,0))</f>
        <v>CHAMBERY LES HALLES</v>
      </c>
      <c r="B1472" t="s">
        <v>11</v>
      </c>
      <c r="C1472" s="36" t="str">
        <f>INDEX('Base de données Mono'!B:B,MATCH(B1472,'Base de données Mono'!D:D,0))</f>
        <v>SES8</v>
      </c>
      <c r="D1472" s="36" t="str">
        <f>INDEX('Base de données Mono'!A:A,MATCH(B1472,'Base de données Mono'!D:D,0))</f>
        <v>JG</v>
      </c>
      <c r="E1472" s="37" t="s">
        <v>303</v>
      </c>
      <c r="F1472" s="41">
        <f t="shared" si="372"/>
        <v>17</v>
      </c>
      <c r="G1472" s="41">
        <f t="shared" si="373"/>
        <v>4</v>
      </c>
      <c r="I1472" s="131">
        <f>INDEX('Base de données Mono'!K:K,MATCH(B1472,'Base de données Mono'!D:D,0))</f>
        <v>0.20833333333333334</v>
      </c>
      <c r="J1472" s="131">
        <f>INDEX('Base de données Mono'!L:L,MATCH(B1472,'Base de données Mono'!D:D,0))</f>
        <v>0.86458333333333337</v>
      </c>
      <c r="K1472" s="131">
        <f>INDEX('Base de données Mono'!M:M,MATCH(B1472,'Base de données Mono'!D:D,0))</f>
        <v>0.29166666666666669</v>
      </c>
      <c r="L1472" s="131">
        <f>INDEX('Base de données Mono'!N:N,MATCH(B1472,'Base de données Mono'!D:D,0))</f>
        <v>0.53125</v>
      </c>
      <c r="M1472" s="33" t="s">
        <v>46</v>
      </c>
      <c r="N1472" s="33">
        <f>IF(AND(E1472="Electricité",M1472="Hiver"),INDEX('Base de données Mono'!E:E,MATCH(B1472,'Base de données Mono'!D:D,0)),IF(AND(E1472="Electricité",M1472="Mi-saison"),INDEX('Base de données Mono'!F:F,MATCH(B1472,'Base de données Mono'!D:D,0)),IF(AND(E1472="Electricité",M1472="Eté"),INDEX('Base de données Mono'!G:G,MATCH(B1472,'Base de données Mono'!D:D,0)),IF(AND(E1472="Gaz",M1472="Hiver"),INDEX('Base de données Mono'!J:J,MATCH(B1472,'Base de données Mono'!D:D,0)),IF(AND(E1472="Gaz",M1472="Mi-saison"),INDEX('Base de données Mono'!#REF!,MATCH(B1472,'Base de données Mono'!D:D,0)),IF(AND(E1472="Gaz",M1472="Eté"),INDEX('Base de données Mono'!#REF!,MATCH(B1472,'Base de données Mono'!D:D,0)),"-"))))))</f>
        <v>40</v>
      </c>
      <c r="O1472" s="123">
        <v>45404</v>
      </c>
      <c r="P1472" s="123">
        <v>45407</v>
      </c>
      <c r="Q1472" s="34">
        <v>45</v>
      </c>
      <c r="R1472" s="33">
        <f t="shared" si="374"/>
        <v>5</v>
      </c>
      <c r="S1472" s="34">
        <v>8.1999999999999993</v>
      </c>
      <c r="T1472" s="34">
        <f t="shared" si="375"/>
        <v>3</v>
      </c>
      <c r="U1472" s="33">
        <f t="shared" si="376"/>
        <v>123</v>
      </c>
      <c r="V1472" s="38" t="s">
        <v>827</v>
      </c>
      <c r="W1472" s="39">
        <f t="shared" si="377"/>
        <v>0.125</v>
      </c>
      <c r="X1472" s="40" t="s">
        <v>304</v>
      </c>
      <c r="Y1472" s="40" t="s">
        <v>284</v>
      </c>
      <c r="Z1472" s="40" t="s">
        <v>305</v>
      </c>
      <c r="AA1472" s="33" t="s">
        <v>771</v>
      </c>
      <c r="AB1472" s="95"/>
      <c r="AC1472" s="95"/>
    </row>
    <row r="1473" spans="1:29" ht="14.45" customHeight="1" x14ac:dyDescent="0.25">
      <c r="A1473" s="36" t="str">
        <f>INDEX('Base de données Mono'!C:C,MATCH(B1473,'Base de données Mono'!D:D,0))</f>
        <v>NICE VICTOIRE</v>
      </c>
      <c r="B1473" t="s">
        <v>28</v>
      </c>
      <c r="C1473" s="36" t="str">
        <f>INDEX('Base de données Mono'!B:B,MATCH(B1473,'Base de données Mono'!D:D,0))</f>
        <v>SES8</v>
      </c>
      <c r="D1473" s="36" t="str">
        <f>INDEX('Base de données Mono'!A:A,MATCH(B1473,'Base de données Mono'!D:D,0))</f>
        <v>JG</v>
      </c>
      <c r="E1473" s="37" t="s">
        <v>303</v>
      </c>
      <c r="F1473" s="41">
        <f t="shared" si="372"/>
        <v>17</v>
      </c>
      <c r="G1473" s="41">
        <f t="shared" si="373"/>
        <v>4</v>
      </c>
      <c r="I1473" s="131">
        <f>INDEX('Base de données Mono'!K:K,MATCH(B1473,'Base de données Mono'!D:D,0))</f>
        <v>0.20138888888888887</v>
      </c>
      <c r="J1473" s="131">
        <f>INDEX('Base de données Mono'!L:L,MATCH(B1473,'Base de données Mono'!D:D,0))</f>
        <v>0.89583333333333337</v>
      </c>
      <c r="K1473" s="131">
        <f>INDEX('Base de données Mono'!M:M,MATCH(B1473,'Base de données Mono'!D:D,0))</f>
        <v>0.28472222222222221</v>
      </c>
      <c r="L1473" s="131">
        <f>INDEX('Base de données Mono'!N:N,MATCH(B1473,'Base de données Mono'!D:D,0))</f>
        <v>0.85416666666666663</v>
      </c>
      <c r="M1473" s="33" t="s">
        <v>46</v>
      </c>
      <c r="N1473" s="33">
        <f>IF(AND(E1473="Electricité",M1473="Hiver"),INDEX('Base de données Mono'!E:E,MATCH(B1473,'Base de données Mono'!D:D,0)),IF(AND(E1473="Electricité",M1473="Mi-saison"),INDEX('Base de données Mono'!F:F,MATCH(B1473,'Base de données Mono'!D:D,0)),IF(AND(E1473="Electricité",M1473="Eté"),INDEX('Base de données Mono'!G:G,MATCH(B1473,'Base de données Mono'!D:D,0)),IF(AND(E1473="Gaz",M1473="Hiver"),INDEX('Base de données Mono'!J:J,MATCH(B1473,'Base de données Mono'!D:D,0)),IF(AND(E1473="Gaz",M1473="Mi-saison"),INDEX('Base de données Mono'!#REF!,MATCH(B1473,'Base de données Mono'!D:D,0)),IF(AND(E1473="Gaz",M1473="Eté"),INDEX('Base de données Mono'!#REF!,MATCH(B1473,'Base de données Mono'!D:D,0)),"-"))))))</f>
        <v>110</v>
      </c>
      <c r="O1473" s="123">
        <v>45403</v>
      </c>
      <c r="P1473" s="123">
        <v>45409</v>
      </c>
      <c r="Q1473" s="34">
        <v>170</v>
      </c>
      <c r="R1473" s="33">
        <f t="shared" si="374"/>
        <v>60</v>
      </c>
      <c r="S1473" s="34">
        <v>1</v>
      </c>
      <c r="T1473" s="34">
        <f t="shared" si="375"/>
        <v>6</v>
      </c>
      <c r="U1473" s="33">
        <f t="shared" si="376"/>
        <v>360</v>
      </c>
      <c r="V1473" s="38" t="s">
        <v>827</v>
      </c>
      <c r="W1473" s="39">
        <f t="shared" si="377"/>
        <v>0.54545454545454541</v>
      </c>
      <c r="X1473" s="40" t="s">
        <v>304</v>
      </c>
      <c r="Y1473" s="40" t="s">
        <v>284</v>
      </c>
      <c r="Z1473" s="40" t="s">
        <v>307</v>
      </c>
      <c r="AA1473" s="33" t="s">
        <v>414</v>
      </c>
      <c r="AB1473" s="95"/>
      <c r="AC1473" s="95"/>
    </row>
    <row r="1474" spans="1:29" ht="14.45" customHeight="1" x14ac:dyDescent="0.25">
      <c r="A1474" s="36" t="str">
        <f>INDEX('Base de données Mono'!C:C,MATCH(B1474,'Base de données Mono'!D:D,0))</f>
        <v>NICE VICTOIRE</v>
      </c>
      <c r="B1474" t="s">
        <v>28</v>
      </c>
      <c r="C1474" s="36" t="str">
        <f>INDEX('Base de données Mono'!B:B,MATCH(B1474,'Base de données Mono'!D:D,0))</f>
        <v>SES8</v>
      </c>
      <c r="D1474" s="36" t="str">
        <f>INDEX('Base de données Mono'!A:A,MATCH(B1474,'Base de données Mono'!D:D,0))</f>
        <v>JG</v>
      </c>
      <c r="E1474" s="37" t="s">
        <v>303</v>
      </c>
      <c r="F1474" s="41">
        <f t="shared" si="372"/>
        <v>17</v>
      </c>
      <c r="G1474" s="41">
        <f t="shared" si="373"/>
        <v>4</v>
      </c>
      <c r="I1474" s="131">
        <f>INDEX('Base de données Mono'!K:K,MATCH(B1474,'Base de données Mono'!D:D,0))</f>
        <v>0.20138888888888887</v>
      </c>
      <c r="J1474" s="131">
        <f>INDEX('Base de données Mono'!L:L,MATCH(B1474,'Base de données Mono'!D:D,0))</f>
        <v>0.89583333333333337</v>
      </c>
      <c r="K1474" s="131">
        <f>INDEX('Base de données Mono'!M:M,MATCH(B1474,'Base de données Mono'!D:D,0))</f>
        <v>0.28472222222222221</v>
      </c>
      <c r="L1474" s="131">
        <f>INDEX('Base de données Mono'!N:N,MATCH(B1474,'Base de données Mono'!D:D,0))</f>
        <v>0.85416666666666663</v>
      </c>
      <c r="M1474" s="33" t="s">
        <v>46</v>
      </c>
      <c r="N1474" s="33">
        <f>IF(AND(E1474="Electricité",M1474="Hiver"),INDEX('Base de données Mono'!E:E,MATCH(B1474,'Base de données Mono'!D:D,0)),IF(AND(E1474="Electricité",M1474="Mi-saison"),INDEX('Base de données Mono'!F:F,MATCH(B1474,'Base de données Mono'!D:D,0)),IF(AND(E1474="Electricité",M1474="Eté"),INDEX('Base de données Mono'!G:G,MATCH(B1474,'Base de données Mono'!D:D,0)),IF(AND(E1474="Gaz",M1474="Hiver"),INDEX('Base de données Mono'!J:J,MATCH(B1474,'Base de données Mono'!D:D,0)),IF(AND(E1474="Gaz",M1474="Mi-saison"),INDEX('Base de données Mono'!#REF!,MATCH(B1474,'Base de données Mono'!D:D,0)),IF(AND(E1474="Gaz",M1474="Eté"),INDEX('Base de données Mono'!#REF!,MATCH(B1474,'Base de données Mono'!D:D,0)),"-"))))))</f>
        <v>110</v>
      </c>
      <c r="O1474" s="123">
        <v>45405</v>
      </c>
      <c r="P1474" s="123">
        <v>45406</v>
      </c>
      <c r="Q1474" s="34">
        <v>150</v>
      </c>
      <c r="R1474" s="33">
        <f t="shared" si="374"/>
        <v>40</v>
      </c>
      <c r="S1474" s="34">
        <v>6.3</v>
      </c>
      <c r="T1474" s="34">
        <f t="shared" si="375"/>
        <v>1</v>
      </c>
      <c r="U1474" s="33">
        <f t="shared" si="376"/>
        <v>252</v>
      </c>
      <c r="V1474" s="38" t="s">
        <v>827</v>
      </c>
      <c r="W1474" s="39">
        <f t="shared" si="377"/>
        <v>0.36363636363636365</v>
      </c>
      <c r="X1474" s="40" t="s">
        <v>304</v>
      </c>
      <c r="Y1474" s="40" t="s">
        <v>284</v>
      </c>
      <c r="Z1474" s="40" t="s">
        <v>311</v>
      </c>
      <c r="AA1474" s="33" t="s">
        <v>775</v>
      </c>
      <c r="AB1474" s="95"/>
      <c r="AC1474" s="95"/>
    </row>
    <row r="1475" spans="1:29" ht="14.45" customHeight="1" x14ac:dyDescent="0.25">
      <c r="A1475" s="36" t="str">
        <f>INDEX('Base de données Mono'!C:C,MATCH(B1475,'Base de données Mono'!D:D,0))</f>
        <v>NICE VICTOIRE</v>
      </c>
      <c r="B1475" t="s">
        <v>28</v>
      </c>
      <c r="C1475" s="36" t="str">
        <f>INDEX('Base de données Mono'!B:B,MATCH(B1475,'Base de données Mono'!D:D,0))</f>
        <v>SES8</v>
      </c>
      <c r="D1475" s="36" t="str">
        <f>INDEX('Base de données Mono'!A:A,MATCH(B1475,'Base de données Mono'!D:D,0))</f>
        <v>JG</v>
      </c>
      <c r="E1475" s="37" t="s">
        <v>303</v>
      </c>
      <c r="F1475" s="41">
        <f t="shared" si="372"/>
        <v>17</v>
      </c>
      <c r="G1475" s="41">
        <f t="shared" si="373"/>
        <v>4</v>
      </c>
      <c r="I1475" s="131">
        <f>INDEX('Base de données Mono'!K:K,MATCH(B1475,'Base de données Mono'!D:D,0))</f>
        <v>0.20138888888888887</v>
      </c>
      <c r="J1475" s="131">
        <f>INDEX('Base de données Mono'!L:L,MATCH(B1475,'Base de données Mono'!D:D,0))</f>
        <v>0.89583333333333337</v>
      </c>
      <c r="K1475" s="131">
        <f>INDEX('Base de données Mono'!M:M,MATCH(B1475,'Base de données Mono'!D:D,0))</f>
        <v>0.28472222222222221</v>
      </c>
      <c r="L1475" s="131">
        <f>INDEX('Base de données Mono'!N:N,MATCH(B1475,'Base de données Mono'!D:D,0))</f>
        <v>0.85416666666666663</v>
      </c>
      <c r="M1475" s="33" t="s">
        <v>46</v>
      </c>
      <c r="N1475" s="33">
        <f>IF(AND(E1475="Electricité",M1475="Hiver"),INDEX('Base de données Mono'!E:E,MATCH(B1475,'Base de données Mono'!D:D,0)),IF(AND(E1475="Electricité",M1475="Mi-saison"),INDEX('Base de données Mono'!F:F,MATCH(B1475,'Base de données Mono'!D:D,0)),IF(AND(E1475="Electricité",M1475="Eté"),INDEX('Base de données Mono'!G:G,MATCH(B1475,'Base de données Mono'!D:D,0)),IF(AND(E1475="Gaz",M1475="Hiver"),INDEX('Base de données Mono'!J:J,MATCH(B1475,'Base de données Mono'!D:D,0)),IF(AND(E1475="Gaz",M1475="Mi-saison"),INDEX('Base de données Mono'!#REF!,MATCH(B1475,'Base de données Mono'!D:D,0)),IF(AND(E1475="Gaz",M1475="Eté"),INDEX('Base de données Mono'!#REF!,MATCH(B1475,'Base de données Mono'!D:D,0)),"-"))))))</f>
        <v>110</v>
      </c>
      <c r="O1475" s="123">
        <v>45407</v>
      </c>
      <c r="P1475" s="123">
        <v>45408</v>
      </c>
      <c r="Q1475" s="34">
        <v>155</v>
      </c>
      <c r="R1475" s="33">
        <f t="shared" si="374"/>
        <v>45</v>
      </c>
      <c r="S1475" s="34">
        <v>1</v>
      </c>
      <c r="T1475" s="34">
        <f t="shared" si="375"/>
        <v>1</v>
      </c>
      <c r="U1475" s="33">
        <f t="shared" si="376"/>
        <v>45</v>
      </c>
      <c r="V1475" s="38" t="s">
        <v>827</v>
      </c>
      <c r="W1475" s="39">
        <f t="shared" si="377"/>
        <v>0.40909090909090912</v>
      </c>
      <c r="X1475" s="40" t="s">
        <v>304</v>
      </c>
      <c r="Y1475" s="40" t="s">
        <v>283</v>
      </c>
      <c r="Z1475" s="40" t="s">
        <v>749</v>
      </c>
      <c r="AA1475" s="33" t="s">
        <v>749</v>
      </c>
      <c r="AB1475" s="95"/>
      <c r="AC1475" s="163">
        <v>7.6388888888888895E-2</v>
      </c>
    </row>
    <row r="1476" spans="1:29" ht="14.45" customHeight="1" x14ac:dyDescent="0.25">
      <c r="A1476" s="36" t="str">
        <f>INDEX('Base de données Mono'!C:C,MATCH(B1476,'Base de données Mono'!D:D,0))</f>
        <v>COURCELLES</v>
      </c>
      <c r="B1476" t="s">
        <v>112</v>
      </c>
      <c r="C1476" s="36" t="str">
        <f>INDEX('Base de données Mono'!B:B,MATCH(B1476,'Base de données Mono'!D:D,0))</f>
        <v>SES8</v>
      </c>
      <c r="D1476" s="36" t="str">
        <f>INDEX('Base de données Mono'!A:A,MATCH(B1476,'Base de données Mono'!D:D,0))</f>
        <v>AD</v>
      </c>
      <c r="E1476" s="37" t="s">
        <v>303</v>
      </c>
      <c r="F1476" s="41">
        <f t="shared" si="372"/>
        <v>17</v>
      </c>
      <c r="G1476" s="41">
        <f t="shared" si="373"/>
        <v>4</v>
      </c>
      <c r="I1476" s="131">
        <f>INDEX('Base de données Mono'!K:K,MATCH(B1476,'Base de données Mono'!D:D,0))</f>
        <v>0.25</v>
      </c>
      <c r="J1476" s="131">
        <f>INDEX('Base de données Mono'!L:L,MATCH(B1476,'Base de données Mono'!D:D,0))</f>
        <v>0.86458333333333337</v>
      </c>
      <c r="K1476" s="131" t="str">
        <f>INDEX('Base de données Mono'!M:M,MATCH(B1476,'Base de données Mono'!D:D,0))</f>
        <v>-</v>
      </c>
      <c r="L1476" s="131" t="str">
        <f>INDEX('Base de données Mono'!N:N,MATCH(B1476,'Base de données Mono'!D:D,0))</f>
        <v>-</v>
      </c>
      <c r="M1476" s="33" t="s">
        <v>46</v>
      </c>
      <c r="N1476" s="33">
        <f>IF(AND(E1476="Electricité",M1476="Hiver"),INDEX('Base de données Mono'!E:E,MATCH(B1476,'Base de données Mono'!D:D,0)),IF(AND(E1476="Electricité",M1476="Mi-saison"),INDEX('Base de données Mono'!F:F,MATCH(B1476,'Base de données Mono'!D:D,0)),IF(AND(E1476="Electricité",M1476="Eté"),INDEX('Base de données Mono'!G:G,MATCH(B1476,'Base de données Mono'!D:D,0)),IF(AND(E1476="Gaz",M1476="Hiver"),INDEX('Base de données Mono'!J:J,MATCH(B1476,'Base de données Mono'!D:D,0)),IF(AND(E1476="Gaz",M1476="Mi-saison"),INDEX('Base de données Mono'!#REF!,MATCH(B1476,'Base de données Mono'!D:D,0)),IF(AND(E1476="Gaz",M1476="Eté"),INDEX('Base de données Mono'!#REF!,MATCH(B1476,'Base de données Mono'!D:D,0)),"-"))))))</f>
        <v>45</v>
      </c>
      <c r="O1476" s="123">
        <v>45403</v>
      </c>
      <c r="P1476" s="123">
        <v>45409</v>
      </c>
      <c r="Q1476" s="34">
        <v>60</v>
      </c>
      <c r="R1476" s="33">
        <f t="shared" si="374"/>
        <v>15</v>
      </c>
      <c r="S1476" s="34">
        <v>0.5</v>
      </c>
      <c r="T1476" s="34">
        <f t="shared" si="375"/>
        <v>6</v>
      </c>
      <c r="U1476" s="33">
        <f t="shared" si="376"/>
        <v>45</v>
      </c>
      <c r="V1476" s="38" t="s">
        <v>827</v>
      </c>
      <c r="W1476" s="39">
        <f t="shared" si="377"/>
        <v>0.33333333333333331</v>
      </c>
      <c r="X1476" s="40" t="s">
        <v>304</v>
      </c>
      <c r="Y1476" s="40" t="s">
        <v>284</v>
      </c>
      <c r="Z1476" s="40" t="s">
        <v>307</v>
      </c>
      <c r="AA1476" s="33" t="s">
        <v>414</v>
      </c>
      <c r="AB1476" s="95"/>
      <c r="AC1476" s="95"/>
    </row>
    <row r="1477" spans="1:29" ht="14.45" customHeight="1" x14ac:dyDescent="0.25">
      <c r="A1477" s="36" t="str">
        <f>INDEX('Base de données Mono'!C:C,MATCH(B1477,'Base de données Mono'!D:D,0))</f>
        <v>COURCELLES</v>
      </c>
      <c r="B1477" t="s">
        <v>112</v>
      </c>
      <c r="C1477" s="36" t="str">
        <f>INDEX('Base de données Mono'!B:B,MATCH(B1477,'Base de données Mono'!D:D,0))</f>
        <v>SES8</v>
      </c>
      <c r="D1477" s="36" t="str">
        <f>INDEX('Base de données Mono'!A:A,MATCH(B1477,'Base de données Mono'!D:D,0))</f>
        <v>AD</v>
      </c>
      <c r="E1477" s="37" t="s">
        <v>303</v>
      </c>
      <c r="F1477" s="41">
        <f t="shared" si="372"/>
        <v>17</v>
      </c>
      <c r="G1477" s="41">
        <f t="shared" si="373"/>
        <v>4</v>
      </c>
      <c r="I1477" s="131">
        <f>INDEX('Base de données Mono'!K:K,MATCH(B1477,'Base de données Mono'!D:D,0))</f>
        <v>0.25</v>
      </c>
      <c r="J1477" s="131">
        <f>INDEX('Base de données Mono'!L:L,MATCH(B1477,'Base de données Mono'!D:D,0))</f>
        <v>0.86458333333333337</v>
      </c>
      <c r="K1477" s="131" t="str">
        <f>INDEX('Base de données Mono'!M:M,MATCH(B1477,'Base de données Mono'!D:D,0))</f>
        <v>-</v>
      </c>
      <c r="L1477" s="131" t="str">
        <f>INDEX('Base de données Mono'!N:N,MATCH(B1477,'Base de données Mono'!D:D,0))</f>
        <v>-</v>
      </c>
      <c r="M1477" s="33" t="s">
        <v>46</v>
      </c>
      <c r="N1477" s="33">
        <f>IF(AND(E1477="Electricité",M1477="Hiver"),INDEX('Base de données Mono'!E:E,MATCH(B1477,'Base de données Mono'!D:D,0)),IF(AND(E1477="Electricité",M1477="Mi-saison"),INDEX('Base de données Mono'!F:F,MATCH(B1477,'Base de données Mono'!D:D,0)),IF(AND(E1477="Electricité",M1477="Eté"),INDEX('Base de données Mono'!G:G,MATCH(B1477,'Base de données Mono'!D:D,0)),IF(AND(E1477="Gaz",M1477="Hiver"),INDEX('Base de données Mono'!J:J,MATCH(B1477,'Base de données Mono'!D:D,0)),IF(AND(E1477="Gaz",M1477="Mi-saison"),INDEX('Base de données Mono'!#REF!,MATCH(B1477,'Base de données Mono'!D:D,0)),IF(AND(E1477="Gaz",M1477="Eté"),INDEX('Base de données Mono'!#REF!,MATCH(B1477,'Base de données Mono'!D:D,0)),"-"))))))</f>
        <v>45</v>
      </c>
      <c r="O1477" s="123">
        <v>45404</v>
      </c>
      <c r="P1477" s="123">
        <v>45410</v>
      </c>
      <c r="Q1477" s="34">
        <v>75</v>
      </c>
      <c r="R1477" s="33">
        <f t="shared" si="374"/>
        <v>30</v>
      </c>
      <c r="S1477" s="34">
        <v>1.2</v>
      </c>
      <c r="T1477" s="34">
        <f t="shared" si="375"/>
        <v>6</v>
      </c>
      <c r="U1477" s="33">
        <f t="shared" si="376"/>
        <v>216</v>
      </c>
      <c r="V1477" s="38" t="s">
        <v>827</v>
      </c>
      <c r="W1477" s="39">
        <f t="shared" si="377"/>
        <v>0.66666666666666663</v>
      </c>
      <c r="X1477" s="40" t="s">
        <v>304</v>
      </c>
      <c r="Y1477" s="40" t="s">
        <v>284</v>
      </c>
      <c r="Z1477" s="40" t="s">
        <v>307</v>
      </c>
      <c r="AA1477" s="33" t="s">
        <v>313</v>
      </c>
      <c r="AB1477" s="95"/>
      <c r="AC1477" s="95"/>
    </row>
    <row r="1478" spans="1:29" ht="14.45" customHeight="1" x14ac:dyDescent="0.25">
      <c r="A1478" s="36" t="str">
        <f>INDEX('Base de données Mono'!C:C,MATCH(B1478,'Base de données Mono'!D:D,0))</f>
        <v>NICE CIMIEZ</v>
      </c>
      <c r="B1478" t="s">
        <v>194</v>
      </c>
      <c r="C1478" s="36" t="str">
        <f>INDEX('Base de données Mono'!B:B,MATCH(B1478,'Base de données Mono'!D:D,0))</f>
        <v>SES8</v>
      </c>
      <c r="D1478" s="36" t="str">
        <f>INDEX('Base de données Mono'!A:A,MATCH(B1478,'Base de données Mono'!D:D,0))</f>
        <v>JG</v>
      </c>
      <c r="E1478" s="37" t="s">
        <v>303</v>
      </c>
      <c r="F1478" s="41">
        <f t="shared" si="372"/>
        <v>17</v>
      </c>
      <c r="G1478" s="41">
        <f t="shared" si="373"/>
        <v>4</v>
      </c>
      <c r="I1478" s="131">
        <f>INDEX('Base de données Mono'!K:K,MATCH(B1478,'Base de données Mono'!D:D,0))</f>
        <v>0.23611111111111113</v>
      </c>
      <c r="J1478" s="131">
        <f>INDEX('Base de données Mono'!L:L,MATCH(B1478,'Base de données Mono'!D:D,0))</f>
        <v>0.875</v>
      </c>
      <c r="K1478" s="131">
        <f>INDEX('Base de données Mono'!M:M,MATCH(B1478,'Base de données Mono'!D:D,0))</f>
        <v>0.28472222222222221</v>
      </c>
      <c r="L1478" s="131">
        <f>INDEX('Base de données Mono'!N:N,MATCH(B1478,'Base de données Mono'!D:D,0))</f>
        <v>0.54166666666666663</v>
      </c>
      <c r="M1478" s="33" t="s">
        <v>46</v>
      </c>
      <c r="N1478" s="33">
        <f>IF(AND(E1478="Electricité",M1478="Hiver"),INDEX('Base de données Mono'!E:E,MATCH(B1478,'Base de données Mono'!D:D,0)),IF(AND(E1478="Electricité",M1478="Mi-saison"),INDEX('Base de données Mono'!F:F,MATCH(B1478,'Base de données Mono'!D:D,0)),IF(AND(E1478="Electricité",M1478="Eté"),INDEX('Base de données Mono'!G:G,MATCH(B1478,'Base de données Mono'!D:D,0)),IF(AND(E1478="Gaz",M1478="Hiver"),INDEX('Base de données Mono'!J:J,MATCH(B1478,'Base de données Mono'!D:D,0)),IF(AND(E1478="Gaz",M1478="Mi-saison"),INDEX('Base de données Mono'!#REF!,MATCH(B1478,'Base de données Mono'!D:D,0)),IF(AND(E1478="Gaz",M1478="Eté"),INDEX('Base de données Mono'!#REF!,MATCH(B1478,'Base de données Mono'!D:D,0)),"-"))))))</f>
        <v>85</v>
      </c>
      <c r="O1478" s="123">
        <v>45403</v>
      </c>
      <c r="P1478" s="123">
        <v>45409</v>
      </c>
      <c r="Q1478" s="34">
        <v>95</v>
      </c>
      <c r="R1478" s="33">
        <f t="shared" si="374"/>
        <v>10</v>
      </c>
      <c r="S1478" s="34">
        <v>4</v>
      </c>
      <c r="T1478" s="34">
        <f t="shared" si="375"/>
        <v>6</v>
      </c>
      <c r="U1478" s="33">
        <f t="shared" si="376"/>
        <v>240</v>
      </c>
      <c r="V1478" s="38" t="s">
        <v>827</v>
      </c>
      <c r="W1478" s="39">
        <f t="shared" si="377"/>
        <v>0.11764705882352941</v>
      </c>
      <c r="X1478" s="40" t="s">
        <v>304</v>
      </c>
      <c r="Y1478" s="40" t="s">
        <v>284</v>
      </c>
      <c r="Z1478" s="40" t="s">
        <v>305</v>
      </c>
      <c r="AA1478" s="33" t="s">
        <v>771</v>
      </c>
      <c r="AB1478" s="95"/>
      <c r="AC1478" s="95"/>
    </row>
    <row r="1479" spans="1:29" ht="14.45" customHeight="1" x14ac:dyDescent="0.25">
      <c r="A1479" s="36" t="str">
        <f>INDEX('Base de données Mono'!C:C,MATCH(B1479,'Base de données Mono'!D:D,0))</f>
        <v>NICE CIMIEZ</v>
      </c>
      <c r="B1479" t="s">
        <v>194</v>
      </c>
      <c r="C1479" s="36" t="str">
        <f>INDEX('Base de données Mono'!B:B,MATCH(B1479,'Base de données Mono'!D:D,0))</f>
        <v>SES8</v>
      </c>
      <c r="D1479" s="36" t="str">
        <f>INDEX('Base de données Mono'!A:A,MATCH(B1479,'Base de données Mono'!D:D,0))</f>
        <v>JG</v>
      </c>
      <c r="E1479" s="37" t="s">
        <v>303</v>
      </c>
      <c r="F1479" s="41">
        <f t="shared" ref="F1479" si="380">IF(O1479="","-",IF(AND(X1479="Nuit",WEEKDAY(O1479,2)=7,O1479&lt;&gt;P1479),WEEKNUM(O1479,2),WEEKNUM(O1479,2)-1))+1</f>
        <v>17</v>
      </c>
      <c r="G1479" s="41">
        <f t="shared" ref="G1479" si="381">IF(O1479="","-",MONTH(O1479))</f>
        <v>4</v>
      </c>
      <c r="I1479" s="131">
        <f>INDEX('Base de données Mono'!K:K,MATCH(B1479,'Base de données Mono'!D:D,0))</f>
        <v>0.23611111111111113</v>
      </c>
      <c r="J1479" s="131">
        <f>INDEX('Base de données Mono'!L:L,MATCH(B1479,'Base de données Mono'!D:D,0))</f>
        <v>0.875</v>
      </c>
      <c r="K1479" s="131">
        <f>INDEX('Base de données Mono'!M:M,MATCH(B1479,'Base de données Mono'!D:D,0))</f>
        <v>0.28472222222222221</v>
      </c>
      <c r="L1479" s="131">
        <f>INDEX('Base de données Mono'!N:N,MATCH(B1479,'Base de données Mono'!D:D,0))</f>
        <v>0.54166666666666663</v>
      </c>
      <c r="M1479" s="33" t="s">
        <v>46</v>
      </c>
      <c r="N1479" s="33">
        <f>IF(AND(E1479="Electricité",M1479="Hiver"),INDEX('Base de données Mono'!E:E,MATCH(B1479,'Base de données Mono'!D:D,0)),IF(AND(E1479="Electricité",M1479="Mi-saison"),INDEX('Base de données Mono'!F:F,MATCH(B1479,'Base de données Mono'!D:D,0)),IF(AND(E1479="Electricité",M1479="Eté"),INDEX('Base de données Mono'!G:G,MATCH(B1479,'Base de données Mono'!D:D,0)),IF(AND(E1479="Gaz",M1479="Hiver"),INDEX('Base de données Mono'!J:J,MATCH(B1479,'Base de données Mono'!D:D,0)),IF(AND(E1479="Gaz",M1479="Mi-saison"),INDEX('Base de données Mono'!#REF!,MATCH(B1479,'Base de données Mono'!D:D,0)),IF(AND(E1479="Gaz",M1479="Eté"),INDEX('Base de données Mono'!#REF!,MATCH(B1479,'Base de données Mono'!D:D,0)),"-"))))))</f>
        <v>85</v>
      </c>
      <c r="O1479" s="123">
        <v>45403</v>
      </c>
      <c r="P1479" s="123">
        <v>45409</v>
      </c>
      <c r="Q1479" s="34">
        <v>125</v>
      </c>
      <c r="R1479" s="33">
        <f t="shared" si="374"/>
        <v>40</v>
      </c>
      <c r="S1479" s="34">
        <v>0.6</v>
      </c>
      <c r="T1479" s="34">
        <f t="shared" si="375"/>
        <v>6</v>
      </c>
      <c r="U1479" s="33">
        <f t="shared" si="376"/>
        <v>144</v>
      </c>
      <c r="V1479" s="38" t="s">
        <v>827</v>
      </c>
      <c r="W1479" s="39">
        <f t="shared" si="377"/>
        <v>0.47058823529411764</v>
      </c>
      <c r="X1479" s="40" t="s">
        <v>304</v>
      </c>
      <c r="Y1479" s="40" t="s">
        <v>284</v>
      </c>
      <c r="Z1479" s="40" t="s">
        <v>307</v>
      </c>
      <c r="AA1479" s="33" t="s">
        <v>414</v>
      </c>
      <c r="AB1479" s="95"/>
      <c r="AC1479" s="95"/>
    </row>
    <row r="1480" spans="1:29" ht="14.45" customHeight="1" x14ac:dyDescent="0.25">
      <c r="A1480" s="36" t="str">
        <f>INDEX('Base de données Mono'!C:C,MATCH(B1480,'Base de données Mono'!D:D,0))</f>
        <v>NICE CIMIEZ</v>
      </c>
      <c r="B1480" t="s">
        <v>194</v>
      </c>
      <c r="C1480" s="36" t="str">
        <f>INDEX('Base de données Mono'!B:B,MATCH(B1480,'Base de données Mono'!D:D,0))</f>
        <v>SES8</v>
      </c>
      <c r="D1480" s="36" t="str">
        <f>INDEX('Base de données Mono'!A:A,MATCH(B1480,'Base de données Mono'!D:D,0))</f>
        <v>JG</v>
      </c>
      <c r="E1480" s="37" t="s">
        <v>303</v>
      </c>
      <c r="F1480" s="41">
        <f t="shared" ref="F1480" si="382">IF(O1480="","-",IF(AND(X1480="Nuit",WEEKDAY(O1480,2)=7,O1480&lt;&gt;P1480),WEEKNUM(O1480,2),WEEKNUM(O1480,2)-1))+1</f>
        <v>17</v>
      </c>
      <c r="G1480" s="41">
        <f t="shared" ref="G1480" si="383">IF(O1480="","-",MONTH(O1480))</f>
        <v>4</v>
      </c>
      <c r="I1480" s="131">
        <f>INDEX('Base de données Mono'!K:K,MATCH(B1480,'Base de données Mono'!D:D,0))</f>
        <v>0.23611111111111113</v>
      </c>
      <c r="J1480" s="131">
        <f>INDEX('Base de données Mono'!L:L,MATCH(B1480,'Base de données Mono'!D:D,0))</f>
        <v>0.875</v>
      </c>
      <c r="K1480" s="131">
        <f>INDEX('Base de données Mono'!M:M,MATCH(B1480,'Base de données Mono'!D:D,0))</f>
        <v>0.28472222222222221</v>
      </c>
      <c r="L1480" s="131">
        <f>INDEX('Base de données Mono'!N:N,MATCH(B1480,'Base de données Mono'!D:D,0))</f>
        <v>0.54166666666666663</v>
      </c>
      <c r="M1480" s="33" t="s">
        <v>46</v>
      </c>
      <c r="N1480" s="33">
        <f>IF(AND(E1480="Electricité",M1480="Hiver"),INDEX('Base de données Mono'!E:E,MATCH(B1480,'Base de données Mono'!D:D,0)),IF(AND(E1480="Electricité",M1480="Mi-saison"),INDEX('Base de données Mono'!F:F,MATCH(B1480,'Base de données Mono'!D:D,0)),IF(AND(E1480="Electricité",M1480="Eté"),INDEX('Base de données Mono'!G:G,MATCH(B1480,'Base de données Mono'!D:D,0)),IF(AND(E1480="Gaz",M1480="Hiver"),INDEX('Base de données Mono'!J:J,MATCH(B1480,'Base de données Mono'!D:D,0)),IF(AND(E1480="Gaz",M1480="Mi-saison"),INDEX('Base de données Mono'!#REF!,MATCH(B1480,'Base de données Mono'!D:D,0)),IF(AND(E1480="Gaz",M1480="Eté"),INDEX('Base de données Mono'!#REF!,MATCH(B1480,'Base de données Mono'!D:D,0)),"-"))))))</f>
        <v>85</v>
      </c>
      <c r="O1480" s="123">
        <v>45409</v>
      </c>
      <c r="P1480" s="123">
        <v>45410</v>
      </c>
      <c r="Q1480" s="34">
        <v>95</v>
      </c>
      <c r="R1480" s="33">
        <f t="shared" si="374"/>
        <v>10</v>
      </c>
      <c r="S1480" s="34">
        <v>9.6</v>
      </c>
      <c r="T1480" s="34">
        <f t="shared" si="375"/>
        <v>1</v>
      </c>
      <c r="U1480" s="33">
        <f t="shared" si="376"/>
        <v>96</v>
      </c>
      <c r="V1480" s="38" t="s">
        <v>827</v>
      </c>
      <c r="W1480" s="39">
        <f t="shared" si="377"/>
        <v>0.11764705882352941</v>
      </c>
      <c r="X1480" s="40" t="s">
        <v>304</v>
      </c>
      <c r="Y1480" s="40" t="s">
        <v>284</v>
      </c>
      <c r="Z1480" s="40" t="s">
        <v>305</v>
      </c>
      <c r="AA1480" s="33" t="s">
        <v>771</v>
      </c>
      <c r="AB1480" s="95"/>
      <c r="AC1480" s="95"/>
    </row>
    <row r="1481" spans="1:29" ht="14.45" customHeight="1" x14ac:dyDescent="0.25">
      <c r="A1481" s="36" t="str">
        <f>INDEX('Base de données Mono'!C:C,MATCH(B1481,'Base de données Mono'!D:D,0))</f>
        <v>CHALON SUR SAONE</v>
      </c>
      <c r="B1481" t="s">
        <v>98</v>
      </c>
      <c r="C1481" s="36" t="str">
        <f>INDEX('Base de données Mono'!B:B,MATCH(B1481,'Base de données Mono'!D:D,0))</f>
        <v>SES8</v>
      </c>
      <c r="D1481" s="36" t="str">
        <f>INDEX('Base de données Mono'!A:A,MATCH(B1481,'Base de données Mono'!D:D,0))</f>
        <v>JG</v>
      </c>
      <c r="E1481" s="37" t="s">
        <v>303</v>
      </c>
      <c r="F1481" s="41">
        <f t="shared" si="372"/>
        <v>17</v>
      </c>
      <c r="G1481" s="41">
        <f t="shared" si="373"/>
        <v>4</v>
      </c>
      <c r="I1481" s="131">
        <f>INDEX('Base de données Mono'!K:K,MATCH(B1481,'Base de données Mono'!D:D,0))</f>
        <v>0.25</v>
      </c>
      <c r="J1481" s="131">
        <f>INDEX('Base de données Mono'!L:L,MATCH(B1481,'Base de données Mono'!D:D,0))</f>
        <v>0.83333333333333304</v>
      </c>
      <c r="K1481" s="131" t="str">
        <f>INDEX('Base de données Mono'!M:M,MATCH(B1481,'Base de données Mono'!D:D,0))</f>
        <v>-</v>
      </c>
      <c r="L1481" s="131" t="str">
        <f>INDEX('Base de données Mono'!N:N,MATCH(B1481,'Base de données Mono'!D:D,0))</f>
        <v>-</v>
      </c>
      <c r="M1481" s="33" t="s">
        <v>46</v>
      </c>
      <c r="N1481" s="33">
        <f>IF(AND(E1481="Electricité",M1481="Hiver"),INDEX('Base de données Mono'!E:E,MATCH(B1481,'Base de données Mono'!D:D,0)),IF(AND(E1481="Electricité",M1481="Mi-saison"),INDEX('Base de données Mono'!F:F,MATCH(B1481,'Base de données Mono'!D:D,0)),IF(AND(E1481="Electricité",M1481="Eté"),INDEX('Base de données Mono'!G:G,MATCH(B1481,'Base de données Mono'!D:D,0)),IF(AND(E1481="Gaz",M1481="Hiver"),INDEX('Base de données Mono'!J:J,MATCH(B1481,'Base de données Mono'!D:D,0)),IF(AND(E1481="Gaz",M1481="Mi-saison"),INDEX('Base de données Mono'!#REF!,MATCH(B1481,'Base de données Mono'!D:D,0)),IF(AND(E1481="Gaz",M1481="Eté"),INDEX('Base de données Mono'!#REF!,MATCH(B1481,'Base de données Mono'!D:D,0)),"-"))))))</f>
        <v>45</v>
      </c>
      <c r="O1481" s="123">
        <v>45403</v>
      </c>
      <c r="P1481" s="123">
        <v>45409</v>
      </c>
      <c r="Q1481" s="34">
        <v>55</v>
      </c>
      <c r="R1481" s="33">
        <f t="shared" si="374"/>
        <v>10</v>
      </c>
      <c r="S1481" s="34">
        <v>2</v>
      </c>
      <c r="T1481" s="34">
        <f t="shared" si="375"/>
        <v>6</v>
      </c>
      <c r="U1481" s="33">
        <f t="shared" si="376"/>
        <v>120</v>
      </c>
      <c r="V1481" s="38" t="s">
        <v>827</v>
      </c>
      <c r="W1481" s="39">
        <f t="shared" si="377"/>
        <v>0.22222222222222221</v>
      </c>
      <c r="X1481" s="40" t="s">
        <v>304</v>
      </c>
      <c r="Y1481" s="40" t="s">
        <v>284</v>
      </c>
      <c r="Z1481" s="40" t="s">
        <v>305</v>
      </c>
      <c r="AA1481" s="33" t="s">
        <v>771</v>
      </c>
      <c r="AB1481" s="95"/>
      <c r="AC1481" s="95"/>
    </row>
    <row r="1482" spans="1:29" ht="14.45" customHeight="1" x14ac:dyDescent="0.25">
      <c r="A1482" s="36" t="str">
        <f>INDEX('Base de données Mono'!C:C,MATCH(B1482,'Base de données Mono'!D:D,0))</f>
        <v>DIJON</v>
      </c>
      <c r="B1482" t="s">
        <v>119</v>
      </c>
      <c r="C1482" s="36" t="str">
        <f>INDEX('Base de données Mono'!B:B,MATCH(B1482,'Base de données Mono'!D:D,0))</f>
        <v>SES8</v>
      </c>
      <c r="D1482" s="36" t="str">
        <f>INDEX('Base de données Mono'!A:A,MATCH(B1482,'Base de données Mono'!D:D,0))</f>
        <v>JG</v>
      </c>
      <c r="E1482" s="37" t="s">
        <v>303</v>
      </c>
      <c r="F1482" s="41">
        <f t="shared" si="372"/>
        <v>17</v>
      </c>
      <c r="G1482" s="41">
        <f t="shared" si="373"/>
        <v>4</v>
      </c>
      <c r="I1482" s="131">
        <f>INDEX('Base de données Mono'!K:K,MATCH(B1482,'Base de données Mono'!D:D,0))</f>
        <v>0.24305555555555555</v>
      </c>
      <c r="J1482" s="131">
        <f>INDEX('Base de données Mono'!L:L,MATCH(B1482,'Base de données Mono'!D:D,0))</f>
        <v>0.875</v>
      </c>
      <c r="K1482" s="131">
        <f>INDEX('Base de données Mono'!M:M,MATCH(B1482,'Base de données Mono'!D:D,0))</f>
        <v>0.3125</v>
      </c>
      <c r="L1482" s="131">
        <f>INDEX('Base de données Mono'!N:N,MATCH(B1482,'Base de données Mono'!D:D,0))</f>
        <v>0.54166666666666663</v>
      </c>
      <c r="M1482" s="33" t="s">
        <v>46</v>
      </c>
      <c r="N1482" s="33">
        <f>IF(AND(E1482="Electricité",M1482="Hiver"),INDEX('Base de données Mono'!E:E,MATCH(B1482,'Base de données Mono'!D:D,0)),IF(AND(E1482="Electricité",M1482="Mi-saison"),INDEX('Base de données Mono'!F:F,MATCH(B1482,'Base de données Mono'!D:D,0)),IF(AND(E1482="Electricité",M1482="Eté"),INDEX('Base de données Mono'!G:G,MATCH(B1482,'Base de données Mono'!D:D,0)),IF(AND(E1482="Gaz",M1482="Hiver"),INDEX('Base de données Mono'!J:J,MATCH(B1482,'Base de données Mono'!D:D,0)),IF(AND(E1482="Gaz",M1482="Mi-saison"),INDEX('Base de données Mono'!#REF!,MATCH(B1482,'Base de données Mono'!D:D,0)),IF(AND(E1482="Gaz",M1482="Eté"),INDEX('Base de données Mono'!#REF!,MATCH(B1482,'Base de données Mono'!D:D,0)),"-"))))))</f>
        <v>55</v>
      </c>
      <c r="O1482" s="123">
        <v>45403</v>
      </c>
      <c r="P1482" s="123">
        <v>45409</v>
      </c>
      <c r="Q1482" s="34">
        <v>70</v>
      </c>
      <c r="R1482" s="33">
        <f t="shared" si="374"/>
        <v>15</v>
      </c>
      <c r="S1482" s="34">
        <v>8.8000000000000007</v>
      </c>
      <c r="T1482" s="34">
        <f t="shared" si="375"/>
        <v>6</v>
      </c>
      <c r="U1482" s="33">
        <f t="shared" si="376"/>
        <v>792</v>
      </c>
      <c r="V1482" s="38" t="s">
        <v>827</v>
      </c>
      <c r="W1482" s="39">
        <f t="shared" si="377"/>
        <v>0.27272727272727271</v>
      </c>
      <c r="X1482" s="40" t="s">
        <v>304</v>
      </c>
      <c r="Y1482" s="40" t="s">
        <v>284</v>
      </c>
      <c r="Z1482" s="40" t="s">
        <v>305</v>
      </c>
      <c r="AA1482" s="33" t="s">
        <v>771</v>
      </c>
      <c r="AB1482" s="95"/>
      <c r="AC1482" s="95"/>
    </row>
    <row r="1483" spans="1:29" ht="14.45" customHeight="1" x14ac:dyDescent="0.25">
      <c r="A1483" s="36" t="str">
        <f>INDEX('Base de données Mono'!C:C,MATCH(B1483,'Base de données Mono'!D:D,0))</f>
        <v>DIJON</v>
      </c>
      <c r="B1483" t="s">
        <v>119</v>
      </c>
      <c r="C1483" s="36" t="str">
        <f>INDEX('Base de données Mono'!B:B,MATCH(B1483,'Base de données Mono'!D:D,0))</f>
        <v>SES8</v>
      </c>
      <c r="D1483" s="36" t="str">
        <f>INDEX('Base de données Mono'!A:A,MATCH(B1483,'Base de données Mono'!D:D,0))</f>
        <v>JG</v>
      </c>
      <c r="E1483" s="37" t="s">
        <v>303</v>
      </c>
      <c r="F1483" s="41">
        <f t="shared" si="372"/>
        <v>17</v>
      </c>
      <c r="G1483" s="41">
        <f t="shared" si="373"/>
        <v>4</v>
      </c>
      <c r="I1483" s="131">
        <f>INDEX('Base de données Mono'!K:K,MATCH(B1483,'Base de données Mono'!D:D,0))</f>
        <v>0.24305555555555555</v>
      </c>
      <c r="J1483" s="131">
        <f>INDEX('Base de données Mono'!L:L,MATCH(B1483,'Base de données Mono'!D:D,0))</f>
        <v>0.875</v>
      </c>
      <c r="K1483" s="131">
        <f>INDEX('Base de données Mono'!M:M,MATCH(B1483,'Base de données Mono'!D:D,0))</f>
        <v>0.3125</v>
      </c>
      <c r="L1483" s="131">
        <f>INDEX('Base de données Mono'!N:N,MATCH(B1483,'Base de données Mono'!D:D,0))</f>
        <v>0.54166666666666663</v>
      </c>
      <c r="M1483" s="33" t="s">
        <v>46</v>
      </c>
      <c r="N1483" s="33">
        <f>IF(AND(E1483="Electricité",M1483="Hiver"),INDEX('Base de données Mono'!E:E,MATCH(B1483,'Base de données Mono'!D:D,0)),IF(AND(E1483="Electricité",M1483="Mi-saison"),INDEX('Base de données Mono'!F:F,MATCH(B1483,'Base de données Mono'!D:D,0)),IF(AND(E1483="Electricité",M1483="Eté"),INDEX('Base de données Mono'!G:G,MATCH(B1483,'Base de données Mono'!D:D,0)),IF(AND(E1483="Gaz",M1483="Hiver"),INDEX('Base de données Mono'!J:J,MATCH(B1483,'Base de données Mono'!D:D,0)),IF(AND(E1483="Gaz",M1483="Mi-saison"),INDEX('Base de données Mono'!#REF!,MATCH(B1483,'Base de données Mono'!D:D,0)),IF(AND(E1483="Gaz",M1483="Eté"),INDEX('Base de données Mono'!#REF!,MATCH(B1483,'Base de données Mono'!D:D,0)),"-"))))))</f>
        <v>55</v>
      </c>
      <c r="O1483" s="123">
        <v>45409</v>
      </c>
      <c r="P1483" s="123">
        <v>45410</v>
      </c>
      <c r="Q1483" s="34">
        <v>85</v>
      </c>
      <c r="R1483" s="33">
        <f t="shared" si="374"/>
        <v>30</v>
      </c>
      <c r="S1483" s="34">
        <v>8</v>
      </c>
      <c r="T1483" s="34">
        <f t="shared" si="375"/>
        <v>1</v>
      </c>
      <c r="U1483" s="33">
        <f t="shared" si="376"/>
        <v>240</v>
      </c>
      <c r="V1483" s="38" t="s">
        <v>827</v>
      </c>
      <c r="W1483" s="39">
        <f t="shared" si="377"/>
        <v>0.54545454545454541</v>
      </c>
      <c r="X1483" s="40" t="s">
        <v>304</v>
      </c>
      <c r="Y1483" s="40" t="s">
        <v>283</v>
      </c>
      <c r="Z1483" s="40" t="s">
        <v>749</v>
      </c>
      <c r="AA1483" s="33" t="s">
        <v>749</v>
      </c>
      <c r="AB1483" s="95"/>
      <c r="AC1483" s="95"/>
    </row>
    <row r="1484" spans="1:29" ht="14.45" customHeight="1" x14ac:dyDescent="0.25">
      <c r="A1484" s="36" t="str">
        <f>INDEX('Base de données Mono'!C:C,MATCH(B1484,'Base de données Mono'!D:D,0))</f>
        <v>DIJON</v>
      </c>
      <c r="B1484" t="s">
        <v>119</v>
      </c>
      <c r="C1484" s="36" t="str">
        <f>INDEX('Base de données Mono'!B:B,MATCH(B1484,'Base de données Mono'!D:D,0))</f>
        <v>SES8</v>
      </c>
      <c r="D1484" s="36" t="str">
        <f>INDEX('Base de données Mono'!A:A,MATCH(B1484,'Base de données Mono'!D:D,0))</f>
        <v>JG</v>
      </c>
      <c r="E1484" s="37" t="s">
        <v>303</v>
      </c>
      <c r="F1484" s="41">
        <f t="shared" si="372"/>
        <v>17</v>
      </c>
      <c r="G1484" s="41">
        <f t="shared" si="373"/>
        <v>4</v>
      </c>
      <c r="I1484" s="131">
        <f>INDEX('Base de données Mono'!K:K,MATCH(B1484,'Base de données Mono'!D:D,0))</f>
        <v>0.24305555555555555</v>
      </c>
      <c r="J1484" s="131">
        <f>INDEX('Base de données Mono'!L:L,MATCH(B1484,'Base de données Mono'!D:D,0))</f>
        <v>0.875</v>
      </c>
      <c r="K1484" s="131">
        <f>INDEX('Base de données Mono'!M:M,MATCH(B1484,'Base de données Mono'!D:D,0))</f>
        <v>0.3125</v>
      </c>
      <c r="L1484" s="131">
        <f>INDEX('Base de données Mono'!N:N,MATCH(B1484,'Base de données Mono'!D:D,0))</f>
        <v>0.54166666666666663</v>
      </c>
      <c r="M1484" s="33" t="s">
        <v>46</v>
      </c>
      <c r="N1484" s="33">
        <f>IF(AND(E1484="Electricité",M1484="Hiver"),INDEX('Base de données Mono'!E:E,MATCH(B1484,'Base de données Mono'!D:D,0)),IF(AND(E1484="Electricité",M1484="Mi-saison"),INDEX('Base de données Mono'!F:F,MATCH(B1484,'Base de données Mono'!D:D,0)),IF(AND(E1484="Electricité",M1484="Eté"),INDEX('Base de données Mono'!G:G,MATCH(B1484,'Base de données Mono'!D:D,0)),IF(AND(E1484="Gaz",M1484="Hiver"),INDEX('Base de données Mono'!J:J,MATCH(B1484,'Base de données Mono'!D:D,0)),IF(AND(E1484="Gaz",M1484="Mi-saison"),INDEX('Base de données Mono'!#REF!,MATCH(B1484,'Base de données Mono'!D:D,0)),IF(AND(E1484="Gaz",M1484="Eté"),INDEX('Base de données Mono'!#REF!,MATCH(B1484,'Base de données Mono'!D:D,0)),"-"))))))</f>
        <v>55</v>
      </c>
      <c r="O1484" s="123">
        <v>45409</v>
      </c>
      <c r="P1484" s="123">
        <v>45410</v>
      </c>
      <c r="Q1484" s="34">
        <v>70</v>
      </c>
      <c r="R1484" s="33">
        <f t="shared" si="374"/>
        <v>15</v>
      </c>
      <c r="S1484" s="34">
        <v>0.8</v>
      </c>
      <c r="T1484" s="34">
        <f t="shared" si="375"/>
        <v>1</v>
      </c>
      <c r="U1484" s="33">
        <f t="shared" si="376"/>
        <v>12</v>
      </c>
      <c r="V1484" s="38" t="s">
        <v>827</v>
      </c>
      <c r="W1484" s="39">
        <f t="shared" si="377"/>
        <v>0.27272727272727271</v>
      </c>
      <c r="X1484" s="40" t="s">
        <v>304</v>
      </c>
      <c r="Y1484" s="40" t="s">
        <v>284</v>
      </c>
      <c r="Z1484" s="40" t="s">
        <v>305</v>
      </c>
      <c r="AA1484" s="33" t="s">
        <v>771</v>
      </c>
      <c r="AB1484" s="95"/>
      <c r="AC1484" s="95"/>
    </row>
    <row r="1485" spans="1:29" ht="14.45" customHeight="1" x14ac:dyDescent="0.25">
      <c r="A1485" s="36" t="str">
        <f>INDEX('Base de données Mono'!C:C,MATCH(B1485,'Base de données Mono'!D:D,0))</f>
        <v>LYON VALMY</v>
      </c>
      <c r="B1485" t="s">
        <v>22</v>
      </c>
      <c r="C1485" s="36" t="str">
        <f>INDEX('Base de données Mono'!B:B,MATCH(B1485,'Base de données Mono'!D:D,0))</f>
        <v>SES8</v>
      </c>
      <c r="D1485" s="36" t="str">
        <f>INDEX('Base de données Mono'!A:A,MATCH(B1485,'Base de données Mono'!D:D,0))</f>
        <v>JG</v>
      </c>
      <c r="E1485" s="37" t="s">
        <v>303</v>
      </c>
      <c r="F1485" s="41">
        <f t="shared" ref="F1485" si="384">IF(O1485="","-",IF(AND(X1485="Nuit",WEEKDAY(O1485,2)=7,O1485&lt;&gt;P1485),WEEKNUM(O1485,2),WEEKNUM(O1485,2)-1))+1</f>
        <v>17</v>
      </c>
      <c r="G1485" s="41">
        <f t="shared" ref="G1485" si="385">IF(O1485="","-",MONTH(O1485))</f>
        <v>4</v>
      </c>
      <c r="I1485" s="131">
        <f>INDEX('Base de données Mono'!K:K,MATCH(B1485,'Base de données Mono'!D:D,0))</f>
        <v>0.20833333333333334</v>
      </c>
      <c r="J1485" s="131">
        <f>INDEX('Base de données Mono'!L:L,MATCH(B1485,'Base de données Mono'!D:D,0))</f>
        <v>0.88541666666666663</v>
      </c>
      <c r="K1485" s="131">
        <f>INDEX('Base de données Mono'!M:M,MATCH(B1485,'Base de données Mono'!D:D,0))</f>
        <v>0.31944444444444448</v>
      </c>
      <c r="L1485" s="131">
        <f>INDEX('Base de données Mono'!N:N,MATCH(B1485,'Base de données Mono'!D:D,0))</f>
        <v>0.55208333333333337</v>
      </c>
      <c r="M1485" s="33" t="s">
        <v>46</v>
      </c>
      <c r="N1485" s="33">
        <f>IF(AND(E1485="Electricité",M1485="Hiver"),INDEX('Base de données Mono'!E:E,MATCH(B1485,'Base de données Mono'!D:D,0)),IF(AND(E1485="Electricité",M1485="Mi-saison"),INDEX('Base de données Mono'!F:F,MATCH(B1485,'Base de données Mono'!D:D,0)),IF(AND(E1485="Electricité",M1485="Eté"),INDEX('Base de données Mono'!G:G,MATCH(B1485,'Base de données Mono'!D:D,0)),IF(AND(E1485="Gaz",M1485="Hiver"),INDEX('Base de données Mono'!J:J,MATCH(B1485,'Base de données Mono'!D:D,0)),IF(AND(E1485="Gaz",M1485="Mi-saison"),INDEX('Base de données Mono'!#REF!,MATCH(B1485,'Base de données Mono'!D:D,0)),IF(AND(E1485="Gaz",M1485="Eté"),INDEX('Base de données Mono'!#REF!,MATCH(B1485,'Base de données Mono'!D:D,0)),"-"))))))</f>
        <v>50</v>
      </c>
      <c r="O1485" s="123">
        <v>45403</v>
      </c>
      <c r="P1485" s="123">
        <v>45409</v>
      </c>
      <c r="Q1485" s="34">
        <v>55</v>
      </c>
      <c r="R1485" s="33">
        <f t="shared" si="374"/>
        <v>5</v>
      </c>
      <c r="S1485" s="34">
        <v>7.7</v>
      </c>
      <c r="T1485" s="34">
        <f t="shared" si="375"/>
        <v>6</v>
      </c>
      <c r="U1485" s="33">
        <f t="shared" si="376"/>
        <v>231</v>
      </c>
      <c r="V1485" s="38" t="s">
        <v>827</v>
      </c>
      <c r="W1485" s="39">
        <f t="shared" si="377"/>
        <v>0.1</v>
      </c>
      <c r="X1485" s="40" t="s">
        <v>304</v>
      </c>
      <c r="Y1485" s="40" t="s">
        <v>284</v>
      </c>
      <c r="Z1485" s="40" t="s">
        <v>305</v>
      </c>
      <c r="AA1485" s="33" t="s">
        <v>771</v>
      </c>
      <c r="AB1485" s="95"/>
      <c r="AC1485" s="95"/>
    </row>
    <row r="1486" spans="1:29" ht="14.45" customHeight="1" x14ac:dyDescent="0.25">
      <c r="A1486" s="36" t="str">
        <f>INDEX('Base de données Mono'!C:C,MATCH(B1486,'Base de données Mono'!D:D,0))</f>
        <v>LYON VALMY</v>
      </c>
      <c r="B1486" t="s">
        <v>22</v>
      </c>
      <c r="C1486" s="36" t="str">
        <f>INDEX('Base de données Mono'!B:B,MATCH(B1486,'Base de données Mono'!D:D,0))</f>
        <v>SES8</v>
      </c>
      <c r="D1486" s="36" t="str">
        <f>INDEX('Base de données Mono'!A:A,MATCH(B1486,'Base de données Mono'!D:D,0))</f>
        <v>JG</v>
      </c>
      <c r="E1486" s="37" t="s">
        <v>303</v>
      </c>
      <c r="F1486" s="41">
        <f t="shared" si="372"/>
        <v>17</v>
      </c>
      <c r="G1486" s="41">
        <f t="shared" si="373"/>
        <v>4</v>
      </c>
      <c r="I1486" s="131">
        <f>INDEX('Base de données Mono'!K:K,MATCH(B1486,'Base de données Mono'!D:D,0))</f>
        <v>0.20833333333333334</v>
      </c>
      <c r="J1486" s="131">
        <f>INDEX('Base de données Mono'!L:L,MATCH(B1486,'Base de données Mono'!D:D,0))</f>
        <v>0.88541666666666663</v>
      </c>
      <c r="K1486" s="131">
        <f>INDEX('Base de données Mono'!M:M,MATCH(B1486,'Base de données Mono'!D:D,0))</f>
        <v>0.31944444444444448</v>
      </c>
      <c r="L1486" s="131">
        <f>INDEX('Base de données Mono'!N:N,MATCH(B1486,'Base de données Mono'!D:D,0))</f>
        <v>0.55208333333333337</v>
      </c>
      <c r="M1486" s="33" t="s">
        <v>46</v>
      </c>
      <c r="N1486" s="33">
        <f>IF(AND(E1486="Electricité",M1486="Hiver"),INDEX('Base de données Mono'!E:E,MATCH(B1486,'Base de données Mono'!D:D,0)),IF(AND(E1486="Electricité",M1486="Mi-saison"),INDEX('Base de données Mono'!F:F,MATCH(B1486,'Base de données Mono'!D:D,0)),IF(AND(E1486="Electricité",M1486="Eté"),INDEX('Base de données Mono'!G:G,MATCH(B1486,'Base de données Mono'!D:D,0)),IF(AND(E1486="Gaz",M1486="Hiver"),INDEX('Base de données Mono'!J:J,MATCH(B1486,'Base de données Mono'!D:D,0)),IF(AND(E1486="Gaz",M1486="Mi-saison"),INDEX('Base de données Mono'!#REF!,MATCH(B1486,'Base de données Mono'!D:D,0)),IF(AND(E1486="Gaz",M1486="Eté"),INDEX('Base de données Mono'!#REF!,MATCH(B1486,'Base de données Mono'!D:D,0)),"-"))))))</f>
        <v>50</v>
      </c>
      <c r="O1486" s="123">
        <v>45409</v>
      </c>
      <c r="P1486" s="123">
        <v>45410</v>
      </c>
      <c r="Q1486" s="34">
        <v>55</v>
      </c>
      <c r="R1486" s="33">
        <f t="shared" si="374"/>
        <v>5</v>
      </c>
      <c r="S1486" s="34">
        <v>9</v>
      </c>
      <c r="T1486" s="34">
        <f t="shared" si="375"/>
        <v>1</v>
      </c>
      <c r="U1486" s="33">
        <f t="shared" si="376"/>
        <v>45</v>
      </c>
      <c r="V1486" s="38" t="s">
        <v>827</v>
      </c>
      <c r="W1486" s="39">
        <f t="shared" si="377"/>
        <v>0.1</v>
      </c>
      <c r="X1486" s="40" t="s">
        <v>304</v>
      </c>
      <c r="Y1486" s="40" t="s">
        <v>284</v>
      </c>
      <c r="Z1486" s="40" t="s">
        <v>305</v>
      </c>
      <c r="AA1486" s="33" t="s">
        <v>771</v>
      </c>
      <c r="AB1486" s="95"/>
      <c r="AC1486" s="95"/>
    </row>
    <row r="1487" spans="1:29" ht="14.45" customHeight="1" x14ac:dyDescent="0.25">
      <c r="A1487" s="36" t="str">
        <f>INDEX('Base de données Mono'!C:C,MATCH(B1487,'Base de données Mono'!D:D,0))</f>
        <v>LYON GBL</v>
      </c>
      <c r="B1487" t="s">
        <v>167</v>
      </c>
      <c r="C1487" s="36" t="str">
        <f>INDEX('Base de données Mono'!B:B,MATCH(B1487,'Base de données Mono'!D:D,0))</f>
        <v>SES8</v>
      </c>
      <c r="D1487" s="36" t="str">
        <f>INDEX('Base de données Mono'!A:A,MATCH(B1487,'Base de données Mono'!D:D,0))</f>
        <v>JG</v>
      </c>
      <c r="E1487" s="37" t="s">
        <v>303</v>
      </c>
      <c r="F1487" s="41">
        <f t="shared" si="372"/>
        <v>17</v>
      </c>
      <c r="G1487" s="41">
        <f t="shared" si="373"/>
        <v>4</v>
      </c>
      <c r="I1487" s="131">
        <f>INDEX('Base de données Mono'!K:K,MATCH(B1487,'Base de données Mono'!D:D,0))</f>
        <v>0.19791666666666666</v>
      </c>
      <c r="J1487" s="131">
        <f>INDEX('Base de données Mono'!L:L,MATCH(B1487,'Base de données Mono'!D:D,0))</f>
        <v>0.89583333333333337</v>
      </c>
      <c r="K1487" s="131">
        <f>INDEX('Base de données Mono'!M:M,MATCH(B1487,'Base de données Mono'!D:D,0))</f>
        <v>0.27083333333333331</v>
      </c>
      <c r="L1487" s="131">
        <f>INDEX('Base de données Mono'!N:N,MATCH(B1487,'Base de données Mono'!D:D,0))</f>
        <v>0.54166666666666663</v>
      </c>
      <c r="M1487" s="33" t="s">
        <v>46</v>
      </c>
      <c r="N1487" s="33">
        <f>IF(AND(E1487="Electricité",M1487="Hiver"),INDEX('Base de données Mono'!E:E,MATCH(B1487,'Base de données Mono'!D:D,0)),IF(AND(E1487="Electricité",M1487="Mi-saison"),INDEX('Base de données Mono'!F:F,MATCH(B1487,'Base de données Mono'!D:D,0)),IF(AND(E1487="Electricité",M1487="Eté"),INDEX('Base de données Mono'!G:G,MATCH(B1487,'Base de données Mono'!D:D,0)),IF(AND(E1487="Gaz",M1487="Hiver"),INDEX('Base de données Mono'!J:J,MATCH(B1487,'Base de données Mono'!D:D,0)),IF(AND(E1487="Gaz",M1487="Mi-saison"),INDEX('Base de données Mono'!#REF!,MATCH(B1487,'Base de données Mono'!D:D,0)),IF(AND(E1487="Gaz",M1487="Eté"),INDEX('Base de données Mono'!#REF!,MATCH(B1487,'Base de données Mono'!D:D,0)),"-"))))))</f>
        <v>120</v>
      </c>
      <c r="O1487" s="123">
        <v>45403</v>
      </c>
      <c r="P1487" s="123">
        <v>45404</v>
      </c>
      <c r="Q1487" s="34">
        <v>155</v>
      </c>
      <c r="R1487" s="33">
        <f t="shared" si="374"/>
        <v>35</v>
      </c>
      <c r="S1487" s="34">
        <v>2.5</v>
      </c>
      <c r="T1487" s="34">
        <f t="shared" si="375"/>
        <v>1</v>
      </c>
      <c r="U1487" s="33">
        <f t="shared" si="376"/>
        <v>87.5</v>
      </c>
      <c r="V1487" s="38" t="s">
        <v>827</v>
      </c>
      <c r="W1487" s="39">
        <f t="shared" si="377"/>
        <v>0.29166666666666669</v>
      </c>
      <c r="X1487" s="40" t="s">
        <v>304</v>
      </c>
      <c r="Y1487" s="40" t="s">
        <v>284</v>
      </c>
      <c r="Z1487" s="40" t="s">
        <v>305</v>
      </c>
      <c r="AA1487" s="33" t="s">
        <v>771</v>
      </c>
      <c r="AB1487" s="95"/>
      <c r="AC1487" s="95"/>
    </row>
    <row r="1488" spans="1:29" ht="14.45" customHeight="1" x14ac:dyDescent="0.25">
      <c r="A1488" s="36" t="str">
        <f>INDEX('Base de données Mono'!C:C,MATCH(B1488,'Base de données Mono'!D:D,0))</f>
        <v>LYON GBL</v>
      </c>
      <c r="B1488" t="s">
        <v>167</v>
      </c>
      <c r="C1488" s="36" t="str">
        <f>INDEX('Base de données Mono'!B:B,MATCH(B1488,'Base de données Mono'!D:D,0))</f>
        <v>SES8</v>
      </c>
      <c r="D1488" s="36" t="str">
        <f>INDEX('Base de données Mono'!A:A,MATCH(B1488,'Base de données Mono'!D:D,0))</f>
        <v>JG</v>
      </c>
      <c r="E1488" s="37" t="s">
        <v>303</v>
      </c>
      <c r="F1488" s="41">
        <f t="shared" ref="F1488" si="386">IF(O1488="","-",IF(AND(X1488="Nuit",WEEKDAY(O1488,2)=7,O1488&lt;&gt;P1488),WEEKNUM(O1488,2),WEEKNUM(O1488,2)-1))+1</f>
        <v>17</v>
      </c>
      <c r="G1488" s="41">
        <f t="shared" ref="G1488" si="387">IF(O1488="","-",MONTH(O1488))</f>
        <v>4</v>
      </c>
      <c r="I1488" s="131">
        <f>INDEX('Base de données Mono'!K:K,MATCH(B1488,'Base de données Mono'!D:D,0))</f>
        <v>0.19791666666666666</v>
      </c>
      <c r="J1488" s="131">
        <f>INDEX('Base de données Mono'!L:L,MATCH(B1488,'Base de données Mono'!D:D,0))</f>
        <v>0.89583333333333337</v>
      </c>
      <c r="K1488" s="131">
        <f>INDEX('Base de données Mono'!M:M,MATCH(B1488,'Base de données Mono'!D:D,0))</f>
        <v>0.27083333333333331</v>
      </c>
      <c r="L1488" s="131">
        <f>INDEX('Base de données Mono'!N:N,MATCH(B1488,'Base de données Mono'!D:D,0))</f>
        <v>0.54166666666666663</v>
      </c>
      <c r="M1488" s="33" t="s">
        <v>46</v>
      </c>
      <c r="N1488" s="33">
        <f>IF(AND(E1488="Electricité",M1488="Hiver"),INDEX('Base de données Mono'!E:E,MATCH(B1488,'Base de données Mono'!D:D,0)),IF(AND(E1488="Electricité",M1488="Mi-saison"),INDEX('Base de données Mono'!F:F,MATCH(B1488,'Base de données Mono'!D:D,0)),IF(AND(E1488="Electricité",M1488="Eté"),INDEX('Base de données Mono'!G:G,MATCH(B1488,'Base de données Mono'!D:D,0)),IF(AND(E1488="Gaz",M1488="Hiver"),INDEX('Base de données Mono'!J:J,MATCH(B1488,'Base de données Mono'!D:D,0)),IF(AND(E1488="Gaz",M1488="Mi-saison"),INDEX('Base de données Mono'!#REF!,MATCH(B1488,'Base de données Mono'!D:D,0)),IF(AND(E1488="Gaz",M1488="Eté"),INDEX('Base de données Mono'!#REF!,MATCH(B1488,'Base de données Mono'!D:D,0)),"-"))))))</f>
        <v>120</v>
      </c>
      <c r="O1488" s="123">
        <v>45403</v>
      </c>
      <c r="P1488" s="123">
        <v>45404</v>
      </c>
      <c r="Q1488" s="34">
        <v>200</v>
      </c>
      <c r="R1488" s="33">
        <f t="shared" ref="R1488" si="388">IF(Q1488="","",Q1488-N1488)</f>
        <v>80</v>
      </c>
      <c r="S1488" s="34">
        <v>4.7</v>
      </c>
      <c r="T1488" s="34">
        <f t="shared" ref="T1488" si="389">P1488-O1488</f>
        <v>1</v>
      </c>
      <c r="U1488" s="33">
        <f t="shared" ref="U1488" si="390">R1488*S1488*T1488</f>
        <v>376</v>
      </c>
      <c r="V1488" s="38" t="s">
        <v>827</v>
      </c>
      <c r="W1488" s="39">
        <f t="shared" ref="W1488" si="391">IFERROR(IF(E1488="Gaz","-",R1488/N1488),"-")</f>
        <v>0.66666666666666663</v>
      </c>
      <c r="X1488" s="40" t="s">
        <v>304</v>
      </c>
      <c r="Y1488" s="40" t="s">
        <v>283</v>
      </c>
      <c r="Z1488" s="40" t="s">
        <v>749</v>
      </c>
      <c r="AA1488" s="33" t="s">
        <v>749</v>
      </c>
      <c r="AB1488" s="95"/>
      <c r="AC1488" s="95" t="s">
        <v>840</v>
      </c>
    </row>
    <row r="1489" spans="1:29" ht="14.45" customHeight="1" x14ac:dyDescent="0.25">
      <c r="A1489" s="36" t="str">
        <f>INDEX('Base de données Mono'!C:C,MATCH(B1489,'Base de données Mono'!D:D,0))</f>
        <v>LYON GBL</v>
      </c>
      <c r="B1489" t="s">
        <v>167</v>
      </c>
      <c r="C1489" s="36" t="str">
        <f>INDEX('Base de données Mono'!B:B,MATCH(B1489,'Base de données Mono'!D:D,0))</f>
        <v>SES8</v>
      </c>
      <c r="D1489" s="36" t="str">
        <f>INDEX('Base de données Mono'!A:A,MATCH(B1489,'Base de données Mono'!D:D,0))</f>
        <v>JG</v>
      </c>
      <c r="E1489" s="37" t="s">
        <v>303</v>
      </c>
      <c r="F1489" s="41">
        <f t="shared" ref="F1489" si="392">IF(O1489="","-",IF(AND(X1489="Nuit",WEEKDAY(O1489,2)=7,O1489&lt;&gt;P1489),WEEKNUM(O1489,2),WEEKNUM(O1489,2)-1))+1</f>
        <v>17</v>
      </c>
      <c r="G1489" s="41">
        <f t="shared" ref="G1489" si="393">IF(O1489="","-",MONTH(O1489))</f>
        <v>4</v>
      </c>
      <c r="I1489" s="131">
        <f>INDEX('Base de données Mono'!K:K,MATCH(B1489,'Base de données Mono'!D:D,0))</f>
        <v>0.19791666666666666</v>
      </c>
      <c r="J1489" s="131">
        <f>INDEX('Base de données Mono'!L:L,MATCH(B1489,'Base de données Mono'!D:D,0))</f>
        <v>0.89583333333333337</v>
      </c>
      <c r="K1489" s="131">
        <f>INDEX('Base de données Mono'!M:M,MATCH(B1489,'Base de données Mono'!D:D,0))</f>
        <v>0.27083333333333331</v>
      </c>
      <c r="L1489" s="131">
        <f>INDEX('Base de données Mono'!N:N,MATCH(B1489,'Base de données Mono'!D:D,0))</f>
        <v>0.54166666666666663</v>
      </c>
      <c r="M1489" s="33" t="s">
        <v>46</v>
      </c>
      <c r="N1489" s="33">
        <f>IF(AND(E1489="Electricité",M1489="Hiver"),INDEX('Base de données Mono'!E:E,MATCH(B1489,'Base de données Mono'!D:D,0)),IF(AND(E1489="Electricité",M1489="Mi-saison"),INDEX('Base de données Mono'!F:F,MATCH(B1489,'Base de données Mono'!D:D,0)),IF(AND(E1489="Electricité",M1489="Eté"),INDEX('Base de données Mono'!G:G,MATCH(B1489,'Base de données Mono'!D:D,0)),IF(AND(E1489="Gaz",M1489="Hiver"),INDEX('Base de données Mono'!J:J,MATCH(B1489,'Base de données Mono'!D:D,0)),IF(AND(E1489="Gaz",M1489="Mi-saison"),INDEX('Base de données Mono'!#REF!,MATCH(B1489,'Base de données Mono'!D:D,0)),IF(AND(E1489="Gaz",M1489="Eté"),INDEX('Base de données Mono'!#REF!,MATCH(B1489,'Base de données Mono'!D:D,0)),"-"))))))</f>
        <v>120</v>
      </c>
      <c r="O1489" s="123">
        <v>45404</v>
      </c>
      <c r="P1489" s="123">
        <v>45407</v>
      </c>
      <c r="Q1489" s="34">
        <v>200</v>
      </c>
      <c r="R1489" s="33">
        <f t="shared" ref="R1489" si="394">IF(Q1489="","",Q1489-N1489)</f>
        <v>80</v>
      </c>
      <c r="S1489" s="34">
        <v>7.2</v>
      </c>
      <c r="T1489" s="34">
        <f t="shared" ref="T1489" si="395">P1489-O1489</f>
        <v>3</v>
      </c>
      <c r="U1489" s="33">
        <f t="shared" ref="U1489" si="396">R1489*S1489*T1489</f>
        <v>1728</v>
      </c>
      <c r="V1489" s="38" t="s">
        <v>827</v>
      </c>
      <c r="W1489" s="39">
        <f t="shared" ref="W1489" si="397">IFERROR(IF(E1489="Gaz","-",R1489/N1489),"-")</f>
        <v>0.66666666666666663</v>
      </c>
      <c r="X1489" s="40" t="s">
        <v>304</v>
      </c>
      <c r="Y1489" s="40" t="s">
        <v>283</v>
      </c>
      <c r="Z1489" s="40" t="s">
        <v>749</v>
      </c>
      <c r="AA1489" s="33" t="s">
        <v>749</v>
      </c>
      <c r="AB1489" s="95"/>
      <c r="AC1489" s="95"/>
    </row>
    <row r="1490" spans="1:29" ht="14.45" customHeight="1" x14ac:dyDescent="0.25">
      <c r="A1490" s="36" t="str">
        <f>INDEX('Base de données Mono'!C:C,MATCH(B1490,'Base de données Mono'!D:D,0))</f>
        <v>LYON GBL</v>
      </c>
      <c r="B1490" t="s">
        <v>167</v>
      </c>
      <c r="C1490" s="36" t="str">
        <f>INDEX('Base de données Mono'!B:B,MATCH(B1490,'Base de données Mono'!D:D,0))</f>
        <v>SES8</v>
      </c>
      <c r="D1490" s="36" t="str">
        <f>INDEX('Base de données Mono'!A:A,MATCH(B1490,'Base de données Mono'!D:D,0))</f>
        <v>JG</v>
      </c>
      <c r="E1490" s="37" t="s">
        <v>303</v>
      </c>
      <c r="F1490" s="41">
        <f t="shared" si="372"/>
        <v>17</v>
      </c>
      <c r="G1490" s="41">
        <f t="shared" si="373"/>
        <v>4</v>
      </c>
      <c r="I1490" s="131">
        <f>INDEX('Base de données Mono'!K:K,MATCH(B1490,'Base de données Mono'!D:D,0))</f>
        <v>0.19791666666666666</v>
      </c>
      <c r="J1490" s="131">
        <f>INDEX('Base de données Mono'!L:L,MATCH(B1490,'Base de données Mono'!D:D,0))</f>
        <v>0.89583333333333337</v>
      </c>
      <c r="K1490" s="131">
        <f>INDEX('Base de données Mono'!M:M,MATCH(B1490,'Base de données Mono'!D:D,0))</f>
        <v>0.27083333333333331</v>
      </c>
      <c r="L1490" s="131">
        <f>INDEX('Base de données Mono'!N:N,MATCH(B1490,'Base de données Mono'!D:D,0))</f>
        <v>0.54166666666666663</v>
      </c>
      <c r="M1490" s="33" t="s">
        <v>46</v>
      </c>
      <c r="N1490" s="33">
        <f>IF(AND(E1490="Electricité",M1490="Hiver"),INDEX('Base de données Mono'!E:E,MATCH(B1490,'Base de données Mono'!D:D,0)),IF(AND(E1490="Electricité",M1490="Mi-saison"),INDEX('Base de données Mono'!F:F,MATCH(B1490,'Base de données Mono'!D:D,0)),IF(AND(E1490="Electricité",M1490="Eté"),INDEX('Base de données Mono'!G:G,MATCH(B1490,'Base de données Mono'!D:D,0)),IF(AND(E1490="Gaz",M1490="Hiver"),INDEX('Base de données Mono'!J:J,MATCH(B1490,'Base de données Mono'!D:D,0)),IF(AND(E1490="Gaz",M1490="Mi-saison"),INDEX('Base de données Mono'!#REF!,MATCH(B1490,'Base de données Mono'!D:D,0)),IF(AND(E1490="Gaz",M1490="Eté"),INDEX('Base de données Mono'!#REF!,MATCH(B1490,'Base de données Mono'!D:D,0)),"-"))))))</f>
        <v>120</v>
      </c>
      <c r="O1490" s="123">
        <v>45407</v>
      </c>
      <c r="P1490" s="123">
        <v>45409</v>
      </c>
      <c r="Q1490" s="34">
        <v>185</v>
      </c>
      <c r="R1490" s="33">
        <f t="shared" si="374"/>
        <v>65</v>
      </c>
      <c r="S1490" s="34">
        <v>7.2</v>
      </c>
      <c r="T1490" s="34">
        <f t="shared" si="375"/>
        <v>2</v>
      </c>
      <c r="U1490" s="33">
        <f t="shared" si="376"/>
        <v>936</v>
      </c>
      <c r="V1490" s="38" t="s">
        <v>827</v>
      </c>
      <c r="W1490" s="39">
        <f t="shared" si="377"/>
        <v>0.54166666666666663</v>
      </c>
      <c r="X1490" s="40" t="s">
        <v>304</v>
      </c>
      <c r="Y1490" s="40" t="s">
        <v>283</v>
      </c>
      <c r="Z1490" s="40" t="s">
        <v>749</v>
      </c>
      <c r="AA1490" s="33" t="s">
        <v>749</v>
      </c>
      <c r="AB1490" s="95"/>
      <c r="AC1490" s="95"/>
    </row>
    <row r="1491" spans="1:29" ht="14.45" customHeight="1" x14ac:dyDescent="0.25">
      <c r="A1491" s="36" t="str">
        <f>INDEX('Base de données Mono'!C:C,MATCH(B1491,'Base de données Mono'!D:D,0))</f>
        <v>LILLE LES TANNEURS</v>
      </c>
      <c r="B1491" t="s">
        <v>160</v>
      </c>
      <c r="C1491" s="36" t="str">
        <f>INDEX('Base de données Mono'!B:B,MATCH(B1491,'Base de données Mono'!D:D,0))</f>
        <v>SES8</v>
      </c>
      <c r="D1491" s="36" t="str">
        <f>INDEX('Base de données Mono'!A:A,MATCH(B1491,'Base de données Mono'!D:D,0))</f>
        <v>JG</v>
      </c>
      <c r="E1491" s="37" t="s">
        <v>303</v>
      </c>
      <c r="F1491" s="41">
        <f t="shared" ref="F1491:F1497" si="398">IF(O1491="","-",IF(AND(X1491="Nuit",WEEKDAY(O1491,2)=7,O1491&lt;&gt;P1491),WEEKNUM(O1491,2),WEEKNUM(O1491,2)-1))+1</f>
        <v>17</v>
      </c>
      <c r="G1491" s="41">
        <f t="shared" ref="G1491:G1497" si="399">IF(O1491="","-",MONTH(O1491))</f>
        <v>4</v>
      </c>
      <c r="I1491" s="131">
        <f>INDEX('Base de données Mono'!K:K,MATCH(B1491,'Base de données Mono'!D:D,0))</f>
        <v>0.16666666666666666</v>
      </c>
      <c r="J1491" s="131">
        <f>INDEX('Base de données Mono'!L:L,MATCH(B1491,'Base de données Mono'!D:D,0))</f>
        <v>0.83333333333333337</v>
      </c>
      <c r="K1491" s="131">
        <f>INDEX('Base de données Mono'!M:M,MATCH(B1491,'Base de données Mono'!D:D,0))</f>
        <v>0.29166666666666669</v>
      </c>
      <c r="L1491" s="131">
        <f>INDEX('Base de données Mono'!N:N,MATCH(B1491,'Base de données Mono'!D:D,0))</f>
        <v>0.79166666666666663</v>
      </c>
      <c r="M1491" s="33" t="s">
        <v>46</v>
      </c>
      <c r="N1491" s="33">
        <f>IF(AND(E1491="Electricité",M1491="Hiver"),INDEX('Base de données Mono'!E:E,MATCH(B1491,'Base de données Mono'!D:D,0)),IF(AND(E1491="Electricité",M1491="Mi-saison"),INDEX('Base de données Mono'!F:F,MATCH(B1491,'Base de données Mono'!D:D,0)),IF(AND(E1491="Electricité",M1491="Eté"),INDEX('Base de données Mono'!G:G,MATCH(B1491,'Base de données Mono'!D:D,0)),IF(AND(E1491="Gaz",M1491="Hiver"),INDEX('Base de données Mono'!J:J,MATCH(B1491,'Base de données Mono'!D:D,0)),IF(AND(E1491="Gaz",M1491="Mi-saison"),INDEX('Base de données Mono'!#REF!,MATCH(B1491,'Base de données Mono'!D:D,0)),IF(AND(E1491="Gaz",M1491="Eté"),INDEX('Base de données Mono'!#REF!,MATCH(B1491,'Base de données Mono'!D:D,0)),"-"))))))</f>
        <v>50</v>
      </c>
      <c r="O1491" s="123">
        <v>45404</v>
      </c>
      <c r="P1491" s="123">
        <v>45408</v>
      </c>
      <c r="Q1491" s="34">
        <v>100</v>
      </c>
      <c r="R1491" s="33">
        <f t="shared" ref="R1491:R1497" si="400">IF(Q1491="","",Q1491-N1491)</f>
        <v>50</v>
      </c>
      <c r="S1491" s="34">
        <v>1</v>
      </c>
      <c r="T1491" s="34">
        <f t="shared" si="375"/>
        <v>4</v>
      </c>
      <c r="U1491" s="33">
        <f t="shared" ref="U1491:U1497" si="401">R1491*S1491*T1491</f>
        <v>200</v>
      </c>
      <c r="V1491" s="38" t="s">
        <v>827</v>
      </c>
      <c r="W1491" s="39">
        <f t="shared" ref="W1491:W1497" si="402">IFERROR(IF(E1491="Gaz","-",R1491/N1491),"-")</f>
        <v>1</v>
      </c>
      <c r="X1491" s="40" t="s">
        <v>304</v>
      </c>
      <c r="Y1491" s="40" t="s">
        <v>284</v>
      </c>
      <c r="Z1491" s="40" t="s">
        <v>307</v>
      </c>
      <c r="AA1491" s="33" t="s">
        <v>313</v>
      </c>
      <c r="AB1491" s="95"/>
      <c r="AC1491" s="95"/>
    </row>
    <row r="1492" spans="1:29" ht="14.45" customHeight="1" x14ac:dyDescent="0.25">
      <c r="A1492" s="36" t="str">
        <f>INDEX('Base de données Mono'!C:C,MATCH(B1492,'Base de données Mono'!D:D,0))</f>
        <v>LILLE LES TANNEURS</v>
      </c>
      <c r="B1492" t="s">
        <v>160</v>
      </c>
      <c r="C1492" s="36" t="str">
        <f>INDEX('Base de données Mono'!B:B,MATCH(B1492,'Base de données Mono'!D:D,0))</f>
        <v>SES8</v>
      </c>
      <c r="D1492" s="36" t="str">
        <f>INDEX('Base de données Mono'!A:A,MATCH(B1492,'Base de données Mono'!D:D,0))</f>
        <v>JG</v>
      </c>
      <c r="E1492" s="37" t="s">
        <v>303</v>
      </c>
      <c r="F1492" s="41">
        <f>IF(O1492="","-",IF(AND(X1492="Nuit",WEEKDAY(O1492,2)=7,O1492&lt;&gt;P1492),WEEKNUM(O1492,2),WEEKNUM(O1492,2)-1))+1</f>
        <v>17</v>
      </c>
      <c r="G1492" s="41">
        <f>IF(O1492="","-",MONTH(O1492))</f>
        <v>4</v>
      </c>
      <c r="I1492" s="131">
        <f>INDEX('Base de données Mono'!K:K,MATCH(B1492,'Base de données Mono'!D:D,0))</f>
        <v>0.16666666666666666</v>
      </c>
      <c r="J1492" s="131">
        <f>INDEX('Base de données Mono'!L:L,MATCH(B1492,'Base de données Mono'!D:D,0))</f>
        <v>0.83333333333333337</v>
      </c>
      <c r="K1492" s="131">
        <f>INDEX('Base de données Mono'!M:M,MATCH(B1492,'Base de données Mono'!D:D,0))</f>
        <v>0.29166666666666669</v>
      </c>
      <c r="L1492" s="131">
        <f>INDEX('Base de données Mono'!N:N,MATCH(B1492,'Base de données Mono'!D:D,0))</f>
        <v>0.79166666666666663</v>
      </c>
      <c r="M1492" s="33" t="s">
        <v>46</v>
      </c>
      <c r="N1492" s="33">
        <f>IF(AND(E1492="Electricité",M1492="Hiver"),INDEX('Base de données Mono'!E:E,MATCH(B1492,'Base de données Mono'!D:D,0)),IF(AND(E1492="Electricité",M1492="Mi-saison"),INDEX('Base de données Mono'!F:F,MATCH(B1492,'Base de données Mono'!D:D,0)),IF(AND(E1492="Electricité",M1492="Eté"),INDEX('Base de données Mono'!G:G,MATCH(B1492,'Base de données Mono'!D:D,0)),IF(AND(E1492="Gaz",M1492="Hiver"),INDEX('Base de données Mono'!J:J,MATCH(B1492,'Base de données Mono'!D:D,0)),IF(AND(E1492="Gaz",M1492="Mi-saison"),INDEX('Base de données Mono'!#REF!,MATCH(B1492,'Base de données Mono'!D:D,0)),IF(AND(E1492="Gaz",M1492="Eté"),INDEX('Base de données Mono'!#REF!,MATCH(B1492,'Base de données Mono'!D:D,0)),"-"))))))</f>
        <v>50</v>
      </c>
      <c r="O1492" s="123">
        <v>45404</v>
      </c>
      <c r="P1492" s="123">
        <v>45408</v>
      </c>
      <c r="Q1492" s="34">
        <v>55</v>
      </c>
      <c r="R1492" s="33">
        <f t="shared" si="400"/>
        <v>5</v>
      </c>
      <c r="S1492" s="34">
        <v>2</v>
      </c>
      <c r="T1492" s="34">
        <f t="shared" si="375"/>
        <v>4</v>
      </c>
      <c r="U1492" s="33">
        <f t="shared" si="401"/>
        <v>40</v>
      </c>
      <c r="V1492" s="38" t="s">
        <v>827</v>
      </c>
      <c r="W1492" s="39">
        <f t="shared" si="402"/>
        <v>0.1</v>
      </c>
      <c r="X1492" s="40" t="s">
        <v>304</v>
      </c>
      <c r="Y1492" s="40" t="s">
        <v>284</v>
      </c>
      <c r="Z1492" s="40" t="s">
        <v>305</v>
      </c>
      <c r="AA1492" s="33" t="s">
        <v>771</v>
      </c>
      <c r="AB1492" s="95"/>
      <c r="AC1492" s="95"/>
    </row>
    <row r="1493" spans="1:29" ht="14.45" customHeight="1" x14ac:dyDescent="0.25">
      <c r="A1493" s="36" t="str">
        <f>INDEX('Base de données Mono'!C:C,MATCH(B1493,'Base de données Mono'!D:D,0))</f>
        <v>LILLE LES TANNEURS</v>
      </c>
      <c r="B1493" t="s">
        <v>160</v>
      </c>
      <c r="C1493" s="36" t="str">
        <f>INDEX('Base de données Mono'!B:B,MATCH(B1493,'Base de données Mono'!D:D,0))</f>
        <v>SES8</v>
      </c>
      <c r="D1493" s="36" t="str">
        <f>INDEX('Base de données Mono'!A:A,MATCH(B1493,'Base de données Mono'!D:D,0))</f>
        <v>JG</v>
      </c>
      <c r="E1493" s="37" t="s">
        <v>303</v>
      </c>
      <c r="F1493" s="41">
        <f t="shared" si="398"/>
        <v>17</v>
      </c>
      <c r="G1493" s="41">
        <f t="shared" si="399"/>
        <v>4</v>
      </c>
      <c r="I1493" s="131">
        <f>INDEX('Base de données Mono'!K:K,MATCH(B1493,'Base de données Mono'!D:D,0))</f>
        <v>0.16666666666666666</v>
      </c>
      <c r="J1493" s="131">
        <f>INDEX('Base de données Mono'!L:L,MATCH(B1493,'Base de données Mono'!D:D,0))</f>
        <v>0.83333333333333337</v>
      </c>
      <c r="K1493" s="131">
        <f>INDEX('Base de données Mono'!M:M,MATCH(B1493,'Base de données Mono'!D:D,0))</f>
        <v>0.29166666666666669</v>
      </c>
      <c r="L1493" s="131">
        <f>INDEX('Base de données Mono'!N:N,MATCH(B1493,'Base de données Mono'!D:D,0))</f>
        <v>0.79166666666666663</v>
      </c>
      <c r="M1493" s="33" t="s">
        <v>46</v>
      </c>
      <c r="N1493" s="33">
        <f>IF(AND(E1493="Electricité",M1493="Hiver"),INDEX('Base de données Mono'!E:E,MATCH(B1493,'Base de données Mono'!D:D,0)),IF(AND(E1493="Electricité",M1493="Mi-saison"),INDEX('Base de données Mono'!F:F,MATCH(B1493,'Base de données Mono'!D:D,0)),IF(AND(E1493="Electricité",M1493="Eté"),INDEX('Base de données Mono'!G:G,MATCH(B1493,'Base de données Mono'!D:D,0)),IF(AND(E1493="Gaz",M1493="Hiver"),INDEX('Base de données Mono'!J:J,MATCH(B1493,'Base de données Mono'!D:D,0)),IF(AND(E1493="Gaz",M1493="Mi-saison"),INDEX('Base de données Mono'!#REF!,MATCH(B1493,'Base de données Mono'!D:D,0)),IF(AND(E1493="Gaz",M1493="Eté"),INDEX('Base de données Mono'!#REF!,MATCH(B1493,'Base de données Mono'!D:D,0)),"-"))))))</f>
        <v>50</v>
      </c>
      <c r="O1493" s="123">
        <v>45408</v>
      </c>
      <c r="P1493" s="123">
        <v>45410</v>
      </c>
      <c r="Q1493" s="34">
        <v>90</v>
      </c>
      <c r="R1493" s="33">
        <f t="shared" si="400"/>
        <v>40</v>
      </c>
      <c r="S1493" s="34">
        <v>4.5</v>
      </c>
      <c r="T1493" s="34">
        <f t="shared" si="375"/>
        <v>2</v>
      </c>
      <c r="U1493" s="33">
        <f t="shared" si="401"/>
        <v>360</v>
      </c>
      <c r="V1493" s="38" t="s">
        <v>827</v>
      </c>
      <c r="W1493" s="39">
        <f t="shared" si="402"/>
        <v>0.8</v>
      </c>
      <c r="X1493" s="40" t="s">
        <v>304</v>
      </c>
      <c r="Y1493" s="40" t="s">
        <v>284</v>
      </c>
      <c r="Z1493" s="40" t="s">
        <v>311</v>
      </c>
      <c r="AA1493" s="33" t="s">
        <v>775</v>
      </c>
      <c r="AB1493" s="95"/>
      <c r="AC1493" s="95"/>
    </row>
    <row r="1494" spans="1:29" ht="14.45" customHeight="1" x14ac:dyDescent="0.25">
      <c r="A1494" s="36" t="str">
        <f>INDEX('Base de données Mono'!C:C,MATCH(B1494,'Base de données Mono'!D:D,0))</f>
        <v>DAUMESNIL</v>
      </c>
      <c r="B1494" t="s">
        <v>15</v>
      </c>
      <c r="C1494" s="36" t="str">
        <f>INDEX('Base de données Mono'!B:B,MATCH(B1494,'Base de données Mono'!D:D,0))</f>
        <v>SES8</v>
      </c>
      <c r="D1494" s="36" t="str">
        <f>INDEX('Base de données Mono'!A:A,MATCH(B1494,'Base de données Mono'!D:D,0))</f>
        <v>JG</v>
      </c>
      <c r="E1494" s="37" t="s">
        <v>303</v>
      </c>
      <c r="F1494" s="41">
        <f t="shared" si="398"/>
        <v>17</v>
      </c>
      <c r="G1494" s="41">
        <f t="shared" si="399"/>
        <v>4</v>
      </c>
      <c r="I1494" s="131">
        <f>INDEX('Base de données Mono'!K:K,MATCH(B1494,'Base de données Mono'!D:D,0))</f>
        <v>0.24305555555555555</v>
      </c>
      <c r="J1494" s="131">
        <f>INDEX('Base de données Mono'!L:L,MATCH(B1494,'Base de données Mono'!D:D,0))</f>
        <v>0.92013888888888884</v>
      </c>
      <c r="K1494" s="131">
        <f>INDEX('Base de données Mono'!M:M,MATCH(B1494,'Base de données Mono'!D:D,0))</f>
        <v>0.28472222222222221</v>
      </c>
      <c r="L1494" s="131">
        <f>INDEX('Base de données Mono'!N:N,MATCH(B1494,'Base de données Mono'!D:D,0))</f>
        <v>0.54166666666666663</v>
      </c>
      <c r="M1494" s="33" t="s">
        <v>46</v>
      </c>
      <c r="N1494" s="33">
        <f>IF(AND(E1494="Electricité",M1494="Hiver"),INDEX('Base de données Mono'!E:E,MATCH(B1494,'Base de données Mono'!D:D,0)),IF(AND(E1494="Electricité",M1494="Mi-saison"),INDEX('Base de données Mono'!F:F,MATCH(B1494,'Base de données Mono'!D:D,0)),IF(AND(E1494="Electricité",M1494="Eté"),INDEX('Base de données Mono'!G:G,MATCH(B1494,'Base de données Mono'!D:D,0)),IF(AND(E1494="Gaz",M1494="Hiver"),INDEX('Base de données Mono'!J:J,MATCH(B1494,'Base de données Mono'!D:D,0)),IF(AND(E1494="Gaz",M1494="Mi-saison"),INDEX('Base de données Mono'!#REF!,MATCH(B1494,'Base de données Mono'!D:D,0)),IF(AND(E1494="Gaz",M1494="Eté"),INDEX('Base de données Mono'!#REF!,MATCH(B1494,'Base de données Mono'!D:D,0)),"-"))))))</f>
        <v>15</v>
      </c>
      <c r="O1494" s="123">
        <v>45403</v>
      </c>
      <c r="P1494" s="123">
        <v>45407</v>
      </c>
      <c r="Q1494" s="34">
        <v>55</v>
      </c>
      <c r="R1494" s="33">
        <f t="shared" si="400"/>
        <v>40</v>
      </c>
      <c r="S1494" s="34">
        <v>2.5</v>
      </c>
      <c r="T1494" s="34">
        <f t="shared" si="375"/>
        <v>4</v>
      </c>
      <c r="U1494" s="33">
        <f t="shared" si="401"/>
        <v>400</v>
      </c>
      <c r="V1494" s="38" t="s">
        <v>827</v>
      </c>
      <c r="W1494" s="39">
        <f t="shared" si="402"/>
        <v>2.6666666666666665</v>
      </c>
      <c r="X1494" s="40" t="s">
        <v>304</v>
      </c>
      <c r="Y1494" s="40" t="s">
        <v>284</v>
      </c>
      <c r="Z1494" s="40" t="s">
        <v>305</v>
      </c>
      <c r="AA1494" s="33" t="s">
        <v>771</v>
      </c>
      <c r="AB1494" s="95"/>
      <c r="AC1494" s="95"/>
    </row>
    <row r="1495" spans="1:29" ht="14.45" customHeight="1" x14ac:dyDescent="0.25">
      <c r="A1495" s="36" t="str">
        <f>INDEX('Base de données Mono'!C:C,MATCH(B1495,'Base de données Mono'!D:D,0))</f>
        <v>DAUMESNIL</v>
      </c>
      <c r="B1495" t="s">
        <v>15</v>
      </c>
      <c r="C1495" s="36" t="str">
        <f>INDEX('Base de données Mono'!B:B,MATCH(B1495,'Base de données Mono'!D:D,0))</f>
        <v>SES8</v>
      </c>
      <c r="D1495" s="36" t="str">
        <f>INDEX('Base de données Mono'!A:A,MATCH(B1495,'Base de données Mono'!D:D,0))</f>
        <v>JG</v>
      </c>
      <c r="E1495" s="37" t="s">
        <v>303</v>
      </c>
      <c r="F1495" s="41">
        <f t="shared" si="398"/>
        <v>17</v>
      </c>
      <c r="G1495" s="41">
        <f t="shared" si="399"/>
        <v>4</v>
      </c>
      <c r="I1495" s="131">
        <f>INDEX('Base de données Mono'!K:K,MATCH(B1495,'Base de données Mono'!D:D,0))</f>
        <v>0.24305555555555555</v>
      </c>
      <c r="J1495" s="131">
        <f>INDEX('Base de données Mono'!L:L,MATCH(B1495,'Base de données Mono'!D:D,0))</f>
        <v>0.92013888888888884</v>
      </c>
      <c r="K1495" s="131">
        <f>INDEX('Base de données Mono'!M:M,MATCH(B1495,'Base de données Mono'!D:D,0))</f>
        <v>0.28472222222222221</v>
      </c>
      <c r="L1495" s="131">
        <f>INDEX('Base de données Mono'!N:N,MATCH(B1495,'Base de données Mono'!D:D,0))</f>
        <v>0.54166666666666663</v>
      </c>
      <c r="M1495" s="33" t="s">
        <v>46</v>
      </c>
      <c r="N1495" s="33">
        <f>IF(AND(E1495="Electricité",M1495="Hiver"),INDEX('Base de données Mono'!E:E,MATCH(B1495,'Base de données Mono'!D:D,0)),IF(AND(E1495="Electricité",M1495="Mi-saison"),INDEX('Base de données Mono'!F:F,MATCH(B1495,'Base de données Mono'!D:D,0)),IF(AND(E1495="Electricité",M1495="Eté"),INDEX('Base de données Mono'!G:G,MATCH(B1495,'Base de données Mono'!D:D,0)),IF(AND(E1495="Gaz",M1495="Hiver"),INDEX('Base de données Mono'!J:J,MATCH(B1495,'Base de données Mono'!D:D,0)),IF(AND(E1495="Gaz",M1495="Mi-saison"),INDEX('Base de données Mono'!#REF!,MATCH(B1495,'Base de données Mono'!D:D,0)),IF(AND(E1495="Gaz",M1495="Eté"),INDEX('Base de données Mono'!#REF!,MATCH(B1495,'Base de données Mono'!D:D,0)),"-"))))))</f>
        <v>15</v>
      </c>
      <c r="O1495" s="123">
        <v>45403</v>
      </c>
      <c r="P1495" s="123">
        <v>45407</v>
      </c>
      <c r="Q1495" s="34">
        <v>85</v>
      </c>
      <c r="R1495" s="33">
        <f t="shared" si="400"/>
        <v>70</v>
      </c>
      <c r="S1495" s="34">
        <v>5.2</v>
      </c>
      <c r="T1495" s="34">
        <f t="shared" si="375"/>
        <v>4</v>
      </c>
      <c r="U1495" s="33">
        <f t="shared" si="401"/>
        <v>1456</v>
      </c>
      <c r="V1495" s="38" t="s">
        <v>827</v>
      </c>
      <c r="W1495" s="39">
        <f t="shared" si="402"/>
        <v>4.666666666666667</v>
      </c>
      <c r="X1495" s="40" t="s">
        <v>304</v>
      </c>
      <c r="Y1495" s="40" t="s">
        <v>283</v>
      </c>
      <c r="Z1495" s="40" t="s">
        <v>749</v>
      </c>
      <c r="AA1495" s="33" t="s">
        <v>749</v>
      </c>
      <c r="AB1495" s="95"/>
      <c r="AC1495" s="95"/>
    </row>
    <row r="1496" spans="1:29" ht="14.45" customHeight="1" x14ac:dyDescent="0.25">
      <c r="A1496" s="36" t="str">
        <f>INDEX('Base de données Mono'!C:C,MATCH(B1496,'Base de données Mono'!D:D,0))</f>
        <v>DAUMESNIL</v>
      </c>
      <c r="B1496" t="s">
        <v>15</v>
      </c>
      <c r="C1496" s="36" t="str">
        <f>INDEX('Base de données Mono'!B:B,MATCH(B1496,'Base de données Mono'!D:D,0))</f>
        <v>SES8</v>
      </c>
      <c r="D1496" s="36" t="str">
        <f>INDEX('Base de données Mono'!A:A,MATCH(B1496,'Base de données Mono'!D:D,0))</f>
        <v>JG</v>
      </c>
      <c r="E1496" s="37" t="s">
        <v>303</v>
      </c>
      <c r="F1496" s="41">
        <f t="shared" si="398"/>
        <v>17</v>
      </c>
      <c r="G1496" s="41">
        <f t="shared" si="399"/>
        <v>4</v>
      </c>
      <c r="I1496" s="131">
        <f>INDEX('Base de données Mono'!K:K,MATCH(B1496,'Base de données Mono'!D:D,0))</f>
        <v>0.24305555555555555</v>
      </c>
      <c r="J1496" s="131">
        <f>INDEX('Base de données Mono'!L:L,MATCH(B1496,'Base de données Mono'!D:D,0))</f>
        <v>0.92013888888888884</v>
      </c>
      <c r="K1496" s="131">
        <f>INDEX('Base de données Mono'!M:M,MATCH(B1496,'Base de données Mono'!D:D,0))</f>
        <v>0.28472222222222221</v>
      </c>
      <c r="L1496" s="131">
        <f>INDEX('Base de données Mono'!N:N,MATCH(B1496,'Base de données Mono'!D:D,0))</f>
        <v>0.54166666666666663</v>
      </c>
      <c r="M1496" s="33" t="s">
        <v>46</v>
      </c>
      <c r="N1496" s="33">
        <f>IF(AND(E1496="Electricité",M1496="Hiver"),INDEX('Base de données Mono'!E:E,MATCH(B1496,'Base de données Mono'!D:D,0)),IF(AND(E1496="Electricité",M1496="Mi-saison"),INDEX('Base de données Mono'!F:F,MATCH(B1496,'Base de données Mono'!D:D,0)),IF(AND(E1496="Electricité",M1496="Eté"),INDEX('Base de données Mono'!G:G,MATCH(B1496,'Base de données Mono'!D:D,0)),IF(AND(E1496="Gaz",M1496="Hiver"),INDEX('Base de données Mono'!J:J,MATCH(B1496,'Base de données Mono'!D:D,0)),IF(AND(E1496="Gaz",M1496="Mi-saison"),INDEX('Base de données Mono'!#REF!,MATCH(B1496,'Base de données Mono'!D:D,0)),IF(AND(E1496="Gaz",M1496="Eté"),INDEX('Base de données Mono'!#REF!,MATCH(B1496,'Base de données Mono'!D:D,0)),"-"))))))</f>
        <v>15</v>
      </c>
      <c r="O1496" s="123">
        <v>45407</v>
      </c>
      <c r="P1496" s="123">
        <v>45408</v>
      </c>
      <c r="Q1496" s="34">
        <v>80</v>
      </c>
      <c r="R1496" s="33">
        <f t="shared" si="400"/>
        <v>65</v>
      </c>
      <c r="S1496" s="34">
        <v>2</v>
      </c>
      <c r="T1496" s="34">
        <f t="shared" si="375"/>
        <v>1</v>
      </c>
      <c r="U1496" s="33">
        <f t="shared" si="401"/>
        <v>130</v>
      </c>
      <c r="V1496" s="38" t="s">
        <v>827</v>
      </c>
      <c r="W1496" s="39">
        <f t="shared" si="402"/>
        <v>4.333333333333333</v>
      </c>
      <c r="X1496" s="40" t="s">
        <v>304</v>
      </c>
      <c r="Y1496" s="40" t="s">
        <v>283</v>
      </c>
      <c r="Z1496" s="40" t="s">
        <v>749</v>
      </c>
      <c r="AA1496" s="33" t="s">
        <v>749</v>
      </c>
      <c r="AB1496" s="95"/>
      <c r="AC1496" s="95"/>
    </row>
    <row r="1497" spans="1:29" ht="14.45" customHeight="1" x14ac:dyDescent="0.25">
      <c r="A1497" s="36" t="str">
        <f>INDEX('Base de données Mono'!C:C,MATCH(B1497,'Base de données Mono'!D:D,0))</f>
        <v>DAUMESNIL</v>
      </c>
      <c r="B1497" t="s">
        <v>15</v>
      </c>
      <c r="C1497" s="36" t="str">
        <f>INDEX('Base de données Mono'!B:B,MATCH(B1497,'Base de données Mono'!D:D,0))</f>
        <v>SES8</v>
      </c>
      <c r="D1497" s="36" t="str">
        <f>INDEX('Base de données Mono'!A:A,MATCH(B1497,'Base de données Mono'!D:D,0))</f>
        <v>JG</v>
      </c>
      <c r="E1497" s="37" t="s">
        <v>303</v>
      </c>
      <c r="F1497" s="41">
        <f t="shared" si="398"/>
        <v>17</v>
      </c>
      <c r="G1497" s="41">
        <f t="shared" si="399"/>
        <v>4</v>
      </c>
      <c r="I1497" s="131">
        <f>INDEX('Base de données Mono'!K:K,MATCH(B1497,'Base de données Mono'!D:D,0))</f>
        <v>0.24305555555555555</v>
      </c>
      <c r="J1497" s="131">
        <f>INDEX('Base de données Mono'!L:L,MATCH(B1497,'Base de données Mono'!D:D,0))</f>
        <v>0.92013888888888884</v>
      </c>
      <c r="K1497" s="131">
        <f>INDEX('Base de données Mono'!M:M,MATCH(B1497,'Base de données Mono'!D:D,0))</f>
        <v>0.28472222222222221</v>
      </c>
      <c r="L1497" s="131">
        <f>INDEX('Base de données Mono'!N:N,MATCH(B1497,'Base de données Mono'!D:D,0))</f>
        <v>0.54166666666666663</v>
      </c>
      <c r="M1497" s="33" t="s">
        <v>46</v>
      </c>
      <c r="N1497" s="33">
        <f>IF(AND(E1497="Electricité",M1497="Hiver"),INDEX('Base de données Mono'!E:E,MATCH(B1497,'Base de données Mono'!D:D,0)),IF(AND(E1497="Electricité",M1497="Mi-saison"),INDEX('Base de données Mono'!F:F,MATCH(B1497,'Base de données Mono'!D:D,0)),IF(AND(E1497="Electricité",M1497="Eté"),INDEX('Base de données Mono'!G:G,MATCH(B1497,'Base de données Mono'!D:D,0)),IF(AND(E1497="Gaz",M1497="Hiver"),INDEX('Base de données Mono'!J:J,MATCH(B1497,'Base de données Mono'!D:D,0)),IF(AND(E1497="Gaz",M1497="Mi-saison"),INDEX('Base de données Mono'!#REF!,MATCH(B1497,'Base de données Mono'!D:D,0)),IF(AND(E1497="Gaz",M1497="Eté"),INDEX('Base de données Mono'!#REF!,MATCH(B1497,'Base de données Mono'!D:D,0)),"-"))))))</f>
        <v>15</v>
      </c>
      <c r="O1497" s="123">
        <v>45407</v>
      </c>
      <c r="P1497" s="123">
        <v>45408</v>
      </c>
      <c r="Q1497" s="34">
        <v>50</v>
      </c>
      <c r="R1497" s="33">
        <f t="shared" si="400"/>
        <v>35</v>
      </c>
      <c r="S1497" s="34">
        <v>5.7</v>
      </c>
      <c r="T1497" s="34">
        <f t="shared" si="375"/>
        <v>1</v>
      </c>
      <c r="U1497" s="33">
        <f t="shared" si="401"/>
        <v>199.5</v>
      </c>
      <c r="V1497" s="38" t="s">
        <v>827</v>
      </c>
      <c r="W1497" s="39">
        <f t="shared" si="402"/>
        <v>2.3333333333333335</v>
      </c>
      <c r="X1497" s="40" t="s">
        <v>304</v>
      </c>
      <c r="Y1497" s="40" t="s">
        <v>284</v>
      </c>
      <c r="Z1497" s="40" t="s">
        <v>305</v>
      </c>
      <c r="AA1497" s="33" t="s">
        <v>771</v>
      </c>
      <c r="AB1497" s="95"/>
      <c r="AC1497" s="95"/>
    </row>
    <row r="1498" spans="1:29" ht="14.45" customHeight="1" x14ac:dyDescent="0.25">
      <c r="A1498" s="36" t="str">
        <f>INDEX('Base de données Mono'!C:C,MATCH(B1498,'Base de données Mono'!D:D,0))</f>
        <v>DAUMESNIL</v>
      </c>
      <c r="B1498" t="s">
        <v>15</v>
      </c>
      <c r="C1498" s="36" t="str">
        <f>INDEX('Base de données Mono'!B:B,MATCH(B1498,'Base de données Mono'!D:D,0))</f>
        <v>SES8</v>
      </c>
      <c r="D1498" s="36" t="str">
        <f>INDEX('Base de données Mono'!A:A,MATCH(B1498,'Base de données Mono'!D:D,0))</f>
        <v>JG</v>
      </c>
      <c r="E1498" s="37" t="s">
        <v>303</v>
      </c>
      <c r="F1498" s="41">
        <f t="shared" ref="F1498:F1501" si="403">IF(O1498="","-",IF(AND(X1498="Nuit",WEEKDAY(O1498,2)=7,O1498&lt;&gt;P1498),WEEKNUM(O1498,2),WEEKNUM(O1498,2)-1))+1</f>
        <v>17</v>
      </c>
      <c r="G1498" s="41">
        <f t="shared" ref="G1498:G1501" si="404">IF(O1498="","-",MONTH(O1498))</f>
        <v>4</v>
      </c>
      <c r="I1498" s="131">
        <f>INDEX('Base de données Mono'!K:K,MATCH(B1498,'Base de données Mono'!D:D,0))</f>
        <v>0.24305555555555555</v>
      </c>
      <c r="J1498" s="131">
        <f>INDEX('Base de données Mono'!L:L,MATCH(B1498,'Base de données Mono'!D:D,0))</f>
        <v>0.92013888888888884</v>
      </c>
      <c r="K1498" s="131">
        <f>INDEX('Base de données Mono'!M:M,MATCH(B1498,'Base de données Mono'!D:D,0))</f>
        <v>0.28472222222222221</v>
      </c>
      <c r="L1498" s="131">
        <f>INDEX('Base de données Mono'!N:N,MATCH(B1498,'Base de données Mono'!D:D,0))</f>
        <v>0.54166666666666663</v>
      </c>
      <c r="M1498" s="33" t="s">
        <v>46</v>
      </c>
      <c r="N1498" s="33">
        <f>IF(AND(E1498="Electricité",M1498="Hiver"),INDEX('Base de données Mono'!E:E,MATCH(B1498,'Base de données Mono'!D:D,0)),IF(AND(E1498="Electricité",M1498="Mi-saison"),INDEX('Base de données Mono'!F:F,MATCH(B1498,'Base de données Mono'!D:D,0)),IF(AND(E1498="Electricité",M1498="Eté"),INDEX('Base de données Mono'!G:G,MATCH(B1498,'Base de données Mono'!D:D,0)),IF(AND(E1498="Gaz",M1498="Hiver"),INDEX('Base de données Mono'!J:J,MATCH(B1498,'Base de données Mono'!D:D,0)),IF(AND(E1498="Gaz",M1498="Mi-saison"),INDEX('Base de données Mono'!#REF!,MATCH(B1498,'Base de données Mono'!D:D,0)),IF(AND(E1498="Gaz",M1498="Eté"),INDEX('Base de données Mono'!#REF!,MATCH(B1498,'Base de données Mono'!D:D,0)),"-"))))))</f>
        <v>15</v>
      </c>
      <c r="O1498" s="123">
        <v>45408</v>
      </c>
      <c r="P1498" s="123">
        <v>45410</v>
      </c>
      <c r="Q1498" s="34">
        <v>55</v>
      </c>
      <c r="R1498" s="33">
        <f t="shared" ref="R1498:R1501" si="405">IF(Q1498="","",Q1498-N1498)</f>
        <v>40</v>
      </c>
      <c r="S1498" s="34">
        <v>8</v>
      </c>
      <c r="T1498" s="34">
        <f t="shared" si="375"/>
        <v>2</v>
      </c>
      <c r="U1498" s="33">
        <f t="shared" ref="U1498:U1501" si="406">R1498*S1498*T1498</f>
        <v>640</v>
      </c>
      <c r="V1498" s="38" t="s">
        <v>827</v>
      </c>
      <c r="W1498" s="39">
        <f t="shared" ref="W1498:W1501" si="407">IFERROR(IF(E1498="Gaz","-",R1498/N1498),"-")</f>
        <v>2.6666666666666665</v>
      </c>
      <c r="X1498" s="40" t="s">
        <v>304</v>
      </c>
      <c r="Y1498" s="40" t="s">
        <v>284</v>
      </c>
      <c r="Z1498" s="40" t="s">
        <v>305</v>
      </c>
      <c r="AA1498" s="33" t="s">
        <v>771</v>
      </c>
      <c r="AB1498" s="95"/>
      <c r="AC1498" s="95"/>
    </row>
    <row r="1499" spans="1:29" ht="14.45" customHeight="1" x14ac:dyDescent="0.25">
      <c r="A1499" s="36" t="str">
        <f>INDEX('Base de données Mono'!C:C,MATCH(B1499,'Base de données Mono'!D:D,0))</f>
        <v>SETE</v>
      </c>
      <c r="B1499" t="s">
        <v>34</v>
      </c>
      <c r="C1499" s="36" t="str">
        <f>INDEX('Base de données Mono'!B:B,MATCH(B1499,'Base de données Mono'!D:D,0))</f>
        <v>SES8</v>
      </c>
      <c r="D1499" s="36" t="str">
        <f>INDEX('Base de données Mono'!A:A,MATCH(B1499,'Base de données Mono'!D:D,0))</f>
        <v>AD</v>
      </c>
      <c r="E1499" s="37" t="s">
        <v>303</v>
      </c>
      <c r="F1499" s="41">
        <f t="shared" si="403"/>
        <v>17</v>
      </c>
      <c r="G1499" s="41">
        <f t="shared" si="404"/>
        <v>4</v>
      </c>
      <c r="I1499" s="131">
        <f>INDEX('Base de données Mono'!K:K,MATCH(B1499,'Base de données Mono'!D:D,0))</f>
        <v>0.23611111111111113</v>
      </c>
      <c r="J1499" s="131">
        <f>INDEX('Base de données Mono'!L:L,MATCH(B1499,'Base de données Mono'!D:D,0))</f>
        <v>0.85416666666666663</v>
      </c>
      <c r="K1499" s="131">
        <f>INDEX('Base de données Mono'!M:M,MATCH(B1499,'Base de données Mono'!D:D,0))</f>
        <v>0.29166666666666669</v>
      </c>
      <c r="L1499" s="131">
        <f>INDEX('Base de données Mono'!N:N,MATCH(B1499,'Base de données Mono'!D:D,0))</f>
        <v>0.54166666666666663</v>
      </c>
      <c r="M1499" s="33" t="s">
        <v>46</v>
      </c>
      <c r="N1499" s="33">
        <f>IF(AND(E1499="Electricité",M1499="Hiver"),INDEX('Base de données Mono'!E:E,MATCH(B1499,'Base de données Mono'!D:D,0)),IF(AND(E1499="Electricité",M1499="Mi-saison"),INDEX('Base de données Mono'!F:F,MATCH(B1499,'Base de données Mono'!D:D,0)),IF(AND(E1499="Electricité",M1499="Eté"),INDEX('Base de données Mono'!G:G,MATCH(B1499,'Base de données Mono'!D:D,0)),IF(AND(E1499="Gaz",M1499="Hiver"),INDEX('Base de données Mono'!J:J,MATCH(B1499,'Base de données Mono'!D:D,0)),IF(AND(E1499="Gaz",M1499="Mi-saison"),INDEX('Base de données Mono'!#REF!,MATCH(B1499,'Base de données Mono'!D:D,0)),IF(AND(E1499="Gaz",M1499="Eté"),INDEX('Base de données Mono'!#REF!,MATCH(B1499,'Base de données Mono'!D:D,0)),"-"))))))</f>
        <v>45</v>
      </c>
      <c r="O1499" s="123">
        <v>45409</v>
      </c>
      <c r="P1499" s="123">
        <v>45410</v>
      </c>
      <c r="Q1499" s="34">
        <v>60</v>
      </c>
      <c r="R1499" s="33">
        <f t="shared" si="405"/>
        <v>15</v>
      </c>
      <c r="S1499" s="34">
        <v>1.5</v>
      </c>
      <c r="T1499" s="34">
        <f t="shared" si="375"/>
        <v>1</v>
      </c>
      <c r="U1499" s="33">
        <f t="shared" si="406"/>
        <v>22.5</v>
      </c>
      <c r="V1499" s="38" t="s">
        <v>827</v>
      </c>
      <c r="W1499" s="39">
        <f t="shared" si="407"/>
        <v>0.33333333333333331</v>
      </c>
      <c r="X1499" s="40" t="s">
        <v>304</v>
      </c>
      <c r="Y1499" s="40" t="s">
        <v>284</v>
      </c>
      <c r="Z1499" s="40" t="s">
        <v>305</v>
      </c>
      <c r="AA1499" s="33" t="s">
        <v>771</v>
      </c>
      <c r="AB1499" s="95"/>
      <c r="AC1499" s="95"/>
    </row>
    <row r="1500" spans="1:29" ht="14.45" customHeight="1" x14ac:dyDescent="0.25">
      <c r="A1500" s="36" t="str">
        <f>INDEX('Base de données Mono'!C:C,MATCH(B1500,'Base de données Mono'!D:D,0))</f>
        <v>VINCENNES</v>
      </c>
      <c r="B1500" t="s">
        <v>277</v>
      </c>
      <c r="C1500" s="36" t="str">
        <f>INDEX('Base de données Mono'!B:B,MATCH(B1500,'Base de données Mono'!D:D,0))</f>
        <v>SES8</v>
      </c>
      <c r="D1500" s="36" t="str">
        <f>INDEX('Base de données Mono'!A:A,MATCH(B1500,'Base de données Mono'!D:D,0))</f>
        <v>JG</v>
      </c>
      <c r="E1500" s="37" t="s">
        <v>303</v>
      </c>
      <c r="F1500" s="41">
        <f t="shared" si="403"/>
        <v>17</v>
      </c>
      <c r="G1500" s="41">
        <f t="shared" si="404"/>
        <v>4</v>
      </c>
      <c r="I1500" s="131">
        <f>INDEX('Base de données Mono'!K:K,MATCH(B1500,'Base de données Mono'!D:D,0))</f>
        <v>0.24305555555555555</v>
      </c>
      <c r="J1500" s="131">
        <f>INDEX('Base de données Mono'!L:L,MATCH(B1500,'Base de données Mono'!D:D,0))</f>
        <v>0.91666666666666663</v>
      </c>
      <c r="K1500" s="131">
        <f>INDEX('Base de données Mono'!M:M,MATCH(B1500,'Base de données Mono'!D:D,0))</f>
        <v>0.28472222222222221</v>
      </c>
      <c r="L1500" s="131">
        <f>INDEX('Base de données Mono'!N:N,MATCH(B1500,'Base de données Mono'!D:D,0))</f>
        <v>0.56944444444444442</v>
      </c>
      <c r="M1500" s="33" t="s">
        <v>46</v>
      </c>
      <c r="N1500" s="33">
        <f>IF(AND(E1500="Electricité",M1500="Hiver"),INDEX('Base de données Mono'!E:E,MATCH(B1500,'Base de données Mono'!D:D,0)),IF(AND(E1500="Electricité",M1500="Mi-saison"),INDEX('Base de données Mono'!F:F,MATCH(B1500,'Base de données Mono'!D:D,0)),IF(AND(E1500="Electricité",M1500="Eté"),INDEX('Base de données Mono'!G:G,MATCH(B1500,'Base de données Mono'!D:D,0)),IF(AND(E1500="Gaz",M1500="Hiver"),INDEX('Base de données Mono'!J:J,MATCH(B1500,'Base de données Mono'!D:D,0)),IF(AND(E1500="Gaz",M1500="Mi-saison"),INDEX('Base de données Mono'!#REF!,MATCH(B1500,'Base de données Mono'!D:D,0)),IF(AND(E1500="Gaz",M1500="Eté"),INDEX('Base de données Mono'!#REF!,MATCH(B1500,'Base de données Mono'!D:D,0)),"-"))))))</f>
        <v>45</v>
      </c>
      <c r="O1500" s="123">
        <v>45404</v>
      </c>
      <c r="P1500" s="123">
        <v>45410</v>
      </c>
      <c r="Q1500" s="34">
        <v>70</v>
      </c>
      <c r="R1500" s="33">
        <f t="shared" si="405"/>
        <v>25</v>
      </c>
      <c r="S1500" s="34">
        <v>1.6</v>
      </c>
      <c r="T1500" s="34">
        <f t="shared" si="375"/>
        <v>6</v>
      </c>
      <c r="U1500" s="33">
        <f t="shared" si="406"/>
        <v>240</v>
      </c>
      <c r="V1500" s="38" t="s">
        <v>827</v>
      </c>
      <c r="W1500" s="39">
        <f t="shared" si="407"/>
        <v>0.55555555555555558</v>
      </c>
      <c r="X1500" s="40" t="s">
        <v>304</v>
      </c>
      <c r="Y1500" s="40" t="s">
        <v>284</v>
      </c>
      <c r="Z1500" s="40" t="s">
        <v>307</v>
      </c>
      <c r="AA1500" s="33" t="s">
        <v>313</v>
      </c>
      <c r="AB1500" s="95"/>
      <c r="AC1500" s="95"/>
    </row>
    <row r="1501" spans="1:29" ht="14.45" customHeight="1" x14ac:dyDescent="0.25">
      <c r="A1501" s="36" t="str">
        <f>INDEX('Base de données Mono'!C:C,MATCH(B1501,'Base de données Mono'!D:D,0))</f>
        <v>VINCENNES</v>
      </c>
      <c r="B1501" t="s">
        <v>277</v>
      </c>
      <c r="C1501" s="36" t="str">
        <f>INDEX('Base de données Mono'!B:B,MATCH(B1501,'Base de données Mono'!D:D,0))</f>
        <v>SES8</v>
      </c>
      <c r="D1501" s="36" t="str">
        <f>INDEX('Base de données Mono'!A:A,MATCH(B1501,'Base de données Mono'!D:D,0))</f>
        <v>JG</v>
      </c>
      <c r="E1501" s="37" t="s">
        <v>303</v>
      </c>
      <c r="F1501" s="41">
        <f t="shared" si="403"/>
        <v>17</v>
      </c>
      <c r="G1501" s="41">
        <f t="shared" si="404"/>
        <v>4</v>
      </c>
      <c r="I1501" s="131">
        <f>INDEX('Base de données Mono'!K:K,MATCH(B1501,'Base de données Mono'!D:D,0))</f>
        <v>0.24305555555555555</v>
      </c>
      <c r="J1501" s="131">
        <f>INDEX('Base de données Mono'!L:L,MATCH(B1501,'Base de données Mono'!D:D,0))</f>
        <v>0.91666666666666663</v>
      </c>
      <c r="K1501" s="131">
        <f>INDEX('Base de données Mono'!M:M,MATCH(B1501,'Base de données Mono'!D:D,0))</f>
        <v>0.28472222222222221</v>
      </c>
      <c r="L1501" s="131">
        <f>INDEX('Base de données Mono'!N:N,MATCH(B1501,'Base de données Mono'!D:D,0))</f>
        <v>0.56944444444444442</v>
      </c>
      <c r="M1501" s="33" t="s">
        <v>46</v>
      </c>
      <c r="N1501" s="33">
        <f>IF(AND(E1501="Electricité",M1501="Hiver"),INDEX('Base de données Mono'!E:E,MATCH(B1501,'Base de données Mono'!D:D,0)),IF(AND(E1501="Electricité",M1501="Mi-saison"),INDEX('Base de données Mono'!F:F,MATCH(B1501,'Base de données Mono'!D:D,0)),IF(AND(E1501="Electricité",M1501="Eté"),INDEX('Base de données Mono'!G:G,MATCH(B1501,'Base de données Mono'!D:D,0)),IF(AND(E1501="Gaz",M1501="Hiver"),INDEX('Base de données Mono'!J:J,MATCH(B1501,'Base de données Mono'!D:D,0)),IF(AND(E1501="Gaz",M1501="Mi-saison"),INDEX('Base de données Mono'!#REF!,MATCH(B1501,'Base de données Mono'!D:D,0)),IF(AND(E1501="Gaz",M1501="Eté"),INDEX('Base de données Mono'!#REF!,MATCH(B1501,'Base de données Mono'!D:D,0)),"-"))))))</f>
        <v>45</v>
      </c>
      <c r="O1501" s="123">
        <v>45403</v>
      </c>
      <c r="P1501" s="123">
        <v>45409</v>
      </c>
      <c r="Q1501" s="34">
        <v>50</v>
      </c>
      <c r="R1501" s="33">
        <f t="shared" si="405"/>
        <v>5</v>
      </c>
      <c r="S1501" s="34">
        <v>0.5</v>
      </c>
      <c r="T1501" s="34">
        <f t="shared" si="375"/>
        <v>6</v>
      </c>
      <c r="U1501" s="33">
        <f t="shared" si="406"/>
        <v>15</v>
      </c>
      <c r="V1501" s="38" t="s">
        <v>827</v>
      </c>
      <c r="W1501" s="39">
        <f t="shared" si="407"/>
        <v>0.1111111111111111</v>
      </c>
      <c r="X1501" s="40" t="s">
        <v>304</v>
      </c>
      <c r="Y1501" s="40" t="s">
        <v>284</v>
      </c>
      <c r="Z1501" s="40" t="s">
        <v>305</v>
      </c>
      <c r="AA1501" s="33" t="s">
        <v>771</v>
      </c>
      <c r="AB1501" s="95"/>
      <c r="AC1501" s="95"/>
    </row>
    <row r="1502" spans="1:29" ht="14.45" customHeight="1" x14ac:dyDescent="0.25">
      <c r="A1502" s="36" t="str">
        <f>INDEX('Base de données Mono'!C:C,MATCH(B1502,'Base de données Mono'!D:D,0))</f>
        <v>LE VESINET</v>
      </c>
      <c r="B1502" t="s">
        <v>19</v>
      </c>
      <c r="C1502" s="36" t="str">
        <f>INDEX('Base de données Mono'!B:B,MATCH(B1502,'Base de données Mono'!D:D,0))</f>
        <v>SES8</v>
      </c>
      <c r="D1502" s="36" t="str">
        <f>INDEX('Base de données Mono'!A:A,MATCH(B1502,'Base de données Mono'!D:D,0))</f>
        <v>AD</v>
      </c>
      <c r="E1502" s="37" t="s">
        <v>303</v>
      </c>
      <c r="F1502" s="41">
        <f t="shared" ref="F1502:F1509" si="408">IF(O1502="","-",IF(AND(X1502="Nuit",WEEKDAY(O1502,2)=7,O1502&lt;&gt;P1502),WEEKNUM(O1502,2),WEEKNUM(O1502,2)-1))+1</f>
        <v>17</v>
      </c>
      <c r="G1502" s="41">
        <f t="shared" ref="G1502:G1509" si="409">IF(O1502="","-",MONTH(O1502))</f>
        <v>4</v>
      </c>
      <c r="I1502" s="131">
        <f>INDEX('Base de données Mono'!K:K,MATCH(B1502,'Base de données Mono'!D:D,0))</f>
        <v>0.24305555555555555</v>
      </c>
      <c r="J1502" s="131">
        <f>INDEX('Base de données Mono'!L:L,MATCH(B1502,'Base de données Mono'!D:D,0))</f>
        <v>0.89583333333333337</v>
      </c>
      <c r="K1502" s="131">
        <f>INDEX('Base de données Mono'!M:M,MATCH(B1502,'Base de données Mono'!D:D,0))</f>
        <v>0.29166666666666669</v>
      </c>
      <c r="L1502" s="131">
        <f>INDEX('Base de données Mono'!N:N,MATCH(B1502,'Base de données Mono'!D:D,0))</f>
        <v>0.5625</v>
      </c>
      <c r="M1502" s="33" t="s">
        <v>46</v>
      </c>
      <c r="N1502" s="33">
        <f>IF(AND(E1502="Electricité",M1502="Hiver"),INDEX('Base de données Mono'!E:E,MATCH(B1502,'Base de données Mono'!D:D,0)),IF(AND(E1502="Electricité",M1502="Mi-saison"),INDEX('Base de données Mono'!F:F,MATCH(B1502,'Base de données Mono'!D:D,0)),IF(AND(E1502="Electricité",M1502="Eté"),INDEX('Base de données Mono'!G:G,MATCH(B1502,'Base de données Mono'!D:D,0)),IF(AND(E1502="Gaz",M1502="Hiver"),INDEX('Base de données Mono'!J:J,MATCH(B1502,'Base de données Mono'!D:D,0)),IF(AND(E1502="Gaz",M1502="Mi-saison"),INDEX('Base de données Mono'!#REF!,MATCH(B1502,'Base de données Mono'!D:D,0)),IF(AND(E1502="Gaz",M1502="Eté"),INDEX('Base de données Mono'!#REF!,MATCH(B1502,'Base de données Mono'!D:D,0)),"-"))))))</f>
        <v>45</v>
      </c>
      <c r="O1502" s="123">
        <v>45403</v>
      </c>
      <c r="P1502" s="123">
        <v>45409</v>
      </c>
      <c r="Q1502" s="34">
        <v>90</v>
      </c>
      <c r="R1502" s="33">
        <f t="shared" ref="R1502:R1510" si="410">IF(Q1502="","",Q1502-N1502)</f>
        <v>45</v>
      </c>
      <c r="S1502" s="34">
        <v>0.3</v>
      </c>
      <c r="T1502" s="34">
        <f t="shared" si="375"/>
        <v>6</v>
      </c>
      <c r="U1502" s="33">
        <f t="shared" ref="U1502:U1513" si="411">R1502*S1502*T1502</f>
        <v>81</v>
      </c>
      <c r="V1502" s="38" t="s">
        <v>827</v>
      </c>
      <c r="W1502" s="39">
        <f t="shared" ref="W1502:W1513" si="412">IFERROR(IF(E1502="Gaz","-",R1502/N1502),"-")</f>
        <v>1</v>
      </c>
      <c r="X1502" s="40" t="s">
        <v>304</v>
      </c>
      <c r="Y1502" s="40" t="s">
        <v>284</v>
      </c>
      <c r="Z1502" s="40" t="s">
        <v>307</v>
      </c>
      <c r="AA1502" s="33" t="s">
        <v>414</v>
      </c>
      <c r="AB1502" s="95"/>
      <c r="AC1502" s="95"/>
    </row>
    <row r="1503" spans="1:29" ht="14.45" customHeight="1" x14ac:dyDescent="0.25">
      <c r="A1503" s="36" t="str">
        <f>INDEX('Base de données Mono'!C:C,MATCH(B1503,'Base de données Mono'!D:D,0))</f>
        <v>LE VESINET</v>
      </c>
      <c r="B1503" t="s">
        <v>19</v>
      </c>
      <c r="C1503" s="36" t="str">
        <f>INDEX('Base de données Mono'!B:B,MATCH(B1503,'Base de données Mono'!D:D,0))</f>
        <v>SES8</v>
      </c>
      <c r="D1503" s="36" t="str">
        <f>INDEX('Base de données Mono'!A:A,MATCH(B1503,'Base de données Mono'!D:D,0))</f>
        <v>AD</v>
      </c>
      <c r="E1503" s="37" t="s">
        <v>303</v>
      </c>
      <c r="F1503" s="41">
        <f>IF(O1503="","-",IF(AND(X1503="Nuit",WEEKDAY(O1503,2)=7,O1503&lt;&gt;P1503),WEEKNUM(O1503,2),WEEKNUM(O1503,2)-1))+1</f>
        <v>17</v>
      </c>
      <c r="G1503" s="41">
        <f>IF(O1503="","-",MONTH(O1503))</f>
        <v>4</v>
      </c>
      <c r="I1503" s="131">
        <f>INDEX('Base de données Mono'!K:K,MATCH(B1503,'Base de données Mono'!D:D,0))</f>
        <v>0.24305555555555555</v>
      </c>
      <c r="J1503" s="131">
        <f>INDEX('Base de données Mono'!L:L,MATCH(B1503,'Base de données Mono'!D:D,0))</f>
        <v>0.89583333333333337</v>
      </c>
      <c r="K1503" s="131">
        <f>INDEX('Base de données Mono'!M:M,MATCH(B1503,'Base de données Mono'!D:D,0))</f>
        <v>0.29166666666666669</v>
      </c>
      <c r="L1503" s="131">
        <f>INDEX('Base de données Mono'!N:N,MATCH(B1503,'Base de données Mono'!D:D,0))</f>
        <v>0.5625</v>
      </c>
      <c r="M1503" s="33" t="s">
        <v>46</v>
      </c>
      <c r="N1503" s="33">
        <f>IF(AND(E1503="Electricité",M1503="Hiver"),INDEX('Base de données Mono'!E:E,MATCH(B1503,'Base de données Mono'!D:D,0)),IF(AND(E1503="Electricité",M1503="Mi-saison"),INDEX('Base de données Mono'!F:F,MATCH(B1503,'Base de données Mono'!D:D,0)),IF(AND(E1503="Electricité",M1503="Eté"),INDEX('Base de données Mono'!G:G,MATCH(B1503,'Base de données Mono'!D:D,0)),IF(AND(E1503="Gaz",M1503="Hiver"),INDEX('Base de données Mono'!J:J,MATCH(B1503,'Base de données Mono'!D:D,0)),IF(AND(E1503="Gaz",M1503="Mi-saison"),INDEX('Base de données Mono'!#REF!,MATCH(B1503,'Base de données Mono'!D:D,0)),IF(AND(E1503="Gaz",M1503="Eté"),INDEX('Base de données Mono'!#REF!,MATCH(B1503,'Base de données Mono'!D:D,0)),"-"))))))</f>
        <v>45</v>
      </c>
      <c r="O1503" s="123">
        <v>45403</v>
      </c>
      <c r="P1503" s="123">
        <v>45404</v>
      </c>
      <c r="Q1503" s="34">
        <v>50</v>
      </c>
      <c r="R1503" s="33">
        <f>IF(Q1503="","",Q1503-N1503)</f>
        <v>5</v>
      </c>
      <c r="S1503" s="34">
        <v>8</v>
      </c>
      <c r="T1503" s="34">
        <f>P1503-O1503</f>
        <v>1</v>
      </c>
      <c r="U1503" s="33">
        <f>R1503*S1503*T1503</f>
        <v>40</v>
      </c>
      <c r="V1503" s="38" t="s">
        <v>827</v>
      </c>
      <c r="W1503" s="39">
        <f>IFERROR(IF(E1503="Gaz","-",R1503/N1503),"-")</f>
        <v>0.1111111111111111</v>
      </c>
      <c r="X1503" s="40" t="s">
        <v>304</v>
      </c>
      <c r="Y1503" s="40" t="s">
        <v>284</v>
      </c>
      <c r="Z1503" s="40" t="s">
        <v>305</v>
      </c>
      <c r="AA1503" s="33" t="s">
        <v>771</v>
      </c>
      <c r="AB1503" s="95"/>
      <c r="AC1503" s="95"/>
    </row>
    <row r="1504" spans="1:29" ht="14.45" customHeight="1" x14ac:dyDescent="0.25">
      <c r="A1504" s="36" t="str">
        <f>INDEX('Base de données Mono'!C:C,MATCH(B1504,'Base de données Mono'!D:D,0))</f>
        <v>LE VESINET</v>
      </c>
      <c r="B1504" t="s">
        <v>19</v>
      </c>
      <c r="C1504" s="36" t="str">
        <f>INDEX('Base de données Mono'!B:B,MATCH(B1504,'Base de données Mono'!D:D,0))</f>
        <v>SES8</v>
      </c>
      <c r="D1504" s="36" t="str">
        <f>INDEX('Base de données Mono'!A:A,MATCH(B1504,'Base de données Mono'!D:D,0))</f>
        <v>AD</v>
      </c>
      <c r="E1504" s="37" t="s">
        <v>303</v>
      </c>
      <c r="F1504" s="41">
        <f>IF(O1504="","-",IF(AND(X1504="Nuit",WEEKDAY(O1504,2)=7,O1504&lt;&gt;P1504),WEEKNUM(O1504,2),WEEKNUM(O1504,2)-1))+1</f>
        <v>17</v>
      </c>
      <c r="G1504" s="41">
        <f>IF(O1504="","-",MONTH(O1504))</f>
        <v>4</v>
      </c>
      <c r="I1504" s="131">
        <f>INDEX('Base de données Mono'!K:K,MATCH(B1504,'Base de données Mono'!D:D,0))</f>
        <v>0.24305555555555555</v>
      </c>
      <c r="J1504" s="131">
        <f>INDEX('Base de données Mono'!L:L,MATCH(B1504,'Base de données Mono'!D:D,0))</f>
        <v>0.89583333333333337</v>
      </c>
      <c r="K1504" s="131">
        <f>INDEX('Base de données Mono'!M:M,MATCH(B1504,'Base de données Mono'!D:D,0))</f>
        <v>0.29166666666666669</v>
      </c>
      <c r="L1504" s="131">
        <f>INDEX('Base de données Mono'!N:N,MATCH(B1504,'Base de données Mono'!D:D,0))</f>
        <v>0.5625</v>
      </c>
      <c r="M1504" s="33" t="s">
        <v>46</v>
      </c>
      <c r="N1504" s="33">
        <f>IF(AND(E1504="Electricité",M1504="Hiver"),INDEX('Base de données Mono'!E:E,MATCH(B1504,'Base de données Mono'!D:D,0)),IF(AND(E1504="Electricité",M1504="Mi-saison"),INDEX('Base de données Mono'!F:F,MATCH(B1504,'Base de données Mono'!D:D,0)),IF(AND(E1504="Electricité",M1504="Eté"),INDEX('Base de données Mono'!G:G,MATCH(B1504,'Base de données Mono'!D:D,0)),IF(AND(E1504="Gaz",M1504="Hiver"),INDEX('Base de données Mono'!J:J,MATCH(B1504,'Base de données Mono'!D:D,0)),IF(AND(E1504="Gaz",M1504="Mi-saison"),INDEX('Base de données Mono'!#REF!,MATCH(B1504,'Base de données Mono'!D:D,0)),IF(AND(E1504="Gaz",M1504="Eté"),INDEX('Base de données Mono'!#REF!,MATCH(B1504,'Base de données Mono'!D:D,0)),"-"))))))</f>
        <v>45</v>
      </c>
      <c r="O1504" s="123">
        <v>45404</v>
      </c>
      <c r="P1504" s="123">
        <v>45405</v>
      </c>
      <c r="Q1504" s="34">
        <v>85</v>
      </c>
      <c r="R1504" s="33">
        <f>IF(Q1504="","",Q1504-N1504)</f>
        <v>40</v>
      </c>
      <c r="S1504" s="34">
        <v>8</v>
      </c>
      <c r="T1504" s="34">
        <f>P1504-O1504</f>
        <v>1</v>
      </c>
      <c r="U1504" s="33">
        <f>R1504*S1504*T1504</f>
        <v>320</v>
      </c>
      <c r="V1504" s="38" t="s">
        <v>827</v>
      </c>
      <c r="W1504" s="39">
        <f>IFERROR(IF(E1504="Gaz","-",R1504/N1504),"-")</f>
        <v>0.88888888888888884</v>
      </c>
      <c r="X1504" s="40" t="s">
        <v>304</v>
      </c>
      <c r="Y1504" s="40" t="s">
        <v>284</v>
      </c>
      <c r="Z1504" s="40" t="s">
        <v>311</v>
      </c>
      <c r="AA1504" s="33" t="s">
        <v>775</v>
      </c>
      <c r="AB1504" s="95"/>
      <c r="AC1504" s="95"/>
    </row>
    <row r="1505" spans="1:29" ht="14.45" customHeight="1" x14ac:dyDescent="0.25">
      <c r="A1505" s="36" t="str">
        <f>INDEX('Base de données Mono'!C:C,MATCH(B1505,'Base de données Mono'!D:D,0))</f>
        <v>LE VESINET</v>
      </c>
      <c r="B1505" t="s">
        <v>19</v>
      </c>
      <c r="C1505" s="36" t="str">
        <f>INDEX('Base de données Mono'!B:B,MATCH(B1505,'Base de données Mono'!D:D,0))</f>
        <v>SES8</v>
      </c>
      <c r="D1505" s="36" t="str">
        <f>INDEX('Base de données Mono'!A:A,MATCH(B1505,'Base de données Mono'!D:D,0))</f>
        <v>AD</v>
      </c>
      <c r="E1505" s="37" t="s">
        <v>303</v>
      </c>
      <c r="F1505" s="41">
        <f>IF(O1505="","-",IF(AND(X1505="Nuit",WEEKDAY(O1505,2)=7,O1505&lt;&gt;P1505),WEEKNUM(O1505,2),WEEKNUM(O1505,2)-1))+1</f>
        <v>17</v>
      </c>
      <c r="G1505" s="41">
        <f>IF(O1505="","-",MONTH(O1505))</f>
        <v>4</v>
      </c>
      <c r="I1505" s="131">
        <f>INDEX('Base de données Mono'!K:K,MATCH(B1505,'Base de données Mono'!D:D,0))</f>
        <v>0.24305555555555555</v>
      </c>
      <c r="J1505" s="131">
        <f>INDEX('Base de données Mono'!L:L,MATCH(B1505,'Base de données Mono'!D:D,0))</f>
        <v>0.89583333333333337</v>
      </c>
      <c r="K1505" s="131">
        <f>INDEX('Base de données Mono'!M:M,MATCH(B1505,'Base de données Mono'!D:D,0))</f>
        <v>0.29166666666666669</v>
      </c>
      <c r="L1505" s="131">
        <f>INDEX('Base de données Mono'!N:N,MATCH(B1505,'Base de données Mono'!D:D,0))</f>
        <v>0.5625</v>
      </c>
      <c r="M1505" s="33" t="s">
        <v>46</v>
      </c>
      <c r="N1505" s="33">
        <f>IF(AND(E1505="Electricité",M1505="Hiver"),INDEX('Base de données Mono'!E:E,MATCH(B1505,'Base de données Mono'!D:D,0)),IF(AND(E1505="Electricité",M1505="Mi-saison"),INDEX('Base de données Mono'!F:F,MATCH(B1505,'Base de données Mono'!D:D,0)),IF(AND(E1505="Electricité",M1505="Eté"),INDEX('Base de données Mono'!G:G,MATCH(B1505,'Base de données Mono'!D:D,0)),IF(AND(E1505="Gaz",M1505="Hiver"),INDEX('Base de données Mono'!J:J,MATCH(B1505,'Base de données Mono'!D:D,0)),IF(AND(E1505="Gaz",M1505="Mi-saison"),INDEX('Base de données Mono'!#REF!,MATCH(B1505,'Base de données Mono'!D:D,0)),IF(AND(E1505="Gaz",M1505="Eté"),INDEX('Base de données Mono'!#REF!,MATCH(B1505,'Base de données Mono'!D:D,0)),"-"))))))</f>
        <v>45</v>
      </c>
      <c r="O1505" s="123">
        <v>45405</v>
      </c>
      <c r="P1505" s="123">
        <v>45407</v>
      </c>
      <c r="Q1505" s="34">
        <v>70</v>
      </c>
      <c r="R1505" s="33">
        <f>IF(Q1505="","",Q1505-N1505)</f>
        <v>25</v>
      </c>
      <c r="S1505" s="34">
        <v>8</v>
      </c>
      <c r="T1505" s="34">
        <f>P1505-O1505</f>
        <v>2</v>
      </c>
      <c r="U1505" s="33">
        <f>R1505*S1505*T1505</f>
        <v>400</v>
      </c>
      <c r="V1505" s="38" t="s">
        <v>827</v>
      </c>
      <c r="W1505" s="39">
        <f>IFERROR(IF(E1505="Gaz","-",R1505/N1505),"-")</f>
        <v>0.55555555555555558</v>
      </c>
      <c r="X1505" s="40" t="s">
        <v>304</v>
      </c>
      <c r="Y1505" s="40" t="s">
        <v>283</v>
      </c>
      <c r="Z1505" s="40" t="s">
        <v>749</v>
      </c>
      <c r="AA1505" s="33" t="s">
        <v>749</v>
      </c>
      <c r="AB1505" s="95"/>
      <c r="AC1505" s="95"/>
    </row>
    <row r="1506" spans="1:29" ht="14.45" customHeight="1" x14ac:dyDescent="0.25">
      <c r="A1506" s="36" t="str">
        <f>INDEX('Base de données Mono'!C:C,MATCH(B1506,'Base de données Mono'!D:D,0))</f>
        <v>LE VESINET</v>
      </c>
      <c r="B1506" t="s">
        <v>19</v>
      </c>
      <c r="C1506" s="36" t="str">
        <f>INDEX('Base de données Mono'!B:B,MATCH(B1506,'Base de données Mono'!D:D,0))</f>
        <v>SES8</v>
      </c>
      <c r="D1506" s="36" t="str">
        <f>INDEX('Base de données Mono'!A:A,MATCH(B1506,'Base de données Mono'!D:D,0))</f>
        <v>AD</v>
      </c>
      <c r="E1506" s="37" t="s">
        <v>303</v>
      </c>
      <c r="F1506" s="41">
        <f t="shared" si="408"/>
        <v>17</v>
      </c>
      <c r="G1506" s="41">
        <f t="shared" si="409"/>
        <v>4</v>
      </c>
      <c r="I1506" s="131">
        <f>INDEX('Base de données Mono'!K:K,MATCH(B1506,'Base de données Mono'!D:D,0))</f>
        <v>0.24305555555555555</v>
      </c>
      <c r="J1506" s="131">
        <f>INDEX('Base de données Mono'!L:L,MATCH(B1506,'Base de données Mono'!D:D,0))</f>
        <v>0.89583333333333337</v>
      </c>
      <c r="K1506" s="131">
        <f>INDEX('Base de données Mono'!M:M,MATCH(B1506,'Base de données Mono'!D:D,0))</f>
        <v>0.29166666666666669</v>
      </c>
      <c r="L1506" s="131">
        <f>INDEX('Base de données Mono'!N:N,MATCH(B1506,'Base de données Mono'!D:D,0))</f>
        <v>0.5625</v>
      </c>
      <c r="M1506" s="33" t="s">
        <v>46</v>
      </c>
      <c r="N1506" s="33">
        <f>IF(AND(E1506="Electricité",M1506="Hiver"),INDEX('Base de données Mono'!E:E,MATCH(B1506,'Base de données Mono'!D:D,0)),IF(AND(E1506="Electricité",M1506="Mi-saison"),INDEX('Base de données Mono'!F:F,MATCH(B1506,'Base de données Mono'!D:D,0)),IF(AND(E1506="Electricité",M1506="Eté"),INDEX('Base de données Mono'!G:G,MATCH(B1506,'Base de données Mono'!D:D,0)),IF(AND(E1506="Gaz",M1506="Hiver"),INDEX('Base de données Mono'!J:J,MATCH(B1506,'Base de données Mono'!D:D,0)),IF(AND(E1506="Gaz",M1506="Mi-saison"),INDEX('Base de données Mono'!#REF!,MATCH(B1506,'Base de données Mono'!D:D,0)),IF(AND(E1506="Gaz",M1506="Eté"),INDEX('Base de données Mono'!#REF!,MATCH(B1506,'Base de données Mono'!D:D,0)),"-"))))))</f>
        <v>45</v>
      </c>
      <c r="O1506" s="123">
        <v>45407</v>
      </c>
      <c r="P1506" s="123">
        <v>45410</v>
      </c>
      <c r="Q1506" s="34">
        <v>55</v>
      </c>
      <c r="R1506" s="33">
        <f t="shared" si="410"/>
        <v>10</v>
      </c>
      <c r="S1506" s="34">
        <v>8</v>
      </c>
      <c r="T1506" s="34">
        <f t="shared" si="375"/>
        <v>3</v>
      </c>
      <c r="U1506" s="33">
        <f t="shared" si="411"/>
        <v>240</v>
      </c>
      <c r="V1506" s="38" t="s">
        <v>827</v>
      </c>
      <c r="W1506" s="39">
        <f t="shared" si="412"/>
        <v>0.22222222222222221</v>
      </c>
      <c r="X1506" s="40" t="s">
        <v>304</v>
      </c>
      <c r="Y1506" s="40" t="s">
        <v>284</v>
      </c>
      <c r="Z1506" s="40" t="s">
        <v>305</v>
      </c>
      <c r="AA1506" s="33" t="s">
        <v>771</v>
      </c>
      <c r="AB1506" s="95"/>
      <c r="AC1506" s="95"/>
    </row>
    <row r="1507" spans="1:29" ht="14.45" customHeight="1" x14ac:dyDescent="0.25">
      <c r="A1507" s="36" t="str">
        <f>INDEX('Base de données Mono'!C:C,MATCH(B1507,'Base de données Mono'!D:D,0))</f>
        <v>ALESIA ALI</v>
      </c>
      <c r="B1507" t="s">
        <v>56</v>
      </c>
      <c r="C1507" s="36" t="str">
        <f>INDEX('Base de données Mono'!B:B,MATCH(B1507,'Base de données Mono'!D:D,0))</f>
        <v>SES8</v>
      </c>
      <c r="D1507" s="36" t="str">
        <f>INDEX('Base de données Mono'!A:A,MATCH(B1507,'Base de données Mono'!D:D,0))</f>
        <v>AD</v>
      </c>
      <c r="E1507" s="37" t="s">
        <v>303</v>
      </c>
      <c r="F1507" s="41">
        <f t="shared" si="408"/>
        <v>17</v>
      </c>
      <c r="G1507" s="41">
        <f t="shared" si="409"/>
        <v>4</v>
      </c>
      <c r="I1507" s="131">
        <f>INDEX('Base de données Mono'!K:K,MATCH(B1507,'Base de données Mono'!D:D,0))</f>
        <v>0.20833333333333334</v>
      </c>
      <c r="J1507" s="131">
        <f>INDEX('Base de données Mono'!L:L,MATCH(B1507,'Base de données Mono'!D:D,0))</f>
        <v>0.83333333333333337</v>
      </c>
      <c r="K1507" s="131">
        <f>INDEX('Base de données Mono'!M:M,MATCH(B1507,'Base de données Mono'!D:D,0))</f>
        <v>0.25</v>
      </c>
      <c r="L1507" s="131">
        <f>INDEX('Base de données Mono'!N:N,MATCH(B1507,'Base de données Mono'!D:D,0))</f>
        <v>0.54166666666666663</v>
      </c>
      <c r="M1507" s="33" t="s">
        <v>46</v>
      </c>
      <c r="N1507" s="33">
        <f>IF(AND(E1507="Electricité",M1507="Hiver"),INDEX('Base de données Mono'!E:E,MATCH(B1507,'Base de données Mono'!D:D,0)),IF(AND(E1507="Electricité",M1507="Mi-saison"),INDEX('Base de données Mono'!F:F,MATCH(B1507,'Base de données Mono'!D:D,0)),IF(AND(E1507="Electricité",M1507="Eté"),INDEX('Base de données Mono'!G:G,MATCH(B1507,'Base de données Mono'!D:D,0)),IF(AND(E1507="Gaz",M1507="Hiver"),INDEX('Base de données Mono'!J:J,MATCH(B1507,'Base de données Mono'!D:D,0)),IF(AND(E1507="Gaz",M1507="Mi-saison"),INDEX('Base de données Mono'!#REF!,MATCH(B1507,'Base de données Mono'!D:D,0)),IF(AND(E1507="Gaz",M1507="Eté"),INDEX('Base de données Mono'!#REF!,MATCH(B1507,'Base de données Mono'!D:D,0)),"-"))))))</f>
        <v>55</v>
      </c>
      <c r="O1507" s="123">
        <v>45403</v>
      </c>
      <c r="P1507" s="123">
        <v>45404</v>
      </c>
      <c r="Q1507" s="34">
        <v>60</v>
      </c>
      <c r="R1507" s="33">
        <f t="shared" si="410"/>
        <v>5</v>
      </c>
      <c r="S1507" s="34">
        <v>9</v>
      </c>
      <c r="T1507" s="34">
        <f t="shared" ref="T1507:T1515" si="413">P1507-O1507</f>
        <v>1</v>
      </c>
      <c r="U1507" s="33">
        <f t="shared" si="411"/>
        <v>45</v>
      </c>
      <c r="V1507" s="38" t="s">
        <v>827</v>
      </c>
      <c r="W1507" s="39">
        <f t="shared" si="412"/>
        <v>9.0909090909090912E-2</v>
      </c>
      <c r="X1507" s="40" t="s">
        <v>304</v>
      </c>
      <c r="Y1507" s="40" t="s">
        <v>284</v>
      </c>
      <c r="Z1507" s="40" t="s">
        <v>305</v>
      </c>
      <c r="AA1507" s="33" t="s">
        <v>771</v>
      </c>
      <c r="AB1507" s="95"/>
      <c r="AC1507" s="95"/>
    </row>
    <row r="1508" spans="1:29" ht="14.45" customHeight="1" x14ac:dyDescent="0.25">
      <c r="A1508" s="36" t="str">
        <f>INDEX('Base de données Mono'!C:C,MATCH(B1508,'Base de données Mono'!D:D,0))</f>
        <v>ALESIA ALI</v>
      </c>
      <c r="B1508" t="s">
        <v>56</v>
      </c>
      <c r="C1508" s="36" t="str">
        <f>INDEX('Base de données Mono'!B:B,MATCH(B1508,'Base de données Mono'!D:D,0))</f>
        <v>SES8</v>
      </c>
      <c r="D1508" s="36" t="str">
        <f>INDEX('Base de données Mono'!A:A,MATCH(B1508,'Base de données Mono'!D:D,0))</f>
        <v>AD</v>
      </c>
      <c r="E1508" s="37" t="s">
        <v>303</v>
      </c>
      <c r="F1508" s="41">
        <f t="shared" si="408"/>
        <v>17</v>
      </c>
      <c r="G1508" s="41">
        <f t="shared" si="409"/>
        <v>4</v>
      </c>
      <c r="I1508" s="131">
        <f>INDEX('Base de données Mono'!K:K,MATCH(B1508,'Base de données Mono'!D:D,0))</f>
        <v>0.20833333333333334</v>
      </c>
      <c r="J1508" s="131">
        <f>INDEX('Base de données Mono'!L:L,MATCH(B1508,'Base de données Mono'!D:D,0))</f>
        <v>0.83333333333333337</v>
      </c>
      <c r="K1508" s="131">
        <f>INDEX('Base de données Mono'!M:M,MATCH(B1508,'Base de données Mono'!D:D,0))</f>
        <v>0.25</v>
      </c>
      <c r="L1508" s="131">
        <f>INDEX('Base de données Mono'!N:N,MATCH(B1508,'Base de données Mono'!D:D,0))</f>
        <v>0.54166666666666663</v>
      </c>
      <c r="M1508" s="33" t="s">
        <v>46</v>
      </c>
      <c r="N1508" s="33">
        <f>IF(AND(E1508="Electricité",M1508="Hiver"),INDEX('Base de données Mono'!E:E,MATCH(B1508,'Base de données Mono'!D:D,0)),IF(AND(E1508="Electricité",M1508="Mi-saison"),INDEX('Base de données Mono'!F:F,MATCH(B1508,'Base de données Mono'!D:D,0)),IF(AND(E1508="Electricité",M1508="Eté"),INDEX('Base de données Mono'!G:G,MATCH(B1508,'Base de données Mono'!D:D,0)),IF(AND(E1508="Gaz",M1508="Hiver"),INDEX('Base de données Mono'!J:J,MATCH(B1508,'Base de données Mono'!D:D,0)),IF(AND(E1508="Gaz",M1508="Mi-saison"),INDEX('Base de données Mono'!#REF!,MATCH(B1508,'Base de données Mono'!D:D,0)),IF(AND(E1508="Gaz",M1508="Eté"),INDEX('Base de données Mono'!#REF!,MATCH(B1508,'Base de données Mono'!D:D,0)),"-"))))))</f>
        <v>55</v>
      </c>
      <c r="O1508" s="123">
        <v>45404</v>
      </c>
      <c r="P1508" s="123">
        <v>45410</v>
      </c>
      <c r="Q1508" s="34">
        <v>75</v>
      </c>
      <c r="R1508" s="33">
        <f t="shared" si="410"/>
        <v>20</v>
      </c>
      <c r="S1508" s="34">
        <v>1.8</v>
      </c>
      <c r="T1508" s="34">
        <f t="shared" si="413"/>
        <v>6</v>
      </c>
      <c r="U1508" s="33">
        <f t="shared" si="411"/>
        <v>216</v>
      </c>
      <c r="V1508" s="38" t="s">
        <v>827</v>
      </c>
      <c r="W1508" s="39">
        <f t="shared" si="412"/>
        <v>0.36363636363636365</v>
      </c>
      <c r="X1508" s="40" t="s">
        <v>304</v>
      </c>
      <c r="Y1508" s="40" t="s">
        <v>284</v>
      </c>
      <c r="Z1508" s="40" t="s">
        <v>307</v>
      </c>
      <c r="AA1508" s="33" t="s">
        <v>313</v>
      </c>
      <c r="AB1508" s="95"/>
      <c r="AC1508" s="95"/>
    </row>
    <row r="1509" spans="1:29" ht="14.45" customHeight="1" x14ac:dyDescent="0.25">
      <c r="A1509" s="36" t="str">
        <f>INDEX('Base de données Mono'!C:C,MATCH(B1509,'Base de données Mono'!D:D,0))</f>
        <v>ALESIA ALI</v>
      </c>
      <c r="B1509" t="s">
        <v>56</v>
      </c>
      <c r="C1509" s="36" t="str">
        <f>INDEX('Base de données Mono'!B:B,MATCH(B1509,'Base de données Mono'!D:D,0))</f>
        <v>SES8</v>
      </c>
      <c r="D1509" s="36" t="str">
        <f>INDEX('Base de données Mono'!A:A,MATCH(B1509,'Base de données Mono'!D:D,0))</f>
        <v>AD</v>
      </c>
      <c r="E1509" s="37" t="s">
        <v>303</v>
      </c>
      <c r="F1509" s="41">
        <f t="shared" si="408"/>
        <v>17</v>
      </c>
      <c r="G1509" s="41">
        <f t="shared" si="409"/>
        <v>4</v>
      </c>
      <c r="I1509" s="131">
        <f>INDEX('Base de données Mono'!K:K,MATCH(B1509,'Base de données Mono'!D:D,0))</f>
        <v>0.20833333333333334</v>
      </c>
      <c r="J1509" s="131">
        <f>INDEX('Base de données Mono'!L:L,MATCH(B1509,'Base de données Mono'!D:D,0))</f>
        <v>0.83333333333333337</v>
      </c>
      <c r="K1509" s="131">
        <f>INDEX('Base de données Mono'!M:M,MATCH(B1509,'Base de données Mono'!D:D,0))</f>
        <v>0.25</v>
      </c>
      <c r="L1509" s="131">
        <f>INDEX('Base de données Mono'!N:N,MATCH(B1509,'Base de données Mono'!D:D,0))</f>
        <v>0.54166666666666663</v>
      </c>
      <c r="M1509" s="33" t="s">
        <v>46</v>
      </c>
      <c r="N1509" s="33">
        <f>IF(AND(E1509="Electricité",M1509="Hiver"),INDEX('Base de données Mono'!E:E,MATCH(B1509,'Base de données Mono'!D:D,0)),IF(AND(E1509="Electricité",M1509="Mi-saison"),INDEX('Base de données Mono'!F:F,MATCH(B1509,'Base de données Mono'!D:D,0)),IF(AND(E1509="Electricité",M1509="Eté"),INDEX('Base de données Mono'!G:G,MATCH(B1509,'Base de données Mono'!D:D,0)),IF(AND(E1509="Gaz",M1509="Hiver"),INDEX('Base de données Mono'!J:J,MATCH(B1509,'Base de données Mono'!D:D,0)),IF(AND(E1509="Gaz",M1509="Mi-saison"),INDEX('Base de données Mono'!#REF!,MATCH(B1509,'Base de données Mono'!D:D,0)),IF(AND(E1509="Gaz",M1509="Eté"),INDEX('Base de données Mono'!#REF!,MATCH(B1509,'Base de données Mono'!D:D,0)),"-"))))))</f>
        <v>55</v>
      </c>
      <c r="O1509" s="123">
        <v>45404</v>
      </c>
      <c r="P1509" s="123">
        <v>45410</v>
      </c>
      <c r="Q1509" s="34">
        <v>60</v>
      </c>
      <c r="R1509" s="33">
        <f t="shared" si="410"/>
        <v>5</v>
      </c>
      <c r="S1509" s="34">
        <v>2</v>
      </c>
      <c r="T1509" s="34">
        <f t="shared" si="413"/>
        <v>6</v>
      </c>
      <c r="U1509" s="33">
        <f t="shared" si="411"/>
        <v>60</v>
      </c>
      <c r="V1509" s="38" t="s">
        <v>827</v>
      </c>
      <c r="W1509" s="39">
        <f t="shared" si="412"/>
        <v>9.0909090909090912E-2</v>
      </c>
      <c r="X1509" s="40" t="s">
        <v>304</v>
      </c>
      <c r="Y1509" s="40" t="s">
        <v>284</v>
      </c>
      <c r="Z1509" s="40" t="s">
        <v>305</v>
      </c>
      <c r="AA1509" s="33" t="s">
        <v>771</v>
      </c>
      <c r="AB1509" s="95"/>
      <c r="AC1509" s="95"/>
    </row>
    <row r="1510" spans="1:29" ht="14.45" customHeight="1" x14ac:dyDescent="0.25">
      <c r="A1510" s="36" t="str">
        <f>INDEX('Base de données Mono'!C:C,MATCH(B1510,'Base de données Mono'!D:D,0))</f>
        <v>LE COURBE</v>
      </c>
      <c r="B1510" t="s">
        <v>20</v>
      </c>
      <c r="C1510" s="36" t="str">
        <f>INDEX('Base de données Mono'!B:B,MATCH(B1510,'Base de données Mono'!D:D,0))</f>
        <v>SES8</v>
      </c>
      <c r="D1510" s="36" t="str">
        <f>INDEX('Base de données Mono'!A:A,MATCH(B1510,'Base de données Mono'!D:D,0))</f>
        <v>AD</v>
      </c>
      <c r="E1510" s="37" t="s">
        <v>303</v>
      </c>
      <c r="F1510" s="41">
        <f t="shared" ref="F1510:F1515" si="414">IF(O1510="","-",IF(AND(X1510="Nuit",WEEKDAY(O1510,2)=7,O1510&lt;&gt;P1510),WEEKNUM(O1510,2),WEEKNUM(O1510,2)-1))+1</f>
        <v>17</v>
      </c>
      <c r="G1510" s="41">
        <f t="shared" ref="G1510:G1515" si="415">IF(O1510="","-",MONTH(O1510))</f>
        <v>4</v>
      </c>
      <c r="I1510" s="131">
        <f>INDEX('Base de données Mono'!K:K,MATCH(B1510,'Base de données Mono'!D:D,0))</f>
        <v>0.24305555555555555</v>
      </c>
      <c r="J1510" s="131">
        <f>INDEX('Base de données Mono'!L:L,MATCH(B1510,'Base de données Mono'!D:D,0))</f>
        <v>0.875</v>
      </c>
      <c r="K1510" s="131" t="str">
        <f>INDEX('Base de données Mono'!M:M,MATCH(B1510,'Base de données Mono'!D:D,0))</f>
        <v>-</v>
      </c>
      <c r="L1510" s="131" t="str">
        <f>INDEX('Base de données Mono'!N:N,MATCH(B1510,'Base de données Mono'!D:D,0))</f>
        <v>-</v>
      </c>
      <c r="M1510" s="33" t="s">
        <v>46</v>
      </c>
      <c r="N1510" s="33">
        <f>IF(AND(E1510="Electricité",M1510="Hiver"),INDEX('Base de données Mono'!E:E,MATCH(B1510,'Base de données Mono'!D:D,0)),IF(AND(E1510="Electricité",M1510="Mi-saison"),INDEX('Base de données Mono'!F:F,MATCH(B1510,'Base de données Mono'!D:D,0)),IF(AND(E1510="Electricité",M1510="Eté"),INDEX('Base de données Mono'!G:G,MATCH(B1510,'Base de données Mono'!D:D,0)),IF(AND(E1510="Gaz",M1510="Hiver"),INDEX('Base de données Mono'!J:J,MATCH(B1510,'Base de données Mono'!D:D,0)),IF(AND(E1510="Gaz",M1510="Mi-saison"),INDEX('Base de données Mono'!#REF!,MATCH(B1510,'Base de données Mono'!D:D,0)),IF(AND(E1510="Gaz",M1510="Eté"),INDEX('Base de données Mono'!#REF!,MATCH(B1510,'Base de données Mono'!D:D,0)),"-"))))))</f>
        <v>75</v>
      </c>
      <c r="O1510" s="123">
        <v>45403</v>
      </c>
      <c r="P1510" s="123">
        <v>45405</v>
      </c>
      <c r="Q1510" s="34">
        <v>90</v>
      </c>
      <c r="R1510" s="33">
        <f t="shared" si="410"/>
        <v>15</v>
      </c>
      <c r="S1510" s="34">
        <v>0.5</v>
      </c>
      <c r="T1510" s="34">
        <f t="shared" si="413"/>
        <v>2</v>
      </c>
      <c r="U1510" s="33">
        <f>R1510*S1510*T1510</f>
        <v>15</v>
      </c>
      <c r="V1510" s="38" t="s">
        <v>827</v>
      </c>
      <c r="W1510" s="39">
        <f>IFERROR(IF(E1510="Gaz","-",R1510/N1510),"-")</f>
        <v>0.2</v>
      </c>
      <c r="X1510" s="40" t="s">
        <v>304</v>
      </c>
      <c r="Y1510" s="40" t="s">
        <v>284</v>
      </c>
      <c r="Z1510" s="40" t="s">
        <v>307</v>
      </c>
      <c r="AA1510" s="33" t="s">
        <v>414</v>
      </c>
      <c r="AB1510" s="95"/>
      <c r="AC1510" s="95"/>
    </row>
    <row r="1511" spans="1:29" ht="14.45" customHeight="1" x14ac:dyDescent="0.25">
      <c r="A1511" s="36" t="str">
        <f>INDEX('Base de données Mono'!C:C,MATCH(B1511,'Base de données Mono'!D:D,0))</f>
        <v>LE COURBE</v>
      </c>
      <c r="B1511" t="s">
        <v>20</v>
      </c>
      <c r="C1511" s="36" t="str">
        <f>INDEX('Base de données Mono'!B:B,MATCH(B1511,'Base de données Mono'!D:D,0))</f>
        <v>SES8</v>
      </c>
      <c r="D1511" s="36" t="str">
        <f>INDEX('Base de données Mono'!A:A,MATCH(B1511,'Base de données Mono'!D:D,0))</f>
        <v>AD</v>
      </c>
      <c r="E1511" s="37" t="s">
        <v>303</v>
      </c>
      <c r="F1511" s="41">
        <f t="shared" si="414"/>
        <v>17</v>
      </c>
      <c r="G1511" s="41">
        <f t="shared" si="415"/>
        <v>4</v>
      </c>
      <c r="I1511" s="131">
        <f>INDEX('Base de données Mono'!K:K,MATCH(B1511,'Base de données Mono'!D:D,0))</f>
        <v>0.24305555555555555</v>
      </c>
      <c r="J1511" s="131">
        <f>INDEX('Base de données Mono'!L:L,MATCH(B1511,'Base de données Mono'!D:D,0))</f>
        <v>0.875</v>
      </c>
      <c r="K1511" s="131" t="str">
        <f>INDEX('Base de données Mono'!M:M,MATCH(B1511,'Base de données Mono'!D:D,0))</f>
        <v>-</v>
      </c>
      <c r="L1511" s="131" t="str">
        <f>INDEX('Base de données Mono'!N:N,MATCH(B1511,'Base de données Mono'!D:D,0))</f>
        <v>-</v>
      </c>
      <c r="M1511" s="33" t="s">
        <v>46</v>
      </c>
      <c r="N1511" s="33">
        <f>IF(AND(E1511="Electricité",M1511="Hiver"),INDEX('Base de données Mono'!E:E,MATCH(B1511,'Base de données Mono'!D:D,0)),IF(AND(E1511="Electricité",M1511="Mi-saison"),INDEX('Base de données Mono'!F:F,MATCH(B1511,'Base de données Mono'!D:D,0)),IF(AND(E1511="Electricité",M1511="Eté"),INDEX('Base de données Mono'!G:G,MATCH(B1511,'Base de données Mono'!D:D,0)),IF(AND(E1511="Gaz",M1511="Hiver"),INDEX('Base de données Mono'!J:J,MATCH(B1511,'Base de données Mono'!D:D,0)),IF(AND(E1511="Gaz",M1511="Mi-saison"),INDEX('Base de données Mono'!#REF!,MATCH(B1511,'Base de données Mono'!D:D,0)),IF(AND(E1511="Gaz",M1511="Eté"),INDEX('Base de données Mono'!#REF!,MATCH(B1511,'Base de données Mono'!D:D,0)),"-"))))))</f>
        <v>75</v>
      </c>
      <c r="O1511" s="123">
        <v>45404</v>
      </c>
      <c r="P1511" s="123">
        <v>45410</v>
      </c>
      <c r="Q1511" s="34">
        <v>100</v>
      </c>
      <c r="R1511" s="33">
        <f t="shared" ref="R1511:R1515" si="416">IF(Q1511="","",Q1511-N1511)</f>
        <v>25</v>
      </c>
      <c r="S1511" s="34">
        <v>1</v>
      </c>
      <c r="T1511" s="34">
        <f>P1511-O1511</f>
        <v>6</v>
      </c>
      <c r="U1511" s="33">
        <f>R1511*S1511*T1511</f>
        <v>150</v>
      </c>
      <c r="V1511" s="38" t="s">
        <v>827</v>
      </c>
      <c r="W1511" s="39">
        <f>IFERROR(IF(E1511="Gaz","-",R1511/N1511),"-")</f>
        <v>0.33333333333333331</v>
      </c>
      <c r="X1511" s="40" t="s">
        <v>304</v>
      </c>
      <c r="Y1511" s="40" t="s">
        <v>284</v>
      </c>
      <c r="Z1511" s="40" t="s">
        <v>307</v>
      </c>
      <c r="AA1511" s="33" t="s">
        <v>313</v>
      </c>
      <c r="AB1511" s="95"/>
      <c r="AC1511" s="95"/>
    </row>
    <row r="1512" spans="1:29" ht="14.45" customHeight="1" x14ac:dyDescent="0.25">
      <c r="A1512" s="36" t="str">
        <f>INDEX('Base de données Mono'!C:C,MATCH(B1512,'Base de données Mono'!D:D,0))</f>
        <v>LE COURBE</v>
      </c>
      <c r="B1512" t="s">
        <v>20</v>
      </c>
      <c r="C1512" s="36" t="str">
        <f>INDEX('Base de données Mono'!B:B,MATCH(B1512,'Base de données Mono'!D:D,0))</f>
        <v>SES8</v>
      </c>
      <c r="D1512" s="36" t="str">
        <f>INDEX('Base de données Mono'!A:A,MATCH(B1512,'Base de données Mono'!D:D,0))</f>
        <v>AD</v>
      </c>
      <c r="E1512" s="37" t="s">
        <v>303</v>
      </c>
      <c r="F1512" s="41">
        <f t="shared" si="414"/>
        <v>17</v>
      </c>
      <c r="G1512" s="41">
        <f t="shared" si="415"/>
        <v>4</v>
      </c>
      <c r="I1512" s="131">
        <f>INDEX('Base de données Mono'!K:K,MATCH(B1512,'Base de données Mono'!D:D,0))</f>
        <v>0.24305555555555555</v>
      </c>
      <c r="J1512" s="131">
        <f>INDEX('Base de données Mono'!L:L,MATCH(B1512,'Base de données Mono'!D:D,0))</f>
        <v>0.875</v>
      </c>
      <c r="K1512" s="131" t="str">
        <f>INDEX('Base de données Mono'!M:M,MATCH(B1512,'Base de données Mono'!D:D,0))</f>
        <v>-</v>
      </c>
      <c r="L1512" s="131" t="str">
        <f>INDEX('Base de données Mono'!N:N,MATCH(B1512,'Base de données Mono'!D:D,0))</f>
        <v>-</v>
      </c>
      <c r="M1512" s="33" t="s">
        <v>46</v>
      </c>
      <c r="N1512" s="33">
        <f>IF(AND(E1512="Electricité",M1512="Hiver"),INDEX('Base de données Mono'!E:E,MATCH(B1512,'Base de données Mono'!D:D,0)),IF(AND(E1512="Electricité",M1512="Mi-saison"),INDEX('Base de données Mono'!F:F,MATCH(B1512,'Base de données Mono'!D:D,0)),IF(AND(E1512="Electricité",M1512="Eté"),INDEX('Base de données Mono'!G:G,MATCH(B1512,'Base de données Mono'!D:D,0)),IF(AND(E1512="Gaz",M1512="Hiver"),INDEX('Base de données Mono'!J:J,MATCH(B1512,'Base de données Mono'!D:D,0)),IF(AND(E1512="Gaz",M1512="Mi-saison"),INDEX('Base de données Mono'!#REF!,MATCH(B1512,'Base de données Mono'!D:D,0)),IF(AND(E1512="Gaz",M1512="Eté"),INDEX('Base de données Mono'!#REF!,MATCH(B1512,'Base de données Mono'!D:D,0)),"-"))))))</f>
        <v>75</v>
      </c>
      <c r="O1512" s="123">
        <v>45406</v>
      </c>
      <c r="P1512" s="123">
        <v>45409</v>
      </c>
      <c r="Q1512" s="34">
        <v>90</v>
      </c>
      <c r="R1512" s="33">
        <f t="shared" si="416"/>
        <v>15</v>
      </c>
      <c r="S1512" s="34">
        <v>0.5</v>
      </c>
      <c r="T1512" s="34">
        <f>P1512-O1512</f>
        <v>3</v>
      </c>
      <c r="U1512" s="33">
        <f>R1512*S1512*T1512</f>
        <v>22.5</v>
      </c>
      <c r="V1512" s="38" t="s">
        <v>827</v>
      </c>
      <c r="W1512" s="39">
        <f>IFERROR(IF(E1512="Gaz","-",R1512/N1512),"-")</f>
        <v>0.2</v>
      </c>
      <c r="X1512" s="40" t="s">
        <v>304</v>
      </c>
      <c r="Y1512" s="40" t="s">
        <v>284</v>
      </c>
      <c r="Z1512" s="40" t="s">
        <v>307</v>
      </c>
      <c r="AA1512" s="33" t="s">
        <v>414</v>
      </c>
      <c r="AB1512" s="95"/>
      <c r="AC1512" s="95"/>
    </row>
    <row r="1513" spans="1:29" ht="14.45" customHeight="1" x14ac:dyDescent="0.25">
      <c r="A1513" s="36" t="str">
        <f>INDEX('Base de données Mono'!C:C,MATCH(B1513,'Base de données Mono'!D:D,0))</f>
        <v>AUXERRE</v>
      </c>
      <c r="B1513" t="s">
        <v>399</v>
      </c>
      <c r="C1513" s="36" t="str">
        <f>INDEX('Base de données Mono'!B:B,MATCH(B1513,'Base de données Mono'!D:D,0))</f>
        <v>SES8</v>
      </c>
      <c r="D1513" s="36" t="str">
        <f>INDEX('Base de données Mono'!A:A,MATCH(B1513,'Base de données Mono'!D:D,0))</f>
        <v>JG</v>
      </c>
      <c r="E1513" s="37" t="s">
        <v>303</v>
      </c>
      <c r="F1513" s="41">
        <f t="shared" si="414"/>
        <v>17</v>
      </c>
      <c r="G1513" s="41">
        <f t="shared" si="415"/>
        <v>4</v>
      </c>
      <c r="I1513" s="131">
        <f>INDEX('Base de données Mono'!K:K,MATCH(B1513,'Base de données Mono'!D:D,0))</f>
        <v>0.1875</v>
      </c>
      <c r="J1513" s="131">
        <f>INDEX('Base de données Mono'!L:L,MATCH(B1513,'Base de données Mono'!D:D,0))</f>
        <v>0.8125</v>
      </c>
      <c r="K1513" s="131">
        <f>INDEX('Base de données Mono'!M:M,MATCH(B1513,'Base de données Mono'!D:D,0))</f>
        <v>0.25</v>
      </c>
      <c r="L1513" s="131">
        <f>INDEX('Base de données Mono'!N:N,MATCH(B1513,'Base de données Mono'!D:D,0))</f>
        <v>0.52083333333333337</v>
      </c>
      <c r="M1513" s="33" t="s">
        <v>46</v>
      </c>
      <c r="N1513" s="33">
        <f>IF(AND(E1513="Electricité",M1513="Hiver"),INDEX('Base de données Mono'!E:E,MATCH(B1513,'Base de données Mono'!D:D,0)),IF(AND(E1513="Electricité",M1513="Mi-saison"),INDEX('Base de données Mono'!F:F,MATCH(B1513,'Base de données Mono'!D:D,0)),IF(AND(E1513="Electricité",M1513="Eté"),INDEX('Base de données Mono'!G:G,MATCH(B1513,'Base de données Mono'!D:D,0)),IF(AND(E1513="Gaz",M1513="Hiver"),INDEX('Base de données Mono'!J:J,MATCH(B1513,'Base de données Mono'!D:D,0)),IF(AND(E1513="Gaz",M1513="Mi-saison"),INDEX('Base de données Mono'!#REF!,MATCH(B1513,'Base de données Mono'!D:D,0)),IF(AND(E1513="Gaz",M1513="Eté"),INDEX('Base de données Mono'!#REF!,MATCH(B1513,'Base de données Mono'!D:D,0)),"-"))))))</f>
        <v>60</v>
      </c>
      <c r="O1513" s="123">
        <v>45404</v>
      </c>
      <c r="P1513" s="123">
        <v>45410</v>
      </c>
      <c r="Q1513" s="34">
        <v>85</v>
      </c>
      <c r="R1513" s="33">
        <f t="shared" si="416"/>
        <v>25</v>
      </c>
      <c r="S1513" s="34">
        <v>0.5</v>
      </c>
      <c r="T1513" s="34">
        <f>P1513-O1513</f>
        <v>6</v>
      </c>
      <c r="U1513" s="33">
        <f t="shared" si="411"/>
        <v>75</v>
      </c>
      <c r="V1513" s="38" t="s">
        <v>148</v>
      </c>
      <c r="W1513" s="39">
        <f t="shared" si="412"/>
        <v>0.41666666666666669</v>
      </c>
      <c r="X1513" s="40" t="s">
        <v>304</v>
      </c>
      <c r="Y1513" s="40" t="s">
        <v>284</v>
      </c>
      <c r="Z1513" s="40" t="s">
        <v>307</v>
      </c>
      <c r="AA1513" s="33" t="s">
        <v>313</v>
      </c>
      <c r="AB1513" s="95"/>
      <c r="AC1513" s="95"/>
    </row>
    <row r="1514" spans="1:29" ht="14.45" customHeight="1" x14ac:dyDescent="0.25">
      <c r="A1514" s="36" t="str">
        <f>INDEX('Base de données Mono'!C:C,MATCH(B1514,'Base de données Mono'!D:D,0))</f>
        <v>COMMERCE</v>
      </c>
      <c r="B1514" t="s">
        <v>110</v>
      </c>
      <c r="C1514" s="36" t="str">
        <f>INDEX('Base de données Mono'!B:B,MATCH(B1514,'Base de données Mono'!D:D,0))</f>
        <v>SES8</v>
      </c>
      <c r="D1514" s="36" t="str">
        <f>INDEX('Base de données Mono'!A:A,MATCH(B1514,'Base de données Mono'!D:D,0))</f>
        <v>AD</v>
      </c>
      <c r="E1514" s="37" t="s">
        <v>303</v>
      </c>
      <c r="F1514" s="41">
        <f t="shared" si="414"/>
        <v>17</v>
      </c>
      <c r="G1514" s="41">
        <f t="shared" si="415"/>
        <v>4</v>
      </c>
      <c r="I1514" s="131">
        <f>INDEX('Base de données Mono'!K:K,MATCH(B1514,'Base de données Mono'!D:D,0))</f>
        <v>0.20833333333333334</v>
      </c>
      <c r="J1514" s="131">
        <f>INDEX('Base de données Mono'!L:L,MATCH(B1514,'Base de données Mono'!D:D,0))</f>
        <v>0.89583333333333337</v>
      </c>
      <c r="K1514" s="131">
        <f>INDEX('Base de données Mono'!M:M,MATCH(B1514,'Base de données Mono'!D:D,0))</f>
        <v>0.27083333333333331</v>
      </c>
      <c r="L1514" s="131">
        <f>INDEX('Base de données Mono'!N:N,MATCH(B1514,'Base de données Mono'!D:D,0))</f>
        <v>0.55902777777777779</v>
      </c>
      <c r="M1514" s="33" t="s">
        <v>46</v>
      </c>
      <c r="N1514" s="33">
        <f>IF(AND(E1514="Electricité",M1514="Hiver"),INDEX('Base de données Mono'!E:E,MATCH(B1514,'Base de données Mono'!D:D,0)),IF(AND(E1514="Electricité",M1514="Mi-saison"),INDEX('Base de données Mono'!F:F,MATCH(B1514,'Base de données Mono'!D:D,0)),IF(AND(E1514="Electricité",M1514="Eté"),INDEX('Base de données Mono'!G:G,MATCH(B1514,'Base de données Mono'!D:D,0)),IF(AND(E1514="Gaz",M1514="Hiver"),INDEX('Base de données Mono'!J:J,MATCH(B1514,'Base de données Mono'!D:D,0)),IF(AND(E1514="Gaz",M1514="Mi-saison"),INDEX('Base de données Mono'!#REF!,MATCH(B1514,'Base de données Mono'!D:D,0)),IF(AND(E1514="Gaz",M1514="Eté"),INDEX('Base de données Mono'!#REF!,MATCH(B1514,'Base de données Mono'!D:D,0)),"-"))))))</f>
        <v>80</v>
      </c>
      <c r="O1514" s="123">
        <v>45404</v>
      </c>
      <c r="P1514" s="123">
        <v>45410</v>
      </c>
      <c r="Q1514" s="34">
        <v>115</v>
      </c>
      <c r="R1514" s="33">
        <f t="shared" si="416"/>
        <v>35</v>
      </c>
      <c r="S1514" s="34">
        <v>0.5</v>
      </c>
      <c r="T1514" s="34">
        <f>P1514-O1514</f>
        <v>6</v>
      </c>
      <c r="U1514" s="33">
        <f>R1514*S1514*T1514</f>
        <v>105</v>
      </c>
      <c r="V1514" s="38" t="s">
        <v>827</v>
      </c>
      <c r="W1514" s="39">
        <f>IFERROR(IF(E1514="Gaz","-",R1514/N1514),"-")</f>
        <v>0.4375</v>
      </c>
      <c r="X1514" s="40" t="s">
        <v>304</v>
      </c>
      <c r="Y1514" s="40" t="s">
        <v>284</v>
      </c>
      <c r="Z1514" s="40" t="s">
        <v>307</v>
      </c>
      <c r="AA1514" s="33" t="s">
        <v>313</v>
      </c>
      <c r="AB1514" s="95"/>
      <c r="AC1514" s="95"/>
    </row>
    <row r="1515" spans="1:29" ht="14.45" customHeight="1" x14ac:dyDescent="0.25">
      <c r="A1515" s="36" t="str">
        <f>INDEX('Base de données Mono'!C:C,MATCH(B1515,'Base de données Mono'!D:D,0))</f>
        <v>VERSAILLES</v>
      </c>
      <c r="B1515" t="s">
        <v>38</v>
      </c>
      <c r="C1515" s="36" t="str">
        <f>INDEX('Base de données Mono'!B:B,MATCH(B1515,'Base de données Mono'!D:D,0))</f>
        <v>SES8</v>
      </c>
      <c r="D1515" s="36" t="str">
        <f>INDEX('Base de données Mono'!A:A,MATCH(B1515,'Base de données Mono'!D:D,0))</f>
        <v>AD</v>
      </c>
      <c r="E1515" s="37" t="s">
        <v>303</v>
      </c>
      <c r="F1515" s="41">
        <f t="shared" si="414"/>
        <v>17</v>
      </c>
      <c r="G1515" s="41">
        <f t="shared" si="415"/>
        <v>4</v>
      </c>
      <c r="I1515" s="131">
        <f>INDEX('Base de données Mono'!K:K,MATCH(B1515,'Base de données Mono'!D:D,0))</f>
        <v>0.1875</v>
      </c>
      <c r="J1515" s="131">
        <f>INDEX('Base de données Mono'!L:L,MATCH(B1515,'Base de données Mono'!D:D,0))</f>
        <v>0.85416666666666663</v>
      </c>
      <c r="K1515" s="131" t="str">
        <f>INDEX('Base de données Mono'!M:M,MATCH(B1515,'Base de données Mono'!D:D,0))</f>
        <v>-</v>
      </c>
      <c r="L1515" s="131" t="str">
        <f>INDEX('Base de données Mono'!N:N,MATCH(B1515,'Base de données Mono'!D:D,0))</f>
        <v>-</v>
      </c>
      <c r="M1515" s="33" t="s">
        <v>46</v>
      </c>
      <c r="N1515" s="33">
        <f>IF(AND(E1515="Electricité",M1515="Hiver"),INDEX('Base de données Mono'!E:E,MATCH(B1515,'Base de données Mono'!D:D,0)),IF(AND(E1515="Electricité",M1515="Mi-saison"),INDEX('Base de données Mono'!F:F,MATCH(B1515,'Base de données Mono'!D:D,0)),IF(AND(E1515="Electricité",M1515="Eté"),INDEX('Base de données Mono'!G:G,MATCH(B1515,'Base de données Mono'!D:D,0)),IF(AND(E1515="Gaz",M1515="Hiver"),INDEX('Base de données Mono'!J:J,MATCH(B1515,'Base de données Mono'!D:D,0)),IF(AND(E1515="Gaz",M1515="Mi-saison"),INDEX('Base de données Mono'!#REF!,MATCH(B1515,'Base de données Mono'!D:D,0)),IF(AND(E1515="Gaz",M1515="Eté"),INDEX('Base de données Mono'!#REF!,MATCH(B1515,'Base de données Mono'!D:D,0)),"-"))))))</f>
        <v>75</v>
      </c>
      <c r="O1515" s="123">
        <v>45404</v>
      </c>
      <c r="P1515" s="123">
        <v>45410</v>
      </c>
      <c r="Q1515" s="34">
        <v>125</v>
      </c>
      <c r="R1515" s="33">
        <f t="shared" si="416"/>
        <v>50</v>
      </c>
      <c r="S1515" s="34">
        <v>0.5</v>
      </c>
      <c r="T1515" s="34">
        <f t="shared" si="413"/>
        <v>6</v>
      </c>
      <c r="U1515" s="33">
        <f>R1515*S1515*T1515</f>
        <v>150</v>
      </c>
      <c r="V1515" s="38" t="s">
        <v>827</v>
      </c>
      <c r="W1515" s="39">
        <f>IFERROR(IF(E1515="Gaz","-",R1515/N1515),"-")</f>
        <v>0.66666666666666663</v>
      </c>
      <c r="X1515" s="40" t="s">
        <v>304</v>
      </c>
      <c r="Y1515" s="40" t="s">
        <v>284</v>
      </c>
      <c r="Z1515" s="40" t="s">
        <v>307</v>
      </c>
      <c r="AA1515" s="33" t="s">
        <v>313</v>
      </c>
      <c r="AB1515" s="95"/>
      <c r="AC1515" s="95"/>
    </row>
    <row r="1516" spans="1:29" ht="14.45" customHeight="1" x14ac:dyDescent="0.25">
      <c r="A1516" s="36" t="str">
        <f>INDEX('Base de données Mono'!C:C,MATCH(B1516,'Base de données Mono'!D:D,0))</f>
        <v>MOZART</v>
      </c>
      <c r="B1516" t="s">
        <v>27</v>
      </c>
      <c r="C1516" s="36" t="str">
        <f>INDEX('Base de données Mono'!B:B,MATCH(B1516,'Base de données Mono'!D:D,0))</f>
        <v>SES8</v>
      </c>
      <c r="D1516" s="36" t="str">
        <f>INDEX('Base de données Mono'!A:A,MATCH(B1516,'Base de données Mono'!D:D,0))</f>
        <v>AD</v>
      </c>
      <c r="E1516" s="37" t="s">
        <v>303</v>
      </c>
      <c r="F1516" s="41">
        <f t="shared" ref="F1516:F1539" si="417">IF(O1516="","-",IF(AND(X1516="Nuit",WEEKDAY(O1516,2)=7,O1516&lt;&gt;P1516),WEEKNUM(O1516,2),WEEKNUM(O1516,2)-1))+1</f>
        <v>17</v>
      </c>
      <c r="G1516" s="41">
        <f t="shared" ref="G1516:G1539" si="418">IF(O1516="","-",MONTH(O1516))</f>
        <v>4</v>
      </c>
      <c r="I1516" s="131">
        <f>INDEX('Base de données Mono'!K:K,MATCH(B1516,'Base de données Mono'!D:D,0))</f>
        <v>0.23611111111111113</v>
      </c>
      <c r="J1516" s="131">
        <f>INDEX('Base de données Mono'!L:L,MATCH(B1516,'Base de données Mono'!D:D,0))</f>
        <v>0.92708333333333337</v>
      </c>
      <c r="K1516" s="131">
        <f>INDEX('Base de données Mono'!M:M,MATCH(B1516,'Base de données Mono'!D:D,0))</f>
        <v>0.23611111111111113</v>
      </c>
      <c r="L1516" s="131">
        <f>INDEX('Base de données Mono'!N:N,MATCH(B1516,'Base de données Mono'!D:D,0))</f>
        <v>0.54166666666666663</v>
      </c>
      <c r="M1516" s="33" t="s">
        <v>46</v>
      </c>
      <c r="N1516" s="33">
        <f>IF(AND(E1516="Electricité",M1516="Hiver"),INDEX('Base de données Mono'!E:E,MATCH(B1516,'Base de données Mono'!D:D,0)),IF(AND(E1516="Electricité",M1516="Mi-saison"),INDEX('Base de données Mono'!F:F,MATCH(B1516,'Base de données Mono'!D:D,0)),IF(AND(E1516="Electricité",M1516="Eté"),INDEX('Base de données Mono'!G:G,MATCH(B1516,'Base de données Mono'!D:D,0)),IF(AND(E1516="Gaz",M1516="Hiver"),INDEX('Base de données Mono'!J:J,MATCH(B1516,'Base de données Mono'!D:D,0)),IF(AND(E1516="Gaz",M1516="Mi-saison"),INDEX('Base de données Mono'!#REF!,MATCH(B1516,'Base de données Mono'!D:D,0)),IF(AND(E1516="Gaz",M1516="Eté"),INDEX('Base de données Mono'!#REF!,MATCH(B1516,'Base de données Mono'!D:D,0)),"-"))))))</f>
        <v>35</v>
      </c>
      <c r="O1516" s="123">
        <v>45410</v>
      </c>
      <c r="P1516" s="123">
        <v>45410</v>
      </c>
      <c r="Q1516" s="34">
        <v>70</v>
      </c>
      <c r="R1516" s="33">
        <f t="shared" ref="R1516:R1539" si="419">IF(Q1516="","",Q1516-N1516)</f>
        <v>35</v>
      </c>
      <c r="S1516" s="34">
        <v>7</v>
      </c>
      <c r="T1516" s="34">
        <v>1</v>
      </c>
      <c r="U1516" s="33">
        <f t="shared" ref="U1516:U1539" si="420">R1516*S1516*T1516</f>
        <v>245</v>
      </c>
      <c r="V1516" s="38" t="s">
        <v>827</v>
      </c>
      <c r="W1516" s="39">
        <f t="shared" ref="W1516:W1539" si="421">IFERROR(IF(E1516="Gaz","-",R1516/N1516),"-")</f>
        <v>1</v>
      </c>
      <c r="X1516" s="40" t="s">
        <v>730</v>
      </c>
      <c r="Y1516" s="40" t="s">
        <v>284</v>
      </c>
      <c r="Z1516" s="40" t="s">
        <v>307</v>
      </c>
      <c r="AA1516" s="33" t="s">
        <v>308</v>
      </c>
      <c r="AB1516" s="95"/>
      <c r="AC1516" s="95"/>
    </row>
    <row r="1517" spans="1:29" ht="14.45" hidden="1" customHeight="1" x14ac:dyDescent="0.25">
      <c r="A1517" s="36" t="str">
        <f>INDEX('Base de données Mono'!C:C,MATCH(B1517,'Base de données Mono'!D:D,0))</f>
        <v>VIENNE PYRAMIDE</v>
      </c>
      <c r="B1517" t="s">
        <v>271</v>
      </c>
      <c r="C1517" s="36" t="str">
        <f>INDEX('Base de données Mono'!B:B,MATCH(B1517,'Base de données Mono'!D:D,0))</f>
        <v>Franchisés</v>
      </c>
      <c r="D1517" s="36" t="str">
        <f>INDEX('Base de données Mono'!A:A,MATCH(B1517,'Base de données Mono'!D:D,0))</f>
        <v>AD</v>
      </c>
      <c r="E1517" s="37" t="s">
        <v>303</v>
      </c>
      <c r="F1517" s="41">
        <f t="shared" si="417"/>
        <v>17</v>
      </c>
      <c r="G1517" s="41">
        <f t="shared" si="418"/>
        <v>4</v>
      </c>
      <c r="I1517" s="131">
        <f>INDEX('Base de données Mono'!K:K,MATCH(B1517,'Base de données Mono'!D:D,0))</f>
        <v>0.24305555555555555</v>
      </c>
      <c r="J1517" s="131">
        <f>INDEX('Base de données Mono'!L:L,MATCH(B1517,'Base de données Mono'!D:D,0))</f>
        <v>0.83333333333333337</v>
      </c>
      <c r="K1517" s="131">
        <f>INDEX('Base de données Mono'!M:M,MATCH(B1517,'Base de données Mono'!D:D,0))</f>
        <v>0.29166666666666669</v>
      </c>
      <c r="L1517" s="131">
        <f>INDEX('Base de données Mono'!N:N,MATCH(B1517,'Base de données Mono'!D:D,0))</f>
        <v>0.54166666666666663</v>
      </c>
      <c r="M1517" s="33" t="s">
        <v>46</v>
      </c>
      <c r="N1517" s="33">
        <f>IF(AND(E1517="Electricité",M1517="Hiver"),INDEX('Base de données Mono'!E:E,MATCH(B1517,'Base de données Mono'!D:D,0)),IF(AND(E1517="Electricité",M1517="Mi-saison"),INDEX('Base de données Mono'!F:F,MATCH(B1517,'Base de données Mono'!D:D,0)),IF(AND(E1517="Electricité",M1517="Eté"),INDEX('Base de données Mono'!G:G,MATCH(B1517,'Base de données Mono'!D:D,0)),IF(AND(E1517="Gaz",M1517="Hiver"),INDEX('Base de données Mono'!J:J,MATCH(B1517,'Base de données Mono'!D:D,0)),IF(AND(E1517="Gaz",M1517="Mi-saison"),INDEX('Base de données Mono'!#REF!,MATCH(B1517,'Base de données Mono'!D:D,0)),IF(AND(E1517="Gaz",M1517="Eté"),INDEX('Base de données Mono'!#REF!,MATCH(B1517,'Base de données Mono'!D:D,0)),"-"))))))</f>
        <v>45</v>
      </c>
      <c r="O1517" s="123">
        <v>45410</v>
      </c>
      <c r="P1517" s="123">
        <v>45410</v>
      </c>
      <c r="Q1517" s="34">
        <v>65</v>
      </c>
      <c r="R1517" s="33">
        <f t="shared" si="419"/>
        <v>20</v>
      </c>
      <c r="S1517" s="34">
        <v>7</v>
      </c>
      <c r="T1517" s="34">
        <v>1</v>
      </c>
      <c r="U1517" s="33">
        <f t="shared" si="420"/>
        <v>140</v>
      </c>
      <c r="V1517" s="38" t="s">
        <v>827</v>
      </c>
      <c r="W1517" s="39">
        <f t="shared" si="421"/>
        <v>0.44444444444444442</v>
      </c>
      <c r="X1517" s="40" t="s">
        <v>730</v>
      </c>
      <c r="Y1517" s="40" t="s">
        <v>284</v>
      </c>
      <c r="Z1517" s="40" t="s">
        <v>307</v>
      </c>
      <c r="AA1517" s="33" t="s">
        <v>308</v>
      </c>
      <c r="AB1517" s="95"/>
      <c r="AC1517" s="95"/>
    </row>
    <row r="1518" spans="1:29" ht="14.45" customHeight="1" x14ac:dyDescent="0.25">
      <c r="A1518" s="36" t="str">
        <f>INDEX('Base de données Mono'!C:C,MATCH(B1518,'Base de données Mono'!D:D,0))</f>
        <v>FONTENAY SOUS BOIS</v>
      </c>
      <c r="B1518" t="s">
        <v>131</v>
      </c>
      <c r="C1518" s="36" t="str">
        <f>INDEX('Base de données Mono'!B:B,MATCH(B1518,'Base de données Mono'!D:D,0))</f>
        <v>SES8</v>
      </c>
      <c r="D1518" s="36" t="str">
        <f>INDEX('Base de données Mono'!A:A,MATCH(B1518,'Base de données Mono'!D:D,0))</f>
        <v>JG</v>
      </c>
      <c r="E1518" s="37" t="s">
        <v>303</v>
      </c>
      <c r="F1518" s="41">
        <f t="shared" si="417"/>
        <v>17</v>
      </c>
      <c r="G1518" s="41">
        <f t="shared" si="418"/>
        <v>4</v>
      </c>
      <c r="I1518" s="131">
        <f>INDEX('Base de données Mono'!K:K,MATCH(B1518,'Base de données Mono'!D:D,0))</f>
        <v>0.24305555555555555</v>
      </c>
      <c r="J1518" s="131">
        <f>INDEX('Base de données Mono'!L:L,MATCH(B1518,'Base de données Mono'!D:D,0))</f>
        <v>0.89583333333333337</v>
      </c>
      <c r="K1518" s="131">
        <f>INDEX('Base de données Mono'!M:M,MATCH(B1518,'Base de données Mono'!D:D,0))</f>
        <v>0.27083333333333331</v>
      </c>
      <c r="L1518" s="131">
        <f>INDEX('Base de données Mono'!N:N,MATCH(B1518,'Base de données Mono'!D:D,0))</f>
        <v>0.5625</v>
      </c>
      <c r="M1518" s="33" t="s">
        <v>46</v>
      </c>
      <c r="N1518" s="33">
        <f>IF(AND(E1518="Electricité",M1518="Hiver"),INDEX('Base de données Mono'!E:E,MATCH(B1518,'Base de données Mono'!D:D,0)),IF(AND(E1518="Electricité",M1518="Mi-saison"),INDEX('Base de données Mono'!F:F,MATCH(B1518,'Base de données Mono'!D:D,0)),IF(AND(E1518="Electricité",M1518="Eté"),INDEX('Base de données Mono'!G:G,MATCH(B1518,'Base de données Mono'!D:D,0)),IF(AND(E1518="Gaz",M1518="Hiver"),INDEX('Base de données Mono'!J:J,MATCH(B1518,'Base de données Mono'!D:D,0)),IF(AND(E1518="Gaz",M1518="Mi-saison"),INDEX('Base de données Mono'!#REF!,MATCH(B1518,'Base de données Mono'!D:D,0)),IF(AND(E1518="Gaz",M1518="Eté"),INDEX('Base de données Mono'!#REF!,MATCH(B1518,'Base de données Mono'!D:D,0)),"-"))))))</f>
        <v>55</v>
      </c>
      <c r="O1518" s="123">
        <v>45410</v>
      </c>
      <c r="P1518" s="123">
        <v>45410</v>
      </c>
      <c r="Q1518" s="34">
        <v>105</v>
      </c>
      <c r="R1518" s="33">
        <f t="shared" si="419"/>
        <v>50</v>
      </c>
      <c r="S1518" s="34">
        <v>6</v>
      </c>
      <c r="T1518" s="34">
        <v>1</v>
      </c>
      <c r="U1518" s="33">
        <f t="shared" si="420"/>
        <v>300</v>
      </c>
      <c r="V1518" s="38" t="s">
        <v>827</v>
      </c>
      <c r="W1518" s="39">
        <f t="shared" si="421"/>
        <v>0.90909090909090906</v>
      </c>
      <c r="X1518" s="40" t="s">
        <v>730</v>
      </c>
      <c r="Y1518" s="40" t="s">
        <v>284</v>
      </c>
      <c r="Z1518" s="40" t="s">
        <v>307</v>
      </c>
      <c r="AA1518" s="33" t="s">
        <v>308</v>
      </c>
      <c r="AB1518" s="95"/>
      <c r="AC1518" s="95"/>
    </row>
    <row r="1519" spans="1:29" ht="14.45" customHeight="1" x14ac:dyDescent="0.25">
      <c r="A1519" s="36" t="str">
        <f>INDEX('Base de données Mono'!C:C,MATCH(B1519,'Base de données Mono'!D:D,0))</f>
        <v>GRASSE</v>
      </c>
      <c r="B1519" t="s">
        <v>16</v>
      </c>
      <c r="C1519" s="36" t="str">
        <f>INDEX('Base de données Mono'!B:B,MATCH(B1519,'Base de données Mono'!D:D,0))</f>
        <v>SES8</v>
      </c>
      <c r="D1519" s="36" t="str">
        <f>INDEX('Base de données Mono'!A:A,MATCH(B1519,'Base de données Mono'!D:D,0))</f>
        <v>JG</v>
      </c>
      <c r="E1519" s="37" t="s">
        <v>303</v>
      </c>
      <c r="F1519" s="41">
        <f t="shared" si="417"/>
        <v>17</v>
      </c>
      <c r="G1519" s="41">
        <f t="shared" si="418"/>
        <v>4</v>
      </c>
      <c r="I1519" s="131">
        <f>INDEX('Base de données Mono'!K:K,MATCH(B1519,'Base de données Mono'!D:D,0))</f>
        <v>0.20833333333333334</v>
      </c>
      <c r="J1519" s="131">
        <f>INDEX('Base de données Mono'!L:L,MATCH(B1519,'Base de données Mono'!D:D,0))</f>
        <v>0.83333333333333337</v>
      </c>
      <c r="K1519" s="131" t="str">
        <f>INDEX('Base de données Mono'!M:M,MATCH(B1519,'Base de données Mono'!D:D,0))</f>
        <v>-</v>
      </c>
      <c r="L1519" s="131" t="str">
        <f>INDEX('Base de données Mono'!N:N,MATCH(B1519,'Base de données Mono'!D:D,0))</f>
        <v>-</v>
      </c>
      <c r="M1519" s="33" t="s">
        <v>46</v>
      </c>
      <c r="N1519" s="33">
        <f>IF(AND(E1519="Electricité",M1519="Hiver"),INDEX('Base de données Mono'!E:E,MATCH(B1519,'Base de données Mono'!D:D,0)),IF(AND(E1519="Electricité",M1519="Mi-saison"),INDEX('Base de données Mono'!F:F,MATCH(B1519,'Base de données Mono'!D:D,0)),IF(AND(E1519="Electricité",M1519="Eté"),INDEX('Base de données Mono'!G:G,MATCH(B1519,'Base de données Mono'!D:D,0)),IF(AND(E1519="Gaz",M1519="Hiver"),INDEX('Base de données Mono'!J:J,MATCH(B1519,'Base de données Mono'!D:D,0)),IF(AND(E1519="Gaz",M1519="Mi-saison"),INDEX('Base de données Mono'!#REF!,MATCH(B1519,'Base de données Mono'!D:D,0)),IF(AND(E1519="Gaz",M1519="Eté"),INDEX('Base de données Mono'!#REF!,MATCH(B1519,'Base de données Mono'!D:D,0)),"-"))))))</f>
        <v>55</v>
      </c>
      <c r="O1519" s="123">
        <v>45410</v>
      </c>
      <c r="P1519" s="123">
        <v>45410</v>
      </c>
      <c r="Q1519" s="34">
        <v>85</v>
      </c>
      <c r="R1519" s="33">
        <f t="shared" si="419"/>
        <v>30</v>
      </c>
      <c r="S1519" s="34">
        <v>7.5</v>
      </c>
      <c r="T1519" s="34">
        <v>1</v>
      </c>
      <c r="U1519" s="33">
        <f t="shared" si="420"/>
        <v>225</v>
      </c>
      <c r="V1519" s="38" t="s">
        <v>827</v>
      </c>
      <c r="W1519" s="39">
        <f t="shared" si="421"/>
        <v>0.54545454545454541</v>
      </c>
      <c r="X1519" s="40" t="s">
        <v>730</v>
      </c>
      <c r="Y1519" s="40" t="s">
        <v>284</v>
      </c>
      <c r="Z1519" s="40" t="s">
        <v>307</v>
      </c>
      <c r="AA1519" s="33" t="s">
        <v>308</v>
      </c>
      <c r="AB1519" s="95"/>
      <c r="AC1519" s="95"/>
    </row>
    <row r="1520" spans="1:29" ht="14.45" customHeight="1" x14ac:dyDescent="0.25">
      <c r="A1520" s="36" t="str">
        <f>INDEX('Base de données Mono'!C:C,MATCH(B1520,'Base de données Mono'!D:D,0))</f>
        <v>TOURS NATIONALE</v>
      </c>
      <c r="B1520" t="s">
        <v>37</v>
      </c>
      <c r="C1520" s="36" t="str">
        <f>INDEX('Base de données Mono'!B:B,MATCH(B1520,'Base de données Mono'!D:D,0))</f>
        <v>SES8</v>
      </c>
      <c r="D1520" s="36" t="str">
        <f>INDEX('Base de données Mono'!A:A,MATCH(B1520,'Base de données Mono'!D:D,0))</f>
        <v>AD</v>
      </c>
      <c r="E1520" s="37" t="s">
        <v>303</v>
      </c>
      <c r="F1520" s="41">
        <f t="shared" si="417"/>
        <v>17</v>
      </c>
      <c r="G1520" s="41">
        <f t="shared" si="418"/>
        <v>4</v>
      </c>
      <c r="I1520" s="131">
        <f>INDEX('Base de données Mono'!K:K,MATCH(B1520,'Base de données Mono'!D:D,0))</f>
        <v>0.22916666666666666</v>
      </c>
      <c r="J1520" s="131">
        <f>INDEX('Base de données Mono'!L:L,MATCH(B1520,'Base de données Mono'!D:D,0))</f>
        <v>0.88541666666666663</v>
      </c>
      <c r="K1520" s="131">
        <f>INDEX('Base de données Mono'!M:M,MATCH(B1520,'Base de données Mono'!D:D,0))</f>
        <v>0.31944444444444448</v>
      </c>
      <c r="L1520" s="131">
        <f>INDEX('Base de données Mono'!N:N,MATCH(B1520,'Base de données Mono'!D:D,0))</f>
        <v>0.55208333333333337</v>
      </c>
      <c r="M1520" s="33" t="s">
        <v>46</v>
      </c>
      <c r="N1520" s="33">
        <f>IF(AND(E1520="Electricité",M1520="Hiver"),INDEX('Base de données Mono'!E:E,MATCH(B1520,'Base de données Mono'!D:D,0)),IF(AND(E1520="Electricité",M1520="Mi-saison"),INDEX('Base de données Mono'!F:F,MATCH(B1520,'Base de données Mono'!D:D,0)),IF(AND(E1520="Electricité",M1520="Eté"),INDEX('Base de données Mono'!G:G,MATCH(B1520,'Base de données Mono'!D:D,0)),IF(AND(E1520="Gaz",M1520="Hiver"),INDEX('Base de données Mono'!J:J,MATCH(B1520,'Base de données Mono'!D:D,0)),IF(AND(E1520="Gaz",M1520="Mi-saison"),INDEX('Base de données Mono'!#REF!,MATCH(B1520,'Base de données Mono'!D:D,0)),IF(AND(E1520="Gaz",M1520="Eté"),INDEX('Base de données Mono'!#REF!,MATCH(B1520,'Base de données Mono'!D:D,0)),"-"))))))</f>
        <v>50</v>
      </c>
      <c r="O1520" s="123">
        <v>45410</v>
      </c>
      <c r="P1520" s="123">
        <v>45410</v>
      </c>
      <c r="Q1520" s="34">
        <v>95</v>
      </c>
      <c r="R1520" s="33">
        <f t="shared" si="419"/>
        <v>45</v>
      </c>
      <c r="S1520" s="34">
        <v>5.5</v>
      </c>
      <c r="T1520" s="34">
        <v>1</v>
      </c>
      <c r="U1520" s="33">
        <f t="shared" si="420"/>
        <v>247.5</v>
      </c>
      <c r="V1520" s="38" t="s">
        <v>827</v>
      </c>
      <c r="W1520" s="39">
        <f t="shared" si="421"/>
        <v>0.9</v>
      </c>
      <c r="X1520" s="40" t="s">
        <v>730</v>
      </c>
      <c r="Y1520" s="40" t="s">
        <v>284</v>
      </c>
      <c r="Z1520" s="40" t="s">
        <v>307</v>
      </c>
      <c r="AA1520" s="33" t="s">
        <v>308</v>
      </c>
      <c r="AB1520" s="95"/>
      <c r="AC1520" s="95"/>
    </row>
    <row r="1521" spans="1:29" ht="14.45" customHeight="1" x14ac:dyDescent="0.25">
      <c r="A1521" s="36" t="str">
        <f>INDEX('Base de données Mono'!C:C,MATCH(B1521,'Base de données Mono'!D:D,0))</f>
        <v>TOURS NATIONALE</v>
      </c>
      <c r="B1521" t="s">
        <v>37</v>
      </c>
      <c r="C1521" s="36" t="str">
        <f>INDEX('Base de données Mono'!B:B,MATCH(B1521,'Base de données Mono'!D:D,0))</f>
        <v>SES8</v>
      </c>
      <c r="D1521" s="36" t="str">
        <f>INDEX('Base de données Mono'!A:A,MATCH(B1521,'Base de données Mono'!D:D,0))</f>
        <v>AD</v>
      </c>
      <c r="E1521" s="37" t="s">
        <v>303</v>
      </c>
      <c r="F1521" s="41">
        <f t="shared" si="417"/>
        <v>17</v>
      </c>
      <c r="G1521" s="41">
        <f t="shared" si="418"/>
        <v>4</v>
      </c>
      <c r="I1521" s="131">
        <f>INDEX('Base de données Mono'!K:K,MATCH(B1521,'Base de données Mono'!D:D,0))</f>
        <v>0.22916666666666666</v>
      </c>
      <c r="J1521" s="131">
        <f>INDEX('Base de données Mono'!L:L,MATCH(B1521,'Base de données Mono'!D:D,0))</f>
        <v>0.88541666666666663</v>
      </c>
      <c r="K1521" s="131">
        <f>INDEX('Base de données Mono'!M:M,MATCH(B1521,'Base de données Mono'!D:D,0))</f>
        <v>0.31944444444444448</v>
      </c>
      <c r="L1521" s="131">
        <f>INDEX('Base de données Mono'!N:N,MATCH(B1521,'Base de données Mono'!D:D,0))</f>
        <v>0.55208333333333337</v>
      </c>
      <c r="M1521" s="33" t="s">
        <v>46</v>
      </c>
      <c r="N1521" s="33">
        <f>IF(AND(E1521="Electricité",M1521="Hiver"),INDEX('Base de données Mono'!E:E,MATCH(B1521,'Base de données Mono'!D:D,0)),IF(AND(E1521="Electricité",M1521="Mi-saison"),INDEX('Base de données Mono'!F:F,MATCH(B1521,'Base de données Mono'!D:D,0)),IF(AND(E1521="Electricité",M1521="Eté"),INDEX('Base de données Mono'!G:G,MATCH(B1521,'Base de données Mono'!D:D,0)),IF(AND(E1521="Gaz",M1521="Hiver"),INDEX('Base de données Mono'!J:J,MATCH(B1521,'Base de données Mono'!D:D,0)),IF(AND(E1521="Gaz",M1521="Mi-saison"),INDEX('Base de données Mono'!#REF!,MATCH(B1521,'Base de données Mono'!D:D,0)),IF(AND(E1521="Gaz",M1521="Eté"),INDEX('Base de données Mono'!#REF!,MATCH(B1521,'Base de données Mono'!D:D,0)),"-"))))))</f>
        <v>50</v>
      </c>
      <c r="O1521" s="123">
        <v>45410</v>
      </c>
      <c r="P1521" s="123">
        <v>45410</v>
      </c>
      <c r="Q1521" s="34">
        <v>60</v>
      </c>
      <c r="R1521" s="33">
        <f t="shared" si="419"/>
        <v>10</v>
      </c>
      <c r="S1521" s="34">
        <v>2.5</v>
      </c>
      <c r="T1521" s="34">
        <v>1</v>
      </c>
      <c r="U1521" s="33">
        <f t="shared" si="420"/>
        <v>25</v>
      </c>
      <c r="V1521" s="38" t="s">
        <v>827</v>
      </c>
      <c r="W1521" s="39">
        <f t="shared" si="421"/>
        <v>0.2</v>
      </c>
      <c r="X1521" s="40" t="s">
        <v>730</v>
      </c>
      <c r="Y1521" s="40" t="s">
        <v>284</v>
      </c>
      <c r="Z1521" s="40" t="s">
        <v>305</v>
      </c>
      <c r="AA1521" s="33" t="s">
        <v>771</v>
      </c>
      <c r="AB1521" s="95"/>
      <c r="AC1521" s="95"/>
    </row>
    <row r="1522" spans="1:29" ht="14.45" customHeight="1" x14ac:dyDescent="0.25">
      <c r="A1522" s="36" t="str">
        <f>INDEX('Base de données Mono'!C:C,MATCH(B1522,'Base de données Mono'!D:D,0))</f>
        <v>ISSY GAMBETTA</v>
      </c>
      <c r="B1522" t="s">
        <v>17</v>
      </c>
      <c r="C1522" s="36" t="str">
        <f>INDEX('Base de données Mono'!B:B,MATCH(B1522,'Base de données Mono'!D:D,0))</f>
        <v>SES8</v>
      </c>
      <c r="D1522" s="36" t="str">
        <f>INDEX('Base de données Mono'!A:A,MATCH(B1522,'Base de données Mono'!D:D,0))</f>
        <v>AD</v>
      </c>
      <c r="E1522" s="37" t="s">
        <v>303</v>
      </c>
      <c r="F1522" s="41">
        <f t="shared" si="417"/>
        <v>17</v>
      </c>
      <c r="G1522" s="41">
        <f t="shared" si="418"/>
        <v>4</v>
      </c>
      <c r="I1522" s="131">
        <f>INDEX('Base de données Mono'!K:K,MATCH(B1522,'Base de données Mono'!D:D,0))</f>
        <v>0.25</v>
      </c>
      <c r="J1522" s="131">
        <f>INDEX('Base de données Mono'!L:L,MATCH(B1522,'Base de données Mono'!D:D,0))</f>
        <v>0.90625</v>
      </c>
      <c r="K1522" s="131">
        <f>INDEX('Base de données Mono'!M:M,MATCH(B1522,'Base de données Mono'!D:D,0))</f>
        <v>0.3263888888888889</v>
      </c>
      <c r="L1522" s="131">
        <f>INDEX('Base de données Mono'!N:N,MATCH(B1522,'Base de données Mono'!D:D,0))</f>
        <v>0.54166666666666663</v>
      </c>
      <c r="M1522" s="33" t="s">
        <v>46</v>
      </c>
      <c r="N1522" s="33">
        <f>IF(AND(E1522="Electricité",M1522="Hiver"),INDEX('Base de données Mono'!E:E,MATCH(B1522,'Base de données Mono'!D:D,0)),IF(AND(E1522="Electricité",M1522="Mi-saison"),INDEX('Base de données Mono'!F:F,MATCH(B1522,'Base de données Mono'!D:D,0)),IF(AND(E1522="Electricité",M1522="Eté"),INDEX('Base de données Mono'!G:G,MATCH(B1522,'Base de données Mono'!D:D,0)),IF(AND(E1522="Gaz",M1522="Hiver"),INDEX('Base de données Mono'!J:J,MATCH(B1522,'Base de données Mono'!D:D,0)),IF(AND(E1522="Gaz",M1522="Mi-saison"),INDEX('Base de données Mono'!#REF!,MATCH(B1522,'Base de données Mono'!D:D,0)),IF(AND(E1522="Gaz",M1522="Eté"),INDEX('Base de données Mono'!#REF!,MATCH(B1522,'Base de données Mono'!D:D,0)),"-"))))))</f>
        <v>35</v>
      </c>
      <c r="O1522" s="123">
        <v>45410</v>
      </c>
      <c r="P1522" s="123">
        <v>45410</v>
      </c>
      <c r="Q1522" s="34">
        <v>50</v>
      </c>
      <c r="R1522" s="33">
        <f t="shared" si="419"/>
        <v>15</v>
      </c>
      <c r="S1522" s="34">
        <v>7</v>
      </c>
      <c r="T1522" s="34">
        <v>1</v>
      </c>
      <c r="U1522" s="33">
        <f t="shared" si="420"/>
        <v>105</v>
      </c>
      <c r="V1522" s="38" t="s">
        <v>827</v>
      </c>
      <c r="W1522" s="39">
        <f t="shared" si="421"/>
        <v>0.42857142857142855</v>
      </c>
      <c r="X1522" s="40" t="s">
        <v>730</v>
      </c>
      <c r="Y1522" s="40" t="s">
        <v>284</v>
      </c>
      <c r="Z1522" s="40" t="s">
        <v>307</v>
      </c>
      <c r="AA1522" s="33" t="s">
        <v>308</v>
      </c>
      <c r="AB1522" s="95"/>
      <c r="AC1522" s="95"/>
    </row>
    <row r="1523" spans="1:29" ht="14.45" customHeight="1" x14ac:dyDescent="0.25">
      <c r="A1523" s="36" t="str">
        <f>INDEX('Base de données Mono'!C:C,MATCH(B1523,'Base de données Mono'!D:D,0))</f>
        <v>ANGERS LES HALLES</v>
      </c>
      <c r="B1523" t="s">
        <v>4</v>
      </c>
      <c r="C1523" s="36" t="str">
        <f>INDEX('Base de données Mono'!B:B,MATCH(B1523,'Base de données Mono'!D:D,0))</f>
        <v>SES8</v>
      </c>
      <c r="D1523" s="36" t="str">
        <f>INDEX('Base de données Mono'!A:A,MATCH(B1523,'Base de données Mono'!D:D,0))</f>
        <v>AD</v>
      </c>
      <c r="E1523" s="37" t="s">
        <v>303</v>
      </c>
      <c r="F1523" s="41">
        <f t="shared" si="417"/>
        <v>17</v>
      </c>
      <c r="G1523" s="41">
        <f t="shared" si="418"/>
        <v>4</v>
      </c>
      <c r="I1523" s="131">
        <f>INDEX('Base de données Mono'!K:K,MATCH(B1523,'Base de données Mono'!D:D,0))</f>
        <v>0.20833333333333334</v>
      </c>
      <c r="J1523" s="131">
        <f>INDEX('Base de données Mono'!L:L,MATCH(B1523,'Base de données Mono'!D:D,0))</f>
        <v>0.875</v>
      </c>
      <c r="K1523" s="131" t="str">
        <f>INDEX('Base de données Mono'!M:M,MATCH(B1523,'Base de données Mono'!D:D,0))</f>
        <v>-</v>
      </c>
      <c r="L1523" s="131" t="str">
        <f>INDEX('Base de données Mono'!N:N,MATCH(B1523,'Base de données Mono'!D:D,0))</f>
        <v>-</v>
      </c>
      <c r="M1523" s="33" t="s">
        <v>46</v>
      </c>
      <c r="N1523" s="33">
        <f>IF(AND(E1523="Electricité",M1523="Hiver"),INDEX('Base de données Mono'!E:E,MATCH(B1523,'Base de données Mono'!D:D,0)),IF(AND(E1523="Electricité",M1523="Mi-saison"),INDEX('Base de données Mono'!F:F,MATCH(B1523,'Base de données Mono'!D:D,0)),IF(AND(E1523="Electricité",M1523="Eté"),INDEX('Base de données Mono'!G:G,MATCH(B1523,'Base de données Mono'!D:D,0)),IF(AND(E1523="Gaz",M1523="Hiver"),INDEX('Base de données Mono'!J:J,MATCH(B1523,'Base de données Mono'!D:D,0)),IF(AND(E1523="Gaz",M1523="Mi-saison"),INDEX('Base de données Mono'!#REF!,MATCH(B1523,'Base de données Mono'!D:D,0)),IF(AND(E1523="Gaz",M1523="Eté"),INDEX('Base de données Mono'!#REF!,MATCH(B1523,'Base de données Mono'!D:D,0)),"-"))))))</f>
        <v>60</v>
      </c>
      <c r="O1523" s="123">
        <v>45410</v>
      </c>
      <c r="P1523" s="123">
        <v>45410</v>
      </c>
      <c r="Q1523" s="34">
        <v>105</v>
      </c>
      <c r="R1523" s="33">
        <f t="shared" si="419"/>
        <v>45</v>
      </c>
      <c r="S1523" s="34">
        <v>6</v>
      </c>
      <c r="T1523" s="34">
        <v>1</v>
      </c>
      <c r="U1523" s="33">
        <f t="shared" si="420"/>
        <v>270</v>
      </c>
      <c r="V1523" s="38" t="s">
        <v>827</v>
      </c>
      <c r="W1523" s="39">
        <f t="shared" si="421"/>
        <v>0.75</v>
      </c>
      <c r="X1523" s="40" t="s">
        <v>730</v>
      </c>
      <c r="Y1523" s="40" t="s">
        <v>284</v>
      </c>
      <c r="Z1523" s="40" t="s">
        <v>307</v>
      </c>
      <c r="AA1523" s="33" t="s">
        <v>308</v>
      </c>
      <c r="AB1523" s="95"/>
      <c r="AC1523" s="95"/>
    </row>
    <row r="1524" spans="1:29" ht="14.45" customHeight="1" x14ac:dyDescent="0.25">
      <c r="A1524" s="36" t="str">
        <f>INDEX('Base de données Mono'!C:C,MATCH(B1524,'Base de données Mono'!D:D,0))</f>
        <v>ANGERS LES HALLES</v>
      </c>
      <c r="B1524" t="s">
        <v>4</v>
      </c>
      <c r="C1524" s="36" t="str">
        <f>INDEX('Base de données Mono'!B:B,MATCH(B1524,'Base de données Mono'!D:D,0))</f>
        <v>SES8</v>
      </c>
      <c r="D1524" s="36" t="str">
        <f>INDEX('Base de données Mono'!A:A,MATCH(B1524,'Base de données Mono'!D:D,0))</f>
        <v>AD</v>
      </c>
      <c r="E1524" s="37" t="s">
        <v>303</v>
      </c>
      <c r="F1524" s="41">
        <f t="shared" si="417"/>
        <v>17</v>
      </c>
      <c r="G1524" s="41">
        <f t="shared" si="418"/>
        <v>4</v>
      </c>
      <c r="I1524" s="131">
        <f>INDEX('Base de données Mono'!K:K,MATCH(B1524,'Base de données Mono'!D:D,0))</f>
        <v>0.20833333333333334</v>
      </c>
      <c r="J1524" s="131">
        <f>INDEX('Base de données Mono'!L:L,MATCH(B1524,'Base de données Mono'!D:D,0))</f>
        <v>0.875</v>
      </c>
      <c r="K1524" s="131" t="str">
        <f>INDEX('Base de données Mono'!M:M,MATCH(B1524,'Base de données Mono'!D:D,0))</f>
        <v>-</v>
      </c>
      <c r="L1524" s="131" t="str">
        <f>INDEX('Base de données Mono'!N:N,MATCH(B1524,'Base de données Mono'!D:D,0))</f>
        <v>-</v>
      </c>
      <c r="M1524" s="33" t="s">
        <v>46</v>
      </c>
      <c r="N1524" s="33">
        <f>IF(AND(E1524="Electricité",M1524="Hiver"),INDEX('Base de données Mono'!E:E,MATCH(B1524,'Base de données Mono'!D:D,0)),IF(AND(E1524="Electricité",M1524="Mi-saison"),INDEX('Base de données Mono'!F:F,MATCH(B1524,'Base de données Mono'!D:D,0)),IF(AND(E1524="Electricité",M1524="Eté"),INDEX('Base de données Mono'!G:G,MATCH(B1524,'Base de données Mono'!D:D,0)),IF(AND(E1524="Gaz",M1524="Hiver"),INDEX('Base de données Mono'!J:J,MATCH(B1524,'Base de données Mono'!D:D,0)),IF(AND(E1524="Gaz",M1524="Mi-saison"),INDEX('Base de données Mono'!#REF!,MATCH(B1524,'Base de données Mono'!D:D,0)),IF(AND(E1524="Gaz",M1524="Eté"),INDEX('Base de données Mono'!#REF!,MATCH(B1524,'Base de données Mono'!D:D,0)),"-"))))))</f>
        <v>60</v>
      </c>
      <c r="O1524" s="123">
        <v>45410</v>
      </c>
      <c r="P1524" s="123">
        <v>45410</v>
      </c>
      <c r="Q1524" s="34">
        <v>70</v>
      </c>
      <c r="R1524" s="33">
        <f t="shared" si="419"/>
        <v>10</v>
      </c>
      <c r="S1524" s="34">
        <v>10</v>
      </c>
      <c r="T1524" s="34">
        <v>1</v>
      </c>
      <c r="U1524" s="33">
        <f t="shared" si="420"/>
        <v>100</v>
      </c>
      <c r="V1524" s="38" t="s">
        <v>827</v>
      </c>
      <c r="W1524" s="39">
        <f t="shared" si="421"/>
        <v>0.16666666666666666</v>
      </c>
      <c r="X1524" s="40" t="s">
        <v>730</v>
      </c>
      <c r="Y1524" s="40" t="s">
        <v>284</v>
      </c>
      <c r="Z1524" s="40" t="s">
        <v>305</v>
      </c>
      <c r="AA1524" s="33" t="s">
        <v>771</v>
      </c>
      <c r="AB1524" s="95"/>
      <c r="AC1524" s="95"/>
    </row>
    <row r="1525" spans="1:29" ht="14.45" customHeight="1" x14ac:dyDescent="0.25">
      <c r="A1525" s="36" t="str">
        <f>INDEX('Base de données Mono'!C:C,MATCH(B1525,'Base de données Mono'!D:D,0))</f>
        <v>NANCY ST SEBASTIEN</v>
      </c>
      <c r="B1525" t="s">
        <v>186</v>
      </c>
      <c r="C1525" s="36" t="str">
        <f>INDEX('Base de données Mono'!B:B,MATCH(B1525,'Base de données Mono'!D:D,0))</f>
        <v>SES8</v>
      </c>
      <c r="D1525" s="36" t="str">
        <f>INDEX('Base de données Mono'!A:A,MATCH(B1525,'Base de données Mono'!D:D,0))</f>
        <v>JG</v>
      </c>
      <c r="E1525" s="37" t="s">
        <v>303</v>
      </c>
      <c r="F1525" s="41">
        <f t="shared" si="417"/>
        <v>17</v>
      </c>
      <c r="G1525" s="41">
        <f t="shared" si="418"/>
        <v>4</v>
      </c>
      <c r="I1525" s="131">
        <f>INDEX('Base de données Mono'!K:K,MATCH(B1525,'Base de données Mono'!D:D,0))</f>
        <v>0.23611111111111113</v>
      </c>
      <c r="J1525" s="131">
        <f>INDEX('Base de données Mono'!L:L,MATCH(B1525,'Base de données Mono'!D:D,0))</f>
        <v>0.86458333333333337</v>
      </c>
      <c r="K1525" s="131" t="str">
        <f>INDEX('Base de données Mono'!M:M,MATCH(B1525,'Base de données Mono'!D:D,0))</f>
        <v>-</v>
      </c>
      <c r="L1525" s="131" t="str">
        <f>INDEX('Base de données Mono'!N:N,MATCH(B1525,'Base de données Mono'!D:D,0))</f>
        <v>-</v>
      </c>
      <c r="M1525" s="33" t="s">
        <v>46</v>
      </c>
      <c r="N1525" s="33">
        <f>IF(AND(E1525="Electricité",M1525="Hiver"),INDEX('Base de données Mono'!E:E,MATCH(B1525,'Base de données Mono'!D:D,0)),IF(AND(E1525="Electricité",M1525="Mi-saison"),INDEX('Base de données Mono'!F:F,MATCH(B1525,'Base de données Mono'!D:D,0)),IF(AND(E1525="Electricité",M1525="Eté"),INDEX('Base de données Mono'!G:G,MATCH(B1525,'Base de données Mono'!D:D,0)),IF(AND(E1525="Gaz",M1525="Hiver"),INDEX('Base de données Mono'!J:J,MATCH(B1525,'Base de données Mono'!D:D,0)),IF(AND(E1525="Gaz",M1525="Mi-saison"),INDEX('Base de données Mono'!#REF!,MATCH(B1525,'Base de données Mono'!D:D,0)),IF(AND(E1525="Gaz",M1525="Eté"),INDEX('Base de données Mono'!#REF!,MATCH(B1525,'Base de données Mono'!D:D,0)),"-"))))))</f>
        <v>85</v>
      </c>
      <c r="O1525" s="123">
        <v>45410</v>
      </c>
      <c r="P1525" s="123">
        <v>45410</v>
      </c>
      <c r="Q1525" s="34">
        <v>125</v>
      </c>
      <c r="R1525" s="33">
        <f t="shared" si="419"/>
        <v>40</v>
      </c>
      <c r="S1525" s="34">
        <v>15</v>
      </c>
      <c r="T1525" s="34">
        <v>1</v>
      </c>
      <c r="U1525" s="33">
        <f t="shared" si="420"/>
        <v>600</v>
      </c>
      <c r="V1525" s="38" t="s">
        <v>827</v>
      </c>
      <c r="W1525" s="39">
        <f t="shared" si="421"/>
        <v>0.47058823529411764</v>
      </c>
      <c r="X1525" s="40" t="s">
        <v>730</v>
      </c>
      <c r="Y1525" s="40" t="s">
        <v>284</v>
      </c>
      <c r="Z1525" s="40" t="s">
        <v>307</v>
      </c>
      <c r="AA1525" s="33" t="s">
        <v>308</v>
      </c>
      <c r="AB1525" s="95"/>
      <c r="AC1525" s="95"/>
    </row>
    <row r="1526" spans="1:29" ht="14.45" customHeight="1" x14ac:dyDescent="0.25">
      <c r="A1526" s="36" t="str">
        <f>INDEX('Base de données Mono'!C:C,MATCH(B1526,'Base de données Mono'!D:D,0))</f>
        <v>TOLBIAC</v>
      </c>
      <c r="B1526" t="s">
        <v>253</v>
      </c>
      <c r="C1526" s="36" t="str">
        <f>INDEX('Base de données Mono'!B:B,MATCH(B1526,'Base de données Mono'!D:D,0))</f>
        <v>SES8</v>
      </c>
      <c r="D1526" s="36" t="str">
        <f>INDEX('Base de données Mono'!A:A,MATCH(B1526,'Base de données Mono'!D:D,0))</f>
        <v>JG</v>
      </c>
      <c r="E1526" s="37" t="s">
        <v>303</v>
      </c>
      <c r="F1526" s="41">
        <f t="shared" si="417"/>
        <v>17</v>
      </c>
      <c r="G1526" s="41">
        <f t="shared" si="418"/>
        <v>4</v>
      </c>
      <c r="I1526" s="131">
        <f>INDEX('Base de données Mono'!K:K,MATCH(B1526,'Base de données Mono'!D:D,0))</f>
        <v>0.24305555555555555</v>
      </c>
      <c r="J1526" s="131">
        <f>INDEX('Base de données Mono'!L:L,MATCH(B1526,'Base de données Mono'!D:D,0))</f>
        <v>0.92708333333333337</v>
      </c>
      <c r="K1526" s="131" t="str">
        <f>INDEX('Base de données Mono'!M:M,MATCH(B1526,'Base de données Mono'!D:D,0))</f>
        <v>-</v>
      </c>
      <c r="L1526" s="131" t="str">
        <f>INDEX('Base de données Mono'!N:N,MATCH(B1526,'Base de données Mono'!D:D,0))</f>
        <v>-</v>
      </c>
      <c r="M1526" s="33" t="s">
        <v>46</v>
      </c>
      <c r="N1526" s="33">
        <f>IF(AND(E1526="Electricité",M1526="Hiver"),INDEX('Base de données Mono'!E:E,MATCH(B1526,'Base de données Mono'!D:D,0)),IF(AND(E1526="Electricité",M1526="Mi-saison"),INDEX('Base de données Mono'!F:F,MATCH(B1526,'Base de données Mono'!D:D,0)),IF(AND(E1526="Electricité",M1526="Eté"),INDEX('Base de données Mono'!G:G,MATCH(B1526,'Base de données Mono'!D:D,0)),IF(AND(E1526="Gaz",M1526="Hiver"),INDEX('Base de données Mono'!J:J,MATCH(B1526,'Base de données Mono'!D:D,0)),IF(AND(E1526="Gaz",M1526="Mi-saison"),INDEX('Base de données Mono'!#REF!,MATCH(B1526,'Base de données Mono'!D:D,0)),IF(AND(E1526="Gaz",M1526="Eté"),INDEX('Base de données Mono'!#REF!,MATCH(B1526,'Base de données Mono'!D:D,0)),"-"))))))</f>
        <v>55</v>
      </c>
      <c r="O1526" s="123">
        <v>45410</v>
      </c>
      <c r="P1526" s="123">
        <v>45410</v>
      </c>
      <c r="Q1526" s="34">
        <v>70</v>
      </c>
      <c r="R1526" s="33">
        <f t="shared" si="419"/>
        <v>15</v>
      </c>
      <c r="S1526" s="34">
        <v>2</v>
      </c>
      <c r="T1526" s="34">
        <v>1</v>
      </c>
      <c r="U1526" s="33">
        <f t="shared" si="420"/>
        <v>30</v>
      </c>
      <c r="V1526" s="38" t="s">
        <v>827</v>
      </c>
      <c r="W1526" s="39">
        <f t="shared" si="421"/>
        <v>0.27272727272727271</v>
      </c>
      <c r="X1526" s="40" t="s">
        <v>730</v>
      </c>
      <c r="Y1526" s="40" t="s">
        <v>284</v>
      </c>
      <c r="Z1526" s="40" t="s">
        <v>305</v>
      </c>
      <c r="AA1526" s="33" t="s">
        <v>771</v>
      </c>
      <c r="AB1526" s="95"/>
      <c r="AC1526" s="95"/>
    </row>
    <row r="1527" spans="1:29" ht="14.45" customHeight="1" x14ac:dyDescent="0.25">
      <c r="A1527" s="36" t="str">
        <f>INDEX('Base de données Mono'!C:C,MATCH(B1527,'Base de données Mono'!D:D,0))</f>
        <v>TOLBIAC</v>
      </c>
      <c r="B1527" t="s">
        <v>253</v>
      </c>
      <c r="C1527" s="36" t="str">
        <f>INDEX('Base de données Mono'!B:B,MATCH(B1527,'Base de données Mono'!D:D,0))</f>
        <v>SES8</v>
      </c>
      <c r="D1527" s="36" t="str">
        <f>INDEX('Base de données Mono'!A:A,MATCH(B1527,'Base de données Mono'!D:D,0))</f>
        <v>JG</v>
      </c>
      <c r="E1527" s="37" t="s">
        <v>303</v>
      </c>
      <c r="F1527" s="41">
        <f t="shared" si="417"/>
        <v>17</v>
      </c>
      <c r="G1527" s="41">
        <f t="shared" si="418"/>
        <v>4</v>
      </c>
      <c r="I1527" s="131">
        <f>INDEX('Base de données Mono'!K:K,MATCH(B1527,'Base de données Mono'!D:D,0))</f>
        <v>0.24305555555555555</v>
      </c>
      <c r="J1527" s="131">
        <f>INDEX('Base de données Mono'!L:L,MATCH(B1527,'Base de données Mono'!D:D,0))</f>
        <v>0.92708333333333337</v>
      </c>
      <c r="K1527" s="131" t="str">
        <f>INDEX('Base de données Mono'!M:M,MATCH(B1527,'Base de données Mono'!D:D,0))</f>
        <v>-</v>
      </c>
      <c r="L1527" s="131" t="str">
        <f>INDEX('Base de données Mono'!N:N,MATCH(B1527,'Base de données Mono'!D:D,0))</f>
        <v>-</v>
      </c>
      <c r="M1527" s="33" t="s">
        <v>46</v>
      </c>
      <c r="N1527" s="33">
        <f>IF(AND(E1527="Electricité",M1527="Hiver"),INDEX('Base de données Mono'!E:E,MATCH(B1527,'Base de données Mono'!D:D,0)),IF(AND(E1527="Electricité",M1527="Mi-saison"),INDEX('Base de données Mono'!F:F,MATCH(B1527,'Base de données Mono'!D:D,0)),IF(AND(E1527="Electricité",M1527="Eté"),INDEX('Base de données Mono'!G:G,MATCH(B1527,'Base de données Mono'!D:D,0)),IF(AND(E1527="Gaz",M1527="Hiver"),INDEX('Base de données Mono'!J:J,MATCH(B1527,'Base de données Mono'!D:D,0)),IF(AND(E1527="Gaz",M1527="Mi-saison"),INDEX('Base de données Mono'!#REF!,MATCH(B1527,'Base de données Mono'!D:D,0)),IF(AND(E1527="Gaz",M1527="Eté"),INDEX('Base de données Mono'!#REF!,MATCH(B1527,'Base de données Mono'!D:D,0)),"-"))))))</f>
        <v>55</v>
      </c>
      <c r="O1527" s="123">
        <v>45410</v>
      </c>
      <c r="P1527" s="123">
        <v>45410</v>
      </c>
      <c r="Q1527" s="34">
        <v>95</v>
      </c>
      <c r="R1527" s="33">
        <f t="shared" si="419"/>
        <v>40</v>
      </c>
      <c r="S1527" s="34">
        <v>14</v>
      </c>
      <c r="T1527" s="34">
        <v>1</v>
      </c>
      <c r="U1527" s="33">
        <f t="shared" si="420"/>
        <v>560</v>
      </c>
      <c r="V1527" s="38" t="s">
        <v>827</v>
      </c>
      <c r="W1527" s="39">
        <f t="shared" si="421"/>
        <v>0.72727272727272729</v>
      </c>
      <c r="X1527" s="40" t="s">
        <v>730</v>
      </c>
      <c r="Y1527" s="40" t="s">
        <v>284</v>
      </c>
      <c r="Z1527" s="40" t="s">
        <v>307</v>
      </c>
      <c r="AA1527" s="33" t="s">
        <v>308</v>
      </c>
      <c r="AB1527" s="95"/>
      <c r="AC1527" s="95"/>
    </row>
    <row r="1528" spans="1:29" ht="14.45" customHeight="1" x14ac:dyDescent="0.25">
      <c r="A1528" s="36" t="str">
        <f>INDEX('Base de données Mono'!C:C,MATCH(B1528,'Base de données Mono'!D:D,0))</f>
        <v>TOLBIAC</v>
      </c>
      <c r="B1528" t="s">
        <v>253</v>
      </c>
      <c r="C1528" s="36" t="str">
        <f>INDEX('Base de données Mono'!B:B,MATCH(B1528,'Base de données Mono'!D:D,0))</f>
        <v>SES8</v>
      </c>
      <c r="D1528" s="36" t="str">
        <f>INDEX('Base de données Mono'!A:A,MATCH(B1528,'Base de données Mono'!D:D,0))</f>
        <v>JG</v>
      </c>
      <c r="E1528" s="37" t="s">
        <v>303</v>
      </c>
      <c r="F1528" s="41">
        <f t="shared" si="417"/>
        <v>17</v>
      </c>
      <c r="G1528" s="41">
        <f t="shared" si="418"/>
        <v>4</v>
      </c>
      <c r="I1528" s="131">
        <f>INDEX('Base de données Mono'!K:K,MATCH(B1528,'Base de données Mono'!D:D,0))</f>
        <v>0.24305555555555555</v>
      </c>
      <c r="J1528" s="131">
        <f>INDEX('Base de données Mono'!L:L,MATCH(B1528,'Base de données Mono'!D:D,0))</f>
        <v>0.92708333333333337</v>
      </c>
      <c r="K1528" s="131" t="str">
        <f>INDEX('Base de données Mono'!M:M,MATCH(B1528,'Base de données Mono'!D:D,0))</f>
        <v>-</v>
      </c>
      <c r="L1528" s="131" t="str">
        <f>INDEX('Base de données Mono'!N:N,MATCH(B1528,'Base de données Mono'!D:D,0))</f>
        <v>-</v>
      </c>
      <c r="M1528" s="33" t="s">
        <v>46</v>
      </c>
      <c r="N1528" s="33">
        <f>IF(AND(E1528="Electricité",M1528="Hiver"),INDEX('Base de données Mono'!E:E,MATCH(B1528,'Base de données Mono'!D:D,0)),IF(AND(E1528="Electricité",M1528="Mi-saison"),INDEX('Base de données Mono'!F:F,MATCH(B1528,'Base de données Mono'!D:D,0)),IF(AND(E1528="Electricité",M1528="Eté"),INDEX('Base de données Mono'!G:G,MATCH(B1528,'Base de données Mono'!D:D,0)),IF(AND(E1528="Gaz",M1528="Hiver"),INDEX('Base de données Mono'!J:J,MATCH(B1528,'Base de données Mono'!D:D,0)),IF(AND(E1528="Gaz",M1528="Mi-saison"),INDEX('Base de données Mono'!#REF!,MATCH(B1528,'Base de données Mono'!D:D,0)),IF(AND(E1528="Gaz",M1528="Eté"),INDEX('Base de données Mono'!#REF!,MATCH(B1528,'Base de données Mono'!D:D,0)),"-"))))))</f>
        <v>55</v>
      </c>
      <c r="O1528" s="123">
        <v>45410</v>
      </c>
      <c r="P1528" s="123">
        <v>45410</v>
      </c>
      <c r="Q1528" s="34">
        <v>67.5</v>
      </c>
      <c r="R1528" s="33">
        <f t="shared" si="419"/>
        <v>12.5</v>
      </c>
      <c r="S1528" s="34">
        <v>2</v>
      </c>
      <c r="T1528" s="34">
        <v>1</v>
      </c>
      <c r="U1528" s="33">
        <f t="shared" si="420"/>
        <v>25</v>
      </c>
      <c r="V1528" s="38" t="s">
        <v>827</v>
      </c>
      <c r="W1528" s="39">
        <f t="shared" si="421"/>
        <v>0.22727272727272727</v>
      </c>
      <c r="X1528" s="40" t="s">
        <v>730</v>
      </c>
      <c r="Y1528" s="40" t="s">
        <v>284</v>
      </c>
      <c r="Z1528" s="40" t="s">
        <v>305</v>
      </c>
      <c r="AA1528" s="33" t="s">
        <v>771</v>
      </c>
      <c r="AB1528" s="95"/>
      <c r="AC1528" s="95"/>
    </row>
    <row r="1529" spans="1:29" ht="14.45" customHeight="1" x14ac:dyDescent="0.25">
      <c r="A1529" s="36" t="str">
        <f>INDEX('Base de données Mono'!C:C,MATCH(B1529,'Base de données Mono'!D:D,0))</f>
        <v>BORDEAUX ST CHRISTOLY</v>
      </c>
      <c r="B1529" t="s">
        <v>6</v>
      </c>
      <c r="C1529" s="36" t="str">
        <f>INDEX('Base de données Mono'!B:B,MATCH(B1529,'Base de données Mono'!D:D,0))</f>
        <v>SES8</v>
      </c>
      <c r="D1529" s="36" t="str">
        <f>INDEX('Base de données Mono'!A:A,MATCH(B1529,'Base de données Mono'!D:D,0))</f>
        <v>AD</v>
      </c>
      <c r="E1529" s="37" t="s">
        <v>303</v>
      </c>
      <c r="F1529" s="41">
        <f t="shared" si="417"/>
        <v>17</v>
      </c>
      <c r="G1529" s="41">
        <f t="shared" si="418"/>
        <v>4</v>
      </c>
      <c r="I1529" s="131">
        <f>INDEX('Base de données Mono'!K:K,MATCH(B1529,'Base de données Mono'!D:D,0))</f>
        <v>0.16666666666666666</v>
      </c>
      <c r="J1529" s="131">
        <f>INDEX('Base de données Mono'!L:L,MATCH(B1529,'Base de données Mono'!D:D,0))</f>
        <v>0.875</v>
      </c>
      <c r="K1529" s="131">
        <f>INDEX('Base de données Mono'!M:M,MATCH(B1529,'Base de données Mono'!D:D,0))</f>
        <v>0.20833333333333334</v>
      </c>
      <c r="L1529" s="131">
        <f>INDEX('Base de données Mono'!N:N,MATCH(B1529,'Base de données Mono'!D:D,0))</f>
        <v>0.54166666666666696</v>
      </c>
      <c r="M1529" s="33" t="s">
        <v>46</v>
      </c>
      <c r="N1529" s="33">
        <f>IF(AND(E1529="Electricité",M1529="Hiver"),INDEX('Base de données Mono'!E:E,MATCH(B1529,'Base de données Mono'!D:D,0)),IF(AND(E1529="Electricité",M1529="Mi-saison"),INDEX('Base de données Mono'!F:F,MATCH(B1529,'Base de données Mono'!D:D,0)),IF(AND(E1529="Electricité",M1529="Eté"),INDEX('Base de données Mono'!G:G,MATCH(B1529,'Base de données Mono'!D:D,0)),IF(AND(E1529="Gaz",M1529="Hiver"),INDEX('Base de données Mono'!J:J,MATCH(B1529,'Base de données Mono'!D:D,0)),IF(AND(E1529="Gaz",M1529="Mi-saison"),INDEX('Base de données Mono'!#REF!,MATCH(B1529,'Base de données Mono'!D:D,0)),IF(AND(E1529="Gaz",M1529="Eté"),INDEX('Base de données Mono'!#REF!,MATCH(B1529,'Base de données Mono'!D:D,0)),"-"))))))</f>
        <v>75</v>
      </c>
      <c r="O1529" s="123">
        <v>45410</v>
      </c>
      <c r="P1529" s="123">
        <v>45410</v>
      </c>
      <c r="Q1529" s="34">
        <v>130</v>
      </c>
      <c r="R1529" s="33">
        <f t="shared" si="419"/>
        <v>55</v>
      </c>
      <c r="S1529" s="34">
        <v>7</v>
      </c>
      <c r="T1529" s="34">
        <v>1</v>
      </c>
      <c r="U1529" s="33">
        <f t="shared" si="420"/>
        <v>385</v>
      </c>
      <c r="V1529" s="38" t="s">
        <v>827</v>
      </c>
      <c r="W1529" s="39">
        <f t="shared" si="421"/>
        <v>0.73333333333333328</v>
      </c>
      <c r="X1529" s="40" t="s">
        <v>730</v>
      </c>
      <c r="Y1529" s="40" t="s">
        <v>284</v>
      </c>
      <c r="Z1529" s="40" t="s">
        <v>307</v>
      </c>
      <c r="AA1529" s="33" t="s">
        <v>308</v>
      </c>
      <c r="AB1529" s="95"/>
      <c r="AC1529" s="95"/>
    </row>
    <row r="1530" spans="1:29" ht="14.45" customHeight="1" x14ac:dyDescent="0.25">
      <c r="A1530" s="36" t="str">
        <f>INDEX('Base de données Mono'!C:C,MATCH(B1530,'Base de données Mono'!D:D,0))</f>
        <v>BORDEAUX ST CHRISTOLY</v>
      </c>
      <c r="B1530" t="s">
        <v>6</v>
      </c>
      <c r="C1530" s="36" t="str">
        <f>INDEX('Base de données Mono'!B:B,MATCH(B1530,'Base de données Mono'!D:D,0))</f>
        <v>SES8</v>
      </c>
      <c r="D1530" s="36" t="str">
        <f>INDEX('Base de données Mono'!A:A,MATCH(B1530,'Base de données Mono'!D:D,0))</f>
        <v>AD</v>
      </c>
      <c r="E1530" s="37" t="s">
        <v>303</v>
      </c>
      <c r="F1530" s="41">
        <f t="shared" si="417"/>
        <v>17</v>
      </c>
      <c r="G1530" s="41">
        <f t="shared" si="418"/>
        <v>4</v>
      </c>
      <c r="I1530" s="131">
        <f>INDEX('Base de données Mono'!K:K,MATCH(B1530,'Base de données Mono'!D:D,0))</f>
        <v>0.16666666666666666</v>
      </c>
      <c r="J1530" s="131">
        <f>INDEX('Base de données Mono'!L:L,MATCH(B1530,'Base de données Mono'!D:D,0))</f>
        <v>0.875</v>
      </c>
      <c r="K1530" s="131">
        <f>INDEX('Base de données Mono'!M:M,MATCH(B1530,'Base de données Mono'!D:D,0))</f>
        <v>0.20833333333333334</v>
      </c>
      <c r="L1530" s="131">
        <f>INDEX('Base de données Mono'!N:N,MATCH(B1530,'Base de données Mono'!D:D,0))</f>
        <v>0.54166666666666696</v>
      </c>
      <c r="M1530" s="33" t="s">
        <v>46</v>
      </c>
      <c r="N1530" s="33">
        <f>IF(AND(E1530="Electricité",M1530="Hiver"),INDEX('Base de données Mono'!E:E,MATCH(B1530,'Base de données Mono'!D:D,0)),IF(AND(E1530="Electricité",M1530="Mi-saison"),INDEX('Base de données Mono'!F:F,MATCH(B1530,'Base de données Mono'!D:D,0)),IF(AND(E1530="Electricité",M1530="Eté"),INDEX('Base de données Mono'!G:G,MATCH(B1530,'Base de données Mono'!D:D,0)),IF(AND(E1530="Gaz",M1530="Hiver"),INDEX('Base de données Mono'!J:J,MATCH(B1530,'Base de données Mono'!D:D,0)),IF(AND(E1530="Gaz",M1530="Mi-saison"),INDEX('Base de données Mono'!#REF!,MATCH(B1530,'Base de données Mono'!D:D,0)),IF(AND(E1530="Gaz",M1530="Eté"),INDEX('Base de données Mono'!#REF!,MATCH(B1530,'Base de données Mono'!D:D,0)),"-"))))))</f>
        <v>75</v>
      </c>
      <c r="O1530" s="123">
        <v>45410</v>
      </c>
      <c r="P1530" s="123">
        <v>45410</v>
      </c>
      <c r="Q1530" s="34">
        <v>95</v>
      </c>
      <c r="R1530" s="33">
        <f t="shared" si="419"/>
        <v>20</v>
      </c>
      <c r="S1530" s="34">
        <v>1</v>
      </c>
      <c r="T1530" s="34">
        <v>1</v>
      </c>
      <c r="U1530" s="33">
        <f t="shared" si="420"/>
        <v>20</v>
      </c>
      <c r="V1530" s="38" t="s">
        <v>827</v>
      </c>
      <c r="W1530" s="39">
        <f t="shared" si="421"/>
        <v>0.26666666666666666</v>
      </c>
      <c r="X1530" s="40" t="s">
        <v>730</v>
      </c>
      <c r="Y1530" s="40" t="s">
        <v>284</v>
      </c>
      <c r="Z1530" s="40" t="s">
        <v>305</v>
      </c>
      <c r="AA1530" s="33" t="s">
        <v>771</v>
      </c>
      <c r="AB1530" s="95"/>
      <c r="AC1530" s="95"/>
    </row>
    <row r="1531" spans="1:29" ht="14.45" customHeight="1" x14ac:dyDescent="0.25">
      <c r="A1531" s="36" t="str">
        <f>INDEX('Base de données Mono'!C:C,MATCH(B1531,'Base de données Mono'!D:D,0))</f>
        <v>REIMS</v>
      </c>
      <c r="B1531" t="s">
        <v>218</v>
      </c>
      <c r="C1531" s="36" t="str">
        <f>INDEX('Base de données Mono'!B:B,MATCH(B1531,'Base de données Mono'!D:D,0))</f>
        <v>SES8</v>
      </c>
      <c r="D1531" s="36" t="str">
        <f>INDEX('Base de données Mono'!A:A,MATCH(B1531,'Base de données Mono'!D:D,0))</f>
        <v>JG</v>
      </c>
      <c r="E1531" s="37" t="s">
        <v>303</v>
      </c>
      <c r="F1531" s="41">
        <f t="shared" si="417"/>
        <v>17</v>
      </c>
      <c r="G1531" s="41">
        <f t="shared" si="418"/>
        <v>4</v>
      </c>
      <c r="I1531" s="131">
        <f>INDEX('Base de données Mono'!K:K,MATCH(B1531,'Base de données Mono'!D:D,0))</f>
        <v>0.22916666666666666</v>
      </c>
      <c r="J1531" s="131">
        <f>INDEX('Base de données Mono'!L:L,MATCH(B1531,'Base de données Mono'!D:D,0))</f>
        <v>0.85416666666666663</v>
      </c>
      <c r="K1531" s="131">
        <f>INDEX('Base de données Mono'!M:M,MATCH(B1531,'Base de données Mono'!D:D,0))</f>
        <v>0.3125</v>
      </c>
      <c r="L1531" s="131">
        <f>INDEX('Base de données Mono'!N:N,MATCH(B1531,'Base de données Mono'!D:D,0))</f>
        <v>0.5625</v>
      </c>
      <c r="M1531" s="33" t="s">
        <v>46</v>
      </c>
      <c r="N1531" s="33">
        <f>IF(AND(E1531="Electricité",M1531="Hiver"),INDEX('Base de données Mono'!E:E,MATCH(B1531,'Base de données Mono'!D:D,0)),IF(AND(E1531="Electricité",M1531="Mi-saison"),INDEX('Base de données Mono'!F:F,MATCH(B1531,'Base de données Mono'!D:D,0)),IF(AND(E1531="Electricité",M1531="Eté"),INDEX('Base de données Mono'!G:G,MATCH(B1531,'Base de données Mono'!D:D,0)),IF(AND(E1531="Gaz",M1531="Hiver"),INDEX('Base de données Mono'!J:J,MATCH(B1531,'Base de données Mono'!D:D,0)),IF(AND(E1531="Gaz",M1531="Mi-saison"),INDEX('Base de données Mono'!#REF!,MATCH(B1531,'Base de données Mono'!D:D,0)),IF(AND(E1531="Gaz",M1531="Eté"),INDEX('Base de données Mono'!#REF!,MATCH(B1531,'Base de données Mono'!D:D,0)),"-"))))))</f>
        <v>40</v>
      </c>
      <c r="O1531" s="123">
        <v>45410</v>
      </c>
      <c r="P1531" s="123">
        <v>45410</v>
      </c>
      <c r="Q1531" s="34">
        <v>100</v>
      </c>
      <c r="R1531" s="33">
        <f t="shared" si="419"/>
        <v>60</v>
      </c>
      <c r="S1531" s="34">
        <v>5.8</v>
      </c>
      <c r="T1531" s="34">
        <v>1</v>
      </c>
      <c r="U1531" s="33">
        <f t="shared" si="420"/>
        <v>348</v>
      </c>
      <c r="V1531" s="38" t="s">
        <v>827</v>
      </c>
      <c r="W1531" s="39">
        <f t="shared" si="421"/>
        <v>1.5</v>
      </c>
      <c r="X1531" s="40" t="s">
        <v>730</v>
      </c>
      <c r="Y1531" s="40" t="s">
        <v>284</v>
      </c>
      <c r="Z1531" s="40" t="s">
        <v>307</v>
      </c>
      <c r="AA1531" s="33" t="s">
        <v>308</v>
      </c>
      <c r="AB1531" s="95"/>
      <c r="AC1531" s="95"/>
    </row>
    <row r="1532" spans="1:29" ht="14.45" customHeight="1" x14ac:dyDescent="0.25">
      <c r="A1532" s="36" t="str">
        <f>INDEX('Base de données Mono'!C:C,MATCH(B1532,'Base de données Mono'!D:D,0))</f>
        <v>REPUBLIQUE</v>
      </c>
      <c r="B1532" t="s">
        <v>221</v>
      </c>
      <c r="C1532" s="36" t="str">
        <f>INDEX('Base de données Mono'!B:B,MATCH(B1532,'Base de données Mono'!D:D,0))</f>
        <v>SES8</v>
      </c>
      <c r="D1532" s="36" t="str">
        <f>INDEX('Base de données Mono'!A:A,MATCH(B1532,'Base de données Mono'!D:D,0))</f>
        <v>JG</v>
      </c>
      <c r="E1532" s="37" t="s">
        <v>303</v>
      </c>
      <c r="F1532" s="41">
        <f t="shared" si="417"/>
        <v>17</v>
      </c>
      <c r="G1532" s="41">
        <f t="shared" si="418"/>
        <v>4</v>
      </c>
      <c r="I1532" s="131">
        <f>INDEX('Base de données Mono'!K:K,MATCH(B1532,'Base de données Mono'!D:D,0))</f>
        <v>0.24305555555555555</v>
      </c>
      <c r="J1532" s="131">
        <f>INDEX('Base de données Mono'!L:L,MATCH(B1532,'Base de données Mono'!D:D,0))</f>
        <v>0.94791666666666663</v>
      </c>
      <c r="K1532" s="131">
        <f>INDEX('Base de données Mono'!M:M,MATCH(B1532,'Base de données Mono'!D:D,0))</f>
        <v>0.25</v>
      </c>
      <c r="L1532" s="131">
        <f>INDEX('Base de données Mono'!N:N,MATCH(B1532,'Base de données Mono'!D:D,0))</f>
        <v>0.54166666666666663</v>
      </c>
      <c r="M1532" s="33" t="s">
        <v>46</v>
      </c>
      <c r="N1532" s="33">
        <f>IF(AND(E1532="Electricité",M1532="Hiver"),INDEX('Base de données Mono'!E:E,MATCH(B1532,'Base de données Mono'!D:D,0)),IF(AND(E1532="Electricité",M1532="Mi-saison"),INDEX('Base de données Mono'!F:F,MATCH(B1532,'Base de données Mono'!D:D,0)),IF(AND(E1532="Electricité",M1532="Eté"),INDEX('Base de données Mono'!G:G,MATCH(B1532,'Base de données Mono'!D:D,0)),IF(AND(E1532="Gaz",M1532="Hiver"),INDEX('Base de données Mono'!J:J,MATCH(B1532,'Base de données Mono'!D:D,0)),IF(AND(E1532="Gaz",M1532="Mi-saison"),INDEX('Base de données Mono'!#REF!,MATCH(B1532,'Base de données Mono'!D:D,0)),IF(AND(E1532="Gaz",M1532="Eté"),INDEX('Base de données Mono'!#REF!,MATCH(B1532,'Base de données Mono'!D:D,0)),"-"))))))</f>
        <v>75</v>
      </c>
      <c r="O1532" s="123">
        <v>45410</v>
      </c>
      <c r="P1532" s="123">
        <v>45410</v>
      </c>
      <c r="Q1532" s="34">
        <v>125</v>
      </c>
      <c r="R1532" s="33">
        <f t="shared" si="419"/>
        <v>50</v>
      </c>
      <c r="S1532" s="34">
        <v>6.8</v>
      </c>
      <c r="T1532" s="34">
        <v>1</v>
      </c>
      <c r="U1532" s="33">
        <f t="shared" si="420"/>
        <v>340</v>
      </c>
      <c r="V1532" s="38" t="s">
        <v>827</v>
      </c>
      <c r="W1532" s="39">
        <f t="shared" si="421"/>
        <v>0.66666666666666663</v>
      </c>
      <c r="X1532" s="40" t="s">
        <v>730</v>
      </c>
      <c r="Y1532" s="40" t="s">
        <v>284</v>
      </c>
      <c r="Z1532" s="40" t="s">
        <v>307</v>
      </c>
      <c r="AA1532" s="33" t="s">
        <v>308</v>
      </c>
      <c r="AB1532" s="95"/>
      <c r="AC1532" s="95"/>
    </row>
    <row r="1533" spans="1:29" ht="14.45" customHeight="1" x14ac:dyDescent="0.25">
      <c r="A1533" s="36" t="str">
        <f>INDEX('Base de données Mono'!C:C,MATCH(B1533,'Base de données Mono'!D:D,0))</f>
        <v>ST GERMAIN</v>
      </c>
      <c r="B1533" t="s">
        <v>35</v>
      </c>
      <c r="C1533" s="36" t="str">
        <f>INDEX('Base de données Mono'!B:B,MATCH(B1533,'Base de données Mono'!D:D,0))</f>
        <v>SES8</v>
      </c>
      <c r="D1533" s="36" t="str">
        <f>INDEX('Base de données Mono'!A:A,MATCH(B1533,'Base de données Mono'!D:D,0))</f>
        <v>AD</v>
      </c>
      <c r="E1533" s="37" t="s">
        <v>303</v>
      </c>
      <c r="F1533" s="41">
        <f t="shared" si="417"/>
        <v>17</v>
      </c>
      <c r="G1533" s="41">
        <f t="shared" si="418"/>
        <v>4</v>
      </c>
      <c r="I1533" s="131">
        <f>INDEX('Base de données Mono'!K:K,MATCH(B1533,'Base de données Mono'!D:D,0))</f>
        <v>0.24305555555555555</v>
      </c>
      <c r="J1533" s="131">
        <f>INDEX('Base de données Mono'!L:L,MATCH(B1533,'Base de données Mono'!D:D,0))</f>
        <v>0.90625</v>
      </c>
      <c r="K1533" s="131">
        <f>INDEX('Base de données Mono'!M:M,MATCH(B1533,'Base de données Mono'!D:D,0))</f>
        <v>0.28125</v>
      </c>
      <c r="L1533" s="131">
        <f>INDEX('Base de données Mono'!N:N,MATCH(B1533,'Base de données Mono'!D:D,0))</f>
        <v>0.5625</v>
      </c>
      <c r="M1533" s="33" t="s">
        <v>46</v>
      </c>
      <c r="N1533" s="33">
        <f>IF(AND(E1533="Electricité",M1533="Hiver"),INDEX('Base de données Mono'!E:E,MATCH(B1533,'Base de données Mono'!D:D,0)),IF(AND(E1533="Electricité",M1533="Mi-saison"),INDEX('Base de données Mono'!F:F,MATCH(B1533,'Base de données Mono'!D:D,0)),IF(AND(E1533="Electricité",M1533="Eté"),INDEX('Base de données Mono'!G:G,MATCH(B1533,'Base de données Mono'!D:D,0)),IF(AND(E1533="Gaz",M1533="Hiver"),INDEX('Base de données Mono'!J:J,MATCH(B1533,'Base de données Mono'!D:D,0)),IF(AND(E1533="Gaz",M1533="Mi-saison"),INDEX('Base de données Mono'!#REF!,MATCH(B1533,'Base de données Mono'!D:D,0)),IF(AND(E1533="Gaz",M1533="Eté"),INDEX('Base de données Mono'!#REF!,MATCH(B1533,'Base de données Mono'!D:D,0)),"-"))))))</f>
        <v>115</v>
      </c>
      <c r="O1533" s="123">
        <v>45410</v>
      </c>
      <c r="P1533" s="123">
        <v>45410</v>
      </c>
      <c r="Q1533" s="34">
        <v>165</v>
      </c>
      <c r="R1533" s="33">
        <f t="shared" si="419"/>
        <v>50</v>
      </c>
      <c r="S1533" s="34">
        <v>6.5</v>
      </c>
      <c r="T1533" s="34">
        <v>1</v>
      </c>
      <c r="U1533" s="33">
        <f t="shared" si="420"/>
        <v>325</v>
      </c>
      <c r="V1533" s="38" t="s">
        <v>827</v>
      </c>
      <c r="W1533" s="39">
        <f t="shared" si="421"/>
        <v>0.43478260869565216</v>
      </c>
      <c r="X1533" s="40" t="s">
        <v>730</v>
      </c>
      <c r="Y1533" s="40" t="s">
        <v>284</v>
      </c>
      <c r="Z1533" s="40" t="s">
        <v>307</v>
      </c>
      <c r="AA1533" s="33" t="s">
        <v>308</v>
      </c>
      <c r="AB1533" s="95"/>
      <c r="AC1533" s="95"/>
    </row>
    <row r="1534" spans="1:29" ht="14.45" customHeight="1" x14ac:dyDescent="0.25">
      <c r="A1534" s="36" t="str">
        <f>INDEX('Base de données Mono'!C:C,MATCH(B1534,'Base de données Mono'!D:D,0))</f>
        <v>MULHOUSE</v>
      </c>
      <c r="B1534" t="s">
        <v>184</v>
      </c>
      <c r="C1534" s="36" t="str">
        <f>INDEX('Base de données Mono'!B:B,MATCH(B1534,'Base de données Mono'!D:D,0))</f>
        <v>SES8</v>
      </c>
      <c r="D1534" s="36" t="str">
        <f>INDEX('Base de données Mono'!A:A,MATCH(B1534,'Base de données Mono'!D:D,0))</f>
        <v>JG</v>
      </c>
      <c r="E1534" s="37" t="s">
        <v>303</v>
      </c>
      <c r="F1534" s="41">
        <f t="shared" si="417"/>
        <v>17</v>
      </c>
      <c r="G1534" s="41">
        <f t="shared" si="418"/>
        <v>4</v>
      </c>
      <c r="I1534" s="131">
        <f>INDEX('Base de données Mono'!K:K,MATCH(B1534,'Base de données Mono'!D:D,0))</f>
        <v>0.24305555555555555</v>
      </c>
      <c r="J1534" s="131">
        <f>INDEX('Base de données Mono'!L:L,MATCH(B1534,'Base de données Mono'!D:D,0))</f>
        <v>0.84375</v>
      </c>
      <c r="K1534" s="131" t="str">
        <f>INDEX('Base de données Mono'!M:M,MATCH(B1534,'Base de données Mono'!D:D,0))</f>
        <v>-</v>
      </c>
      <c r="L1534" s="131" t="str">
        <f>INDEX('Base de données Mono'!N:N,MATCH(B1534,'Base de données Mono'!D:D,0))</f>
        <v>-</v>
      </c>
      <c r="M1534" s="33" t="s">
        <v>46</v>
      </c>
      <c r="N1534" s="33">
        <f>IF(AND(E1534="Electricité",M1534="Hiver"),INDEX('Base de données Mono'!E:E,MATCH(B1534,'Base de données Mono'!D:D,0)),IF(AND(E1534="Electricité",M1534="Mi-saison"),INDEX('Base de données Mono'!F:F,MATCH(B1534,'Base de données Mono'!D:D,0)),IF(AND(E1534="Electricité",M1534="Eté"),INDEX('Base de données Mono'!G:G,MATCH(B1534,'Base de données Mono'!D:D,0)),IF(AND(E1534="Gaz",M1534="Hiver"),INDEX('Base de données Mono'!J:J,MATCH(B1534,'Base de données Mono'!D:D,0)),IF(AND(E1534="Gaz",M1534="Mi-saison"),INDEX('Base de données Mono'!#REF!,MATCH(B1534,'Base de données Mono'!D:D,0)),IF(AND(E1534="Gaz",M1534="Eté"),INDEX('Base de données Mono'!#REF!,MATCH(B1534,'Base de données Mono'!D:D,0)),"-"))))))</f>
        <v>45</v>
      </c>
      <c r="O1534" s="123">
        <v>45410</v>
      </c>
      <c r="P1534" s="123">
        <v>45410</v>
      </c>
      <c r="Q1534" s="34">
        <v>70</v>
      </c>
      <c r="R1534" s="33">
        <f t="shared" si="419"/>
        <v>25</v>
      </c>
      <c r="S1534" s="34">
        <v>10</v>
      </c>
      <c r="T1534" s="34">
        <v>1</v>
      </c>
      <c r="U1534" s="33">
        <f t="shared" si="420"/>
        <v>250</v>
      </c>
      <c r="V1534" s="38" t="s">
        <v>827</v>
      </c>
      <c r="W1534" s="39">
        <f t="shared" si="421"/>
        <v>0.55555555555555558</v>
      </c>
      <c r="X1534" s="40" t="s">
        <v>730</v>
      </c>
      <c r="Y1534" s="40" t="s">
        <v>284</v>
      </c>
      <c r="Z1534" s="40" t="s">
        <v>307</v>
      </c>
      <c r="AA1534" s="33" t="s">
        <v>308</v>
      </c>
      <c r="AB1534" s="95"/>
      <c r="AC1534" s="95"/>
    </row>
    <row r="1535" spans="1:29" ht="14.45" customHeight="1" x14ac:dyDescent="0.25">
      <c r="A1535" s="36" t="str">
        <f>INDEX('Base de données Mono'!C:C,MATCH(B1535,'Base de données Mono'!D:D,0))</f>
        <v>MULHOUSE</v>
      </c>
      <c r="B1535" t="s">
        <v>184</v>
      </c>
      <c r="C1535" s="36" t="str">
        <f>INDEX('Base de données Mono'!B:B,MATCH(B1535,'Base de données Mono'!D:D,0))</f>
        <v>SES8</v>
      </c>
      <c r="D1535" s="36" t="str">
        <f>INDEX('Base de données Mono'!A:A,MATCH(B1535,'Base de données Mono'!D:D,0))</f>
        <v>JG</v>
      </c>
      <c r="E1535" s="37" t="s">
        <v>303</v>
      </c>
      <c r="F1535" s="41">
        <f t="shared" si="417"/>
        <v>17</v>
      </c>
      <c r="G1535" s="41">
        <f t="shared" si="418"/>
        <v>4</v>
      </c>
      <c r="I1535" s="131">
        <f>INDEX('Base de données Mono'!K:K,MATCH(B1535,'Base de données Mono'!D:D,0))</f>
        <v>0.24305555555555555</v>
      </c>
      <c r="J1535" s="131">
        <f>INDEX('Base de données Mono'!L:L,MATCH(B1535,'Base de données Mono'!D:D,0))</f>
        <v>0.84375</v>
      </c>
      <c r="K1535" s="131" t="str">
        <f>INDEX('Base de données Mono'!M:M,MATCH(B1535,'Base de données Mono'!D:D,0))</f>
        <v>-</v>
      </c>
      <c r="L1535" s="131" t="str">
        <f>INDEX('Base de données Mono'!N:N,MATCH(B1535,'Base de données Mono'!D:D,0))</f>
        <v>-</v>
      </c>
      <c r="M1535" s="33" t="s">
        <v>46</v>
      </c>
      <c r="N1535" s="33">
        <f>IF(AND(E1535="Electricité",M1535="Hiver"),INDEX('Base de données Mono'!E:E,MATCH(B1535,'Base de données Mono'!D:D,0)),IF(AND(E1535="Electricité",M1535="Mi-saison"),INDEX('Base de données Mono'!F:F,MATCH(B1535,'Base de données Mono'!D:D,0)),IF(AND(E1535="Electricité",M1535="Eté"),INDEX('Base de données Mono'!G:G,MATCH(B1535,'Base de données Mono'!D:D,0)),IF(AND(E1535="Gaz",M1535="Hiver"),INDEX('Base de données Mono'!J:J,MATCH(B1535,'Base de données Mono'!D:D,0)),IF(AND(E1535="Gaz",M1535="Mi-saison"),INDEX('Base de données Mono'!#REF!,MATCH(B1535,'Base de données Mono'!D:D,0)),IF(AND(E1535="Gaz",M1535="Eté"),INDEX('Base de données Mono'!#REF!,MATCH(B1535,'Base de données Mono'!D:D,0)),"-"))))))</f>
        <v>45</v>
      </c>
      <c r="O1535" s="123">
        <v>45410</v>
      </c>
      <c r="P1535" s="123">
        <v>45410</v>
      </c>
      <c r="Q1535" s="34">
        <v>55</v>
      </c>
      <c r="R1535" s="33">
        <f t="shared" si="419"/>
        <v>10</v>
      </c>
      <c r="S1535" s="34">
        <v>4.3</v>
      </c>
      <c r="T1535" s="34">
        <v>1</v>
      </c>
      <c r="U1535" s="33">
        <f t="shared" si="420"/>
        <v>43</v>
      </c>
      <c r="V1535" s="38" t="s">
        <v>827</v>
      </c>
      <c r="W1535" s="39">
        <f t="shared" si="421"/>
        <v>0.22222222222222221</v>
      </c>
      <c r="X1535" s="40" t="s">
        <v>730</v>
      </c>
      <c r="Y1535" s="40" t="s">
        <v>284</v>
      </c>
      <c r="Z1535" s="40" t="s">
        <v>305</v>
      </c>
      <c r="AA1535" s="33" t="s">
        <v>771</v>
      </c>
      <c r="AB1535" s="95"/>
      <c r="AC1535" s="95"/>
    </row>
    <row r="1536" spans="1:29" ht="14.45" customHeight="1" x14ac:dyDescent="0.25">
      <c r="A1536" s="36" t="str">
        <f>INDEX('Base de données Mono'!C:C,MATCH(B1536,'Base de données Mono'!D:D,0))</f>
        <v>CROIX ROUSSE</v>
      </c>
      <c r="B1536" t="s">
        <v>116</v>
      </c>
      <c r="C1536" s="36" t="str">
        <f>INDEX('Base de données Mono'!B:B,MATCH(B1536,'Base de données Mono'!D:D,0))</f>
        <v>SES8</v>
      </c>
      <c r="D1536" s="36" t="str">
        <f>INDEX('Base de données Mono'!A:A,MATCH(B1536,'Base de données Mono'!D:D,0))</f>
        <v>JG</v>
      </c>
      <c r="E1536" s="37" t="s">
        <v>303</v>
      </c>
      <c r="F1536" s="41">
        <f t="shared" si="417"/>
        <v>17</v>
      </c>
      <c r="G1536" s="41">
        <f t="shared" si="418"/>
        <v>4</v>
      </c>
      <c r="I1536" s="131">
        <f>INDEX('Base de données Mono'!K:K,MATCH(B1536,'Base de données Mono'!D:D,0))</f>
        <v>0.20486111111111113</v>
      </c>
      <c r="J1536" s="131">
        <f>INDEX('Base de données Mono'!L:L,MATCH(B1536,'Base de données Mono'!D:D,0))</f>
        <v>0.89583333333333337</v>
      </c>
      <c r="K1536" s="131">
        <f>INDEX('Base de données Mono'!M:M,MATCH(B1536,'Base de données Mono'!D:D,0))</f>
        <v>0.29166666666666669</v>
      </c>
      <c r="L1536" s="131">
        <f>INDEX('Base de données Mono'!N:N,MATCH(B1536,'Base de données Mono'!D:D,0))</f>
        <v>0.5625</v>
      </c>
      <c r="M1536" s="33" t="s">
        <v>46</v>
      </c>
      <c r="N1536" s="33">
        <f>IF(AND(E1536="Electricité",M1536="Hiver"),INDEX('Base de données Mono'!E:E,MATCH(B1536,'Base de données Mono'!D:D,0)),IF(AND(E1536="Electricité",M1536="Mi-saison"),INDEX('Base de données Mono'!F:F,MATCH(B1536,'Base de données Mono'!D:D,0)),IF(AND(E1536="Electricité",M1536="Eté"),INDEX('Base de données Mono'!G:G,MATCH(B1536,'Base de données Mono'!D:D,0)),IF(AND(E1536="Gaz",M1536="Hiver"),INDEX('Base de données Mono'!J:J,MATCH(B1536,'Base de données Mono'!D:D,0)),IF(AND(E1536="Gaz",M1536="Mi-saison"),INDEX('Base de données Mono'!#REF!,MATCH(B1536,'Base de données Mono'!D:D,0)),IF(AND(E1536="Gaz",M1536="Eté"),INDEX('Base de données Mono'!#REF!,MATCH(B1536,'Base de données Mono'!D:D,0)),"-"))))))</f>
        <v>80</v>
      </c>
      <c r="O1536" s="123">
        <v>45410</v>
      </c>
      <c r="P1536" s="123">
        <v>45410</v>
      </c>
      <c r="Q1536" s="34">
        <v>145</v>
      </c>
      <c r="R1536" s="33">
        <f t="shared" si="419"/>
        <v>65</v>
      </c>
      <c r="S1536" s="34">
        <v>7</v>
      </c>
      <c r="T1536" s="34">
        <v>1</v>
      </c>
      <c r="U1536" s="33">
        <f t="shared" si="420"/>
        <v>455</v>
      </c>
      <c r="V1536" s="38" t="s">
        <v>827</v>
      </c>
      <c r="W1536" s="39">
        <f t="shared" si="421"/>
        <v>0.8125</v>
      </c>
      <c r="X1536" s="40" t="s">
        <v>730</v>
      </c>
      <c r="Y1536" s="40" t="s">
        <v>284</v>
      </c>
      <c r="Z1536" s="40" t="s">
        <v>307</v>
      </c>
      <c r="AA1536" s="33" t="s">
        <v>308</v>
      </c>
      <c r="AB1536" s="95"/>
      <c r="AC1536" s="95"/>
    </row>
    <row r="1537" spans="1:29" ht="14.45" customHeight="1" x14ac:dyDescent="0.25">
      <c r="A1537" s="36" t="str">
        <f>INDEX('Base de données Mono'!C:C,MATCH(B1537,'Base de données Mono'!D:D,0))</f>
        <v>MONTPELLIER COMEDIE</v>
      </c>
      <c r="B1537" t="s">
        <v>179</v>
      </c>
      <c r="C1537" s="36" t="str">
        <f>INDEX('Base de données Mono'!B:B,MATCH(B1537,'Base de données Mono'!D:D,0))</f>
        <v>SES8</v>
      </c>
      <c r="D1537" s="36" t="str">
        <f>INDEX('Base de données Mono'!A:A,MATCH(B1537,'Base de données Mono'!D:D,0))</f>
        <v>AD</v>
      </c>
      <c r="E1537" s="37" t="s">
        <v>303</v>
      </c>
      <c r="F1537" s="41">
        <f t="shared" si="417"/>
        <v>17</v>
      </c>
      <c r="G1537" s="41">
        <f t="shared" si="418"/>
        <v>4</v>
      </c>
      <c r="I1537" s="131">
        <f>INDEX('Base de données Mono'!K:K,MATCH(B1537,'Base de données Mono'!D:D,0))</f>
        <v>0.1875</v>
      </c>
      <c r="J1537" s="131">
        <f>INDEX('Base de données Mono'!L:L,MATCH(B1537,'Base de données Mono'!D:D,0))</f>
        <v>0.91666666666666663</v>
      </c>
      <c r="K1537" s="131">
        <f>INDEX('Base de données Mono'!M:M,MATCH(B1537,'Base de données Mono'!D:D,0))</f>
        <v>0.29166666666666669</v>
      </c>
      <c r="L1537" s="131">
        <f>INDEX('Base de données Mono'!N:N,MATCH(B1537,'Base de données Mono'!D:D,0))</f>
        <v>0.54166666666666663</v>
      </c>
      <c r="M1537" s="33" t="s">
        <v>46</v>
      </c>
      <c r="N1537" s="33">
        <f>IF(AND(E1537="Electricité",M1537="Hiver"),INDEX('Base de données Mono'!E:E,MATCH(B1537,'Base de données Mono'!D:D,0)),IF(AND(E1537="Electricité",M1537="Mi-saison"),INDEX('Base de données Mono'!F:F,MATCH(B1537,'Base de données Mono'!D:D,0)),IF(AND(E1537="Electricité",M1537="Eté"),INDEX('Base de données Mono'!G:G,MATCH(B1537,'Base de données Mono'!D:D,0)),IF(AND(E1537="Gaz",M1537="Hiver"),INDEX('Base de données Mono'!J:J,MATCH(B1537,'Base de données Mono'!D:D,0)),IF(AND(E1537="Gaz",M1537="Mi-saison"),INDEX('Base de données Mono'!#REF!,MATCH(B1537,'Base de données Mono'!D:D,0)),IF(AND(E1537="Gaz",M1537="Eté"),INDEX('Base de données Mono'!#REF!,MATCH(B1537,'Base de données Mono'!D:D,0)),"-"))))))</f>
        <v>60</v>
      </c>
      <c r="O1537" s="123">
        <v>45410</v>
      </c>
      <c r="P1537" s="123">
        <v>45410</v>
      </c>
      <c r="Q1537" s="34">
        <v>110</v>
      </c>
      <c r="R1537" s="33">
        <f t="shared" si="419"/>
        <v>50</v>
      </c>
      <c r="S1537" s="34">
        <v>7.5</v>
      </c>
      <c r="T1537" s="34">
        <v>1</v>
      </c>
      <c r="U1537" s="33">
        <f t="shared" si="420"/>
        <v>375</v>
      </c>
      <c r="V1537" s="38" t="s">
        <v>827</v>
      </c>
      <c r="W1537" s="39">
        <f t="shared" si="421"/>
        <v>0.83333333333333337</v>
      </c>
      <c r="X1537" s="40" t="s">
        <v>730</v>
      </c>
      <c r="Y1537" s="40" t="s">
        <v>284</v>
      </c>
      <c r="Z1537" s="40" t="s">
        <v>307</v>
      </c>
      <c r="AA1537" s="33" t="s">
        <v>308</v>
      </c>
      <c r="AB1537" s="95"/>
      <c r="AC1537" s="95"/>
    </row>
    <row r="1538" spans="1:29" ht="14.45" customHeight="1" x14ac:dyDescent="0.25">
      <c r="A1538" s="36" t="str">
        <f>INDEX('Base de données Mono'!C:C,MATCH(B1538,'Base de données Mono'!D:D,0))</f>
        <v>MONTPELLIER COMEDIE</v>
      </c>
      <c r="B1538" t="s">
        <v>179</v>
      </c>
      <c r="C1538" s="36" t="str">
        <f>INDEX('Base de données Mono'!B:B,MATCH(B1538,'Base de données Mono'!D:D,0))</f>
        <v>SES8</v>
      </c>
      <c r="D1538" s="36" t="str">
        <f>INDEX('Base de données Mono'!A:A,MATCH(B1538,'Base de données Mono'!D:D,0))</f>
        <v>AD</v>
      </c>
      <c r="E1538" s="37" t="s">
        <v>303</v>
      </c>
      <c r="F1538" s="41">
        <f t="shared" si="417"/>
        <v>17</v>
      </c>
      <c r="G1538" s="41">
        <f t="shared" si="418"/>
        <v>4</v>
      </c>
      <c r="I1538" s="131">
        <f>INDEX('Base de données Mono'!K:K,MATCH(B1538,'Base de données Mono'!D:D,0))</f>
        <v>0.1875</v>
      </c>
      <c r="J1538" s="131">
        <f>INDEX('Base de données Mono'!L:L,MATCH(B1538,'Base de données Mono'!D:D,0))</f>
        <v>0.91666666666666663</v>
      </c>
      <c r="K1538" s="131">
        <f>INDEX('Base de données Mono'!M:M,MATCH(B1538,'Base de données Mono'!D:D,0))</f>
        <v>0.29166666666666669</v>
      </c>
      <c r="L1538" s="131">
        <f>INDEX('Base de données Mono'!N:N,MATCH(B1538,'Base de données Mono'!D:D,0))</f>
        <v>0.54166666666666663</v>
      </c>
      <c r="M1538" s="33" t="s">
        <v>46</v>
      </c>
      <c r="N1538" s="33">
        <f>IF(AND(E1538="Electricité",M1538="Hiver"),INDEX('Base de données Mono'!E:E,MATCH(B1538,'Base de données Mono'!D:D,0)),IF(AND(E1538="Electricité",M1538="Mi-saison"),INDEX('Base de données Mono'!F:F,MATCH(B1538,'Base de données Mono'!D:D,0)),IF(AND(E1538="Electricité",M1538="Eté"),INDEX('Base de données Mono'!G:G,MATCH(B1538,'Base de données Mono'!D:D,0)),IF(AND(E1538="Gaz",M1538="Hiver"),INDEX('Base de données Mono'!J:J,MATCH(B1538,'Base de données Mono'!D:D,0)),IF(AND(E1538="Gaz",M1538="Mi-saison"),INDEX('Base de données Mono'!#REF!,MATCH(B1538,'Base de données Mono'!D:D,0)),IF(AND(E1538="Gaz",M1538="Eté"),INDEX('Base de données Mono'!#REF!,MATCH(B1538,'Base de données Mono'!D:D,0)),"-"))))))</f>
        <v>60</v>
      </c>
      <c r="O1538" s="123">
        <v>45410</v>
      </c>
      <c r="P1538" s="123">
        <v>45410</v>
      </c>
      <c r="Q1538" s="34">
        <v>65</v>
      </c>
      <c r="R1538" s="33">
        <f t="shared" si="419"/>
        <v>5</v>
      </c>
      <c r="S1538" s="34">
        <v>1.5</v>
      </c>
      <c r="T1538" s="34">
        <v>1</v>
      </c>
      <c r="U1538" s="33">
        <f t="shared" si="420"/>
        <v>7.5</v>
      </c>
      <c r="V1538" s="38" t="s">
        <v>827</v>
      </c>
      <c r="W1538" s="39">
        <f t="shared" si="421"/>
        <v>8.3333333333333329E-2</v>
      </c>
      <c r="X1538" s="40" t="s">
        <v>730</v>
      </c>
      <c r="Y1538" s="40" t="s">
        <v>284</v>
      </c>
      <c r="Z1538" s="40" t="s">
        <v>305</v>
      </c>
      <c r="AA1538" s="33" t="s">
        <v>771</v>
      </c>
      <c r="AB1538" s="95"/>
      <c r="AC1538" s="95"/>
    </row>
    <row r="1539" spans="1:29" ht="14.45" customHeight="1" x14ac:dyDescent="0.25">
      <c r="A1539" s="36" t="str">
        <f>INDEX('Base de données Mono'!C:C,MATCH(B1539,'Base de données Mono'!D:D,0))</f>
        <v>VILLEJUIF</v>
      </c>
      <c r="B1539" t="s">
        <v>273</v>
      </c>
      <c r="C1539" s="36" t="str">
        <f>INDEX('Base de données Mono'!B:B,MATCH(B1539,'Base de données Mono'!D:D,0))</f>
        <v>SES8</v>
      </c>
      <c r="D1539" s="36" t="str">
        <f>INDEX('Base de données Mono'!A:A,MATCH(B1539,'Base de données Mono'!D:D,0))</f>
        <v>JG</v>
      </c>
      <c r="E1539" s="37" t="s">
        <v>303</v>
      </c>
      <c r="F1539" s="41">
        <f t="shared" si="417"/>
        <v>17</v>
      </c>
      <c r="G1539" s="41">
        <f t="shared" si="418"/>
        <v>4</v>
      </c>
      <c r="I1539" s="131">
        <f>INDEX('Base de données Mono'!K:K,MATCH(B1539,'Base de données Mono'!D:D,0))</f>
        <v>0.23611111111111113</v>
      </c>
      <c r="J1539" s="131">
        <f>INDEX('Base de données Mono'!L:L,MATCH(B1539,'Base de données Mono'!D:D,0))</f>
        <v>0.85416666666666663</v>
      </c>
      <c r="K1539" s="131">
        <f>INDEX('Base de données Mono'!M:M,MATCH(B1539,'Base de données Mono'!D:D,0))</f>
        <v>0.31944444444444448</v>
      </c>
      <c r="L1539" s="131">
        <f>INDEX('Base de données Mono'!N:N,MATCH(B1539,'Base de données Mono'!D:D,0))</f>
        <v>0.55208333333333337</v>
      </c>
      <c r="M1539" s="33" t="s">
        <v>46</v>
      </c>
      <c r="N1539" s="33">
        <f>IF(AND(E1539="Electricité",M1539="Hiver"),INDEX('Base de données Mono'!E:E,MATCH(B1539,'Base de données Mono'!D:D,0)),IF(AND(E1539="Electricité",M1539="Mi-saison"),INDEX('Base de données Mono'!F:F,MATCH(B1539,'Base de données Mono'!D:D,0)),IF(AND(E1539="Electricité",M1539="Eté"),INDEX('Base de données Mono'!G:G,MATCH(B1539,'Base de données Mono'!D:D,0)),IF(AND(E1539="Gaz",M1539="Hiver"),INDEX('Base de données Mono'!J:J,MATCH(B1539,'Base de données Mono'!D:D,0)),IF(AND(E1539="Gaz",M1539="Mi-saison"),INDEX('Base de données Mono'!#REF!,MATCH(B1539,'Base de données Mono'!D:D,0)),IF(AND(E1539="Gaz",M1539="Eté"),INDEX('Base de données Mono'!#REF!,MATCH(B1539,'Base de données Mono'!D:D,0)),"-"))))))</f>
        <v>45</v>
      </c>
      <c r="O1539" s="123">
        <v>45410</v>
      </c>
      <c r="P1539" s="123">
        <v>45410</v>
      </c>
      <c r="Q1539" s="34">
        <v>80</v>
      </c>
      <c r="R1539" s="33">
        <f t="shared" si="419"/>
        <v>35</v>
      </c>
      <c r="S1539" s="34">
        <v>6.5</v>
      </c>
      <c r="T1539" s="34">
        <v>1</v>
      </c>
      <c r="U1539" s="33">
        <f t="shared" si="420"/>
        <v>227.5</v>
      </c>
      <c r="V1539" s="38" t="s">
        <v>827</v>
      </c>
      <c r="W1539" s="39">
        <f t="shared" si="421"/>
        <v>0.77777777777777779</v>
      </c>
      <c r="X1539" s="40" t="s">
        <v>730</v>
      </c>
      <c r="Y1539" s="40" t="s">
        <v>284</v>
      </c>
      <c r="Z1539" s="40" t="s">
        <v>307</v>
      </c>
      <c r="AA1539" s="33" t="s">
        <v>308</v>
      </c>
      <c r="AB1539" s="95"/>
      <c r="AC1539" s="95"/>
    </row>
    <row r="1540" spans="1:29" ht="14.45" customHeight="1" x14ac:dyDescent="0.25">
      <c r="A1540" s="36" t="str">
        <f>INDEX('Base de données Mono'!C:C,MATCH(B1540,'Base de données Mono'!D:D,0))</f>
        <v>LE HAVRE</v>
      </c>
      <c r="B1540" t="s">
        <v>152</v>
      </c>
      <c r="C1540" s="36" t="str">
        <f>INDEX('Base de données Mono'!B:B,MATCH(B1540,'Base de données Mono'!D:D,0))</f>
        <v>SES8</v>
      </c>
      <c r="D1540" s="36" t="str">
        <f>INDEX('Base de données Mono'!A:A,MATCH(B1540,'Base de données Mono'!D:D,0))</f>
        <v>AD</v>
      </c>
      <c r="E1540" s="37" t="s">
        <v>303</v>
      </c>
      <c r="F1540" s="41">
        <f t="shared" ref="F1540:F1570" si="422">IF(O1540="","-",IF(AND(X1540="Nuit",WEEKDAY(O1540,2)=7,O1540&lt;&gt;P1540),WEEKNUM(O1540,2),WEEKNUM(O1540,2)-1))+1</f>
        <v>17</v>
      </c>
      <c r="G1540" s="41">
        <f t="shared" ref="G1540:G1570" si="423">IF(O1540="","-",MONTH(O1540))</f>
        <v>4</v>
      </c>
      <c r="I1540" s="131">
        <f>INDEX('Base de données Mono'!K:K,MATCH(B1540,'Base de données Mono'!D:D,0))</f>
        <v>0.1875</v>
      </c>
      <c r="J1540" s="131">
        <f>INDEX('Base de données Mono'!L:L,MATCH(B1540,'Base de données Mono'!D:D,0))</f>
        <v>0.88541666666666663</v>
      </c>
      <c r="K1540" s="131" t="str">
        <f>INDEX('Base de données Mono'!M:M,MATCH(B1540,'Base de données Mono'!D:D,0))</f>
        <v>-</v>
      </c>
      <c r="L1540" s="131" t="str">
        <f>INDEX('Base de données Mono'!N:N,MATCH(B1540,'Base de données Mono'!D:D,0))</f>
        <v>-</v>
      </c>
      <c r="M1540" s="33" t="s">
        <v>46</v>
      </c>
      <c r="N1540" s="33">
        <f>IF(AND(E1540="Electricité",M1540="Hiver"),INDEX('Base de données Mono'!E:E,MATCH(B1540,'Base de données Mono'!D:D,0)),IF(AND(E1540="Electricité",M1540="Mi-saison"),INDEX('Base de données Mono'!F:F,MATCH(B1540,'Base de données Mono'!D:D,0)),IF(AND(E1540="Electricité",M1540="Eté"),INDEX('Base de données Mono'!G:G,MATCH(B1540,'Base de données Mono'!D:D,0)),IF(AND(E1540="Gaz",M1540="Hiver"),INDEX('Base de données Mono'!J:J,MATCH(B1540,'Base de données Mono'!D:D,0)),IF(AND(E1540="Gaz",M1540="Mi-saison"),INDEX('Base de données Mono'!#REF!,MATCH(B1540,'Base de données Mono'!D:D,0)),IF(AND(E1540="Gaz",M1540="Eté"),INDEX('Base de données Mono'!#REF!,MATCH(B1540,'Base de données Mono'!D:D,0)),"-"))))))</f>
        <v>60</v>
      </c>
      <c r="O1540" s="123">
        <v>45410</v>
      </c>
      <c r="P1540" s="123">
        <v>45410</v>
      </c>
      <c r="Q1540" s="34">
        <v>65</v>
      </c>
      <c r="R1540" s="33">
        <f t="shared" ref="R1540:R1570" si="424">IF(Q1540="","",Q1540-N1540)</f>
        <v>5</v>
      </c>
      <c r="S1540" s="34">
        <v>16</v>
      </c>
      <c r="T1540" s="34">
        <v>1</v>
      </c>
      <c r="U1540" s="33">
        <f t="shared" ref="U1540:U1570" si="425">R1540*S1540*T1540</f>
        <v>80</v>
      </c>
      <c r="V1540" s="38" t="s">
        <v>827</v>
      </c>
      <c r="W1540" s="39">
        <f t="shared" ref="W1540:W1570" si="426">IFERROR(IF(E1540="Gaz","-",R1540/N1540),"-")</f>
        <v>8.3333333333333329E-2</v>
      </c>
      <c r="X1540" s="40" t="s">
        <v>730</v>
      </c>
      <c r="Y1540" s="40" t="s">
        <v>284</v>
      </c>
      <c r="Z1540" s="40" t="s">
        <v>305</v>
      </c>
      <c r="AA1540" s="33" t="s">
        <v>771</v>
      </c>
      <c r="AB1540" s="95"/>
      <c r="AC1540" s="95"/>
    </row>
    <row r="1541" spans="1:29" ht="14.45" customHeight="1" x14ac:dyDescent="0.25">
      <c r="A1541" s="36" t="str">
        <f>INDEX('Base de données Mono'!C:C,MATCH(B1541,'Base de données Mono'!D:D,0))</f>
        <v>SABLONS</v>
      </c>
      <c r="B1541" t="s">
        <v>32</v>
      </c>
      <c r="C1541" s="36" t="str">
        <f>INDEX('Base de données Mono'!B:B,MATCH(B1541,'Base de données Mono'!D:D,0))</f>
        <v>SES8</v>
      </c>
      <c r="D1541" s="36" t="str">
        <f>INDEX('Base de données Mono'!A:A,MATCH(B1541,'Base de données Mono'!D:D,0))</f>
        <v>AD</v>
      </c>
      <c r="E1541" s="37" t="s">
        <v>303</v>
      </c>
      <c r="F1541" s="41">
        <f t="shared" si="422"/>
        <v>17</v>
      </c>
      <c r="G1541" s="41">
        <f t="shared" si="423"/>
        <v>4</v>
      </c>
      <c r="I1541" s="131">
        <f>INDEX('Base de données Mono'!K:K,MATCH(B1541,'Base de données Mono'!D:D,0))</f>
        <v>0.23611111111111113</v>
      </c>
      <c r="J1541" s="131">
        <f>INDEX('Base de données Mono'!L:L,MATCH(B1541,'Base de données Mono'!D:D,0))</f>
        <v>0.91666666666666663</v>
      </c>
      <c r="K1541" s="131">
        <f>INDEX('Base de données Mono'!M:M,MATCH(B1541,'Base de données Mono'!D:D,0))</f>
        <v>0.25694444444444448</v>
      </c>
      <c r="L1541" s="131">
        <f>INDEX('Base de données Mono'!N:N,MATCH(B1541,'Base de données Mono'!D:D,0))</f>
        <v>0.60069444444444442</v>
      </c>
      <c r="M1541" s="33" t="s">
        <v>46</v>
      </c>
      <c r="N1541" s="33">
        <f>IF(AND(E1541="Electricité",M1541="Hiver"),INDEX('Base de données Mono'!E:E,MATCH(B1541,'Base de données Mono'!D:D,0)),IF(AND(E1541="Electricité",M1541="Mi-saison"),INDEX('Base de données Mono'!F:F,MATCH(B1541,'Base de données Mono'!D:D,0)),IF(AND(E1541="Electricité",M1541="Eté"),INDEX('Base de données Mono'!G:G,MATCH(B1541,'Base de données Mono'!D:D,0)),IF(AND(E1541="Gaz",M1541="Hiver"),INDEX('Base de données Mono'!J:J,MATCH(B1541,'Base de données Mono'!D:D,0)),IF(AND(E1541="Gaz",M1541="Mi-saison"),INDEX('Base de données Mono'!#REF!,MATCH(B1541,'Base de données Mono'!D:D,0)),IF(AND(E1541="Gaz",M1541="Eté"),INDEX('Base de données Mono'!#REF!,MATCH(B1541,'Base de données Mono'!D:D,0)),"-"))))))</f>
        <v>70</v>
      </c>
      <c r="O1541" s="123">
        <v>45410</v>
      </c>
      <c r="P1541" s="123">
        <v>45410</v>
      </c>
      <c r="Q1541" s="34">
        <v>145</v>
      </c>
      <c r="R1541" s="33">
        <f t="shared" si="424"/>
        <v>75</v>
      </c>
      <c r="S1541" s="34">
        <v>5.5</v>
      </c>
      <c r="T1541" s="34">
        <v>1</v>
      </c>
      <c r="U1541" s="33">
        <f t="shared" si="425"/>
        <v>412.5</v>
      </c>
      <c r="V1541" s="38" t="s">
        <v>827</v>
      </c>
      <c r="W1541" s="39">
        <f t="shared" si="426"/>
        <v>1.0714285714285714</v>
      </c>
      <c r="X1541" s="40" t="s">
        <v>730</v>
      </c>
      <c r="Y1541" s="40" t="s">
        <v>284</v>
      </c>
      <c r="Z1541" s="40" t="s">
        <v>307</v>
      </c>
      <c r="AA1541" s="33" t="s">
        <v>308</v>
      </c>
      <c r="AB1541" s="95"/>
      <c r="AC1541" s="95"/>
    </row>
    <row r="1542" spans="1:29" ht="14.45" customHeight="1" x14ac:dyDescent="0.25">
      <c r="A1542" s="36" t="str">
        <f>INDEX('Base de données Mono'!C:C,MATCH(B1542,'Base de données Mono'!D:D,0))</f>
        <v>SABLONS</v>
      </c>
      <c r="B1542" t="s">
        <v>32</v>
      </c>
      <c r="C1542" s="36" t="str">
        <f>INDEX('Base de données Mono'!B:B,MATCH(B1542,'Base de données Mono'!D:D,0))</f>
        <v>SES8</v>
      </c>
      <c r="D1542" s="36" t="str">
        <f>INDEX('Base de données Mono'!A:A,MATCH(B1542,'Base de données Mono'!D:D,0))</f>
        <v>AD</v>
      </c>
      <c r="E1542" s="37" t="s">
        <v>303</v>
      </c>
      <c r="F1542" s="41">
        <f t="shared" si="422"/>
        <v>17</v>
      </c>
      <c r="G1542" s="41">
        <f t="shared" si="423"/>
        <v>4</v>
      </c>
      <c r="I1542" s="131">
        <f>INDEX('Base de données Mono'!K:K,MATCH(B1542,'Base de données Mono'!D:D,0))</f>
        <v>0.23611111111111113</v>
      </c>
      <c r="J1542" s="131">
        <f>INDEX('Base de données Mono'!L:L,MATCH(B1542,'Base de données Mono'!D:D,0))</f>
        <v>0.91666666666666663</v>
      </c>
      <c r="K1542" s="131">
        <f>INDEX('Base de données Mono'!M:M,MATCH(B1542,'Base de données Mono'!D:D,0))</f>
        <v>0.25694444444444448</v>
      </c>
      <c r="L1542" s="131">
        <f>INDEX('Base de données Mono'!N:N,MATCH(B1542,'Base de données Mono'!D:D,0))</f>
        <v>0.60069444444444442</v>
      </c>
      <c r="M1542" s="33" t="s">
        <v>46</v>
      </c>
      <c r="N1542" s="33">
        <f>IF(AND(E1542="Electricité",M1542="Hiver"),INDEX('Base de données Mono'!E:E,MATCH(B1542,'Base de données Mono'!D:D,0)),IF(AND(E1542="Electricité",M1542="Mi-saison"),INDEX('Base de données Mono'!F:F,MATCH(B1542,'Base de données Mono'!D:D,0)),IF(AND(E1542="Electricité",M1542="Eté"),INDEX('Base de données Mono'!G:G,MATCH(B1542,'Base de données Mono'!D:D,0)),IF(AND(E1542="Gaz",M1542="Hiver"),INDEX('Base de données Mono'!J:J,MATCH(B1542,'Base de données Mono'!D:D,0)),IF(AND(E1542="Gaz",M1542="Mi-saison"),INDEX('Base de données Mono'!#REF!,MATCH(B1542,'Base de données Mono'!D:D,0)),IF(AND(E1542="Gaz",M1542="Eté"),INDEX('Base de données Mono'!#REF!,MATCH(B1542,'Base de données Mono'!D:D,0)),"-"))))))</f>
        <v>70</v>
      </c>
      <c r="O1542" s="123">
        <v>45410</v>
      </c>
      <c r="P1542" s="123">
        <v>45410</v>
      </c>
      <c r="Q1542" s="34">
        <v>95</v>
      </c>
      <c r="R1542" s="33">
        <f t="shared" si="424"/>
        <v>25</v>
      </c>
      <c r="S1542" s="34">
        <v>2</v>
      </c>
      <c r="T1542" s="34">
        <v>1</v>
      </c>
      <c r="U1542" s="33">
        <f t="shared" si="425"/>
        <v>50</v>
      </c>
      <c r="V1542" s="38" t="s">
        <v>827</v>
      </c>
      <c r="W1542" s="39">
        <f t="shared" si="426"/>
        <v>0.35714285714285715</v>
      </c>
      <c r="X1542" s="40" t="s">
        <v>730</v>
      </c>
      <c r="Y1542" s="40" t="s">
        <v>284</v>
      </c>
      <c r="Z1542" s="40" t="s">
        <v>305</v>
      </c>
      <c r="AA1542" s="33" t="s">
        <v>771</v>
      </c>
      <c r="AB1542" s="95"/>
      <c r="AC1542" s="95"/>
    </row>
    <row r="1543" spans="1:29" ht="14.45" customHeight="1" x14ac:dyDescent="0.25">
      <c r="A1543" s="36" t="str">
        <f>INDEX('Base de données Mono'!C:C,MATCH(B1543,'Base de données Mono'!D:D,0))</f>
        <v>SAINT RAPHAEL</v>
      </c>
      <c r="B1543" t="s">
        <v>36</v>
      </c>
      <c r="C1543" s="36" t="str">
        <f>INDEX('Base de données Mono'!B:B,MATCH(B1543,'Base de données Mono'!D:D,0))</f>
        <v>SES8</v>
      </c>
      <c r="D1543" s="36" t="str">
        <f>INDEX('Base de données Mono'!A:A,MATCH(B1543,'Base de données Mono'!D:D,0))</f>
        <v>JG</v>
      </c>
      <c r="E1543" s="37" t="s">
        <v>303</v>
      </c>
      <c r="F1543" s="41">
        <f t="shared" si="422"/>
        <v>17</v>
      </c>
      <c r="G1543" s="41">
        <f t="shared" si="423"/>
        <v>4</v>
      </c>
      <c r="I1543" s="131">
        <f>INDEX('Base de données Mono'!K:K,MATCH(B1543,'Base de données Mono'!D:D,0))</f>
        <v>0.20833333333333334</v>
      </c>
      <c r="J1543" s="131">
        <f>INDEX('Base de données Mono'!L:L,MATCH(B1543,'Base de données Mono'!D:D,0))</f>
        <v>0.85416666666666663</v>
      </c>
      <c r="K1543" s="131">
        <f>INDEX('Base de données Mono'!M:M,MATCH(B1543,'Base de données Mono'!D:D,0))</f>
        <v>0.3125</v>
      </c>
      <c r="L1543" s="131">
        <f>INDEX('Base de données Mono'!N:N,MATCH(B1543,'Base de données Mono'!D:D,0))</f>
        <v>0.55902777777777779</v>
      </c>
      <c r="M1543" s="33" t="s">
        <v>46</v>
      </c>
      <c r="N1543" s="33">
        <f>IF(AND(E1543="Electricité",M1543="Hiver"),INDEX('Base de données Mono'!E:E,MATCH(B1543,'Base de données Mono'!D:D,0)),IF(AND(E1543="Electricité",M1543="Mi-saison"),INDEX('Base de données Mono'!F:F,MATCH(B1543,'Base de données Mono'!D:D,0)),IF(AND(E1543="Electricité",M1543="Eté"),INDEX('Base de données Mono'!G:G,MATCH(B1543,'Base de données Mono'!D:D,0)),IF(AND(E1543="Gaz",M1543="Hiver"),INDEX('Base de données Mono'!J:J,MATCH(B1543,'Base de données Mono'!D:D,0)),IF(AND(E1543="Gaz",M1543="Mi-saison"),INDEX('Base de données Mono'!#REF!,MATCH(B1543,'Base de données Mono'!D:D,0)),IF(AND(E1543="Gaz",M1543="Eté"),INDEX('Base de données Mono'!#REF!,MATCH(B1543,'Base de données Mono'!D:D,0)),"-"))))))</f>
        <v>35</v>
      </c>
      <c r="O1543" s="123">
        <v>45410</v>
      </c>
      <c r="P1543" s="123">
        <v>45410</v>
      </c>
      <c r="Q1543" s="34">
        <v>60</v>
      </c>
      <c r="R1543" s="33">
        <f t="shared" si="424"/>
        <v>25</v>
      </c>
      <c r="S1543" s="34">
        <v>7</v>
      </c>
      <c r="T1543" s="34">
        <v>1</v>
      </c>
      <c r="U1543" s="33">
        <f t="shared" si="425"/>
        <v>175</v>
      </c>
      <c r="V1543" s="38" t="s">
        <v>827</v>
      </c>
      <c r="W1543" s="39">
        <f t="shared" si="426"/>
        <v>0.7142857142857143</v>
      </c>
      <c r="X1543" s="40" t="s">
        <v>730</v>
      </c>
      <c r="Y1543" s="40" t="s">
        <v>284</v>
      </c>
      <c r="Z1543" s="40" t="s">
        <v>307</v>
      </c>
      <c r="AA1543" s="33" t="s">
        <v>308</v>
      </c>
      <c r="AB1543" s="95"/>
      <c r="AC1543" s="95"/>
    </row>
    <row r="1544" spans="1:29" ht="14.45" customHeight="1" x14ac:dyDescent="0.25">
      <c r="A1544" s="36" t="str">
        <f>INDEX('Base de données Mono'!C:C,MATCH(B1544,'Base de données Mono'!D:D,0))</f>
        <v>VINCI COURBEVOIE</v>
      </c>
      <c r="B1544" t="s">
        <v>279</v>
      </c>
      <c r="C1544" s="36" t="str">
        <f>INDEX('Base de données Mono'!B:B,MATCH(B1544,'Base de données Mono'!D:D,0))</f>
        <v>SES8</v>
      </c>
      <c r="D1544" s="36" t="str">
        <f>INDEX('Base de données Mono'!A:A,MATCH(B1544,'Base de données Mono'!D:D,0))</f>
        <v>AD</v>
      </c>
      <c r="E1544" s="37" t="s">
        <v>303</v>
      </c>
      <c r="F1544" s="41">
        <f t="shared" si="422"/>
        <v>17</v>
      </c>
      <c r="G1544" s="41">
        <f t="shared" si="423"/>
        <v>4</v>
      </c>
      <c r="I1544" s="131">
        <f>INDEX('Base de données Mono'!K:K,MATCH(B1544,'Base de données Mono'!D:D,0))</f>
        <v>0.25</v>
      </c>
      <c r="J1544" s="131">
        <f>INDEX('Base de données Mono'!L:L,MATCH(B1544,'Base de données Mono'!D:D,0))</f>
        <v>0.91666666666666663</v>
      </c>
      <c r="K1544" s="131">
        <f>INDEX('Base de données Mono'!M:M,MATCH(B1544,'Base de données Mono'!D:D,0))</f>
        <v>0.27777777777777779</v>
      </c>
      <c r="L1544" s="131">
        <f>INDEX('Base de données Mono'!N:N,MATCH(B1544,'Base de données Mono'!D:D,0))</f>
        <v>0.5625</v>
      </c>
      <c r="M1544" s="33" t="s">
        <v>46</v>
      </c>
      <c r="N1544" s="33">
        <f>IF(AND(E1544="Electricité",M1544="Hiver"),INDEX('Base de données Mono'!E:E,MATCH(B1544,'Base de données Mono'!D:D,0)),IF(AND(E1544="Electricité",M1544="Mi-saison"),INDEX('Base de données Mono'!F:F,MATCH(B1544,'Base de données Mono'!D:D,0)),IF(AND(E1544="Electricité",M1544="Eté"),INDEX('Base de données Mono'!G:G,MATCH(B1544,'Base de données Mono'!D:D,0)),IF(AND(E1544="Gaz",M1544="Hiver"),INDEX('Base de données Mono'!J:J,MATCH(B1544,'Base de données Mono'!D:D,0)),IF(AND(E1544="Gaz",M1544="Mi-saison"),INDEX('Base de données Mono'!#REF!,MATCH(B1544,'Base de données Mono'!D:D,0)),IF(AND(E1544="Gaz",M1544="Eté"),INDEX('Base de données Mono'!#REF!,MATCH(B1544,'Base de données Mono'!D:D,0)),"-"))))))</f>
        <v>75</v>
      </c>
      <c r="O1544" s="123">
        <v>45410</v>
      </c>
      <c r="P1544" s="123">
        <v>45410</v>
      </c>
      <c r="Q1544" s="34">
        <v>115</v>
      </c>
      <c r="R1544" s="33">
        <f t="shared" si="424"/>
        <v>40</v>
      </c>
      <c r="S1544" s="34">
        <v>7</v>
      </c>
      <c r="T1544" s="34">
        <v>1</v>
      </c>
      <c r="U1544" s="33">
        <f t="shared" si="425"/>
        <v>280</v>
      </c>
      <c r="V1544" s="38" t="s">
        <v>827</v>
      </c>
      <c r="W1544" s="39">
        <f t="shared" si="426"/>
        <v>0.53333333333333333</v>
      </c>
      <c r="X1544" s="40" t="s">
        <v>730</v>
      </c>
      <c r="Y1544" s="40" t="s">
        <v>284</v>
      </c>
      <c r="Z1544" s="40" t="s">
        <v>307</v>
      </c>
      <c r="AA1544" s="33" t="s">
        <v>308</v>
      </c>
      <c r="AB1544" s="95"/>
      <c r="AC1544" s="95"/>
    </row>
    <row r="1545" spans="1:29" ht="14.45" customHeight="1" x14ac:dyDescent="0.25">
      <c r="A1545" s="36" t="str">
        <f>INDEX('Base de données Mono'!C:C,MATCH(B1545,'Base de données Mono'!D:D,0))</f>
        <v>COLOMBES</v>
      </c>
      <c r="B1545" t="s">
        <v>14</v>
      </c>
      <c r="C1545" s="36" t="str">
        <f>INDEX('Base de données Mono'!B:B,MATCH(B1545,'Base de données Mono'!D:D,0))</f>
        <v>SES8</v>
      </c>
      <c r="D1545" s="36" t="str">
        <f>INDEX('Base de données Mono'!A:A,MATCH(B1545,'Base de données Mono'!D:D,0))</f>
        <v>AD</v>
      </c>
      <c r="E1545" s="37" t="s">
        <v>303</v>
      </c>
      <c r="F1545" s="41">
        <f t="shared" si="422"/>
        <v>17</v>
      </c>
      <c r="G1545" s="41">
        <f t="shared" si="423"/>
        <v>4</v>
      </c>
      <c r="I1545" s="131">
        <f>INDEX('Base de données Mono'!K:K,MATCH(B1545,'Base de données Mono'!D:D,0))</f>
        <v>0.24305555555555555</v>
      </c>
      <c r="J1545" s="131">
        <f>INDEX('Base de données Mono'!L:L,MATCH(B1545,'Base de données Mono'!D:D,0))</f>
        <v>0.89583333333333337</v>
      </c>
      <c r="K1545" s="131">
        <f>INDEX('Base de données Mono'!M:M,MATCH(B1545,'Base de données Mono'!D:D,0))</f>
        <v>0.27083333333333331</v>
      </c>
      <c r="L1545" s="131">
        <f>INDEX('Base de données Mono'!N:N,MATCH(B1545,'Base de données Mono'!D:D,0))</f>
        <v>0.55902777777777779</v>
      </c>
      <c r="M1545" s="33" t="s">
        <v>46</v>
      </c>
      <c r="N1545" s="33">
        <f>IF(AND(E1545="Electricité",M1545="Hiver"),INDEX('Base de données Mono'!E:E,MATCH(B1545,'Base de données Mono'!D:D,0)),IF(AND(E1545="Electricité",M1545="Mi-saison"),INDEX('Base de données Mono'!F:F,MATCH(B1545,'Base de données Mono'!D:D,0)),IF(AND(E1545="Electricité",M1545="Eté"),INDEX('Base de données Mono'!G:G,MATCH(B1545,'Base de données Mono'!D:D,0)),IF(AND(E1545="Gaz",M1545="Hiver"),INDEX('Base de données Mono'!J:J,MATCH(B1545,'Base de données Mono'!D:D,0)),IF(AND(E1545="Gaz",M1545="Mi-saison"),INDEX('Base de données Mono'!#REF!,MATCH(B1545,'Base de données Mono'!D:D,0)),IF(AND(E1545="Gaz",M1545="Eté"),INDEX('Base de données Mono'!#REF!,MATCH(B1545,'Base de données Mono'!D:D,0)),"-"))))))</f>
        <v>75</v>
      </c>
      <c r="O1545" s="123">
        <v>45410</v>
      </c>
      <c r="P1545" s="123">
        <v>45410</v>
      </c>
      <c r="Q1545" s="34">
        <v>120</v>
      </c>
      <c r="R1545" s="33">
        <f t="shared" si="424"/>
        <v>45</v>
      </c>
      <c r="S1545" s="34">
        <v>8</v>
      </c>
      <c r="T1545" s="34">
        <v>1</v>
      </c>
      <c r="U1545" s="33">
        <f t="shared" si="425"/>
        <v>360</v>
      </c>
      <c r="V1545" s="38" t="s">
        <v>827</v>
      </c>
      <c r="W1545" s="39">
        <f t="shared" si="426"/>
        <v>0.6</v>
      </c>
      <c r="X1545" s="40" t="s">
        <v>730</v>
      </c>
      <c r="Y1545" s="40" t="s">
        <v>284</v>
      </c>
      <c r="Z1545" s="40" t="s">
        <v>311</v>
      </c>
      <c r="AA1545" s="33" t="s">
        <v>775</v>
      </c>
      <c r="AB1545" s="95"/>
      <c r="AC1545" s="95"/>
    </row>
    <row r="1546" spans="1:29" ht="14.45" customHeight="1" x14ac:dyDescent="0.25">
      <c r="A1546" s="36" t="str">
        <f>INDEX('Base de données Mono'!C:C,MATCH(B1546,'Base de données Mono'!D:D,0))</f>
        <v>BOULOGNE LES PASSAGES</v>
      </c>
      <c r="B1546" t="s">
        <v>7</v>
      </c>
      <c r="C1546" s="36" t="str">
        <f>INDEX('Base de données Mono'!B:B,MATCH(B1546,'Base de données Mono'!D:D,0))</f>
        <v>SES8</v>
      </c>
      <c r="D1546" s="36" t="str">
        <f>INDEX('Base de données Mono'!A:A,MATCH(B1546,'Base de données Mono'!D:D,0))</f>
        <v>AD</v>
      </c>
      <c r="E1546" s="37" t="s">
        <v>303</v>
      </c>
      <c r="F1546" s="41">
        <f t="shared" si="422"/>
        <v>17</v>
      </c>
      <c r="G1546" s="41">
        <f t="shared" si="423"/>
        <v>4</v>
      </c>
      <c r="I1546" s="131">
        <f>INDEX('Base de données Mono'!K:K,MATCH(B1546,'Base de données Mono'!D:D,0))</f>
        <v>0.20833333333333334</v>
      </c>
      <c r="J1546" s="131">
        <f>INDEX('Base de données Mono'!L:L,MATCH(B1546,'Base de données Mono'!D:D,0))</f>
        <v>0.85416666666666663</v>
      </c>
      <c r="K1546" s="131" t="str">
        <f>INDEX('Base de données Mono'!M:M,MATCH(B1546,'Base de données Mono'!D:D,0))</f>
        <v>-</v>
      </c>
      <c r="L1546" s="131" t="str">
        <f>INDEX('Base de données Mono'!N:N,MATCH(B1546,'Base de données Mono'!D:D,0))</f>
        <v>-</v>
      </c>
      <c r="M1546" s="33" t="s">
        <v>46</v>
      </c>
      <c r="N1546" s="33">
        <f>IF(AND(E1546="Electricité",M1546="Hiver"),INDEX('Base de données Mono'!E:E,MATCH(B1546,'Base de données Mono'!D:D,0)),IF(AND(E1546="Electricité",M1546="Mi-saison"),INDEX('Base de données Mono'!F:F,MATCH(B1546,'Base de données Mono'!D:D,0)),IF(AND(E1546="Electricité",M1546="Eté"),INDEX('Base de données Mono'!G:G,MATCH(B1546,'Base de données Mono'!D:D,0)),IF(AND(E1546="Gaz",M1546="Hiver"),INDEX('Base de données Mono'!J:J,MATCH(B1546,'Base de données Mono'!D:D,0)),IF(AND(E1546="Gaz",M1546="Mi-saison"),INDEX('Base de données Mono'!#REF!,MATCH(B1546,'Base de données Mono'!D:D,0)),IF(AND(E1546="Gaz",M1546="Eté"),INDEX('Base de données Mono'!#REF!,MATCH(B1546,'Base de données Mono'!D:D,0)),"-"))))))</f>
        <v>95</v>
      </c>
      <c r="O1546" s="123">
        <v>45410</v>
      </c>
      <c r="P1546" s="123">
        <v>45410</v>
      </c>
      <c r="Q1546" s="34">
        <v>145</v>
      </c>
      <c r="R1546" s="33">
        <f t="shared" si="424"/>
        <v>50</v>
      </c>
      <c r="S1546" s="34">
        <v>6</v>
      </c>
      <c r="T1546" s="34">
        <v>1</v>
      </c>
      <c r="U1546" s="33">
        <f t="shared" si="425"/>
        <v>300</v>
      </c>
      <c r="V1546" s="38" t="s">
        <v>827</v>
      </c>
      <c r="W1546" s="39">
        <f t="shared" si="426"/>
        <v>0.52631578947368418</v>
      </c>
      <c r="X1546" s="40" t="s">
        <v>730</v>
      </c>
      <c r="Y1546" s="40" t="s">
        <v>284</v>
      </c>
      <c r="Z1546" s="40" t="s">
        <v>307</v>
      </c>
      <c r="AA1546" s="33" t="s">
        <v>308</v>
      </c>
      <c r="AB1546" s="95"/>
      <c r="AC1546" s="95"/>
    </row>
    <row r="1547" spans="1:29" ht="14.45" customHeight="1" x14ac:dyDescent="0.25">
      <c r="A1547" s="36" t="str">
        <f>INDEX('Base de données Mono'!C:C,MATCH(B1547,'Base de données Mono'!D:D,0))</f>
        <v>ANNECY COURRIER</v>
      </c>
      <c r="B1547" t="s">
        <v>59</v>
      </c>
      <c r="C1547" s="36" t="str">
        <f>INDEX('Base de données Mono'!B:B,MATCH(B1547,'Base de données Mono'!D:D,0))</f>
        <v>SES8</v>
      </c>
      <c r="D1547" s="36" t="str">
        <f>INDEX('Base de données Mono'!A:A,MATCH(B1547,'Base de données Mono'!D:D,0))</f>
        <v>JG</v>
      </c>
      <c r="E1547" s="37" t="s">
        <v>303</v>
      </c>
      <c r="F1547" s="41">
        <f t="shared" si="422"/>
        <v>17</v>
      </c>
      <c r="G1547" s="41">
        <f t="shared" si="423"/>
        <v>4</v>
      </c>
      <c r="I1547" s="131">
        <f>INDEX('Base de données Mono'!K:K,MATCH(B1547,'Base de données Mono'!D:D,0))</f>
        <v>0.20833333333333334</v>
      </c>
      <c r="J1547" s="131">
        <f>INDEX('Base de données Mono'!L:L,MATCH(B1547,'Base de données Mono'!D:D,0))</f>
        <v>0.83333333333333304</v>
      </c>
      <c r="K1547" s="131" t="str">
        <f>INDEX('Base de données Mono'!M:M,MATCH(B1547,'Base de données Mono'!D:D,0))</f>
        <v>-</v>
      </c>
      <c r="L1547" s="131" t="str">
        <f>INDEX('Base de données Mono'!N:N,MATCH(B1547,'Base de données Mono'!D:D,0))</f>
        <v>-</v>
      </c>
      <c r="M1547" s="33" t="s">
        <v>46</v>
      </c>
      <c r="N1547" s="33">
        <f>IF(AND(E1547="Electricité",M1547="Hiver"),INDEX('Base de données Mono'!E:E,MATCH(B1547,'Base de données Mono'!D:D,0)),IF(AND(E1547="Electricité",M1547="Mi-saison"),INDEX('Base de données Mono'!F:F,MATCH(B1547,'Base de données Mono'!D:D,0)),IF(AND(E1547="Electricité",M1547="Eté"),INDEX('Base de données Mono'!G:G,MATCH(B1547,'Base de données Mono'!D:D,0)),IF(AND(E1547="Gaz",M1547="Hiver"),INDEX('Base de données Mono'!J:J,MATCH(B1547,'Base de données Mono'!D:D,0)),IF(AND(E1547="Gaz",M1547="Mi-saison"),INDEX('Base de données Mono'!#REF!,MATCH(B1547,'Base de données Mono'!D:D,0)),IF(AND(E1547="Gaz",M1547="Eté"),INDEX('Base de données Mono'!#REF!,MATCH(B1547,'Base de données Mono'!D:D,0)),"-"))))))</f>
        <v>110</v>
      </c>
      <c r="O1547" s="123">
        <v>45410</v>
      </c>
      <c r="P1547" s="123">
        <v>45410</v>
      </c>
      <c r="Q1547" s="34">
        <v>155</v>
      </c>
      <c r="R1547" s="33">
        <f t="shared" si="424"/>
        <v>45</v>
      </c>
      <c r="S1547" s="34">
        <v>15</v>
      </c>
      <c r="T1547" s="34">
        <v>1</v>
      </c>
      <c r="U1547" s="33">
        <f t="shared" si="425"/>
        <v>675</v>
      </c>
      <c r="V1547" s="38" t="s">
        <v>827</v>
      </c>
      <c r="W1547" s="39">
        <f t="shared" si="426"/>
        <v>0.40909090909090912</v>
      </c>
      <c r="X1547" s="40" t="s">
        <v>730</v>
      </c>
      <c r="Y1547" s="40" t="s">
        <v>284</v>
      </c>
      <c r="Z1547" s="40" t="s">
        <v>305</v>
      </c>
      <c r="AA1547" s="33" t="s">
        <v>771</v>
      </c>
      <c r="AB1547" s="95"/>
      <c r="AC1547" s="95"/>
    </row>
    <row r="1548" spans="1:29" ht="14.45" customHeight="1" x14ac:dyDescent="0.25">
      <c r="A1548" s="36" t="str">
        <f>INDEX('Base de données Mono'!C:C,MATCH(B1548,'Base de données Mono'!D:D,0))</f>
        <v>MARSEILLE CANNEBIERE</v>
      </c>
      <c r="B1548" t="s">
        <v>24</v>
      </c>
      <c r="C1548" s="36" t="str">
        <f>INDEX('Base de données Mono'!B:B,MATCH(B1548,'Base de données Mono'!D:D,0))</f>
        <v>SES8</v>
      </c>
      <c r="D1548" s="36" t="str">
        <f>INDEX('Base de données Mono'!A:A,MATCH(B1548,'Base de données Mono'!D:D,0))</f>
        <v>JG</v>
      </c>
      <c r="E1548" s="37" t="s">
        <v>303</v>
      </c>
      <c r="F1548" s="41">
        <f t="shared" si="422"/>
        <v>17</v>
      </c>
      <c r="G1548" s="41">
        <f t="shared" si="423"/>
        <v>4</v>
      </c>
      <c r="I1548" s="131">
        <f>INDEX('Base de données Mono'!K:K,MATCH(B1548,'Base de données Mono'!D:D,0))</f>
        <v>0.14583333333333334</v>
      </c>
      <c r="J1548" s="131">
        <f>INDEX('Base de données Mono'!L:L,MATCH(B1548,'Base de données Mono'!D:D,0))</f>
        <v>0.875</v>
      </c>
      <c r="K1548" s="131">
        <f>INDEX('Base de données Mono'!M:M,MATCH(B1548,'Base de données Mono'!D:D,0))</f>
        <v>0.28472222222222221</v>
      </c>
      <c r="L1548" s="131">
        <f>INDEX('Base de données Mono'!N:N,MATCH(B1548,'Base de données Mono'!D:D,0))</f>
        <v>0.54166666666666663</v>
      </c>
      <c r="M1548" s="33" t="s">
        <v>46</v>
      </c>
      <c r="N1548" s="33">
        <f>IF(AND(E1548="Electricité",M1548="Hiver"),INDEX('Base de données Mono'!E:E,MATCH(B1548,'Base de données Mono'!D:D,0)),IF(AND(E1548="Electricité",M1548="Mi-saison"),INDEX('Base de données Mono'!F:F,MATCH(B1548,'Base de données Mono'!D:D,0)),IF(AND(E1548="Electricité",M1548="Eté"),INDEX('Base de données Mono'!G:G,MATCH(B1548,'Base de données Mono'!D:D,0)),IF(AND(E1548="Gaz",M1548="Hiver"),INDEX('Base de données Mono'!J:J,MATCH(B1548,'Base de données Mono'!D:D,0)),IF(AND(E1548="Gaz",M1548="Mi-saison"),INDEX('Base de données Mono'!#REF!,MATCH(B1548,'Base de données Mono'!D:D,0)),IF(AND(E1548="Gaz",M1548="Eté"),INDEX('Base de données Mono'!#REF!,MATCH(B1548,'Base de données Mono'!D:D,0)),"-"))))))</f>
        <v>100</v>
      </c>
      <c r="O1548" s="123">
        <v>45410</v>
      </c>
      <c r="P1548" s="123">
        <v>45410</v>
      </c>
      <c r="Q1548" s="34">
        <v>145</v>
      </c>
      <c r="R1548" s="33">
        <f t="shared" si="424"/>
        <v>45</v>
      </c>
      <c r="S1548" s="34">
        <v>6</v>
      </c>
      <c r="T1548" s="34">
        <v>1</v>
      </c>
      <c r="U1548" s="33">
        <f t="shared" si="425"/>
        <v>270</v>
      </c>
      <c r="V1548" s="38" t="s">
        <v>827</v>
      </c>
      <c r="W1548" s="39">
        <f t="shared" si="426"/>
        <v>0.45</v>
      </c>
      <c r="X1548" s="40" t="s">
        <v>730</v>
      </c>
      <c r="Y1548" s="40" t="s">
        <v>283</v>
      </c>
      <c r="Z1548" s="40" t="s">
        <v>749</v>
      </c>
      <c r="AA1548" s="33" t="s">
        <v>749</v>
      </c>
      <c r="AB1548" s="95"/>
      <c r="AC1548" s="95"/>
    </row>
    <row r="1549" spans="1:29" ht="14.45" customHeight="1" x14ac:dyDescent="0.25">
      <c r="A1549" s="36" t="str">
        <f>INDEX('Base de données Mono'!C:C,MATCH(B1549,'Base de données Mono'!D:D,0))</f>
        <v>POITIERS</v>
      </c>
      <c r="B1549" t="s">
        <v>212</v>
      </c>
      <c r="C1549" s="36" t="str">
        <f>INDEX('Base de données Mono'!B:B,MATCH(B1549,'Base de données Mono'!D:D,0))</f>
        <v>SES8</v>
      </c>
      <c r="D1549" s="36" t="str">
        <f>INDEX('Base de données Mono'!A:A,MATCH(B1549,'Base de données Mono'!D:D,0))</f>
        <v>AD</v>
      </c>
      <c r="E1549" s="37" t="s">
        <v>303</v>
      </c>
      <c r="F1549" s="41">
        <f t="shared" si="422"/>
        <v>17</v>
      </c>
      <c r="G1549" s="41">
        <f t="shared" si="423"/>
        <v>4</v>
      </c>
      <c r="I1549" s="131">
        <f>INDEX('Base de données Mono'!K:K,MATCH(B1549,'Base de données Mono'!D:D,0))</f>
        <v>0.22916666666666666</v>
      </c>
      <c r="J1549" s="131">
        <f>INDEX('Base de données Mono'!L:L,MATCH(B1549,'Base de données Mono'!D:D,0))</f>
        <v>0.875</v>
      </c>
      <c r="K1549" s="131">
        <f>INDEX('Base de données Mono'!M:M,MATCH(B1549,'Base de données Mono'!D:D,0))</f>
        <v>0.22916666666666666</v>
      </c>
      <c r="L1549" s="131">
        <f>INDEX('Base de données Mono'!N:N,MATCH(B1549,'Base de données Mono'!D:D,0))</f>
        <v>0.54166666666666663</v>
      </c>
      <c r="M1549" s="33" t="s">
        <v>46</v>
      </c>
      <c r="N1549" s="33">
        <f>IF(AND(E1549="Electricité",M1549="Hiver"),INDEX('Base de données Mono'!E:E,MATCH(B1549,'Base de données Mono'!D:D,0)),IF(AND(E1549="Electricité",M1549="Mi-saison"),INDEX('Base de données Mono'!F:F,MATCH(B1549,'Base de données Mono'!D:D,0)),IF(AND(E1549="Electricité",M1549="Eté"),INDEX('Base de données Mono'!G:G,MATCH(B1549,'Base de données Mono'!D:D,0)),IF(AND(E1549="Gaz",M1549="Hiver"),INDEX('Base de données Mono'!J:J,MATCH(B1549,'Base de données Mono'!D:D,0)),IF(AND(E1549="Gaz",M1549="Mi-saison"),INDEX('Base de données Mono'!#REF!,MATCH(B1549,'Base de données Mono'!D:D,0)),IF(AND(E1549="Gaz",M1549="Eté"),INDEX('Base de données Mono'!#REF!,MATCH(B1549,'Base de données Mono'!D:D,0)),"-"))))))</f>
        <v>75</v>
      </c>
      <c r="O1549" s="123">
        <v>45410</v>
      </c>
      <c r="P1549" s="123">
        <v>45410</v>
      </c>
      <c r="Q1549" s="34">
        <v>90</v>
      </c>
      <c r="R1549" s="33">
        <f t="shared" si="424"/>
        <v>15</v>
      </c>
      <c r="S1549" s="34">
        <v>8</v>
      </c>
      <c r="T1549" s="34">
        <v>1</v>
      </c>
      <c r="U1549" s="33">
        <f t="shared" si="425"/>
        <v>120</v>
      </c>
      <c r="V1549" s="38" t="s">
        <v>827</v>
      </c>
      <c r="W1549" s="39">
        <f t="shared" si="426"/>
        <v>0.2</v>
      </c>
      <c r="X1549" s="40" t="s">
        <v>730</v>
      </c>
      <c r="Y1549" s="40" t="s">
        <v>284</v>
      </c>
      <c r="Z1549" s="40" t="s">
        <v>305</v>
      </c>
      <c r="AA1549" s="33" t="s">
        <v>771</v>
      </c>
      <c r="AB1549" s="95"/>
      <c r="AC1549" s="95"/>
    </row>
    <row r="1550" spans="1:29" ht="14.45" customHeight="1" x14ac:dyDescent="0.25">
      <c r="A1550" s="36" t="str">
        <f>INDEX('Base de données Mono'!C:C,MATCH(B1550,'Base de données Mono'!D:D,0))</f>
        <v>MONTREUIL</v>
      </c>
      <c r="B1550" t="s">
        <v>25</v>
      </c>
      <c r="C1550" s="36" t="str">
        <f>INDEX('Base de données Mono'!B:B,MATCH(B1550,'Base de données Mono'!D:D,0))</f>
        <v>SES8</v>
      </c>
      <c r="D1550" s="36" t="str">
        <f>INDEX('Base de données Mono'!A:A,MATCH(B1550,'Base de données Mono'!D:D,0))</f>
        <v>JG</v>
      </c>
      <c r="E1550" s="37" t="s">
        <v>303</v>
      </c>
      <c r="F1550" s="41">
        <f t="shared" si="422"/>
        <v>17</v>
      </c>
      <c r="G1550" s="41">
        <f t="shared" si="423"/>
        <v>4</v>
      </c>
      <c r="I1550" s="131">
        <f>INDEX('Base de données Mono'!K:K,MATCH(B1550,'Base de données Mono'!D:D,0))</f>
        <v>0.24305555555555555</v>
      </c>
      <c r="J1550" s="131">
        <f>INDEX('Base de données Mono'!L:L,MATCH(B1550,'Base de données Mono'!D:D,0))</f>
        <v>0.875</v>
      </c>
      <c r="K1550" s="131">
        <f>INDEX('Base de données Mono'!M:M,MATCH(B1550,'Base de données Mono'!D:D,0))</f>
        <v>0.27083333333333331</v>
      </c>
      <c r="L1550" s="131">
        <f>INDEX('Base de données Mono'!N:N,MATCH(B1550,'Base de données Mono'!D:D,0))</f>
        <v>0.55902777777777779</v>
      </c>
      <c r="M1550" s="33" t="s">
        <v>46</v>
      </c>
      <c r="N1550" s="33">
        <f>IF(AND(E1550="Electricité",M1550="Hiver"),INDEX('Base de données Mono'!E:E,MATCH(B1550,'Base de données Mono'!D:D,0)),IF(AND(E1550="Electricité",M1550="Mi-saison"),INDEX('Base de données Mono'!F:F,MATCH(B1550,'Base de données Mono'!D:D,0)),IF(AND(E1550="Electricité",M1550="Eté"),INDEX('Base de données Mono'!G:G,MATCH(B1550,'Base de données Mono'!D:D,0)),IF(AND(E1550="Gaz",M1550="Hiver"),INDEX('Base de données Mono'!J:J,MATCH(B1550,'Base de données Mono'!D:D,0)),IF(AND(E1550="Gaz",M1550="Mi-saison"),INDEX('Base de données Mono'!#REF!,MATCH(B1550,'Base de données Mono'!D:D,0)),IF(AND(E1550="Gaz",M1550="Eté"),INDEX('Base de données Mono'!#REF!,MATCH(B1550,'Base de données Mono'!D:D,0)),"-"))))))</f>
        <v>95</v>
      </c>
      <c r="O1550" s="123">
        <v>45410</v>
      </c>
      <c r="P1550" s="123">
        <v>45410</v>
      </c>
      <c r="Q1550" s="34">
        <v>140</v>
      </c>
      <c r="R1550" s="33">
        <f t="shared" si="424"/>
        <v>45</v>
      </c>
      <c r="S1550" s="34">
        <v>6.5</v>
      </c>
      <c r="T1550" s="34">
        <v>1</v>
      </c>
      <c r="U1550" s="33">
        <f t="shared" si="425"/>
        <v>292.5</v>
      </c>
      <c r="V1550" s="38" t="s">
        <v>827</v>
      </c>
      <c r="W1550" s="39">
        <f t="shared" si="426"/>
        <v>0.47368421052631576</v>
      </c>
      <c r="X1550" s="40" t="s">
        <v>730</v>
      </c>
      <c r="Y1550" s="40" t="s">
        <v>284</v>
      </c>
      <c r="Z1550" s="40" t="s">
        <v>307</v>
      </c>
      <c r="AA1550" s="33" t="s">
        <v>308</v>
      </c>
      <c r="AB1550" s="95"/>
      <c r="AC1550" s="95"/>
    </row>
    <row r="1551" spans="1:29" ht="14.45" customHeight="1" x14ac:dyDescent="0.25">
      <c r="A1551" s="36" t="str">
        <f>INDEX('Base de données Mono'!C:C,MATCH(B1551,'Base de données Mono'!D:D,0))</f>
        <v>MONTREUIL</v>
      </c>
      <c r="B1551" t="s">
        <v>25</v>
      </c>
      <c r="C1551" s="36" t="str">
        <f>INDEX('Base de données Mono'!B:B,MATCH(B1551,'Base de données Mono'!D:D,0))</f>
        <v>SES8</v>
      </c>
      <c r="D1551" s="36" t="str">
        <f>INDEX('Base de données Mono'!A:A,MATCH(B1551,'Base de données Mono'!D:D,0))</f>
        <v>JG</v>
      </c>
      <c r="E1551" s="37" t="s">
        <v>303</v>
      </c>
      <c r="F1551" s="41">
        <f t="shared" si="422"/>
        <v>17</v>
      </c>
      <c r="G1551" s="41">
        <f t="shared" si="423"/>
        <v>4</v>
      </c>
      <c r="I1551" s="131">
        <f>INDEX('Base de données Mono'!K:K,MATCH(B1551,'Base de données Mono'!D:D,0))</f>
        <v>0.24305555555555555</v>
      </c>
      <c r="J1551" s="131">
        <f>INDEX('Base de données Mono'!L:L,MATCH(B1551,'Base de données Mono'!D:D,0))</f>
        <v>0.875</v>
      </c>
      <c r="K1551" s="131">
        <f>INDEX('Base de données Mono'!M:M,MATCH(B1551,'Base de données Mono'!D:D,0))</f>
        <v>0.27083333333333331</v>
      </c>
      <c r="L1551" s="131">
        <f>INDEX('Base de données Mono'!N:N,MATCH(B1551,'Base de données Mono'!D:D,0))</f>
        <v>0.55902777777777779</v>
      </c>
      <c r="M1551" s="33" t="s">
        <v>46</v>
      </c>
      <c r="N1551" s="33">
        <f>IF(AND(E1551="Electricité",M1551="Hiver"),INDEX('Base de données Mono'!E:E,MATCH(B1551,'Base de données Mono'!D:D,0)),IF(AND(E1551="Electricité",M1551="Mi-saison"),INDEX('Base de données Mono'!F:F,MATCH(B1551,'Base de données Mono'!D:D,0)),IF(AND(E1551="Electricité",M1551="Eté"),INDEX('Base de données Mono'!G:G,MATCH(B1551,'Base de données Mono'!D:D,0)),IF(AND(E1551="Gaz",M1551="Hiver"),INDEX('Base de données Mono'!J:J,MATCH(B1551,'Base de données Mono'!D:D,0)),IF(AND(E1551="Gaz",M1551="Mi-saison"),INDEX('Base de données Mono'!#REF!,MATCH(B1551,'Base de données Mono'!D:D,0)),IF(AND(E1551="Gaz",M1551="Eté"),INDEX('Base de données Mono'!#REF!,MATCH(B1551,'Base de données Mono'!D:D,0)),"-"))))))</f>
        <v>95</v>
      </c>
      <c r="O1551" s="123">
        <v>45410</v>
      </c>
      <c r="P1551" s="123">
        <v>45410</v>
      </c>
      <c r="Q1551" s="34">
        <v>110</v>
      </c>
      <c r="R1551" s="33">
        <f t="shared" si="424"/>
        <v>15</v>
      </c>
      <c r="S1551" s="34">
        <v>1</v>
      </c>
      <c r="T1551" s="34">
        <v>1</v>
      </c>
      <c r="U1551" s="33">
        <f t="shared" si="425"/>
        <v>15</v>
      </c>
      <c r="V1551" s="38" t="s">
        <v>827</v>
      </c>
      <c r="W1551" s="39">
        <f t="shared" si="426"/>
        <v>0.15789473684210525</v>
      </c>
      <c r="X1551" s="40" t="s">
        <v>730</v>
      </c>
      <c r="Y1551" s="40" t="s">
        <v>284</v>
      </c>
      <c r="Z1551" s="40" t="s">
        <v>305</v>
      </c>
      <c r="AA1551" s="33" t="s">
        <v>771</v>
      </c>
      <c r="AB1551" s="95"/>
      <c r="AC1551" s="95"/>
    </row>
    <row r="1552" spans="1:29" x14ac:dyDescent="0.25">
      <c r="A1552" s="36" t="str">
        <f>INDEX('Base de données Mono'!C:C,MATCH(B1552,'Base de données Mono'!D:D,0))</f>
        <v>LES HUISSIERS</v>
      </c>
      <c r="B1552" t="s">
        <v>156</v>
      </c>
      <c r="C1552" s="36" t="str">
        <f>INDEX('Base de données Mono'!B:B,MATCH(B1552,'Base de données Mono'!D:D,0))</f>
        <v>SES8</v>
      </c>
      <c r="D1552" s="36" t="str">
        <f>INDEX('Base de données Mono'!A:A,MATCH(B1552,'Base de données Mono'!D:D,0))</f>
        <v>AD</v>
      </c>
      <c r="E1552" s="37" t="s">
        <v>303</v>
      </c>
      <c r="F1552" s="41">
        <f t="shared" si="422"/>
        <v>17</v>
      </c>
      <c r="G1552" s="41">
        <f t="shared" si="423"/>
        <v>4</v>
      </c>
      <c r="I1552" s="131">
        <f>INDEX('Base de données Mono'!K:K,MATCH(B1552,'Base de données Mono'!D:D,0))</f>
        <v>0.22916666666666666</v>
      </c>
      <c r="J1552" s="131">
        <f>INDEX('Base de données Mono'!L:L,MATCH(B1552,'Base de données Mono'!D:D,0))</f>
        <v>0.89583333333333337</v>
      </c>
      <c r="K1552" s="131">
        <f>INDEX('Base de données Mono'!M:M,MATCH(B1552,'Base de données Mono'!D:D,0))</f>
        <v>0.27777777777777779</v>
      </c>
      <c r="L1552" s="131">
        <f>INDEX('Base de données Mono'!N:N,MATCH(B1552,'Base de données Mono'!D:D,0))</f>
        <v>0.5625</v>
      </c>
      <c r="M1552" s="33" t="s">
        <v>46</v>
      </c>
      <c r="N1552" s="33">
        <f>IF(AND(E1552="Electricité",M1552="Hiver"),INDEX('Base de données Mono'!E:E,MATCH(B1552,'Base de données Mono'!D:D,0)),IF(AND(E1552="Electricité",M1552="Mi-saison"),INDEX('Base de données Mono'!F:F,MATCH(B1552,'Base de données Mono'!D:D,0)),IF(AND(E1552="Electricité",M1552="Eté"),INDEX('Base de données Mono'!G:G,MATCH(B1552,'Base de données Mono'!D:D,0)),IF(AND(E1552="Gaz",M1552="Hiver"),INDEX('Base de données Mono'!J:J,MATCH(B1552,'Base de données Mono'!D:D,0)),IF(AND(E1552="Gaz",M1552="Mi-saison"),INDEX('Base de données Mono'!#REF!,MATCH(B1552,'Base de données Mono'!D:D,0)),IF(AND(E1552="Gaz",M1552="Eté"),INDEX('Base de données Mono'!#REF!,MATCH(B1552,'Base de données Mono'!D:D,0)),"-"))))))</f>
        <v>65</v>
      </c>
      <c r="O1552" s="123">
        <v>45410</v>
      </c>
      <c r="P1552" s="123">
        <v>45410</v>
      </c>
      <c r="Q1552" s="34">
        <v>130</v>
      </c>
      <c r="R1552" s="33">
        <f t="shared" si="424"/>
        <v>65</v>
      </c>
      <c r="S1552" s="34">
        <v>7.5</v>
      </c>
      <c r="T1552" s="34">
        <v>1</v>
      </c>
      <c r="U1552" s="33">
        <f t="shared" si="425"/>
        <v>487.5</v>
      </c>
      <c r="V1552" s="38" t="s">
        <v>827</v>
      </c>
      <c r="W1552" s="39">
        <f t="shared" si="426"/>
        <v>1</v>
      </c>
      <c r="X1552" s="40" t="s">
        <v>730</v>
      </c>
      <c r="Y1552" s="40" t="s">
        <v>284</v>
      </c>
      <c r="Z1552" s="40" t="s">
        <v>307</v>
      </c>
      <c r="AA1552" s="33" t="s">
        <v>308</v>
      </c>
      <c r="AB1552" s="95"/>
      <c r="AC1552" s="95"/>
    </row>
    <row r="1553" spans="1:29" ht="14.45" customHeight="1" x14ac:dyDescent="0.25">
      <c r="A1553" s="36" t="str">
        <f>INDEX('Base de données Mono'!C:C,MATCH(B1553,'Base de données Mono'!D:D,0))</f>
        <v>ROQUETTE</v>
      </c>
      <c r="B1553" t="s">
        <v>225</v>
      </c>
      <c r="C1553" s="36" t="str">
        <f>INDEX('Base de données Mono'!B:B,MATCH(B1553,'Base de données Mono'!D:D,0))</f>
        <v>SES8</v>
      </c>
      <c r="D1553" s="36" t="str">
        <f>INDEX('Base de données Mono'!A:A,MATCH(B1553,'Base de données Mono'!D:D,0))</f>
        <v>JG</v>
      </c>
      <c r="E1553" s="37" t="s">
        <v>303</v>
      </c>
      <c r="F1553" s="41">
        <f t="shared" si="422"/>
        <v>17</v>
      </c>
      <c r="G1553" s="41">
        <f t="shared" si="423"/>
        <v>4</v>
      </c>
      <c r="I1553" s="131">
        <f>INDEX('Base de données Mono'!K:K,MATCH(B1553,'Base de données Mono'!D:D,0))</f>
        <v>0.25</v>
      </c>
      <c r="J1553" s="131">
        <f>INDEX('Base de données Mono'!L:L,MATCH(B1553,'Base de données Mono'!D:D,0))</f>
        <v>0.91666666666666663</v>
      </c>
      <c r="K1553" s="131">
        <f>INDEX('Base de données Mono'!M:M,MATCH(B1553,'Base de données Mono'!D:D,0))</f>
        <v>0.29166666666666669</v>
      </c>
      <c r="L1553" s="131">
        <f>INDEX('Base de données Mono'!N:N,MATCH(B1553,'Base de données Mono'!D:D,0))</f>
        <v>0.55208333333333337</v>
      </c>
      <c r="M1553" s="33" t="s">
        <v>46</v>
      </c>
      <c r="N1553" s="33">
        <f>IF(AND(E1553="Electricité",M1553="Hiver"),INDEX('Base de données Mono'!E:E,MATCH(B1553,'Base de données Mono'!D:D,0)),IF(AND(E1553="Electricité",M1553="Mi-saison"),INDEX('Base de données Mono'!F:F,MATCH(B1553,'Base de données Mono'!D:D,0)),IF(AND(E1553="Electricité",M1553="Eté"),INDEX('Base de données Mono'!G:G,MATCH(B1553,'Base de données Mono'!D:D,0)),IF(AND(E1553="Gaz",M1553="Hiver"),INDEX('Base de données Mono'!J:J,MATCH(B1553,'Base de données Mono'!D:D,0)),IF(AND(E1553="Gaz",M1553="Mi-saison"),INDEX('Base de données Mono'!#REF!,MATCH(B1553,'Base de données Mono'!D:D,0)),IF(AND(E1553="Gaz",M1553="Eté"),INDEX('Base de données Mono'!#REF!,MATCH(B1553,'Base de données Mono'!D:D,0)),"-"))))))</f>
        <v>60</v>
      </c>
      <c r="O1553" s="123">
        <v>45410</v>
      </c>
      <c r="P1553" s="123">
        <v>45410</v>
      </c>
      <c r="Q1553" s="34">
        <v>85</v>
      </c>
      <c r="R1553" s="33">
        <f t="shared" si="424"/>
        <v>25</v>
      </c>
      <c r="S1553" s="34">
        <v>7.7</v>
      </c>
      <c r="T1553" s="34">
        <v>1</v>
      </c>
      <c r="U1553" s="33">
        <f t="shared" si="425"/>
        <v>192.5</v>
      </c>
      <c r="V1553" s="38" t="s">
        <v>827</v>
      </c>
      <c r="W1553" s="39">
        <f t="shared" si="426"/>
        <v>0.41666666666666669</v>
      </c>
      <c r="X1553" s="40" t="s">
        <v>730</v>
      </c>
      <c r="Y1553" s="40" t="s">
        <v>284</v>
      </c>
      <c r="Z1553" s="40" t="s">
        <v>305</v>
      </c>
      <c r="AA1553" s="33" t="s">
        <v>771</v>
      </c>
      <c r="AB1553" s="95"/>
      <c r="AC1553" s="95"/>
    </row>
    <row r="1554" spans="1:29" ht="14.45" customHeight="1" x14ac:dyDescent="0.25">
      <c r="A1554" s="36" t="str">
        <f>INDEX('Base de données Mono'!C:C,MATCH(B1554,'Base de données Mono'!D:D,0))</f>
        <v>UNI POTEAU</v>
      </c>
      <c r="B1554" t="s">
        <v>258</v>
      </c>
      <c r="C1554" s="36" t="str">
        <f>INDEX('Base de données Mono'!B:B,MATCH(B1554,'Base de données Mono'!D:D,0))</f>
        <v>SES8</v>
      </c>
      <c r="D1554" s="36" t="str">
        <f>INDEX('Base de données Mono'!A:A,MATCH(B1554,'Base de données Mono'!D:D,0))</f>
        <v>JG</v>
      </c>
      <c r="E1554" s="37" t="s">
        <v>303</v>
      </c>
      <c r="F1554" s="41">
        <f t="shared" si="422"/>
        <v>17</v>
      </c>
      <c r="G1554" s="41">
        <f t="shared" si="423"/>
        <v>4</v>
      </c>
      <c r="I1554" s="131">
        <f>INDEX('Base de données Mono'!K:K,MATCH(B1554,'Base de données Mono'!D:D,0))</f>
        <v>0.20138888888888887</v>
      </c>
      <c r="J1554" s="131">
        <f>INDEX('Base de données Mono'!L:L,MATCH(B1554,'Base de données Mono'!D:D,0))</f>
        <v>0.92013888888888884</v>
      </c>
      <c r="K1554" s="131">
        <f>INDEX('Base de données Mono'!M:M,MATCH(B1554,'Base de données Mono'!D:D,0))</f>
        <v>0.27777777777777779</v>
      </c>
      <c r="L1554" s="131">
        <f>INDEX('Base de données Mono'!N:N,MATCH(B1554,'Base de données Mono'!D:D,0))</f>
        <v>0.55208333333333337</v>
      </c>
      <c r="M1554" s="33" t="s">
        <v>46</v>
      </c>
      <c r="N1554" s="33">
        <f>IF(AND(E1554="Electricité",M1554="Hiver"),INDEX('Base de données Mono'!E:E,MATCH(B1554,'Base de données Mono'!D:D,0)),IF(AND(E1554="Electricité",M1554="Mi-saison"),INDEX('Base de données Mono'!F:F,MATCH(B1554,'Base de données Mono'!D:D,0)),IF(AND(E1554="Electricité",M1554="Eté"),INDEX('Base de données Mono'!G:G,MATCH(B1554,'Base de données Mono'!D:D,0)),IF(AND(E1554="Gaz",M1554="Hiver"),INDEX('Base de données Mono'!J:J,MATCH(B1554,'Base de données Mono'!D:D,0)),IF(AND(E1554="Gaz",M1554="Mi-saison"),INDEX('Base de données Mono'!#REF!,MATCH(B1554,'Base de données Mono'!D:D,0)),IF(AND(E1554="Gaz",M1554="Eté"),INDEX('Base de données Mono'!#REF!,MATCH(B1554,'Base de données Mono'!D:D,0)),"-"))))))</f>
        <v>65</v>
      </c>
      <c r="O1554" s="123">
        <v>45410</v>
      </c>
      <c r="P1554" s="123">
        <v>45410</v>
      </c>
      <c r="Q1554" s="34">
        <v>95</v>
      </c>
      <c r="R1554" s="33">
        <f t="shared" si="424"/>
        <v>30</v>
      </c>
      <c r="S1554" s="34">
        <v>6.5</v>
      </c>
      <c r="T1554" s="34">
        <v>1</v>
      </c>
      <c r="U1554" s="33">
        <f t="shared" si="425"/>
        <v>195</v>
      </c>
      <c r="V1554" s="38" t="s">
        <v>827</v>
      </c>
      <c r="W1554" s="39">
        <f t="shared" si="426"/>
        <v>0.46153846153846156</v>
      </c>
      <c r="X1554" s="40" t="s">
        <v>730</v>
      </c>
      <c r="Y1554" s="40" t="s">
        <v>284</v>
      </c>
      <c r="Z1554" s="40" t="s">
        <v>307</v>
      </c>
      <c r="AA1554" s="33" t="s">
        <v>308</v>
      </c>
      <c r="AB1554" s="95"/>
      <c r="AC1554" s="95"/>
    </row>
    <row r="1555" spans="1:29" ht="14.45" customHeight="1" x14ac:dyDescent="0.25">
      <c r="A1555" s="36" t="str">
        <f>INDEX('Base de données Mono'!C:C,MATCH(B1555,'Base de données Mono'!D:D,0))</f>
        <v>GRENOBLE CASERNE</v>
      </c>
      <c r="B1555" t="s">
        <v>135</v>
      </c>
      <c r="C1555" s="36" t="str">
        <f>INDEX('Base de données Mono'!B:B,MATCH(B1555,'Base de données Mono'!D:D,0))</f>
        <v>SES8</v>
      </c>
      <c r="D1555" s="36" t="str">
        <f>INDEX('Base de données Mono'!A:A,MATCH(B1555,'Base de données Mono'!D:D,0))</f>
        <v>JG</v>
      </c>
      <c r="E1555" s="37" t="s">
        <v>303</v>
      </c>
      <c r="F1555" s="41">
        <f t="shared" si="422"/>
        <v>17</v>
      </c>
      <c r="G1555" s="41">
        <f t="shared" si="423"/>
        <v>4</v>
      </c>
      <c r="I1555" s="131">
        <f>INDEX('Base de données Mono'!K:K,MATCH(B1555,'Base de données Mono'!D:D,0))</f>
        <v>0.22222222222222221</v>
      </c>
      <c r="J1555" s="131">
        <f>INDEX('Base de données Mono'!L:L,MATCH(B1555,'Base de données Mono'!D:D,0))</f>
        <v>0.89583333333333337</v>
      </c>
      <c r="K1555" s="131">
        <f>INDEX('Base de données Mono'!M:M,MATCH(B1555,'Base de données Mono'!D:D,0))</f>
        <v>0.3125</v>
      </c>
      <c r="L1555" s="131">
        <f>INDEX('Base de données Mono'!N:N,MATCH(B1555,'Base de données Mono'!D:D,0))</f>
        <v>0.55208333333333337</v>
      </c>
      <c r="M1555" s="33" t="s">
        <v>46</v>
      </c>
      <c r="N1555" s="33">
        <f>IF(AND(E1555="Electricité",M1555="Hiver"),INDEX('Base de données Mono'!E:E,MATCH(B1555,'Base de données Mono'!D:D,0)),IF(AND(E1555="Electricité",M1555="Mi-saison"),INDEX('Base de données Mono'!F:F,MATCH(B1555,'Base de données Mono'!D:D,0)),IF(AND(E1555="Electricité",M1555="Eté"),INDEX('Base de données Mono'!G:G,MATCH(B1555,'Base de données Mono'!D:D,0)),IF(AND(E1555="Gaz",M1555="Hiver"),INDEX('Base de données Mono'!J:J,MATCH(B1555,'Base de données Mono'!D:D,0)),IF(AND(E1555="Gaz",M1555="Mi-saison"),INDEX('Base de données Mono'!#REF!,MATCH(B1555,'Base de données Mono'!D:D,0)),IF(AND(E1555="Gaz",M1555="Eté"),INDEX('Base de données Mono'!#REF!,MATCH(B1555,'Base de données Mono'!D:D,0)),"-"))))))</f>
        <v>40</v>
      </c>
      <c r="O1555" s="123">
        <v>45410</v>
      </c>
      <c r="P1555" s="123">
        <v>45410</v>
      </c>
      <c r="Q1555" s="34">
        <v>75</v>
      </c>
      <c r="R1555" s="33">
        <f t="shared" si="424"/>
        <v>35</v>
      </c>
      <c r="S1555" s="34">
        <v>6.5</v>
      </c>
      <c r="T1555" s="34">
        <v>1</v>
      </c>
      <c r="U1555" s="33">
        <f t="shared" si="425"/>
        <v>227.5</v>
      </c>
      <c r="V1555" s="38" t="s">
        <v>827</v>
      </c>
      <c r="W1555" s="39">
        <f t="shared" si="426"/>
        <v>0.875</v>
      </c>
      <c r="X1555" s="40" t="s">
        <v>730</v>
      </c>
      <c r="Y1555" s="40" t="s">
        <v>284</v>
      </c>
      <c r="Z1555" s="40" t="s">
        <v>307</v>
      </c>
      <c r="AA1555" s="33" t="s">
        <v>308</v>
      </c>
      <c r="AB1555" s="95"/>
      <c r="AC1555" s="95"/>
    </row>
    <row r="1556" spans="1:29" ht="14.45" customHeight="1" x14ac:dyDescent="0.25">
      <c r="A1556" s="36" t="str">
        <f>INDEX('Base de données Mono'!C:C,MATCH(B1556,'Base de données Mono'!D:D,0))</f>
        <v>ITALIE</v>
      </c>
      <c r="B1556" t="s">
        <v>147</v>
      </c>
      <c r="C1556" s="36" t="str">
        <f>INDEX('Base de données Mono'!B:B,MATCH(B1556,'Base de données Mono'!D:D,0))</f>
        <v>SES8</v>
      </c>
      <c r="D1556" s="36" t="str">
        <f>INDEX('Base de données Mono'!A:A,MATCH(B1556,'Base de données Mono'!D:D,0))</f>
        <v>JG</v>
      </c>
      <c r="E1556" s="37" t="s">
        <v>303</v>
      </c>
      <c r="F1556" s="41">
        <f t="shared" si="422"/>
        <v>17</v>
      </c>
      <c r="G1556" s="41">
        <f t="shared" si="423"/>
        <v>4</v>
      </c>
      <c r="I1556" s="131">
        <f>INDEX('Base de données Mono'!K:K,MATCH(B1556,'Base de données Mono'!D:D,0))</f>
        <v>0.24305555555555555</v>
      </c>
      <c r="J1556" s="131">
        <f>INDEX('Base de données Mono'!L:L,MATCH(B1556,'Base de données Mono'!D:D,0))</f>
        <v>0.9375</v>
      </c>
      <c r="K1556" s="131" t="str">
        <f>INDEX('Base de données Mono'!M:M,MATCH(B1556,'Base de données Mono'!D:D,0))</f>
        <v>-</v>
      </c>
      <c r="L1556" s="131" t="str">
        <f>INDEX('Base de données Mono'!N:N,MATCH(B1556,'Base de données Mono'!D:D,0))</f>
        <v>-</v>
      </c>
      <c r="M1556" s="33" t="s">
        <v>46</v>
      </c>
      <c r="N1556" s="33">
        <f>IF(AND(E1556="Electricité",M1556="Hiver"),INDEX('Base de données Mono'!E:E,MATCH(B1556,'Base de données Mono'!D:D,0)),IF(AND(E1556="Electricité",M1556="Mi-saison"),INDEX('Base de données Mono'!F:F,MATCH(B1556,'Base de données Mono'!D:D,0)),IF(AND(E1556="Electricité",M1556="Eté"),INDEX('Base de données Mono'!G:G,MATCH(B1556,'Base de données Mono'!D:D,0)),IF(AND(E1556="Gaz",M1556="Hiver"),INDEX('Base de données Mono'!J:J,MATCH(B1556,'Base de données Mono'!D:D,0)),IF(AND(E1556="Gaz",M1556="Mi-saison"),INDEX('Base de données Mono'!#REF!,MATCH(B1556,'Base de données Mono'!D:D,0)),IF(AND(E1556="Gaz",M1556="Eté"),INDEX('Base de données Mono'!#REF!,MATCH(B1556,'Base de données Mono'!D:D,0)),"-"))))))</f>
        <v>110</v>
      </c>
      <c r="O1556" s="123">
        <v>45410</v>
      </c>
      <c r="P1556" s="123">
        <v>45410</v>
      </c>
      <c r="Q1556" s="34">
        <v>140</v>
      </c>
      <c r="R1556" s="33">
        <f t="shared" si="424"/>
        <v>30</v>
      </c>
      <c r="S1556" s="34">
        <v>11.8</v>
      </c>
      <c r="T1556" s="34">
        <v>1</v>
      </c>
      <c r="U1556" s="33">
        <f t="shared" si="425"/>
        <v>354</v>
      </c>
      <c r="V1556" s="38" t="s">
        <v>827</v>
      </c>
      <c r="W1556" s="39">
        <f t="shared" si="426"/>
        <v>0.27272727272727271</v>
      </c>
      <c r="X1556" s="40" t="s">
        <v>730</v>
      </c>
      <c r="Y1556" s="40" t="s">
        <v>284</v>
      </c>
      <c r="Z1556" s="40" t="s">
        <v>307</v>
      </c>
      <c r="AA1556" s="33" t="s">
        <v>308</v>
      </c>
      <c r="AB1556" s="95"/>
      <c r="AC1556" s="95"/>
    </row>
    <row r="1557" spans="1:29" ht="14.45" customHeight="1" x14ac:dyDescent="0.25">
      <c r="A1557" s="36" t="str">
        <f>INDEX('Base de données Mono'!C:C,MATCH(B1557,'Base de données Mono'!D:D,0))</f>
        <v>VAUGIRARD</v>
      </c>
      <c r="B1557" t="s">
        <v>262</v>
      </c>
      <c r="C1557" s="36" t="str">
        <f>INDEX('Base de données Mono'!B:B,MATCH(B1557,'Base de données Mono'!D:D,0))</f>
        <v>SES8</v>
      </c>
      <c r="D1557" s="36" t="str">
        <f>INDEX('Base de données Mono'!A:A,MATCH(B1557,'Base de données Mono'!D:D,0))</f>
        <v>AD</v>
      </c>
      <c r="E1557" s="37" t="s">
        <v>303</v>
      </c>
      <c r="F1557" s="41">
        <f t="shared" si="422"/>
        <v>17</v>
      </c>
      <c r="G1557" s="41">
        <f t="shared" si="423"/>
        <v>4</v>
      </c>
      <c r="I1557" s="131">
        <f>INDEX('Base de données Mono'!K:K,MATCH(B1557,'Base de données Mono'!D:D,0))</f>
        <v>0.20138888888888887</v>
      </c>
      <c r="J1557" s="131">
        <f>INDEX('Base de données Mono'!L:L,MATCH(B1557,'Base de données Mono'!D:D,0))</f>
        <v>0.92708333333333337</v>
      </c>
      <c r="K1557" s="131">
        <f>INDEX('Base de données Mono'!M:M,MATCH(B1557,'Base de données Mono'!D:D,0))</f>
        <v>0.2638888888888889</v>
      </c>
      <c r="L1557" s="131">
        <f>INDEX('Base de données Mono'!N:N,MATCH(B1557,'Base de données Mono'!D:D,0))</f>
        <v>0.5625</v>
      </c>
      <c r="M1557" s="33" t="s">
        <v>46</v>
      </c>
      <c r="N1557" s="33">
        <f>IF(AND(E1557="Electricité",M1557="Hiver"),INDEX('Base de données Mono'!E:E,MATCH(B1557,'Base de données Mono'!D:D,0)),IF(AND(E1557="Electricité",M1557="Mi-saison"),INDEX('Base de données Mono'!F:F,MATCH(B1557,'Base de données Mono'!D:D,0)),IF(AND(E1557="Electricité",M1557="Eté"),INDEX('Base de données Mono'!G:G,MATCH(B1557,'Base de données Mono'!D:D,0)),IF(AND(E1557="Gaz",M1557="Hiver"),INDEX('Base de données Mono'!J:J,MATCH(B1557,'Base de données Mono'!D:D,0)),IF(AND(E1557="Gaz",M1557="Mi-saison"),INDEX('Base de données Mono'!#REF!,MATCH(B1557,'Base de données Mono'!D:D,0)),IF(AND(E1557="Gaz",M1557="Eté"),INDEX('Base de données Mono'!#REF!,MATCH(B1557,'Base de données Mono'!D:D,0)),"-"))))))</f>
        <v>80</v>
      </c>
      <c r="O1557" s="123">
        <v>45410</v>
      </c>
      <c r="P1557" s="123">
        <v>45410</v>
      </c>
      <c r="Q1557" s="34">
        <v>200</v>
      </c>
      <c r="R1557" s="33">
        <f t="shared" si="424"/>
        <v>120</v>
      </c>
      <c r="S1557" s="34">
        <v>7</v>
      </c>
      <c r="T1557" s="34">
        <v>1</v>
      </c>
      <c r="U1557" s="33">
        <f t="shared" si="425"/>
        <v>840</v>
      </c>
      <c r="V1557" s="38" t="s">
        <v>827</v>
      </c>
      <c r="W1557" s="39">
        <f t="shared" si="426"/>
        <v>1.5</v>
      </c>
      <c r="X1557" s="40" t="s">
        <v>730</v>
      </c>
      <c r="Y1557" s="40" t="s">
        <v>284</v>
      </c>
      <c r="Z1557" s="40" t="s">
        <v>307</v>
      </c>
      <c r="AA1557" s="33" t="s">
        <v>308</v>
      </c>
      <c r="AB1557" s="95"/>
      <c r="AC1557" s="95"/>
    </row>
    <row r="1558" spans="1:29" ht="14.45" customHeight="1" x14ac:dyDescent="0.25">
      <c r="A1558" s="36" t="str">
        <f>INDEX('Base de données Mono'!C:C,MATCH(B1558,'Base de données Mono'!D:D,0))</f>
        <v>VAUGIRARD</v>
      </c>
      <c r="B1558" t="s">
        <v>262</v>
      </c>
      <c r="C1558" s="36" t="str">
        <f>INDEX('Base de données Mono'!B:B,MATCH(B1558,'Base de données Mono'!D:D,0))</f>
        <v>SES8</v>
      </c>
      <c r="D1558" s="36" t="str">
        <f>INDEX('Base de données Mono'!A:A,MATCH(B1558,'Base de données Mono'!D:D,0))</f>
        <v>AD</v>
      </c>
      <c r="E1558" s="37" t="s">
        <v>303</v>
      </c>
      <c r="F1558" s="41">
        <f t="shared" si="422"/>
        <v>17</v>
      </c>
      <c r="G1558" s="41">
        <f t="shared" si="423"/>
        <v>4</v>
      </c>
      <c r="I1558" s="131">
        <f>INDEX('Base de données Mono'!K:K,MATCH(B1558,'Base de données Mono'!D:D,0))</f>
        <v>0.20138888888888887</v>
      </c>
      <c r="J1558" s="131">
        <f>INDEX('Base de données Mono'!L:L,MATCH(B1558,'Base de données Mono'!D:D,0))</f>
        <v>0.92708333333333337</v>
      </c>
      <c r="K1558" s="131">
        <f>INDEX('Base de données Mono'!M:M,MATCH(B1558,'Base de données Mono'!D:D,0))</f>
        <v>0.2638888888888889</v>
      </c>
      <c r="L1558" s="131">
        <f>INDEX('Base de données Mono'!N:N,MATCH(B1558,'Base de données Mono'!D:D,0))</f>
        <v>0.5625</v>
      </c>
      <c r="M1558" s="33" t="s">
        <v>46</v>
      </c>
      <c r="N1558" s="33">
        <f>IF(AND(E1558="Electricité",M1558="Hiver"),INDEX('Base de données Mono'!E:E,MATCH(B1558,'Base de données Mono'!D:D,0)),IF(AND(E1558="Electricité",M1558="Mi-saison"),INDEX('Base de données Mono'!F:F,MATCH(B1558,'Base de données Mono'!D:D,0)),IF(AND(E1558="Electricité",M1558="Eté"),INDEX('Base de données Mono'!G:G,MATCH(B1558,'Base de données Mono'!D:D,0)),IF(AND(E1558="Gaz",M1558="Hiver"),INDEX('Base de données Mono'!J:J,MATCH(B1558,'Base de données Mono'!D:D,0)),IF(AND(E1558="Gaz",M1558="Mi-saison"),INDEX('Base de données Mono'!#REF!,MATCH(B1558,'Base de données Mono'!D:D,0)),IF(AND(E1558="Gaz",M1558="Eté"),INDEX('Base de données Mono'!#REF!,MATCH(B1558,'Base de données Mono'!D:D,0)),"-"))))))</f>
        <v>80</v>
      </c>
      <c r="O1558" s="123">
        <v>45410</v>
      </c>
      <c r="P1558" s="123">
        <v>45410</v>
      </c>
      <c r="Q1558" s="34">
        <v>110</v>
      </c>
      <c r="R1558" s="33">
        <f t="shared" si="424"/>
        <v>30</v>
      </c>
      <c r="S1558" s="34">
        <v>2</v>
      </c>
      <c r="T1558" s="34">
        <v>1</v>
      </c>
      <c r="U1558" s="33">
        <f t="shared" si="425"/>
        <v>60</v>
      </c>
      <c r="V1558" s="38" t="s">
        <v>827</v>
      </c>
      <c r="W1558" s="39">
        <f t="shared" si="426"/>
        <v>0.375</v>
      </c>
      <c r="X1558" s="40" t="s">
        <v>730</v>
      </c>
      <c r="Y1558" s="40" t="s">
        <v>284</v>
      </c>
      <c r="Z1558" s="40" t="s">
        <v>305</v>
      </c>
      <c r="AA1558" s="33" t="s">
        <v>771</v>
      </c>
      <c r="AB1558" s="95"/>
      <c r="AC1558" s="95"/>
    </row>
    <row r="1559" spans="1:29" ht="14.45" customHeight="1" x14ac:dyDescent="0.25">
      <c r="A1559" s="36" t="str">
        <f>INDEX('Base de données Mono'!C:C,MATCH(B1559,'Base de données Mono'!D:D,0))</f>
        <v>SAINT MAUR</v>
      </c>
      <c r="B1559" t="s">
        <v>235</v>
      </c>
      <c r="C1559" s="36" t="str">
        <f>INDEX('Base de données Mono'!B:B,MATCH(B1559,'Base de données Mono'!D:D,0))</f>
        <v>SES8</v>
      </c>
      <c r="D1559" s="36" t="str">
        <f>INDEX('Base de données Mono'!A:A,MATCH(B1559,'Base de données Mono'!D:D,0))</f>
        <v>JG</v>
      </c>
      <c r="E1559" s="37" t="s">
        <v>303</v>
      </c>
      <c r="F1559" s="41">
        <f t="shared" si="422"/>
        <v>17</v>
      </c>
      <c r="G1559" s="41">
        <f t="shared" si="423"/>
        <v>4</v>
      </c>
      <c r="I1559" s="131">
        <f>INDEX('Base de données Mono'!K:K,MATCH(B1559,'Base de données Mono'!D:D,0))</f>
        <v>0.24305555555555555</v>
      </c>
      <c r="J1559" s="131">
        <f>INDEX('Base de données Mono'!L:L,MATCH(B1559,'Base de données Mono'!D:D,0))</f>
        <v>0.875</v>
      </c>
      <c r="K1559" s="131">
        <f>INDEX('Base de données Mono'!M:M,MATCH(B1559,'Base de données Mono'!D:D,0))</f>
        <v>0.28472222222222221</v>
      </c>
      <c r="L1559" s="131">
        <f>INDEX('Base de données Mono'!N:N,MATCH(B1559,'Base de données Mono'!D:D,0))</f>
        <v>0.55208333333333337</v>
      </c>
      <c r="M1559" s="33" t="s">
        <v>46</v>
      </c>
      <c r="N1559" s="33">
        <f>IF(AND(E1559="Electricité",M1559="Hiver"),INDEX('Base de données Mono'!E:E,MATCH(B1559,'Base de données Mono'!D:D,0)),IF(AND(E1559="Electricité",M1559="Mi-saison"),INDEX('Base de données Mono'!F:F,MATCH(B1559,'Base de données Mono'!D:D,0)),IF(AND(E1559="Electricité",M1559="Eté"),INDEX('Base de données Mono'!G:G,MATCH(B1559,'Base de données Mono'!D:D,0)),IF(AND(E1559="Gaz",M1559="Hiver"),INDEX('Base de données Mono'!J:J,MATCH(B1559,'Base de données Mono'!D:D,0)),IF(AND(E1559="Gaz",M1559="Mi-saison"),INDEX('Base de données Mono'!#REF!,MATCH(B1559,'Base de données Mono'!D:D,0)),IF(AND(E1559="Gaz",M1559="Eté"),INDEX('Base de données Mono'!#REF!,MATCH(B1559,'Base de données Mono'!D:D,0)),"-"))))))</f>
        <v>50</v>
      </c>
      <c r="O1559" s="123">
        <v>45410</v>
      </c>
      <c r="P1559" s="123">
        <v>45410</v>
      </c>
      <c r="Q1559" s="34">
        <v>95</v>
      </c>
      <c r="R1559" s="33">
        <f t="shared" si="424"/>
        <v>45</v>
      </c>
      <c r="S1559" s="34">
        <v>5.5</v>
      </c>
      <c r="T1559" s="34">
        <v>1</v>
      </c>
      <c r="U1559" s="33">
        <f t="shared" si="425"/>
        <v>247.5</v>
      </c>
      <c r="V1559" s="38" t="s">
        <v>827</v>
      </c>
      <c r="W1559" s="39">
        <f t="shared" si="426"/>
        <v>0.9</v>
      </c>
      <c r="X1559" s="40" t="s">
        <v>730</v>
      </c>
      <c r="Y1559" s="40" t="s">
        <v>284</v>
      </c>
      <c r="Z1559" s="40" t="s">
        <v>307</v>
      </c>
      <c r="AA1559" s="33" t="s">
        <v>308</v>
      </c>
      <c r="AB1559" s="95"/>
      <c r="AC1559" s="95"/>
    </row>
    <row r="1560" spans="1:29" ht="14.45" customHeight="1" x14ac:dyDescent="0.25">
      <c r="A1560" s="36" t="str">
        <f>INDEX('Base de données Mono'!C:C,MATCH(B1560,'Base de données Mono'!D:D,0))</f>
        <v>SAINT MAUR</v>
      </c>
      <c r="B1560" t="s">
        <v>235</v>
      </c>
      <c r="C1560" s="36" t="str">
        <f>INDEX('Base de données Mono'!B:B,MATCH(B1560,'Base de données Mono'!D:D,0))</f>
        <v>SES8</v>
      </c>
      <c r="D1560" s="36" t="str">
        <f>INDEX('Base de données Mono'!A:A,MATCH(B1560,'Base de données Mono'!D:D,0))</f>
        <v>JG</v>
      </c>
      <c r="E1560" s="37" t="s">
        <v>303</v>
      </c>
      <c r="F1560" s="41">
        <f t="shared" si="422"/>
        <v>17</v>
      </c>
      <c r="G1560" s="41">
        <f t="shared" si="423"/>
        <v>4</v>
      </c>
      <c r="I1560" s="131">
        <f>INDEX('Base de données Mono'!K:K,MATCH(B1560,'Base de données Mono'!D:D,0))</f>
        <v>0.24305555555555555</v>
      </c>
      <c r="J1560" s="131">
        <f>INDEX('Base de données Mono'!L:L,MATCH(B1560,'Base de données Mono'!D:D,0))</f>
        <v>0.875</v>
      </c>
      <c r="K1560" s="131">
        <f>INDEX('Base de données Mono'!M:M,MATCH(B1560,'Base de données Mono'!D:D,0))</f>
        <v>0.28472222222222221</v>
      </c>
      <c r="L1560" s="131">
        <f>INDEX('Base de données Mono'!N:N,MATCH(B1560,'Base de données Mono'!D:D,0))</f>
        <v>0.55208333333333337</v>
      </c>
      <c r="M1560" s="33" t="s">
        <v>46</v>
      </c>
      <c r="N1560" s="33">
        <f>IF(AND(E1560="Electricité",M1560="Hiver"),INDEX('Base de données Mono'!E:E,MATCH(B1560,'Base de données Mono'!D:D,0)),IF(AND(E1560="Electricité",M1560="Mi-saison"),INDEX('Base de données Mono'!F:F,MATCH(B1560,'Base de données Mono'!D:D,0)),IF(AND(E1560="Electricité",M1560="Eté"),INDEX('Base de données Mono'!G:G,MATCH(B1560,'Base de données Mono'!D:D,0)),IF(AND(E1560="Gaz",M1560="Hiver"),INDEX('Base de données Mono'!J:J,MATCH(B1560,'Base de données Mono'!D:D,0)),IF(AND(E1560="Gaz",M1560="Mi-saison"),INDEX('Base de données Mono'!#REF!,MATCH(B1560,'Base de données Mono'!D:D,0)),IF(AND(E1560="Gaz",M1560="Eté"),INDEX('Base de données Mono'!#REF!,MATCH(B1560,'Base de données Mono'!D:D,0)),"-"))))))</f>
        <v>50</v>
      </c>
      <c r="O1560" s="123">
        <v>45410</v>
      </c>
      <c r="P1560" s="123">
        <v>45410</v>
      </c>
      <c r="Q1560" s="34">
        <v>55</v>
      </c>
      <c r="R1560" s="33">
        <f t="shared" si="424"/>
        <v>5</v>
      </c>
      <c r="S1560" s="34">
        <v>3</v>
      </c>
      <c r="T1560" s="34">
        <v>1</v>
      </c>
      <c r="U1560" s="33">
        <f t="shared" si="425"/>
        <v>15</v>
      </c>
      <c r="V1560" s="38" t="s">
        <v>827</v>
      </c>
      <c r="W1560" s="39">
        <f t="shared" si="426"/>
        <v>0.1</v>
      </c>
      <c r="X1560" s="40" t="s">
        <v>730</v>
      </c>
      <c r="Y1560" s="40" t="s">
        <v>284</v>
      </c>
      <c r="Z1560" s="40" t="s">
        <v>305</v>
      </c>
      <c r="AA1560" s="33" t="s">
        <v>771</v>
      </c>
      <c r="AB1560" s="95"/>
      <c r="AC1560" s="95"/>
    </row>
    <row r="1561" spans="1:29" ht="14.45" customHeight="1" x14ac:dyDescent="0.25">
      <c r="A1561" s="36" t="str">
        <f>INDEX('Base de données Mono'!C:C,MATCH(B1561,'Base de données Mono'!D:D,0))</f>
        <v>RUEIL MALMAISON</v>
      </c>
      <c r="B1561" t="s">
        <v>31</v>
      </c>
      <c r="C1561" s="36" t="str">
        <f>INDEX('Base de données Mono'!B:B,MATCH(B1561,'Base de données Mono'!D:D,0))</f>
        <v>SES8</v>
      </c>
      <c r="D1561" s="36" t="str">
        <f>INDEX('Base de données Mono'!A:A,MATCH(B1561,'Base de données Mono'!D:D,0))</f>
        <v>AD</v>
      </c>
      <c r="E1561" s="37" t="s">
        <v>303</v>
      </c>
      <c r="F1561" s="41">
        <f t="shared" si="422"/>
        <v>17</v>
      </c>
      <c r="G1561" s="41">
        <f t="shared" si="423"/>
        <v>4</v>
      </c>
      <c r="I1561" s="131">
        <f>INDEX('Base de données Mono'!K:K,MATCH(B1561,'Base de données Mono'!D:D,0))</f>
        <v>0.26041666666666669</v>
      </c>
      <c r="J1561" s="131">
        <f>INDEX('Base de données Mono'!L:L,MATCH(B1561,'Base de données Mono'!D:D,0))</f>
        <v>0.92708333333333337</v>
      </c>
      <c r="K1561" s="131">
        <f>INDEX('Base de données Mono'!M:M,MATCH(B1561,'Base de données Mono'!D:D,0))</f>
        <v>0.27777777777777779</v>
      </c>
      <c r="L1561" s="131">
        <f>INDEX('Base de données Mono'!N:N,MATCH(B1561,'Base de données Mono'!D:D,0))</f>
        <v>0.59375</v>
      </c>
      <c r="M1561" s="33" t="s">
        <v>46</v>
      </c>
      <c r="N1561" s="33">
        <f>IF(AND(E1561="Electricité",M1561="Hiver"),INDEX('Base de données Mono'!E:E,MATCH(B1561,'Base de données Mono'!D:D,0)),IF(AND(E1561="Electricité",M1561="Mi-saison"),INDEX('Base de données Mono'!F:F,MATCH(B1561,'Base de données Mono'!D:D,0)),IF(AND(E1561="Electricité",M1561="Eté"),INDEX('Base de données Mono'!G:G,MATCH(B1561,'Base de données Mono'!D:D,0)),IF(AND(E1561="Gaz",M1561="Hiver"),INDEX('Base de données Mono'!J:J,MATCH(B1561,'Base de données Mono'!D:D,0)),IF(AND(E1561="Gaz",M1561="Mi-saison"),INDEX('Base de données Mono'!#REF!,MATCH(B1561,'Base de données Mono'!D:D,0)),IF(AND(E1561="Gaz",M1561="Eté"),INDEX('Base de données Mono'!#REF!,MATCH(B1561,'Base de données Mono'!D:D,0)),"-"))))))</f>
        <v>65</v>
      </c>
      <c r="O1561" s="123">
        <v>45410</v>
      </c>
      <c r="P1561" s="123">
        <v>45410</v>
      </c>
      <c r="Q1561" s="34">
        <v>95</v>
      </c>
      <c r="R1561" s="33">
        <f t="shared" si="424"/>
        <v>30</v>
      </c>
      <c r="S1561" s="34">
        <v>6</v>
      </c>
      <c r="T1561" s="34">
        <v>1</v>
      </c>
      <c r="U1561" s="33">
        <f t="shared" si="425"/>
        <v>180</v>
      </c>
      <c r="V1561" s="38" t="s">
        <v>827</v>
      </c>
      <c r="W1561" s="39">
        <f t="shared" si="426"/>
        <v>0.46153846153846156</v>
      </c>
      <c r="X1561" s="40" t="s">
        <v>730</v>
      </c>
      <c r="Y1561" s="40" t="s">
        <v>284</v>
      </c>
      <c r="Z1561" s="40" t="s">
        <v>305</v>
      </c>
      <c r="AA1561" s="33" t="s">
        <v>771</v>
      </c>
      <c r="AB1561" s="95"/>
      <c r="AC1561" s="95"/>
    </row>
    <row r="1562" spans="1:29" ht="14.45" customHeight="1" x14ac:dyDescent="0.25">
      <c r="A1562" s="36" t="str">
        <f>INDEX('Base de données Mono'!C:C,MATCH(B1562,'Base de données Mono'!D:D,0))</f>
        <v>MOULINS LES HALLES</v>
      </c>
      <c r="B1562" t="s">
        <v>26</v>
      </c>
      <c r="C1562" s="36" t="str">
        <f>INDEX('Base de données Mono'!B:B,MATCH(B1562,'Base de données Mono'!D:D,0))</f>
        <v>SES8</v>
      </c>
      <c r="D1562" s="36" t="str">
        <f>INDEX('Base de données Mono'!A:A,MATCH(B1562,'Base de données Mono'!D:D,0))</f>
        <v>AD</v>
      </c>
      <c r="E1562" s="37" t="s">
        <v>303</v>
      </c>
      <c r="F1562" s="41">
        <f t="shared" si="422"/>
        <v>17</v>
      </c>
      <c r="G1562" s="41">
        <f t="shared" si="423"/>
        <v>4</v>
      </c>
      <c r="I1562" s="131">
        <f>INDEX('Base de données Mono'!K:K,MATCH(B1562,'Base de données Mono'!D:D,0))</f>
        <v>0.20138888888888887</v>
      </c>
      <c r="J1562" s="131">
        <f>INDEX('Base de données Mono'!L:L,MATCH(B1562,'Base de données Mono'!D:D,0))</f>
        <v>0.85416666666666663</v>
      </c>
      <c r="K1562" s="131">
        <f>INDEX('Base de données Mono'!M:M,MATCH(B1562,'Base de données Mono'!D:D,0))</f>
        <v>0.20833333333333334</v>
      </c>
      <c r="L1562" s="131">
        <f>INDEX('Base de données Mono'!N:N,MATCH(B1562,'Base de données Mono'!D:D,0))</f>
        <v>0.54166666666666663</v>
      </c>
      <c r="M1562" s="33" t="s">
        <v>46</v>
      </c>
      <c r="N1562" s="33">
        <f>IF(AND(E1562="Electricité",M1562="Hiver"),INDEX('Base de données Mono'!E:E,MATCH(B1562,'Base de données Mono'!D:D,0)),IF(AND(E1562="Electricité",M1562="Mi-saison"),INDEX('Base de données Mono'!F:F,MATCH(B1562,'Base de données Mono'!D:D,0)),IF(AND(E1562="Electricité",M1562="Eté"),INDEX('Base de données Mono'!G:G,MATCH(B1562,'Base de données Mono'!D:D,0)),IF(AND(E1562="Gaz",M1562="Hiver"),INDEX('Base de données Mono'!J:J,MATCH(B1562,'Base de données Mono'!D:D,0)),IF(AND(E1562="Gaz",M1562="Mi-saison"),INDEX('Base de données Mono'!#REF!,MATCH(B1562,'Base de données Mono'!D:D,0)),IF(AND(E1562="Gaz",M1562="Eté"),INDEX('Base de données Mono'!#REF!,MATCH(B1562,'Base de données Mono'!D:D,0)),"-"))))))</f>
        <v>35</v>
      </c>
      <c r="O1562" s="123">
        <v>45410</v>
      </c>
      <c r="P1562" s="123">
        <v>45410</v>
      </c>
      <c r="Q1562" s="34">
        <v>50</v>
      </c>
      <c r="R1562" s="33">
        <f t="shared" si="424"/>
        <v>15</v>
      </c>
      <c r="S1562" s="34">
        <v>3</v>
      </c>
      <c r="T1562" s="34">
        <v>1</v>
      </c>
      <c r="U1562" s="33">
        <f t="shared" si="425"/>
        <v>45</v>
      </c>
      <c r="V1562" s="38" t="s">
        <v>827</v>
      </c>
      <c r="W1562" s="39">
        <f t="shared" si="426"/>
        <v>0.42857142857142855</v>
      </c>
      <c r="X1562" s="40" t="s">
        <v>730</v>
      </c>
      <c r="Y1562" s="40" t="s">
        <v>283</v>
      </c>
      <c r="Z1562" s="40" t="s">
        <v>749</v>
      </c>
      <c r="AA1562" s="33" t="s">
        <v>749</v>
      </c>
      <c r="AB1562" s="95"/>
      <c r="AC1562" s="95"/>
    </row>
    <row r="1563" spans="1:29" ht="14.45" customHeight="1" x14ac:dyDescent="0.25">
      <c r="A1563" s="36" t="str">
        <f>INDEX('Base de données Mono'!C:C,MATCH(B1563,'Base de données Mono'!D:D,0))</f>
        <v>CHAMBERY LES HALLES</v>
      </c>
      <c r="B1563" t="s">
        <v>11</v>
      </c>
      <c r="C1563" s="36" t="str">
        <f>INDEX('Base de données Mono'!B:B,MATCH(B1563,'Base de données Mono'!D:D,0))</f>
        <v>SES8</v>
      </c>
      <c r="D1563" s="36" t="str">
        <f>INDEX('Base de données Mono'!A:A,MATCH(B1563,'Base de données Mono'!D:D,0))</f>
        <v>JG</v>
      </c>
      <c r="E1563" s="37" t="s">
        <v>303</v>
      </c>
      <c r="F1563" s="41">
        <f t="shared" si="422"/>
        <v>17</v>
      </c>
      <c r="G1563" s="41">
        <f t="shared" si="423"/>
        <v>4</v>
      </c>
      <c r="I1563" s="131">
        <f>INDEX('Base de données Mono'!K:K,MATCH(B1563,'Base de données Mono'!D:D,0))</f>
        <v>0.20833333333333334</v>
      </c>
      <c r="J1563" s="131">
        <f>INDEX('Base de données Mono'!L:L,MATCH(B1563,'Base de données Mono'!D:D,0))</f>
        <v>0.86458333333333337</v>
      </c>
      <c r="K1563" s="131">
        <f>INDEX('Base de données Mono'!M:M,MATCH(B1563,'Base de données Mono'!D:D,0))</f>
        <v>0.29166666666666669</v>
      </c>
      <c r="L1563" s="131">
        <f>INDEX('Base de données Mono'!N:N,MATCH(B1563,'Base de données Mono'!D:D,0))</f>
        <v>0.53125</v>
      </c>
      <c r="M1563" s="33" t="s">
        <v>46</v>
      </c>
      <c r="N1563" s="33">
        <f>IF(AND(E1563="Electricité",M1563="Hiver"),INDEX('Base de données Mono'!E:E,MATCH(B1563,'Base de données Mono'!D:D,0)),IF(AND(E1563="Electricité",M1563="Mi-saison"),INDEX('Base de données Mono'!F:F,MATCH(B1563,'Base de données Mono'!D:D,0)),IF(AND(E1563="Electricité",M1563="Eté"),INDEX('Base de données Mono'!G:G,MATCH(B1563,'Base de données Mono'!D:D,0)),IF(AND(E1563="Gaz",M1563="Hiver"),INDEX('Base de données Mono'!J:J,MATCH(B1563,'Base de données Mono'!D:D,0)),IF(AND(E1563="Gaz",M1563="Mi-saison"),INDEX('Base de données Mono'!#REF!,MATCH(B1563,'Base de données Mono'!D:D,0)),IF(AND(E1563="Gaz",M1563="Eté"),INDEX('Base de données Mono'!#REF!,MATCH(B1563,'Base de données Mono'!D:D,0)),"-"))))))</f>
        <v>40</v>
      </c>
      <c r="O1563" s="123">
        <v>45410</v>
      </c>
      <c r="P1563" s="123">
        <v>45410</v>
      </c>
      <c r="Q1563" s="34">
        <v>90</v>
      </c>
      <c r="R1563" s="33">
        <f t="shared" si="424"/>
        <v>50</v>
      </c>
      <c r="S1563" s="34">
        <v>6</v>
      </c>
      <c r="T1563" s="34">
        <v>1</v>
      </c>
      <c r="U1563" s="33">
        <f t="shared" si="425"/>
        <v>300</v>
      </c>
      <c r="V1563" s="38" t="s">
        <v>827</v>
      </c>
      <c r="W1563" s="39">
        <f t="shared" si="426"/>
        <v>1.25</v>
      </c>
      <c r="X1563" s="40" t="s">
        <v>730</v>
      </c>
      <c r="Y1563" s="40" t="s">
        <v>284</v>
      </c>
      <c r="Z1563" s="40" t="s">
        <v>307</v>
      </c>
      <c r="AA1563" s="33" t="s">
        <v>308</v>
      </c>
      <c r="AB1563" s="95"/>
      <c r="AC1563" s="95"/>
    </row>
    <row r="1564" spans="1:29" ht="14.45" customHeight="1" x14ac:dyDescent="0.25">
      <c r="A1564" s="36" t="str">
        <f>INDEX('Base de données Mono'!C:C,MATCH(B1564,'Base de données Mono'!D:D,0))</f>
        <v>COURCELLES</v>
      </c>
      <c r="B1564" t="s">
        <v>112</v>
      </c>
      <c r="C1564" s="36" t="str">
        <f>INDEX('Base de données Mono'!B:B,MATCH(B1564,'Base de données Mono'!D:D,0))</f>
        <v>SES8</v>
      </c>
      <c r="D1564" s="36" t="str">
        <f>INDEX('Base de données Mono'!A:A,MATCH(B1564,'Base de données Mono'!D:D,0))</f>
        <v>AD</v>
      </c>
      <c r="E1564" s="37" t="s">
        <v>303</v>
      </c>
      <c r="F1564" s="41">
        <f t="shared" si="422"/>
        <v>17</v>
      </c>
      <c r="G1564" s="41">
        <f t="shared" si="423"/>
        <v>4</v>
      </c>
      <c r="I1564" s="131">
        <f>INDEX('Base de données Mono'!K:K,MATCH(B1564,'Base de données Mono'!D:D,0))</f>
        <v>0.25</v>
      </c>
      <c r="J1564" s="131">
        <f>INDEX('Base de données Mono'!L:L,MATCH(B1564,'Base de données Mono'!D:D,0))</f>
        <v>0.86458333333333337</v>
      </c>
      <c r="K1564" s="131" t="str">
        <f>INDEX('Base de données Mono'!M:M,MATCH(B1564,'Base de données Mono'!D:D,0))</f>
        <v>-</v>
      </c>
      <c r="L1564" s="131" t="str">
        <f>INDEX('Base de données Mono'!N:N,MATCH(B1564,'Base de données Mono'!D:D,0))</f>
        <v>-</v>
      </c>
      <c r="M1564" s="33" t="s">
        <v>46</v>
      </c>
      <c r="N1564" s="33">
        <f>IF(AND(E1564="Electricité",M1564="Hiver"),INDEX('Base de données Mono'!E:E,MATCH(B1564,'Base de données Mono'!D:D,0)),IF(AND(E1564="Electricité",M1564="Mi-saison"),INDEX('Base de données Mono'!F:F,MATCH(B1564,'Base de données Mono'!D:D,0)),IF(AND(E1564="Electricité",M1564="Eté"),INDEX('Base de données Mono'!G:G,MATCH(B1564,'Base de données Mono'!D:D,0)),IF(AND(E1564="Gaz",M1564="Hiver"),INDEX('Base de données Mono'!J:J,MATCH(B1564,'Base de données Mono'!D:D,0)),IF(AND(E1564="Gaz",M1564="Mi-saison"),INDEX('Base de données Mono'!#REF!,MATCH(B1564,'Base de données Mono'!D:D,0)),IF(AND(E1564="Gaz",M1564="Eté"),INDEX('Base de données Mono'!#REF!,MATCH(B1564,'Base de données Mono'!D:D,0)),"-"))))))</f>
        <v>45</v>
      </c>
      <c r="O1564" s="123">
        <v>45410</v>
      </c>
      <c r="P1564" s="123">
        <v>45410</v>
      </c>
      <c r="Q1564" s="34">
        <v>75</v>
      </c>
      <c r="R1564" s="33">
        <f t="shared" si="424"/>
        <v>30</v>
      </c>
      <c r="S1564" s="34">
        <v>13</v>
      </c>
      <c r="T1564" s="34">
        <v>1</v>
      </c>
      <c r="U1564" s="33">
        <f t="shared" si="425"/>
        <v>390</v>
      </c>
      <c r="V1564" s="38" t="s">
        <v>827</v>
      </c>
      <c r="W1564" s="39">
        <f t="shared" si="426"/>
        <v>0.66666666666666663</v>
      </c>
      <c r="X1564" s="40" t="s">
        <v>730</v>
      </c>
      <c r="Y1564" s="40" t="s">
        <v>284</v>
      </c>
      <c r="Z1564" s="40" t="s">
        <v>307</v>
      </c>
      <c r="AA1564" s="33" t="s">
        <v>308</v>
      </c>
      <c r="AB1564" s="95"/>
      <c r="AC1564" s="95"/>
    </row>
    <row r="1565" spans="1:29" ht="14.45" customHeight="1" x14ac:dyDescent="0.25">
      <c r="A1565" s="36" t="str">
        <f>INDEX('Base de données Mono'!C:C,MATCH(B1565,'Base de données Mono'!D:D,0))</f>
        <v>NICE GORBELLA</v>
      </c>
      <c r="B1565" t="s">
        <v>196</v>
      </c>
      <c r="C1565" s="36" t="str">
        <f>INDEX('Base de données Mono'!B:B,MATCH(B1565,'Base de données Mono'!D:D,0))</f>
        <v>SES8</v>
      </c>
      <c r="D1565" s="36" t="str">
        <f>INDEX('Base de données Mono'!A:A,MATCH(B1565,'Base de données Mono'!D:D,0))</f>
        <v>JG</v>
      </c>
      <c r="E1565" s="37" t="s">
        <v>303</v>
      </c>
      <c r="F1565" s="41">
        <f t="shared" si="422"/>
        <v>17</v>
      </c>
      <c r="G1565" s="41">
        <f t="shared" si="423"/>
        <v>4</v>
      </c>
      <c r="I1565" s="131">
        <f>INDEX('Base de données Mono'!K:K,MATCH(B1565,'Base de données Mono'!D:D,0))</f>
        <v>0.20138888888888887</v>
      </c>
      <c r="J1565" s="131">
        <f>INDEX('Base de données Mono'!L:L,MATCH(B1565,'Base de données Mono'!D:D,0))</f>
        <v>0.89583333333333337</v>
      </c>
      <c r="K1565" s="131">
        <f>INDEX('Base de données Mono'!M:M,MATCH(B1565,'Base de données Mono'!D:D,0))</f>
        <v>0.27777777777777779</v>
      </c>
      <c r="L1565" s="131">
        <f>INDEX('Base de données Mono'!N:N,MATCH(B1565,'Base de données Mono'!D:D,0))</f>
        <v>0.55208333333333337</v>
      </c>
      <c r="M1565" s="33" t="s">
        <v>46</v>
      </c>
      <c r="N1565" s="33">
        <f>IF(AND(E1565="Electricité",M1565="Hiver"),INDEX('Base de données Mono'!E:E,MATCH(B1565,'Base de données Mono'!D:D,0)),IF(AND(E1565="Electricité",M1565="Mi-saison"),INDEX('Base de données Mono'!F:F,MATCH(B1565,'Base de données Mono'!D:D,0)),IF(AND(E1565="Electricité",M1565="Eté"),INDEX('Base de données Mono'!G:G,MATCH(B1565,'Base de données Mono'!D:D,0)),IF(AND(E1565="Gaz",M1565="Hiver"),INDEX('Base de données Mono'!J:J,MATCH(B1565,'Base de données Mono'!D:D,0)),IF(AND(E1565="Gaz",M1565="Mi-saison"),INDEX('Base de données Mono'!#REF!,MATCH(B1565,'Base de données Mono'!D:D,0)),IF(AND(E1565="Gaz",M1565="Eté"),INDEX('Base de données Mono'!#REF!,MATCH(B1565,'Base de données Mono'!D:D,0)),"-"))))))</f>
        <v>20</v>
      </c>
      <c r="O1565" s="123">
        <v>45410</v>
      </c>
      <c r="P1565" s="123">
        <v>45410</v>
      </c>
      <c r="Q1565" s="34">
        <v>60</v>
      </c>
      <c r="R1565" s="33">
        <f t="shared" si="424"/>
        <v>40</v>
      </c>
      <c r="S1565" s="34">
        <v>7.5</v>
      </c>
      <c r="T1565" s="34">
        <v>1</v>
      </c>
      <c r="U1565" s="33">
        <f t="shared" si="425"/>
        <v>300</v>
      </c>
      <c r="V1565" s="38" t="s">
        <v>827</v>
      </c>
      <c r="W1565" s="39">
        <f t="shared" si="426"/>
        <v>2</v>
      </c>
      <c r="X1565" s="40" t="s">
        <v>730</v>
      </c>
      <c r="Y1565" s="40" t="s">
        <v>284</v>
      </c>
      <c r="Z1565" s="40" t="s">
        <v>307</v>
      </c>
      <c r="AA1565" s="33" t="s">
        <v>308</v>
      </c>
      <c r="AB1565" s="95"/>
      <c r="AC1565" s="95"/>
    </row>
    <row r="1566" spans="1:29" ht="14.45" customHeight="1" x14ac:dyDescent="0.25">
      <c r="A1566" s="36" t="str">
        <f>INDEX('Base de données Mono'!C:C,MATCH(B1566,'Base de données Mono'!D:D,0))</f>
        <v>NICE CIMIEZ</v>
      </c>
      <c r="B1566" t="s">
        <v>194</v>
      </c>
      <c r="C1566" s="36" t="str">
        <f>INDEX('Base de données Mono'!B:B,MATCH(B1566,'Base de données Mono'!D:D,0))</f>
        <v>SES8</v>
      </c>
      <c r="D1566" s="36" t="str">
        <f>INDEX('Base de données Mono'!A:A,MATCH(B1566,'Base de données Mono'!D:D,0))</f>
        <v>JG</v>
      </c>
      <c r="E1566" s="37" t="s">
        <v>303</v>
      </c>
      <c r="F1566" s="41">
        <f t="shared" si="422"/>
        <v>17</v>
      </c>
      <c r="G1566" s="41">
        <f t="shared" si="423"/>
        <v>4</v>
      </c>
      <c r="I1566" s="131">
        <f>INDEX('Base de données Mono'!K:K,MATCH(B1566,'Base de données Mono'!D:D,0))</f>
        <v>0.23611111111111113</v>
      </c>
      <c r="J1566" s="131">
        <f>INDEX('Base de données Mono'!L:L,MATCH(B1566,'Base de données Mono'!D:D,0))</f>
        <v>0.875</v>
      </c>
      <c r="K1566" s="131">
        <f>INDEX('Base de données Mono'!M:M,MATCH(B1566,'Base de données Mono'!D:D,0))</f>
        <v>0.28472222222222221</v>
      </c>
      <c r="L1566" s="131">
        <f>INDEX('Base de données Mono'!N:N,MATCH(B1566,'Base de données Mono'!D:D,0))</f>
        <v>0.54166666666666663</v>
      </c>
      <c r="M1566" s="33" t="s">
        <v>46</v>
      </c>
      <c r="N1566" s="33">
        <f>IF(AND(E1566="Electricité",M1566="Hiver"),INDEX('Base de données Mono'!E:E,MATCH(B1566,'Base de données Mono'!D:D,0)),IF(AND(E1566="Electricité",M1566="Mi-saison"),INDEX('Base de données Mono'!F:F,MATCH(B1566,'Base de données Mono'!D:D,0)),IF(AND(E1566="Electricité",M1566="Eté"),INDEX('Base de données Mono'!G:G,MATCH(B1566,'Base de données Mono'!D:D,0)),IF(AND(E1566="Gaz",M1566="Hiver"),INDEX('Base de données Mono'!J:J,MATCH(B1566,'Base de données Mono'!D:D,0)),IF(AND(E1566="Gaz",M1566="Mi-saison"),INDEX('Base de données Mono'!#REF!,MATCH(B1566,'Base de données Mono'!D:D,0)),IF(AND(E1566="Gaz",M1566="Eté"),INDEX('Base de données Mono'!#REF!,MATCH(B1566,'Base de données Mono'!D:D,0)),"-"))))))</f>
        <v>85</v>
      </c>
      <c r="O1566" s="123">
        <v>45410</v>
      </c>
      <c r="P1566" s="123">
        <v>45410</v>
      </c>
      <c r="Q1566" s="34">
        <v>130</v>
      </c>
      <c r="R1566" s="33">
        <f t="shared" si="424"/>
        <v>45</v>
      </c>
      <c r="S1566" s="34">
        <v>8</v>
      </c>
      <c r="T1566" s="34">
        <v>1</v>
      </c>
      <c r="U1566" s="33">
        <f t="shared" si="425"/>
        <v>360</v>
      </c>
      <c r="V1566" s="38" t="s">
        <v>827</v>
      </c>
      <c r="W1566" s="39">
        <f t="shared" si="426"/>
        <v>0.52941176470588236</v>
      </c>
      <c r="X1566" s="40" t="s">
        <v>730</v>
      </c>
      <c r="Y1566" s="40" t="s">
        <v>284</v>
      </c>
      <c r="Z1566" s="40" t="s">
        <v>307</v>
      </c>
      <c r="AA1566" s="33" t="s">
        <v>308</v>
      </c>
      <c r="AB1566" s="95"/>
      <c r="AC1566" s="95"/>
    </row>
    <row r="1567" spans="1:29" ht="14.45" customHeight="1" x14ac:dyDescent="0.25">
      <c r="A1567" s="36" t="str">
        <f>INDEX('Base de données Mono'!C:C,MATCH(B1567,'Base de données Mono'!D:D,0))</f>
        <v>DIJON</v>
      </c>
      <c r="B1567" t="s">
        <v>119</v>
      </c>
      <c r="C1567" s="36" t="str">
        <f>INDEX('Base de données Mono'!B:B,MATCH(B1567,'Base de données Mono'!D:D,0))</f>
        <v>SES8</v>
      </c>
      <c r="D1567" s="36" t="str">
        <f>INDEX('Base de données Mono'!A:A,MATCH(B1567,'Base de données Mono'!D:D,0))</f>
        <v>JG</v>
      </c>
      <c r="E1567" s="37" t="s">
        <v>303</v>
      </c>
      <c r="F1567" s="41">
        <f t="shared" si="422"/>
        <v>17</v>
      </c>
      <c r="G1567" s="41">
        <f t="shared" si="423"/>
        <v>4</v>
      </c>
      <c r="I1567" s="131">
        <f>INDEX('Base de données Mono'!K:K,MATCH(B1567,'Base de données Mono'!D:D,0))</f>
        <v>0.24305555555555555</v>
      </c>
      <c r="J1567" s="131">
        <f>INDEX('Base de données Mono'!L:L,MATCH(B1567,'Base de données Mono'!D:D,0))</f>
        <v>0.875</v>
      </c>
      <c r="K1567" s="131">
        <f>INDEX('Base de données Mono'!M:M,MATCH(B1567,'Base de données Mono'!D:D,0))</f>
        <v>0.3125</v>
      </c>
      <c r="L1567" s="131">
        <f>INDEX('Base de données Mono'!N:N,MATCH(B1567,'Base de données Mono'!D:D,0))</f>
        <v>0.54166666666666663</v>
      </c>
      <c r="M1567" s="33" t="s">
        <v>46</v>
      </c>
      <c r="N1567" s="33">
        <f>IF(AND(E1567="Electricité",M1567="Hiver"),INDEX('Base de données Mono'!E:E,MATCH(B1567,'Base de données Mono'!D:D,0)),IF(AND(E1567="Electricité",M1567="Mi-saison"),INDEX('Base de données Mono'!F:F,MATCH(B1567,'Base de données Mono'!D:D,0)),IF(AND(E1567="Electricité",M1567="Eté"),INDEX('Base de données Mono'!G:G,MATCH(B1567,'Base de données Mono'!D:D,0)),IF(AND(E1567="Gaz",M1567="Hiver"),INDEX('Base de données Mono'!J:J,MATCH(B1567,'Base de données Mono'!D:D,0)),IF(AND(E1567="Gaz",M1567="Mi-saison"),INDEX('Base de données Mono'!#REF!,MATCH(B1567,'Base de données Mono'!D:D,0)),IF(AND(E1567="Gaz",M1567="Eté"),INDEX('Base de données Mono'!#REF!,MATCH(B1567,'Base de données Mono'!D:D,0)),"-"))))))</f>
        <v>55</v>
      </c>
      <c r="O1567" s="123">
        <v>45410</v>
      </c>
      <c r="P1567" s="123">
        <v>45410</v>
      </c>
      <c r="Q1567" s="34">
        <v>105</v>
      </c>
      <c r="R1567" s="33">
        <f t="shared" si="424"/>
        <v>50</v>
      </c>
      <c r="S1567" s="34">
        <v>7</v>
      </c>
      <c r="T1567" s="34">
        <v>1</v>
      </c>
      <c r="U1567" s="33">
        <f t="shared" si="425"/>
        <v>350</v>
      </c>
      <c r="V1567" s="38" t="s">
        <v>827</v>
      </c>
      <c r="W1567" s="39">
        <f t="shared" si="426"/>
        <v>0.90909090909090906</v>
      </c>
      <c r="X1567" s="40" t="s">
        <v>730</v>
      </c>
      <c r="Y1567" s="40" t="s">
        <v>284</v>
      </c>
      <c r="Z1567" s="40" t="s">
        <v>307</v>
      </c>
      <c r="AA1567" s="33" t="s">
        <v>308</v>
      </c>
      <c r="AB1567" s="95"/>
      <c r="AC1567" s="95"/>
    </row>
    <row r="1568" spans="1:29" ht="14.45" customHeight="1" x14ac:dyDescent="0.25">
      <c r="A1568" s="36" t="str">
        <f>INDEX('Base de données Mono'!C:C,MATCH(B1568,'Base de données Mono'!D:D,0))</f>
        <v>LYON VALMY</v>
      </c>
      <c r="B1568" t="s">
        <v>22</v>
      </c>
      <c r="C1568" s="36" t="str">
        <f>INDEX('Base de données Mono'!B:B,MATCH(B1568,'Base de données Mono'!D:D,0))</f>
        <v>SES8</v>
      </c>
      <c r="D1568" s="36" t="str">
        <f>INDEX('Base de données Mono'!A:A,MATCH(B1568,'Base de données Mono'!D:D,0))</f>
        <v>JG</v>
      </c>
      <c r="E1568" s="37" t="s">
        <v>303</v>
      </c>
      <c r="F1568" s="41">
        <f t="shared" si="422"/>
        <v>17</v>
      </c>
      <c r="G1568" s="41">
        <f t="shared" si="423"/>
        <v>4</v>
      </c>
      <c r="I1568" s="131">
        <f>INDEX('Base de données Mono'!K:K,MATCH(B1568,'Base de données Mono'!D:D,0))</f>
        <v>0.20833333333333334</v>
      </c>
      <c r="J1568" s="131">
        <f>INDEX('Base de données Mono'!L:L,MATCH(B1568,'Base de données Mono'!D:D,0))</f>
        <v>0.88541666666666663</v>
      </c>
      <c r="K1568" s="131">
        <f>INDEX('Base de données Mono'!M:M,MATCH(B1568,'Base de données Mono'!D:D,0))</f>
        <v>0.31944444444444448</v>
      </c>
      <c r="L1568" s="131">
        <f>INDEX('Base de données Mono'!N:N,MATCH(B1568,'Base de données Mono'!D:D,0))</f>
        <v>0.55208333333333337</v>
      </c>
      <c r="M1568" s="33" t="s">
        <v>46</v>
      </c>
      <c r="N1568" s="33">
        <f>IF(AND(E1568="Electricité",M1568="Hiver"),INDEX('Base de données Mono'!E:E,MATCH(B1568,'Base de données Mono'!D:D,0)),IF(AND(E1568="Electricité",M1568="Mi-saison"),INDEX('Base de données Mono'!F:F,MATCH(B1568,'Base de données Mono'!D:D,0)),IF(AND(E1568="Electricité",M1568="Eté"),INDEX('Base de données Mono'!G:G,MATCH(B1568,'Base de données Mono'!D:D,0)),IF(AND(E1568="Gaz",M1568="Hiver"),INDEX('Base de données Mono'!J:J,MATCH(B1568,'Base de données Mono'!D:D,0)),IF(AND(E1568="Gaz",M1568="Mi-saison"),INDEX('Base de données Mono'!#REF!,MATCH(B1568,'Base de données Mono'!D:D,0)),IF(AND(E1568="Gaz",M1568="Eté"),INDEX('Base de données Mono'!#REF!,MATCH(B1568,'Base de données Mono'!D:D,0)),"-"))))))</f>
        <v>50</v>
      </c>
      <c r="O1568" s="123">
        <v>45410</v>
      </c>
      <c r="P1568" s="123">
        <v>45410</v>
      </c>
      <c r="Q1568" s="34">
        <v>90</v>
      </c>
      <c r="R1568" s="33">
        <f t="shared" si="424"/>
        <v>40</v>
      </c>
      <c r="S1568" s="34">
        <v>6.2</v>
      </c>
      <c r="T1568" s="34">
        <v>1</v>
      </c>
      <c r="U1568" s="33">
        <f t="shared" si="425"/>
        <v>248</v>
      </c>
      <c r="V1568" s="38" t="s">
        <v>827</v>
      </c>
      <c r="W1568" s="39">
        <f t="shared" si="426"/>
        <v>0.8</v>
      </c>
      <c r="X1568" s="40" t="s">
        <v>730</v>
      </c>
      <c r="Y1568" s="40" t="s">
        <v>284</v>
      </c>
      <c r="Z1568" s="40" t="s">
        <v>307</v>
      </c>
      <c r="AA1568" s="33" t="s">
        <v>308</v>
      </c>
      <c r="AB1568" s="95"/>
      <c r="AC1568" s="95"/>
    </row>
    <row r="1569" spans="1:29" ht="14.45" customHeight="1" x14ac:dyDescent="0.25">
      <c r="A1569" s="36" t="str">
        <f>INDEX('Base de données Mono'!C:C,MATCH(B1569,'Base de données Mono'!D:D,0))</f>
        <v>LYON VALMY</v>
      </c>
      <c r="B1569" t="s">
        <v>22</v>
      </c>
      <c r="C1569" s="36" t="str">
        <f>INDEX('Base de données Mono'!B:B,MATCH(B1569,'Base de données Mono'!D:D,0))</f>
        <v>SES8</v>
      </c>
      <c r="D1569" s="36" t="str">
        <f>INDEX('Base de données Mono'!A:A,MATCH(B1569,'Base de données Mono'!D:D,0))</f>
        <v>JG</v>
      </c>
      <c r="E1569" s="37" t="s">
        <v>303</v>
      </c>
      <c r="F1569" s="41">
        <f t="shared" si="422"/>
        <v>17</v>
      </c>
      <c r="G1569" s="41">
        <f t="shared" si="423"/>
        <v>4</v>
      </c>
      <c r="I1569" s="131">
        <f>INDEX('Base de données Mono'!K:K,MATCH(B1569,'Base de données Mono'!D:D,0))</f>
        <v>0.20833333333333334</v>
      </c>
      <c r="J1569" s="131">
        <f>INDEX('Base de données Mono'!L:L,MATCH(B1569,'Base de données Mono'!D:D,0))</f>
        <v>0.88541666666666663</v>
      </c>
      <c r="K1569" s="131">
        <f>INDEX('Base de données Mono'!M:M,MATCH(B1569,'Base de données Mono'!D:D,0))</f>
        <v>0.31944444444444448</v>
      </c>
      <c r="L1569" s="131">
        <f>INDEX('Base de données Mono'!N:N,MATCH(B1569,'Base de données Mono'!D:D,0))</f>
        <v>0.55208333333333337</v>
      </c>
      <c r="M1569" s="33" t="s">
        <v>46</v>
      </c>
      <c r="N1569" s="33">
        <f>IF(AND(E1569="Electricité",M1569="Hiver"),INDEX('Base de données Mono'!E:E,MATCH(B1569,'Base de données Mono'!D:D,0)),IF(AND(E1569="Electricité",M1569="Mi-saison"),INDEX('Base de données Mono'!F:F,MATCH(B1569,'Base de données Mono'!D:D,0)),IF(AND(E1569="Electricité",M1569="Eté"),INDEX('Base de données Mono'!G:G,MATCH(B1569,'Base de données Mono'!D:D,0)),IF(AND(E1569="Gaz",M1569="Hiver"),INDEX('Base de données Mono'!J:J,MATCH(B1569,'Base de données Mono'!D:D,0)),IF(AND(E1569="Gaz",M1569="Mi-saison"),INDEX('Base de données Mono'!#REF!,MATCH(B1569,'Base de données Mono'!D:D,0)),IF(AND(E1569="Gaz",M1569="Eté"),INDEX('Base de données Mono'!#REF!,MATCH(B1569,'Base de données Mono'!D:D,0)),"-"))))))</f>
        <v>50</v>
      </c>
      <c r="O1569" s="123">
        <v>45410</v>
      </c>
      <c r="P1569" s="123">
        <v>45410</v>
      </c>
      <c r="Q1569" s="34">
        <v>65</v>
      </c>
      <c r="R1569" s="33">
        <f t="shared" si="424"/>
        <v>15</v>
      </c>
      <c r="S1569" s="34">
        <v>2</v>
      </c>
      <c r="T1569" s="34">
        <v>1</v>
      </c>
      <c r="U1569" s="33">
        <f t="shared" si="425"/>
        <v>30</v>
      </c>
      <c r="V1569" s="38" t="s">
        <v>827</v>
      </c>
      <c r="W1569" s="39">
        <f t="shared" si="426"/>
        <v>0.3</v>
      </c>
      <c r="X1569" s="40" t="s">
        <v>730</v>
      </c>
      <c r="Y1569" s="40" t="s">
        <v>284</v>
      </c>
      <c r="Z1569" s="40" t="s">
        <v>305</v>
      </c>
      <c r="AA1569" s="33" t="s">
        <v>771</v>
      </c>
      <c r="AB1569" s="95"/>
      <c r="AC1569" s="95"/>
    </row>
    <row r="1570" spans="1:29" ht="14.45" customHeight="1" x14ac:dyDescent="0.25">
      <c r="A1570" s="36" t="str">
        <f>INDEX('Base de données Mono'!C:C,MATCH(B1570,'Base de données Mono'!D:D,0))</f>
        <v>LYON GBL</v>
      </c>
      <c r="B1570" t="s">
        <v>167</v>
      </c>
      <c r="C1570" s="36" t="str">
        <f>INDEX('Base de données Mono'!B:B,MATCH(B1570,'Base de données Mono'!D:D,0))</f>
        <v>SES8</v>
      </c>
      <c r="D1570" s="36" t="str">
        <f>INDEX('Base de données Mono'!A:A,MATCH(B1570,'Base de données Mono'!D:D,0))</f>
        <v>JG</v>
      </c>
      <c r="E1570" s="37" t="s">
        <v>303</v>
      </c>
      <c r="F1570" s="41">
        <f t="shared" si="422"/>
        <v>17</v>
      </c>
      <c r="G1570" s="41">
        <f t="shared" si="423"/>
        <v>4</v>
      </c>
      <c r="I1570" s="131">
        <f>INDEX('Base de données Mono'!K:K,MATCH(B1570,'Base de données Mono'!D:D,0))</f>
        <v>0.19791666666666666</v>
      </c>
      <c r="J1570" s="131">
        <f>INDEX('Base de données Mono'!L:L,MATCH(B1570,'Base de données Mono'!D:D,0))</f>
        <v>0.89583333333333337</v>
      </c>
      <c r="K1570" s="131">
        <f>INDEX('Base de données Mono'!M:M,MATCH(B1570,'Base de données Mono'!D:D,0))</f>
        <v>0.27083333333333331</v>
      </c>
      <c r="L1570" s="131">
        <f>INDEX('Base de données Mono'!N:N,MATCH(B1570,'Base de données Mono'!D:D,0))</f>
        <v>0.54166666666666663</v>
      </c>
      <c r="M1570" s="33" t="s">
        <v>46</v>
      </c>
      <c r="N1570" s="33">
        <f>IF(AND(E1570="Electricité",M1570="Hiver"),INDEX('Base de données Mono'!E:E,MATCH(B1570,'Base de données Mono'!D:D,0)),IF(AND(E1570="Electricité",M1570="Mi-saison"),INDEX('Base de données Mono'!F:F,MATCH(B1570,'Base de données Mono'!D:D,0)),IF(AND(E1570="Electricité",M1570="Eté"),INDEX('Base de données Mono'!G:G,MATCH(B1570,'Base de données Mono'!D:D,0)),IF(AND(E1570="Gaz",M1570="Hiver"),INDEX('Base de données Mono'!J:J,MATCH(B1570,'Base de données Mono'!D:D,0)),IF(AND(E1570="Gaz",M1570="Mi-saison"),INDEX('Base de données Mono'!#REF!,MATCH(B1570,'Base de données Mono'!D:D,0)),IF(AND(E1570="Gaz",M1570="Eté"),INDEX('Base de données Mono'!#REF!,MATCH(B1570,'Base de données Mono'!D:D,0)),"-"))))))</f>
        <v>120</v>
      </c>
      <c r="O1570" s="123">
        <v>45410</v>
      </c>
      <c r="P1570" s="123">
        <v>45410</v>
      </c>
      <c r="Q1570" s="34">
        <v>145</v>
      </c>
      <c r="R1570" s="33">
        <f t="shared" si="424"/>
        <v>25</v>
      </c>
      <c r="S1570" s="34">
        <v>8</v>
      </c>
      <c r="T1570" s="34">
        <v>1</v>
      </c>
      <c r="U1570" s="33">
        <f t="shared" si="425"/>
        <v>200</v>
      </c>
      <c r="V1570" s="38" t="s">
        <v>827</v>
      </c>
      <c r="W1570" s="39">
        <f t="shared" si="426"/>
        <v>0.20833333333333334</v>
      </c>
      <c r="X1570" s="40" t="s">
        <v>730</v>
      </c>
      <c r="Y1570" s="40" t="s">
        <v>284</v>
      </c>
      <c r="Z1570" s="40" t="s">
        <v>305</v>
      </c>
      <c r="AA1570" s="33" t="s">
        <v>771</v>
      </c>
      <c r="AB1570" s="95"/>
      <c r="AC1570" s="95"/>
    </row>
    <row r="1571" spans="1:29" ht="14.45" customHeight="1" x14ac:dyDescent="0.25">
      <c r="A1571" s="36" t="str">
        <f>INDEX('Base de données Mono'!C:C,MATCH(B1571,'Base de données Mono'!D:D,0))</f>
        <v>DAUMESNIL</v>
      </c>
      <c r="B1571" t="s">
        <v>15</v>
      </c>
      <c r="C1571" s="36" t="str">
        <f>INDEX('Base de données Mono'!B:B,MATCH(B1571,'Base de données Mono'!D:D,0))</f>
        <v>SES8</v>
      </c>
      <c r="D1571" s="36" t="str">
        <f>INDEX('Base de données Mono'!A:A,MATCH(B1571,'Base de données Mono'!D:D,0))</f>
        <v>JG</v>
      </c>
      <c r="E1571" s="37" t="s">
        <v>303</v>
      </c>
      <c r="F1571" s="41">
        <f t="shared" ref="F1571:F1579" si="427">IF(O1571="","-",IF(AND(X1571="Nuit",WEEKDAY(O1571,2)=7,O1571&lt;&gt;P1571),WEEKNUM(O1571,2),WEEKNUM(O1571,2)-1))+1</f>
        <v>17</v>
      </c>
      <c r="G1571" s="41">
        <f t="shared" ref="G1571:G1579" si="428">IF(O1571="","-",MONTH(O1571))</f>
        <v>4</v>
      </c>
      <c r="I1571" s="131">
        <f>INDEX('Base de données Mono'!K:K,MATCH(B1571,'Base de données Mono'!D:D,0))</f>
        <v>0.24305555555555555</v>
      </c>
      <c r="J1571" s="131">
        <f>INDEX('Base de données Mono'!L:L,MATCH(B1571,'Base de données Mono'!D:D,0))</f>
        <v>0.92013888888888884</v>
      </c>
      <c r="K1571" s="131">
        <f>INDEX('Base de données Mono'!M:M,MATCH(B1571,'Base de données Mono'!D:D,0))</f>
        <v>0.28472222222222221</v>
      </c>
      <c r="L1571" s="131">
        <f>INDEX('Base de données Mono'!N:N,MATCH(B1571,'Base de données Mono'!D:D,0))</f>
        <v>0.54166666666666663</v>
      </c>
      <c r="M1571" s="33" t="s">
        <v>46</v>
      </c>
      <c r="N1571" s="33">
        <f>IF(AND(E1571="Electricité",M1571="Hiver"),INDEX('Base de données Mono'!E:E,MATCH(B1571,'Base de données Mono'!D:D,0)),IF(AND(E1571="Electricité",M1571="Mi-saison"),INDEX('Base de données Mono'!F:F,MATCH(B1571,'Base de données Mono'!D:D,0)),IF(AND(E1571="Electricité",M1571="Eté"),INDEX('Base de données Mono'!G:G,MATCH(B1571,'Base de données Mono'!D:D,0)),IF(AND(E1571="Gaz",M1571="Hiver"),INDEX('Base de données Mono'!J:J,MATCH(B1571,'Base de données Mono'!D:D,0)),IF(AND(E1571="Gaz",M1571="Mi-saison"),INDEX('Base de données Mono'!#REF!,MATCH(B1571,'Base de données Mono'!D:D,0)),IF(AND(E1571="Gaz",M1571="Eté"),INDEX('Base de données Mono'!#REF!,MATCH(B1571,'Base de données Mono'!D:D,0)),"-"))))))</f>
        <v>15</v>
      </c>
      <c r="O1571" s="123">
        <v>45410</v>
      </c>
      <c r="P1571" s="123">
        <v>45410</v>
      </c>
      <c r="Q1571" s="34">
        <v>105</v>
      </c>
      <c r="R1571" s="33">
        <f t="shared" ref="R1571:R1579" si="429">IF(Q1571="","",Q1571-N1571)</f>
        <v>90</v>
      </c>
      <c r="S1571" s="34">
        <v>7</v>
      </c>
      <c r="T1571" s="34">
        <v>1</v>
      </c>
      <c r="U1571" s="33">
        <f t="shared" ref="U1571:U1579" si="430">R1571*S1571*T1571</f>
        <v>630</v>
      </c>
      <c r="V1571" s="38" t="s">
        <v>827</v>
      </c>
      <c r="W1571" s="39">
        <f t="shared" ref="W1571:W1579" si="431">IFERROR(IF(E1571="Gaz","-",R1571/N1571),"-")</f>
        <v>6</v>
      </c>
      <c r="X1571" s="40" t="s">
        <v>730</v>
      </c>
      <c r="Y1571" s="40" t="s">
        <v>284</v>
      </c>
      <c r="Z1571" s="40" t="s">
        <v>307</v>
      </c>
      <c r="AA1571" s="33" t="s">
        <v>308</v>
      </c>
      <c r="AB1571" s="95"/>
      <c r="AC1571" s="95"/>
    </row>
    <row r="1572" spans="1:29" ht="14.45" customHeight="1" x14ac:dyDescent="0.25">
      <c r="A1572" s="36" t="str">
        <f>INDEX('Base de données Mono'!C:C,MATCH(B1572,'Base de données Mono'!D:D,0))</f>
        <v>SETE</v>
      </c>
      <c r="B1572" t="s">
        <v>34</v>
      </c>
      <c r="C1572" s="36" t="str">
        <f>INDEX('Base de données Mono'!B:B,MATCH(B1572,'Base de données Mono'!D:D,0))</f>
        <v>SES8</v>
      </c>
      <c r="D1572" s="36" t="str">
        <f>INDEX('Base de données Mono'!A:A,MATCH(B1572,'Base de données Mono'!D:D,0))</f>
        <v>AD</v>
      </c>
      <c r="E1572" s="37" t="s">
        <v>303</v>
      </c>
      <c r="F1572" s="41">
        <f t="shared" si="427"/>
        <v>17</v>
      </c>
      <c r="G1572" s="41">
        <f t="shared" si="428"/>
        <v>4</v>
      </c>
      <c r="I1572" s="131">
        <f>INDEX('Base de données Mono'!K:K,MATCH(B1572,'Base de données Mono'!D:D,0))</f>
        <v>0.23611111111111113</v>
      </c>
      <c r="J1572" s="131">
        <f>INDEX('Base de données Mono'!L:L,MATCH(B1572,'Base de données Mono'!D:D,0))</f>
        <v>0.85416666666666663</v>
      </c>
      <c r="K1572" s="131">
        <f>INDEX('Base de données Mono'!M:M,MATCH(B1572,'Base de données Mono'!D:D,0))</f>
        <v>0.29166666666666669</v>
      </c>
      <c r="L1572" s="131">
        <f>INDEX('Base de données Mono'!N:N,MATCH(B1572,'Base de données Mono'!D:D,0))</f>
        <v>0.54166666666666663</v>
      </c>
      <c r="M1572" s="33" t="s">
        <v>46</v>
      </c>
      <c r="N1572" s="33">
        <f>IF(AND(E1572="Electricité",M1572="Hiver"),INDEX('Base de données Mono'!E:E,MATCH(B1572,'Base de données Mono'!D:D,0)),IF(AND(E1572="Electricité",M1572="Mi-saison"),INDEX('Base de données Mono'!F:F,MATCH(B1572,'Base de données Mono'!D:D,0)),IF(AND(E1572="Electricité",M1572="Eté"),INDEX('Base de données Mono'!G:G,MATCH(B1572,'Base de données Mono'!D:D,0)),IF(AND(E1572="Gaz",M1572="Hiver"),INDEX('Base de données Mono'!J:J,MATCH(B1572,'Base de données Mono'!D:D,0)),IF(AND(E1572="Gaz",M1572="Mi-saison"),INDEX('Base de données Mono'!#REF!,MATCH(B1572,'Base de données Mono'!D:D,0)),IF(AND(E1572="Gaz",M1572="Eté"),INDEX('Base de données Mono'!#REF!,MATCH(B1572,'Base de données Mono'!D:D,0)),"-"))))))</f>
        <v>45</v>
      </c>
      <c r="O1572" s="123">
        <v>45410</v>
      </c>
      <c r="P1572" s="123">
        <v>45410</v>
      </c>
      <c r="Q1572" s="34">
        <v>85</v>
      </c>
      <c r="R1572" s="33">
        <f t="shared" si="429"/>
        <v>40</v>
      </c>
      <c r="S1572" s="34">
        <v>6</v>
      </c>
      <c r="T1572" s="34">
        <v>1</v>
      </c>
      <c r="U1572" s="33">
        <f t="shared" si="430"/>
        <v>240</v>
      </c>
      <c r="V1572" s="38" t="s">
        <v>827</v>
      </c>
      <c r="W1572" s="39">
        <f t="shared" si="431"/>
        <v>0.88888888888888884</v>
      </c>
      <c r="X1572" s="40" t="s">
        <v>730</v>
      </c>
      <c r="Y1572" s="40" t="s">
        <v>284</v>
      </c>
      <c r="Z1572" s="40" t="s">
        <v>307</v>
      </c>
      <c r="AA1572" s="33" t="s">
        <v>308</v>
      </c>
      <c r="AB1572" s="95"/>
      <c r="AC1572" s="95"/>
    </row>
    <row r="1573" spans="1:29" ht="14.45" customHeight="1" x14ac:dyDescent="0.25">
      <c r="A1573" s="36" t="str">
        <f>INDEX('Base de données Mono'!C:C,MATCH(B1573,'Base de données Mono'!D:D,0))</f>
        <v>VINCENNES</v>
      </c>
      <c r="B1573" t="s">
        <v>277</v>
      </c>
      <c r="C1573" s="36" t="str">
        <f>INDEX('Base de données Mono'!B:B,MATCH(B1573,'Base de données Mono'!D:D,0))</f>
        <v>SES8</v>
      </c>
      <c r="D1573" s="36" t="str">
        <f>INDEX('Base de données Mono'!A:A,MATCH(B1573,'Base de données Mono'!D:D,0))</f>
        <v>JG</v>
      </c>
      <c r="E1573" s="37" t="s">
        <v>303</v>
      </c>
      <c r="F1573" s="41">
        <f t="shared" si="427"/>
        <v>17</v>
      </c>
      <c r="G1573" s="41">
        <f t="shared" si="428"/>
        <v>4</v>
      </c>
      <c r="I1573" s="131">
        <f>INDEX('Base de données Mono'!K:K,MATCH(B1573,'Base de données Mono'!D:D,0))</f>
        <v>0.24305555555555555</v>
      </c>
      <c r="J1573" s="131">
        <f>INDEX('Base de données Mono'!L:L,MATCH(B1573,'Base de données Mono'!D:D,0))</f>
        <v>0.91666666666666663</v>
      </c>
      <c r="K1573" s="131">
        <f>INDEX('Base de données Mono'!M:M,MATCH(B1573,'Base de données Mono'!D:D,0))</f>
        <v>0.28472222222222221</v>
      </c>
      <c r="L1573" s="131">
        <f>INDEX('Base de données Mono'!N:N,MATCH(B1573,'Base de données Mono'!D:D,0))</f>
        <v>0.56944444444444442</v>
      </c>
      <c r="M1573" s="33" t="s">
        <v>46</v>
      </c>
      <c r="N1573" s="33">
        <f>IF(AND(E1573="Electricité",M1573="Hiver"),INDEX('Base de données Mono'!E:E,MATCH(B1573,'Base de données Mono'!D:D,0)),IF(AND(E1573="Electricité",M1573="Mi-saison"),INDEX('Base de données Mono'!F:F,MATCH(B1573,'Base de données Mono'!D:D,0)),IF(AND(E1573="Electricité",M1573="Eté"),INDEX('Base de données Mono'!G:G,MATCH(B1573,'Base de données Mono'!D:D,0)),IF(AND(E1573="Gaz",M1573="Hiver"),INDEX('Base de données Mono'!J:J,MATCH(B1573,'Base de données Mono'!D:D,0)),IF(AND(E1573="Gaz",M1573="Mi-saison"),INDEX('Base de données Mono'!#REF!,MATCH(B1573,'Base de données Mono'!D:D,0)),IF(AND(E1573="Gaz",M1573="Eté"),INDEX('Base de données Mono'!#REF!,MATCH(B1573,'Base de données Mono'!D:D,0)),"-"))))))</f>
        <v>45</v>
      </c>
      <c r="O1573" s="123">
        <v>45410</v>
      </c>
      <c r="P1573" s="123">
        <v>45410</v>
      </c>
      <c r="Q1573" s="34">
        <v>70</v>
      </c>
      <c r="R1573" s="33">
        <f t="shared" si="429"/>
        <v>25</v>
      </c>
      <c r="S1573" s="34">
        <v>8.3000000000000007</v>
      </c>
      <c r="T1573" s="34">
        <v>1</v>
      </c>
      <c r="U1573" s="33">
        <f t="shared" si="430"/>
        <v>207.50000000000003</v>
      </c>
      <c r="V1573" s="38" t="s">
        <v>827</v>
      </c>
      <c r="W1573" s="39">
        <f t="shared" si="431"/>
        <v>0.55555555555555558</v>
      </c>
      <c r="X1573" s="40" t="s">
        <v>730</v>
      </c>
      <c r="Y1573" s="40" t="s">
        <v>284</v>
      </c>
      <c r="Z1573" s="40" t="s">
        <v>307</v>
      </c>
      <c r="AA1573" s="33" t="s">
        <v>308</v>
      </c>
      <c r="AB1573" s="95"/>
      <c r="AC1573" s="95"/>
    </row>
    <row r="1574" spans="1:29" ht="14.45" customHeight="1" x14ac:dyDescent="0.25">
      <c r="A1574" s="36" t="str">
        <f>INDEX('Base de données Mono'!C:C,MATCH(B1574,'Base de données Mono'!D:D,0))</f>
        <v>LE VESINET</v>
      </c>
      <c r="B1574" t="s">
        <v>19</v>
      </c>
      <c r="C1574" s="36" t="str">
        <f>INDEX('Base de données Mono'!B:B,MATCH(B1574,'Base de données Mono'!D:D,0))</f>
        <v>SES8</v>
      </c>
      <c r="D1574" s="36" t="str">
        <f>INDEX('Base de données Mono'!A:A,MATCH(B1574,'Base de données Mono'!D:D,0))</f>
        <v>AD</v>
      </c>
      <c r="E1574" s="37" t="s">
        <v>303</v>
      </c>
      <c r="F1574" s="41">
        <f t="shared" si="427"/>
        <v>17</v>
      </c>
      <c r="G1574" s="41">
        <f t="shared" si="428"/>
        <v>4</v>
      </c>
      <c r="I1574" s="131">
        <f>INDEX('Base de données Mono'!K:K,MATCH(B1574,'Base de données Mono'!D:D,0))</f>
        <v>0.24305555555555555</v>
      </c>
      <c r="J1574" s="131">
        <f>INDEX('Base de données Mono'!L:L,MATCH(B1574,'Base de données Mono'!D:D,0))</f>
        <v>0.89583333333333337</v>
      </c>
      <c r="K1574" s="131">
        <f>INDEX('Base de données Mono'!M:M,MATCH(B1574,'Base de données Mono'!D:D,0))</f>
        <v>0.29166666666666669</v>
      </c>
      <c r="L1574" s="131">
        <f>INDEX('Base de données Mono'!N:N,MATCH(B1574,'Base de données Mono'!D:D,0))</f>
        <v>0.5625</v>
      </c>
      <c r="M1574" s="33" t="s">
        <v>46</v>
      </c>
      <c r="N1574" s="33">
        <f>IF(AND(E1574="Electricité",M1574="Hiver"),INDEX('Base de données Mono'!E:E,MATCH(B1574,'Base de données Mono'!D:D,0)),IF(AND(E1574="Electricité",M1574="Mi-saison"),INDEX('Base de données Mono'!F:F,MATCH(B1574,'Base de données Mono'!D:D,0)),IF(AND(E1574="Electricité",M1574="Eté"),INDEX('Base de données Mono'!G:G,MATCH(B1574,'Base de données Mono'!D:D,0)),IF(AND(E1574="Gaz",M1574="Hiver"),INDEX('Base de données Mono'!J:J,MATCH(B1574,'Base de données Mono'!D:D,0)),IF(AND(E1574="Gaz",M1574="Mi-saison"),INDEX('Base de données Mono'!#REF!,MATCH(B1574,'Base de données Mono'!D:D,0)),IF(AND(E1574="Gaz",M1574="Eté"),INDEX('Base de données Mono'!#REF!,MATCH(B1574,'Base de données Mono'!D:D,0)),"-"))))))</f>
        <v>45</v>
      </c>
      <c r="O1574" s="123">
        <v>45410</v>
      </c>
      <c r="P1574" s="123">
        <v>45410</v>
      </c>
      <c r="Q1574" s="34">
        <v>90</v>
      </c>
      <c r="R1574" s="33">
        <f t="shared" si="429"/>
        <v>45</v>
      </c>
      <c r="S1574" s="34">
        <v>6.3</v>
      </c>
      <c r="T1574" s="34">
        <v>1</v>
      </c>
      <c r="U1574" s="33">
        <f t="shared" si="430"/>
        <v>283.5</v>
      </c>
      <c r="V1574" s="38" t="s">
        <v>827</v>
      </c>
      <c r="W1574" s="39">
        <f t="shared" si="431"/>
        <v>1</v>
      </c>
      <c r="X1574" s="40" t="s">
        <v>730</v>
      </c>
      <c r="Y1574" s="40" t="s">
        <v>284</v>
      </c>
      <c r="Z1574" s="40" t="s">
        <v>307</v>
      </c>
      <c r="AA1574" s="33" t="s">
        <v>308</v>
      </c>
      <c r="AB1574" s="95"/>
      <c r="AC1574" s="95"/>
    </row>
    <row r="1575" spans="1:29" ht="14.45" customHeight="1" x14ac:dyDescent="0.25">
      <c r="A1575" s="36" t="str">
        <f>INDEX('Base de données Mono'!C:C,MATCH(B1575,'Base de données Mono'!D:D,0))</f>
        <v>LE VESINET</v>
      </c>
      <c r="B1575" t="s">
        <v>19</v>
      </c>
      <c r="C1575" s="36" t="str">
        <f>INDEX('Base de données Mono'!B:B,MATCH(B1575,'Base de données Mono'!D:D,0))</f>
        <v>SES8</v>
      </c>
      <c r="D1575" s="36" t="str">
        <f>INDEX('Base de données Mono'!A:A,MATCH(B1575,'Base de données Mono'!D:D,0))</f>
        <v>AD</v>
      </c>
      <c r="E1575" s="37" t="s">
        <v>303</v>
      </c>
      <c r="F1575" s="41">
        <f t="shared" si="427"/>
        <v>17</v>
      </c>
      <c r="G1575" s="41">
        <f t="shared" si="428"/>
        <v>4</v>
      </c>
      <c r="I1575" s="131">
        <f>INDEX('Base de données Mono'!K:K,MATCH(B1575,'Base de données Mono'!D:D,0))</f>
        <v>0.24305555555555555</v>
      </c>
      <c r="J1575" s="131">
        <f>INDEX('Base de données Mono'!L:L,MATCH(B1575,'Base de données Mono'!D:D,0))</f>
        <v>0.89583333333333337</v>
      </c>
      <c r="K1575" s="131">
        <f>INDEX('Base de données Mono'!M:M,MATCH(B1575,'Base de données Mono'!D:D,0))</f>
        <v>0.29166666666666669</v>
      </c>
      <c r="L1575" s="131">
        <f>INDEX('Base de données Mono'!N:N,MATCH(B1575,'Base de données Mono'!D:D,0))</f>
        <v>0.5625</v>
      </c>
      <c r="M1575" s="33" t="s">
        <v>46</v>
      </c>
      <c r="N1575" s="33">
        <f>IF(AND(E1575="Electricité",M1575="Hiver"),INDEX('Base de données Mono'!E:E,MATCH(B1575,'Base de données Mono'!D:D,0)),IF(AND(E1575="Electricité",M1575="Mi-saison"),INDEX('Base de données Mono'!F:F,MATCH(B1575,'Base de données Mono'!D:D,0)),IF(AND(E1575="Electricité",M1575="Eté"),INDEX('Base de données Mono'!G:G,MATCH(B1575,'Base de données Mono'!D:D,0)),IF(AND(E1575="Gaz",M1575="Hiver"),INDEX('Base de données Mono'!J:J,MATCH(B1575,'Base de données Mono'!D:D,0)),IF(AND(E1575="Gaz",M1575="Mi-saison"),INDEX('Base de données Mono'!#REF!,MATCH(B1575,'Base de données Mono'!D:D,0)),IF(AND(E1575="Gaz",M1575="Eté"),INDEX('Base de données Mono'!#REF!,MATCH(B1575,'Base de données Mono'!D:D,0)),"-"))))))</f>
        <v>45</v>
      </c>
      <c r="O1575" s="123">
        <v>45410</v>
      </c>
      <c r="P1575" s="123">
        <v>45410</v>
      </c>
      <c r="Q1575" s="34">
        <v>55</v>
      </c>
      <c r="R1575" s="33">
        <f t="shared" si="429"/>
        <v>10</v>
      </c>
      <c r="S1575" s="34">
        <v>1.7</v>
      </c>
      <c r="T1575" s="34">
        <v>1</v>
      </c>
      <c r="U1575" s="33">
        <f t="shared" si="430"/>
        <v>17</v>
      </c>
      <c r="V1575" s="38" t="s">
        <v>827</v>
      </c>
      <c r="W1575" s="39">
        <f t="shared" si="431"/>
        <v>0.22222222222222221</v>
      </c>
      <c r="X1575" s="40" t="s">
        <v>730</v>
      </c>
      <c r="Y1575" s="40" t="s">
        <v>284</v>
      </c>
      <c r="Z1575" s="40" t="s">
        <v>305</v>
      </c>
      <c r="AA1575" s="33" t="s">
        <v>771</v>
      </c>
      <c r="AB1575" s="95"/>
      <c r="AC1575" s="95"/>
    </row>
    <row r="1576" spans="1:29" ht="14.45" customHeight="1" x14ac:dyDescent="0.25">
      <c r="A1576" s="36" t="str">
        <f>INDEX('Base de données Mono'!C:C,MATCH(B1576,'Base de données Mono'!D:D,0))</f>
        <v>ALESIA ALI</v>
      </c>
      <c r="B1576" t="s">
        <v>56</v>
      </c>
      <c r="C1576" s="36" t="str">
        <f>INDEX('Base de données Mono'!B:B,MATCH(B1576,'Base de données Mono'!D:D,0))</f>
        <v>SES8</v>
      </c>
      <c r="D1576" s="36" t="str">
        <f>INDEX('Base de données Mono'!A:A,MATCH(B1576,'Base de données Mono'!D:D,0))</f>
        <v>AD</v>
      </c>
      <c r="E1576" s="37" t="s">
        <v>303</v>
      </c>
      <c r="F1576" s="41">
        <f t="shared" si="427"/>
        <v>17</v>
      </c>
      <c r="G1576" s="41">
        <f t="shared" si="428"/>
        <v>4</v>
      </c>
      <c r="I1576" s="131">
        <f>INDEX('Base de données Mono'!K:K,MATCH(B1576,'Base de données Mono'!D:D,0))</f>
        <v>0.20833333333333334</v>
      </c>
      <c r="J1576" s="131">
        <f>INDEX('Base de données Mono'!L:L,MATCH(B1576,'Base de données Mono'!D:D,0))</f>
        <v>0.83333333333333337</v>
      </c>
      <c r="K1576" s="131">
        <f>INDEX('Base de données Mono'!M:M,MATCH(B1576,'Base de données Mono'!D:D,0))</f>
        <v>0.25</v>
      </c>
      <c r="L1576" s="131">
        <f>INDEX('Base de données Mono'!N:N,MATCH(B1576,'Base de données Mono'!D:D,0))</f>
        <v>0.54166666666666663</v>
      </c>
      <c r="M1576" s="33" t="s">
        <v>46</v>
      </c>
      <c r="N1576" s="33">
        <f>IF(AND(E1576="Electricité",M1576="Hiver"),INDEX('Base de données Mono'!E:E,MATCH(B1576,'Base de données Mono'!D:D,0)),IF(AND(E1576="Electricité",M1576="Mi-saison"),INDEX('Base de données Mono'!F:F,MATCH(B1576,'Base de données Mono'!D:D,0)),IF(AND(E1576="Electricité",M1576="Eté"),INDEX('Base de données Mono'!G:G,MATCH(B1576,'Base de données Mono'!D:D,0)),IF(AND(E1576="Gaz",M1576="Hiver"),INDEX('Base de données Mono'!J:J,MATCH(B1576,'Base de données Mono'!D:D,0)),IF(AND(E1576="Gaz",M1576="Mi-saison"),INDEX('Base de données Mono'!#REF!,MATCH(B1576,'Base de données Mono'!D:D,0)),IF(AND(E1576="Gaz",M1576="Eté"),INDEX('Base de données Mono'!#REF!,MATCH(B1576,'Base de données Mono'!D:D,0)),"-"))))))</f>
        <v>55</v>
      </c>
      <c r="O1576" s="123">
        <v>45410</v>
      </c>
      <c r="P1576" s="123">
        <v>45410</v>
      </c>
      <c r="Q1576" s="34">
        <v>80</v>
      </c>
      <c r="R1576" s="33">
        <f t="shared" si="429"/>
        <v>25</v>
      </c>
      <c r="S1576" s="34">
        <v>7</v>
      </c>
      <c r="T1576" s="34">
        <v>1</v>
      </c>
      <c r="U1576" s="33">
        <f t="shared" si="430"/>
        <v>175</v>
      </c>
      <c r="V1576" s="38" t="s">
        <v>827</v>
      </c>
      <c r="W1576" s="39">
        <f t="shared" si="431"/>
        <v>0.45454545454545453</v>
      </c>
      <c r="X1576" s="40" t="s">
        <v>730</v>
      </c>
      <c r="Y1576" s="40" t="s">
        <v>284</v>
      </c>
      <c r="Z1576" s="40" t="s">
        <v>307</v>
      </c>
      <c r="AA1576" s="33" t="s">
        <v>308</v>
      </c>
      <c r="AB1576" s="95"/>
      <c r="AC1576" s="95"/>
    </row>
    <row r="1577" spans="1:29" ht="14.45" customHeight="1" x14ac:dyDescent="0.25">
      <c r="A1577" s="36" t="str">
        <f>INDEX('Base de données Mono'!C:C,MATCH(B1577,'Base de données Mono'!D:D,0))</f>
        <v>LE COURBE</v>
      </c>
      <c r="B1577" t="s">
        <v>20</v>
      </c>
      <c r="C1577" s="36" t="str">
        <f>INDEX('Base de données Mono'!B:B,MATCH(B1577,'Base de données Mono'!D:D,0))</f>
        <v>SES8</v>
      </c>
      <c r="D1577" s="36" t="str">
        <f>INDEX('Base de données Mono'!A:A,MATCH(B1577,'Base de données Mono'!D:D,0))</f>
        <v>AD</v>
      </c>
      <c r="E1577" s="37" t="s">
        <v>303</v>
      </c>
      <c r="F1577" s="41">
        <f t="shared" si="427"/>
        <v>17</v>
      </c>
      <c r="G1577" s="41">
        <f t="shared" si="428"/>
        <v>4</v>
      </c>
      <c r="I1577" s="131">
        <f>INDEX('Base de données Mono'!K:K,MATCH(B1577,'Base de données Mono'!D:D,0))</f>
        <v>0.24305555555555555</v>
      </c>
      <c r="J1577" s="131">
        <f>INDEX('Base de données Mono'!L:L,MATCH(B1577,'Base de données Mono'!D:D,0))</f>
        <v>0.875</v>
      </c>
      <c r="K1577" s="131" t="str">
        <f>INDEX('Base de données Mono'!M:M,MATCH(B1577,'Base de données Mono'!D:D,0))</f>
        <v>-</v>
      </c>
      <c r="L1577" s="131" t="str">
        <f>INDEX('Base de données Mono'!N:N,MATCH(B1577,'Base de données Mono'!D:D,0))</f>
        <v>-</v>
      </c>
      <c r="M1577" s="33" t="s">
        <v>46</v>
      </c>
      <c r="N1577" s="33">
        <f>IF(AND(E1577="Electricité",M1577="Hiver"),INDEX('Base de données Mono'!E:E,MATCH(B1577,'Base de données Mono'!D:D,0)),IF(AND(E1577="Electricité",M1577="Mi-saison"),INDEX('Base de données Mono'!F:F,MATCH(B1577,'Base de données Mono'!D:D,0)),IF(AND(E1577="Electricité",M1577="Eté"),INDEX('Base de données Mono'!G:G,MATCH(B1577,'Base de données Mono'!D:D,0)),IF(AND(E1577="Gaz",M1577="Hiver"),INDEX('Base de données Mono'!J:J,MATCH(B1577,'Base de données Mono'!D:D,0)),IF(AND(E1577="Gaz",M1577="Mi-saison"),INDEX('Base de données Mono'!#REF!,MATCH(B1577,'Base de données Mono'!D:D,0)),IF(AND(E1577="Gaz",M1577="Eté"),INDEX('Base de données Mono'!#REF!,MATCH(B1577,'Base de données Mono'!D:D,0)),"-"))))))</f>
        <v>75</v>
      </c>
      <c r="O1577" s="123">
        <v>45410</v>
      </c>
      <c r="P1577" s="123">
        <v>45410</v>
      </c>
      <c r="Q1577" s="34">
        <v>105</v>
      </c>
      <c r="R1577" s="33">
        <f t="shared" si="429"/>
        <v>30</v>
      </c>
      <c r="S1577" s="34">
        <v>13</v>
      </c>
      <c r="T1577" s="34">
        <v>1</v>
      </c>
      <c r="U1577" s="33">
        <f t="shared" si="430"/>
        <v>390</v>
      </c>
      <c r="V1577" s="38" t="s">
        <v>827</v>
      </c>
      <c r="W1577" s="39">
        <f t="shared" si="431"/>
        <v>0.4</v>
      </c>
      <c r="X1577" s="40" t="s">
        <v>730</v>
      </c>
      <c r="Y1577" s="40" t="s">
        <v>284</v>
      </c>
      <c r="Z1577" s="40" t="s">
        <v>307</v>
      </c>
      <c r="AA1577" s="33" t="s">
        <v>308</v>
      </c>
      <c r="AB1577" s="95"/>
      <c r="AC1577" s="95"/>
    </row>
    <row r="1578" spans="1:29" ht="14.45" customHeight="1" x14ac:dyDescent="0.25">
      <c r="A1578" s="36" t="str">
        <f>INDEX('Base de données Mono'!C:C,MATCH(B1578,'Base de données Mono'!D:D,0))</f>
        <v>COMMERCE</v>
      </c>
      <c r="B1578" t="s">
        <v>110</v>
      </c>
      <c r="C1578" s="36" t="str">
        <f>INDEX('Base de données Mono'!B:B,MATCH(B1578,'Base de données Mono'!D:D,0))</f>
        <v>SES8</v>
      </c>
      <c r="D1578" s="36" t="str">
        <f>INDEX('Base de données Mono'!A:A,MATCH(B1578,'Base de données Mono'!D:D,0))</f>
        <v>AD</v>
      </c>
      <c r="E1578" s="37" t="s">
        <v>303</v>
      </c>
      <c r="F1578" s="41">
        <f t="shared" si="427"/>
        <v>17</v>
      </c>
      <c r="G1578" s="41">
        <f t="shared" si="428"/>
        <v>4</v>
      </c>
      <c r="I1578" s="131">
        <f>INDEX('Base de données Mono'!K:K,MATCH(B1578,'Base de données Mono'!D:D,0))</f>
        <v>0.20833333333333334</v>
      </c>
      <c r="J1578" s="131">
        <f>INDEX('Base de données Mono'!L:L,MATCH(B1578,'Base de données Mono'!D:D,0))</f>
        <v>0.89583333333333337</v>
      </c>
      <c r="K1578" s="131">
        <f>INDEX('Base de données Mono'!M:M,MATCH(B1578,'Base de données Mono'!D:D,0))</f>
        <v>0.27083333333333331</v>
      </c>
      <c r="L1578" s="131">
        <f>INDEX('Base de données Mono'!N:N,MATCH(B1578,'Base de données Mono'!D:D,0))</f>
        <v>0.55902777777777779</v>
      </c>
      <c r="M1578" s="33" t="s">
        <v>46</v>
      </c>
      <c r="N1578" s="33">
        <f>IF(AND(E1578="Electricité",M1578="Hiver"),INDEX('Base de données Mono'!E:E,MATCH(B1578,'Base de données Mono'!D:D,0)),IF(AND(E1578="Electricité",M1578="Mi-saison"),INDEX('Base de données Mono'!F:F,MATCH(B1578,'Base de données Mono'!D:D,0)),IF(AND(E1578="Electricité",M1578="Eté"),INDEX('Base de données Mono'!G:G,MATCH(B1578,'Base de données Mono'!D:D,0)),IF(AND(E1578="Gaz",M1578="Hiver"),INDEX('Base de données Mono'!J:J,MATCH(B1578,'Base de données Mono'!D:D,0)),IF(AND(E1578="Gaz",M1578="Mi-saison"),INDEX('Base de données Mono'!#REF!,MATCH(B1578,'Base de données Mono'!D:D,0)),IF(AND(E1578="Gaz",M1578="Eté"),INDEX('Base de données Mono'!#REF!,MATCH(B1578,'Base de données Mono'!D:D,0)),"-"))))))</f>
        <v>80</v>
      </c>
      <c r="O1578" s="123">
        <v>45410</v>
      </c>
      <c r="P1578" s="123">
        <v>45410</v>
      </c>
      <c r="Q1578" s="34">
        <v>125</v>
      </c>
      <c r="R1578" s="33">
        <f t="shared" si="429"/>
        <v>45</v>
      </c>
      <c r="S1578" s="34">
        <v>6.5</v>
      </c>
      <c r="T1578" s="34">
        <v>1</v>
      </c>
      <c r="U1578" s="33">
        <f t="shared" si="430"/>
        <v>292.5</v>
      </c>
      <c r="V1578" s="38" t="s">
        <v>827</v>
      </c>
      <c r="W1578" s="39">
        <f t="shared" si="431"/>
        <v>0.5625</v>
      </c>
      <c r="X1578" s="40" t="s">
        <v>730</v>
      </c>
      <c r="Y1578" s="40" t="s">
        <v>284</v>
      </c>
      <c r="Z1578" s="40" t="s">
        <v>307</v>
      </c>
      <c r="AA1578" s="33" t="s">
        <v>308</v>
      </c>
      <c r="AB1578" s="95"/>
      <c r="AC1578" s="95"/>
    </row>
    <row r="1579" spans="1:29" ht="14.45" customHeight="1" x14ac:dyDescent="0.25">
      <c r="A1579" s="36" t="str">
        <f>INDEX('Base de données Mono'!C:C,MATCH(B1579,'Base de données Mono'!D:D,0))</f>
        <v>VERSAILLES</v>
      </c>
      <c r="B1579" t="s">
        <v>38</v>
      </c>
      <c r="C1579" s="36" t="str">
        <f>INDEX('Base de données Mono'!B:B,MATCH(B1579,'Base de données Mono'!D:D,0))</f>
        <v>SES8</v>
      </c>
      <c r="D1579" s="36" t="str">
        <f>INDEX('Base de données Mono'!A:A,MATCH(B1579,'Base de données Mono'!D:D,0))</f>
        <v>AD</v>
      </c>
      <c r="E1579" s="37" t="s">
        <v>303</v>
      </c>
      <c r="F1579" s="41">
        <f t="shared" si="427"/>
        <v>17</v>
      </c>
      <c r="G1579" s="41">
        <f t="shared" si="428"/>
        <v>4</v>
      </c>
      <c r="I1579" s="131">
        <f>INDEX('Base de données Mono'!K:K,MATCH(B1579,'Base de données Mono'!D:D,0))</f>
        <v>0.1875</v>
      </c>
      <c r="J1579" s="131">
        <f>INDEX('Base de données Mono'!L:L,MATCH(B1579,'Base de données Mono'!D:D,0))</f>
        <v>0.85416666666666663</v>
      </c>
      <c r="K1579" s="131" t="str">
        <f>INDEX('Base de données Mono'!M:M,MATCH(B1579,'Base de données Mono'!D:D,0))</f>
        <v>-</v>
      </c>
      <c r="L1579" s="131" t="str">
        <f>INDEX('Base de données Mono'!N:N,MATCH(B1579,'Base de données Mono'!D:D,0))</f>
        <v>-</v>
      </c>
      <c r="M1579" s="33" t="s">
        <v>46</v>
      </c>
      <c r="N1579" s="33">
        <f>IF(AND(E1579="Electricité",M1579="Hiver"),INDEX('Base de données Mono'!E:E,MATCH(B1579,'Base de données Mono'!D:D,0)),IF(AND(E1579="Electricité",M1579="Mi-saison"),INDEX('Base de données Mono'!F:F,MATCH(B1579,'Base de données Mono'!D:D,0)),IF(AND(E1579="Electricité",M1579="Eté"),INDEX('Base de données Mono'!G:G,MATCH(B1579,'Base de données Mono'!D:D,0)),IF(AND(E1579="Gaz",M1579="Hiver"),INDEX('Base de données Mono'!J:J,MATCH(B1579,'Base de données Mono'!D:D,0)),IF(AND(E1579="Gaz",M1579="Mi-saison"),INDEX('Base de données Mono'!#REF!,MATCH(B1579,'Base de données Mono'!D:D,0)),IF(AND(E1579="Gaz",M1579="Eté"),INDEX('Base de données Mono'!#REF!,MATCH(B1579,'Base de données Mono'!D:D,0)),"-"))))))</f>
        <v>75</v>
      </c>
      <c r="O1579" s="123">
        <v>45410</v>
      </c>
      <c r="P1579" s="123">
        <v>45410</v>
      </c>
      <c r="Q1579" s="34">
        <v>125</v>
      </c>
      <c r="R1579" s="33">
        <f t="shared" si="429"/>
        <v>50</v>
      </c>
      <c r="S1579" s="34">
        <v>14</v>
      </c>
      <c r="T1579" s="34">
        <v>1</v>
      </c>
      <c r="U1579" s="33">
        <f t="shared" si="430"/>
        <v>700</v>
      </c>
      <c r="V1579" s="38" t="s">
        <v>827</v>
      </c>
      <c r="W1579" s="39">
        <f t="shared" si="431"/>
        <v>0.66666666666666663</v>
      </c>
      <c r="X1579" s="40" t="s">
        <v>730</v>
      </c>
      <c r="Y1579" s="40" t="s">
        <v>284</v>
      </c>
      <c r="Z1579" s="40" t="s">
        <v>307</v>
      </c>
      <c r="AA1579" s="33" t="s">
        <v>308</v>
      </c>
      <c r="AB1579" s="95"/>
      <c r="AC1579" s="95"/>
    </row>
    <row r="1580" spans="1:29" ht="14.45" hidden="1" customHeight="1" x14ac:dyDescent="0.25">
      <c r="A1580" s="36" t="str">
        <f>INDEX('Base de données Mono'!C:C,MATCH(B1580,'Base de données Mono'!D:D,0))</f>
        <v>MOZART</v>
      </c>
      <c r="B1580" t="s">
        <v>27</v>
      </c>
      <c r="C1580" s="36" t="str">
        <f>INDEX('Base de données Mono'!B:B,MATCH(B1580,'Base de données Mono'!D:D,0))</f>
        <v>SES8</v>
      </c>
      <c r="D1580" s="36" t="str">
        <f>INDEX('Base de données Mono'!A:A,MATCH(B1580,'Base de données Mono'!D:D,0))</f>
        <v>AD</v>
      </c>
      <c r="E1580" s="37" t="s">
        <v>303</v>
      </c>
      <c r="F1580" s="41">
        <f>IF(O1580="","-",IF(AND(X1580="Nuit",WEEKDAY(O1580,2)=7,O1580&lt;&gt;P1580),WEEKNUM(O1580,2),WEEKNUM(O1580,2)-1))+1</f>
        <v>18</v>
      </c>
      <c r="G1580" s="41">
        <f>IF(O1580="","-",MONTH(O1580))</f>
        <v>4</v>
      </c>
      <c r="I1580" s="131">
        <f>INDEX('Base de données Mono'!K:K,MATCH(B1580,'Base de données Mono'!D:D,0))</f>
        <v>0.23611111111111113</v>
      </c>
      <c r="J1580" s="131">
        <f>INDEX('Base de données Mono'!L:L,MATCH(B1580,'Base de données Mono'!D:D,0))</f>
        <v>0.92708333333333337</v>
      </c>
      <c r="K1580" s="131">
        <f>INDEX('Base de données Mono'!M:M,MATCH(B1580,'Base de données Mono'!D:D,0))</f>
        <v>0.23611111111111113</v>
      </c>
      <c r="L1580" s="131">
        <f>INDEX('Base de données Mono'!N:N,MATCH(B1580,'Base de données Mono'!D:D,0))</f>
        <v>0.54166666666666663</v>
      </c>
      <c r="M1580" s="33" t="s">
        <v>46</v>
      </c>
      <c r="N1580" s="33">
        <f>IF(AND(E1580="Electricité",M1580="Hiver"),INDEX('Base de données Mono'!E:E,MATCH(B1580,'Base de données Mono'!D:D,0)),IF(AND(E1580="Electricité",M1580="Mi-saison"),INDEX('Base de données Mono'!F:F,MATCH(B1580,'Base de données Mono'!D:D,0)),IF(AND(E1580="Electricité",M1580="Eté"),INDEX('Base de données Mono'!G:G,MATCH(B1580,'Base de données Mono'!D:D,0)),IF(AND(E1580="Gaz",M1580="Hiver"),INDEX('Base de données Mono'!J:J,MATCH(B1580,'Base de données Mono'!D:D,0)),IF(AND(E1580="Gaz",M1580="Mi-saison"),INDEX('Base de données Mono'!#REF!,MATCH(B1580,'Base de données Mono'!D:D,0)),IF(AND(E1580="Gaz",M1580="Eté"),INDEX('Base de données Mono'!#REF!,MATCH(B1580,'Base de données Mono'!D:D,0)),"-"))))))</f>
        <v>35</v>
      </c>
      <c r="O1580" s="123">
        <v>45410</v>
      </c>
      <c r="P1580" s="123">
        <v>45413</v>
      </c>
      <c r="Q1580" s="34">
        <v>40</v>
      </c>
      <c r="R1580" s="33">
        <f>IF(Q1580="","",Q1580-N1580)</f>
        <v>5</v>
      </c>
      <c r="S1580" s="34">
        <v>2</v>
      </c>
      <c r="T1580" s="34">
        <f t="shared" ref="T1580:T1617" si="432">P1580-O1580</f>
        <v>3</v>
      </c>
      <c r="U1580" s="33">
        <f t="shared" ref="U1580:U1584" si="433">R1580*S1580*T1580</f>
        <v>30</v>
      </c>
      <c r="V1580" s="38" t="s">
        <v>827</v>
      </c>
      <c r="W1580" s="39">
        <f t="shared" ref="W1580:W1584" si="434">IFERROR(IF(E1580="Gaz","-",R1580/N1580),"-")</f>
        <v>0.14285714285714285</v>
      </c>
      <c r="X1580" s="40" t="s">
        <v>304</v>
      </c>
      <c r="Y1580" s="40" t="s">
        <v>284</v>
      </c>
      <c r="Z1580" s="40" t="s">
        <v>305</v>
      </c>
      <c r="AA1580" s="33" t="s">
        <v>771</v>
      </c>
      <c r="AB1580" s="95"/>
      <c r="AC1580" s="95"/>
    </row>
    <row r="1581" spans="1:29" ht="14.45" hidden="1" customHeight="1" x14ac:dyDescent="0.25">
      <c r="A1581" s="36" t="str">
        <f>INDEX('Base de données Mono'!C:C,MATCH(B1581,'Base de données Mono'!D:D,0))</f>
        <v>MOZART</v>
      </c>
      <c r="B1581" t="s">
        <v>27</v>
      </c>
      <c r="C1581" s="36" t="str">
        <f>INDEX('Base de données Mono'!B:B,MATCH(B1581,'Base de données Mono'!D:D,0))</f>
        <v>SES8</v>
      </c>
      <c r="D1581" s="36" t="str">
        <f>INDEX('Base de données Mono'!A:A,MATCH(B1581,'Base de données Mono'!D:D,0))</f>
        <v>AD</v>
      </c>
      <c r="E1581" s="37" t="s">
        <v>303</v>
      </c>
      <c r="F1581" s="41">
        <f>IF(O1581="","-",IF(AND(X1581="Nuit",WEEKDAY(O1581,2)=7,O1581&lt;&gt;P1581),WEEKNUM(O1581,2),WEEKNUM(O1581,2)-1))+1</f>
        <v>18</v>
      </c>
      <c r="G1581" s="41">
        <f>IF(O1581="","-",MONTH(O1581))</f>
        <v>4</v>
      </c>
      <c r="I1581" s="131">
        <f>INDEX('Base de données Mono'!K:K,MATCH(B1581,'Base de données Mono'!D:D,0))</f>
        <v>0.23611111111111113</v>
      </c>
      <c r="J1581" s="131">
        <f>INDEX('Base de données Mono'!L:L,MATCH(B1581,'Base de données Mono'!D:D,0))</f>
        <v>0.92708333333333337</v>
      </c>
      <c r="K1581" s="131">
        <f>INDEX('Base de données Mono'!M:M,MATCH(B1581,'Base de données Mono'!D:D,0))</f>
        <v>0.23611111111111113</v>
      </c>
      <c r="L1581" s="131">
        <f>INDEX('Base de données Mono'!N:N,MATCH(B1581,'Base de données Mono'!D:D,0))</f>
        <v>0.54166666666666663</v>
      </c>
      <c r="M1581" s="33" t="s">
        <v>46</v>
      </c>
      <c r="N1581" s="33">
        <f>IF(AND(E1581="Electricité",M1581="Hiver"),INDEX('Base de données Mono'!E:E,MATCH(B1581,'Base de données Mono'!D:D,0)),IF(AND(E1581="Electricité",M1581="Mi-saison"),INDEX('Base de données Mono'!F:F,MATCH(B1581,'Base de données Mono'!D:D,0)),IF(AND(E1581="Electricité",M1581="Eté"),INDEX('Base de données Mono'!G:G,MATCH(B1581,'Base de données Mono'!D:D,0)),IF(AND(E1581="Gaz",M1581="Hiver"),INDEX('Base de données Mono'!J:J,MATCH(B1581,'Base de données Mono'!D:D,0)),IF(AND(E1581="Gaz",M1581="Mi-saison"),INDEX('Base de données Mono'!#REF!,MATCH(B1581,'Base de données Mono'!D:D,0)),IF(AND(E1581="Gaz",M1581="Eté"),INDEX('Base de données Mono'!#REF!,MATCH(B1581,'Base de données Mono'!D:D,0)),"-"))))))</f>
        <v>35</v>
      </c>
      <c r="O1581" s="123">
        <v>45411</v>
      </c>
      <c r="P1581" s="123">
        <v>45413</v>
      </c>
      <c r="Q1581" s="34">
        <v>70</v>
      </c>
      <c r="R1581" s="33">
        <f>IF(Q1581="","",Q1581-N1581)</f>
        <v>35</v>
      </c>
      <c r="S1581" s="34">
        <v>3.5</v>
      </c>
      <c r="T1581" s="34">
        <f t="shared" si="432"/>
        <v>2</v>
      </c>
      <c r="U1581" s="33">
        <f t="shared" si="433"/>
        <v>245</v>
      </c>
      <c r="V1581" s="38" t="s">
        <v>827</v>
      </c>
      <c r="W1581" s="39">
        <f t="shared" si="434"/>
        <v>1</v>
      </c>
      <c r="X1581" s="40" t="s">
        <v>304</v>
      </c>
      <c r="Y1581" s="40" t="s">
        <v>284</v>
      </c>
      <c r="Z1581" s="40" t="s">
        <v>311</v>
      </c>
      <c r="AA1581" s="33" t="s">
        <v>775</v>
      </c>
      <c r="AB1581" s="95"/>
      <c r="AC1581" s="95"/>
    </row>
    <row r="1582" spans="1:29" ht="14.45" hidden="1" customHeight="1" x14ac:dyDescent="0.25">
      <c r="A1582" s="36" t="str">
        <f>INDEX('Base de données Mono'!C:C,MATCH(B1582,'Base de données Mono'!D:D,0))</f>
        <v>VIENNE PYRAMIDE</v>
      </c>
      <c r="B1582" t="s">
        <v>271</v>
      </c>
      <c r="C1582" s="36" t="str">
        <f>INDEX('Base de données Mono'!B:B,MATCH(B1582,'Base de données Mono'!D:D,0))</f>
        <v>Franchisés</v>
      </c>
      <c r="D1582" s="36" t="str">
        <f>INDEX('Base de données Mono'!A:A,MATCH(B1582,'Base de données Mono'!D:D,0))</f>
        <v>AD</v>
      </c>
      <c r="E1582" s="37" t="s">
        <v>303</v>
      </c>
      <c r="F1582" s="41">
        <f>IF(O1582="","-",IF(AND(X1582="Nuit",WEEKDAY(O1582,2)=7,O1582&lt;&gt;P1582),WEEKNUM(O1582,2),WEEKNUM(O1582,2)-1))+1</f>
        <v>18</v>
      </c>
      <c r="G1582" s="41">
        <f>IF(O1582="","-",MONTH(O1582))</f>
        <v>4</v>
      </c>
      <c r="I1582" s="131">
        <f>INDEX('Base de données Mono'!K:K,MATCH(B1582,'Base de données Mono'!D:D,0))</f>
        <v>0.24305555555555555</v>
      </c>
      <c r="J1582" s="131">
        <f>INDEX('Base de données Mono'!L:L,MATCH(B1582,'Base de données Mono'!D:D,0))</f>
        <v>0.83333333333333337</v>
      </c>
      <c r="K1582" s="131">
        <f>INDEX('Base de données Mono'!M:M,MATCH(B1582,'Base de données Mono'!D:D,0))</f>
        <v>0.29166666666666669</v>
      </c>
      <c r="L1582" s="131">
        <f>INDEX('Base de données Mono'!N:N,MATCH(B1582,'Base de données Mono'!D:D,0))</f>
        <v>0.54166666666666663</v>
      </c>
      <c r="M1582" s="33" t="s">
        <v>46</v>
      </c>
      <c r="N1582" s="33">
        <f>IF(AND(E1582="Electricité",M1582="Hiver"),INDEX('Base de données Mono'!E:E,MATCH(B1582,'Base de données Mono'!D:D,0)),IF(AND(E1582="Electricité",M1582="Mi-saison"),INDEX('Base de données Mono'!F:F,MATCH(B1582,'Base de données Mono'!D:D,0)),IF(AND(E1582="Electricité",M1582="Eté"),INDEX('Base de données Mono'!G:G,MATCH(B1582,'Base de données Mono'!D:D,0)),IF(AND(E1582="Gaz",M1582="Hiver"),INDEX('Base de données Mono'!J:J,MATCH(B1582,'Base de données Mono'!D:D,0)),IF(AND(E1582="Gaz",M1582="Mi-saison"),INDEX('Base de données Mono'!#REF!,MATCH(B1582,'Base de données Mono'!D:D,0)),IF(AND(E1582="Gaz",M1582="Eté"),INDEX('Base de données Mono'!#REF!,MATCH(B1582,'Base de données Mono'!D:D,0)),"-"))))))</f>
        <v>45</v>
      </c>
      <c r="O1582" s="123">
        <v>45410</v>
      </c>
      <c r="P1582" s="123">
        <v>45413</v>
      </c>
      <c r="Q1582" s="34">
        <v>50</v>
      </c>
      <c r="R1582" s="33">
        <f>IF(Q1582="","",Q1582-N1582)</f>
        <v>5</v>
      </c>
      <c r="S1582" s="34">
        <v>2</v>
      </c>
      <c r="T1582" s="34">
        <f t="shared" si="432"/>
        <v>3</v>
      </c>
      <c r="U1582" s="33">
        <f t="shared" si="433"/>
        <v>30</v>
      </c>
      <c r="V1582" s="38" t="s">
        <v>827</v>
      </c>
      <c r="W1582" s="39">
        <f t="shared" si="434"/>
        <v>0.1111111111111111</v>
      </c>
      <c r="X1582" s="40" t="s">
        <v>304</v>
      </c>
      <c r="Y1582" s="40" t="s">
        <v>284</v>
      </c>
      <c r="Z1582" s="40" t="s">
        <v>305</v>
      </c>
      <c r="AA1582" s="33" t="s">
        <v>771</v>
      </c>
      <c r="AB1582" s="95"/>
      <c r="AC1582" s="95"/>
    </row>
    <row r="1583" spans="1:29" ht="14.45" hidden="1" customHeight="1" x14ac:dyDescent="0.25">
      <c r="A1583" s="36" t="str">
        <f>INDEX('Base de données Mono'!C:C,MATCH(B1583,'Base de données Mono'!D:D,0))</f>
        <v>FONTENAY SOUS BOIS</v>
      </c>
      <c r="B1583" t="s">
        <v>131</v>
      </c>
      <c r="C1583" s="36" t="str">
        <f>INDEX('Base de données Mono'!B:B,MATCH(B1583,'Base de données Mono'!D:D,0))</f>
        <v>SES8</v>
      </c>
      <c r="D1583" s="36" t="str">
        <f>INDEX('Base de données Mono'!A:A,MATCH(B1583,'Base de données Mono'!D:D,0))</f>
        <v>JG</v>
      </c>
      <c r="E1583" s="37" t="s">
        <v>303</v>
      </c>
      <c r="F1583" s="41">
        <f>IF(O1583="","-",IF(AND(X1583="Nuit",WEEKDAY(O1583,2)=7,O1583&lt;&gt;P1583),WEEKNUM(O1583,2),WEEKNUM(O1583,2)-1))+1</f>
        <v>18</v>
      </c>
      <c r="G1583" s="41">
        <f>IF(O1583="","-",MONTH(O1583))</f>
        <v>4</v>
      </c>
      <c r="I1583" s="131">
        <f>INDEX('Base de données Mono'!K:K,MATCH(B1583,'Base de données Mono'!D:D,0))</f>
        <v>0.24305555555555555</v>
      </c>
      <c r="J1583" s="131">
        <f>INDEX('Base de données Mono'!L:L,MATCH(B1583,'Base de données Mono'!D:D,0))</f>
        <v>0.89583333333333337</v>
      </c>
      <c r="K1583" s="131">
        <f>INDEX('Base de données Mono'!M:M,MATCH(B1583,'Base de données Mono'!D:D,0))</f>
        <v>0.27083333333333331</v>
      </c>
      <c r="L1583" s="131">
        <f>INDEX('Base de données Mono'!N:N,MATCH(B1583,'Base de données Mono'!D:D,0))</f>
        <v>0.5625</v>
      </c>
      <c r="M1583" s="33" t="s">
        <v>46</v>
      </c>
      <c r="N1583" s="33">
        <f>IF(AND(E1583="Electricité",M1583="Hiver"),INDEX('Base de données Mono'!E:E,MATCH(B1583,'Base de données Mono'!D:D,0)),IF(AND(E1583="Electricité",M1583="Mi-saison"),INDEX('Base de données Mono'!F:F,MATCH(B1583,'Base de données Mono'!D:D,0)),IF(AND(E1583="Electricité",M1583="Eté"),INDEX('Base de données Mono'!G:G,MATCH(B1583,'Base de données Mono'!D:D,0)),IF(AND(E1583="Gaz",M1583="Hiver"),INDEX('Base de données Mono'!J:J,MATCH(B1583,'Base de données Mono'!D:D,0)),IF(AND(E1583="Gaz",M1583="Mi-saison"),INDEX('Base de données Mono'!#REF!,MATCH(B1583,'Base de données Mono'!D:D,0)),IF(AND(E1583="Gaz",M1583="Eté"),INDEX('Base de données Mono'!#REF!,MATCH(B1583,'Base de données Mono'!D:D,0)),"-"))))))</f>
        <v>55</v>
      </c>
      <c r="O1583" s="123">
        <v>45410</v>
      </c>
      <c r="P1583" s="123">
        <v>45413</v>
      </c>
      <c r="Q1583" s="34">
        <v>65</v>
      </c>
      <c r="R1583" s="33">
        <f>IF(Q1583="","",Q1583-N1583)</f>
        <v>10</v>
      </c>
      <c r="S1583" s="34">
        <v>8</v>
      </c>
      <c r="T1583" s="34">
        <f t="shared" si="432"/>
        <v>3</v>
      </c>
      <c r="U1583" s="33">
        <f t="shared" si="433"/>
        <v>240</v>
      </c>
      <c r="V1583" s="38" t="s">
        <v>827</v>
      </c>
      <c r="W1583" s="39">
        <f t="shared" si="434"/>
        <v>0.18181818181818182</v>
      </c>
      <c r="X1583" s="40" t="s">
        <v>304</v>
      </c>
      <c r="Y1583" s="40" t="s">
        <v>284</v>
      </c>
      <c r="Z1583" s="40" t="s">
        <v>305</v>
      </c>
      <c r="AA1583" s="33" t="s">
        <v>771</v>
      </c>
      <c r="AB1583" s="95"/>
      <c r="AC1583" s="95"/>
    </row>
    <row r="1584" spans="1:29" ht="14.45" hidden="1" customHeight="1" x14ac:dyDescent="0.25">
      <c r="A1584" s="36" t="str">
        <f>INDEX('Base de données Mono'!C:C,MATCH(B1584,'Base de données Mono'!D:D,0))</f>
        <v>ARCUEIL</v>
      </c>
      <c r="B1584" t="s">
        <v>63</v>
      </c>
      <c r="C1584" s="36" t="str">
        <f>INDEX('Base de données Mono'!B:B,MATCH(B1584,'Base de données Mono'!D:D,0))</f>
        <v>SES8</v>
      </c>
      <c r="D1584" s="36" t="str">
        <f>INDEX('Base de données Mono'!A:A,MATCH(B1584,'Base de données Mono'!D:D,0))</f>
        <v>JG</v>
      </c>
      <c r="E1584" s="37" t="s">
        <v>303</v>
      </c>
      <c r="F1584" s="41">
        <f t="shared" ref="F1584:F1613" si="435">IF(O1584="","-",IF(AND(X1584="Nuit",WEEKDAY(O1584,2)=7,O1584&lt;&gt;P1584),WEEKNUM(O1584,2),WEEKNUM(O1584,2)-1))+1</f>
        <v>18</v>
      </c>
      <c r="G1584" s="41">
        <f t="shared" ref="G1584:G1613" si="436">IF(O1584="","-",MONTH(O1584))</f>
        <v>4</v>
      </c>
      <c r="I1584" s="131">
        <f>INDEX('Base de données Mono'!K:K,MATCH(B1584,'Base de données Mono'!D:D,0))</f>
        <v>0.1875</v>
      </c>
      <c r="J1584" s="131">
        <f>INDEX('Base de données Mono'!L:L,MATCH(B1584,'Base de données Mono'!D:D,0))</f>
        <v>0.83333333333333337</v>
      </c>
      <c r="K1584" s="131">
        <f>INDEX('Base de données Mono'!M:M,MATCH(B1584,'Base de données Mono'!D:D,0))</f>
        <v>0.24305555555555555</v>
      </c>
      <c r="L1584" s="131">
        <f>INDEX('Base de données Mono'!N:N,MATCH(B1584,'Base de données Mono'!D:D,0))</f>
        <v>0.54166666666666696</v>
      </c>
      <c r="M1584" s="33" t="s">
        <v>46</v>
      </c>
      <c r="N1584" s="33">
        <f>IF(AND(E1584="Electricité",M1584="Hiver"),INDEX('Base de données Mono'!E:E,MATCH(B1584,'Base de données Mono'!D:D,0)),IF(AND(E1584="Electricité",M1584="Mi-saison"),INDEX('Base de données Mono'!F:F,MATCH(B1584,'Base de données Mono'!D:D,0)),IF(AND(E1584="Electricité",M1584="Eté"),INDEX('Base de données Mono'!G:G,MATCH(B1584,'Base de données Mono'!D:D,0)),IF(AND(E1584="Gaz",M1584="Hiver"),INDEX('Base de données Mono'!J:J,MATCH(B1584,'Base de données Mono'!D:D,0)),IF(AND(E1584="Gaz",M1584="Mi-saison"),INDEX('Base de données Mono'!#REF!,MATCH(B1584,'Base de données Mono'!D:D,0)),IF(AND(E1584="Gaz",M1584="Eté"),INDEX('Base de données Mono'!#REF!,MATCH(B1584,'Base de données Mono'!D:D,0)),"-"))))))</f>
        <v>80</v>
      </c>
      <c r="O1584" s="123">
        <v>45411</v>
      </c>
      <c r="P1584" s="123">
        <v>45413</v>
      </c>
      <c r="Q1584" s="34">
        <v>115</v>
      </c>
      <c r="R1584" s="33">
        <f t="shared" ref="R1584:R1613" si="437">IF(Q1584="","",Q1584-N1584)</f>
        <v>35</v>
      </c>
      <c r="S1584" s="34">
        <v>0.6</v>
      </c>
      <c r="T1584" s="34">
        <f t="shared" si="432"/>
        <v>2</v>
      </c>
      <c r="U1584" s="33">
        <f t="shared" si="433"/>
        <v>42</v>
      </c>
      <c r="V1584" s="38" t="s">
        <v>827</v>
      </c>
      <c r="W1584" s="39">
        <f t="shared" si="434"/>
        <v>0.4375</v>
      </c>
      <c r="X1584" s="40" t="s">
        <v>304</v>
      </c>
      <c r="Y1584" s="40" t="s">
        <v>284</v>
      </c>
      <c r="Z1584" s="40" t="s">
        <v>307</v>
      </c>
      <c r="AA1584" s="33" t="s">
        <v>313</v>
      </c>
      <c r="AB1584" s="95"/>
      <c r="AC1584" s="95"/>
    </row>
    <row r="1585" spans="1:29" ht="14.45" hidden="1" customHeight="1" x14ac:dyDescent="0.25">
      <c r="A1585" s="36" t="str">
        <f>INDEX('Base de données Mono'!C:C,MATCH(B1585,'Base de données Mono'!D:D,0))</f>
        <v>ARCUEIL</v>
      </c>
      <c r="B1585" t="s">
        <v>63</v>
      </c>
      <c r="C1585" s="36" t="str">
        <f>INDEX('Base de données Mono'!B:B,MATCH(B1585,'Base de données Mono'!D:D,0))</f>
        <v>SES8</v>
      </c>
      <c r="D1585" s="36" t="str">
        <f>INDEX('Base de données Mono'!A:A,MATCH(B1585,'Base de données Mono'!D:D,0))</f>
        <v>JG</v>
      </c>
      <c r="E1585" s="37" t="s">
        <v>303</v>
      </c>
      <c r="F1585" s="41">
        <f t="shared" si="435"/>
        <v>18</v>
      </c>
      <c r="G1585" s="41">
        <f t="shared" si="436"/>
        <v>4</v>
      </c>
      <c r="I1585" s="131">
        <f>INDEX('Base de données Mono'!K:K,MATCH(B1585,'Base de données Mono'!D:D,0))</f>
        <v>0.1875</v>
      </c>
      <c r="J1585" s="131">
        <f>INDEX('Base de données Mono'!L:L,MATCH(B1585,'Base de données Mono'!D:D,0))</f>
        <v>0.83333333333333337</v>
      </c>
      <c r="K1585" s="131">
        <f>INDEX('Base de données Mono'!M:M,MATCH(B1585,'Base de données Mono'!D:D,0))</f>
        <v>0.24305555555555555</v>
      </c>
      <c r="L1585" s="131">
        <f>INDEX('Base de données Mono'!N:N,MATCH(B1585,'Base de données Mono'!D:D,0))</f>
        <v>0.54166666666666696</v>
      </c>
      <c r="M1585" s="33" t="s">
        <v>46</v>
      </c>
      <c r="N1585" s="33">
        <f>IF(AND(E1585="Electricité",M1585="Hiver"),INDEX('Base de données Mono'!E:E,MATCH(B1585,'Base de données Mono'!D:D,0)),IF(AND(E1585="Electricité",M1585="Mi-saison"),INDEX('Base de données Mono'!F:F,MATCH(B1585,'Base de données Mono'!D:D,0)),IF(AND(E1585="Electricité",M1585="Eté"),INDEX('Base de données Mono'!G:G,MATCH(B1585,'Base de données Mono'!D:D,0)),IF(AND(E1585="Gaz",M1585="Hiver"),INDEX('Base de données Mono'!J:J,MATCH(B1585,'Base de données Mono'!D:D,0)),IF(AND(E1585="Gaz",M1585="Mi-saison"),INDEX('Base de données Mono'!#REF!,MATCH(B1585,'Base de données Mono'!D:D,0)),IF(AND(E1585="Gaz",M1585="Eté"),INDEX('Base de données Mono'!#REF!,MATCH(B1585,'Base de données Mono'!D:D,0)),"-"))))))</f>
        <v>80</v>
      </c>
      <c r="O1585" s="123">
        <v>45411</v>
      </c>
      <c r="P1585" s="123">
        <v>45413</v>
      </c>
      <c r="Q1585" s="34">
        <v>90</v>
      </c>
      <c r="R1585" s="33">
        <f t="shared" si="437"/>
        <v>10</v>
      </c>
      <c r="S1585" s="34">
        <v>2</v>
      </c>
      <c r="T1585" s="34">
        <f t="shared" si="432"/>
        <v>2</v>
      </c>
      <c r="U1585" s="33">
        <f t="shared" ref="U1585:U1613" si="438">R1585*S1585*T1585</f>
        <v>40</v>
      </c>
      <c r="V1585" s="38" t="s">
        <v>827</v>
      </c>
      <c r="W1585" s="39">
        <f t="shared" ref="W1585:W1613" si="439">IFERROR(IF(E1585="Gaz","-",R1585/N1585),"-")</f>
        <v>0.125</v>
      </c>
      <c r="X1585" s="40" t="s">
        <v>304</v>
      </c>
      <c r="Y1585" s="40" t="s">
        <v>284</v>
      </c>
      <c r="Z1585" s="40" t="s">
        <v>305</v>
      </c>
      <c r="AA1585" s="33" t="s">
        <v>771</v>
      </c>
      <c r="AB1585" s="95"/>
      <c r="AC1585" s="95"/>
    </row>
    <row r="1586" spans="1:29" ht="14.45" hidden="1" customHeight="1" x14ac:dyDescent="0.25">
      <c r="A1586" s="36" t="str">
        <f>INDEX('Base de données Mono'!C:C,MATCH(B1586,'Base de données Mono'!D:D,0))</f>
        <v>TOURS NATIONALE</v>
      </c>
      <c r="B1586" t="s">
        <v>37</v>
      </c>
      <c r="C1586" s="36" t="str">
        <f>INDEX('Base de données Mono'!B:B,MATCH(B1586,'Base de données Mono'!D:D,0))</f>
        <v>SES8</v>
      </c>
      <c r="D1586" s="36" t="str">
        <f>INDEX('Base de données Mono'!A:A,MATCH(B1586,'Base de données Mono'!D:D,0))</f>
        <v>AD</v>
      </c>
      <c r="E1586" s="37" t="s">
        <v>303</v>
      </c>
      <c r="F1586" s="41">
        <f t="shared" si="435"/>
        <v>18</v>
      </c>
      <c r="G1586" s="41">
        <f t="shared" si="436"/>
        <v>4</v>
      </c>
      <c r="I1586" s="131">
        <f>INDEX('Base de données Mono'!K:K,MATCH(B1586,'Base de données Mono'!D:D,0))</f>
        <v>0.22916666666666666</v>
      </c>
      <c r="J1586" s="131">
        <f>INDEX('Base de données Mono'!L:L,MATCH(B1586,'Base de données Mono'!D:D,0))</f>
        <v>0.88541666666666663</v>
      </c>
      <c r="K1586" s="131">
        <f>INDEX('Base de données Mono'!M:M,MATCH(B1586,'Base de données Mono'!D:D,0))</f>
        <v>0.31944444444444448</v>
      </c>
      <c r="L1586" s="131">
        <f>INDEX('Base de données Mono'!N:N,MATCH(B1586,'Base de données Mono'!D:D,0))</f>
        <v>0.55208333333333337</v>
      </c>
      <c r="M1586" s="33" t="s">
        <v>46</v>
      </c>
      <c r="N1586" s="33">
        <f>IF(AND(E1586="Electricité",M1586="Hiver"),INDEX('Base de données Mono'!E:E,MATCH(B1586,'Base de données Mono'!D:D,0)),IF(AND(E1586="Electricité",M1586="Mi-saison"),INDEX('Base de données Mono'!F:F,MATCH(B1586,'Base de données Mono'!D:D,0)),IF(AND(E1586="Electricité",M1586="Eté"),INDEX('Base de données Mono'!G:G,MATCH(B1586,'Base de données Mono'!D:D,0)),IF(AND(E1586="Gaz",M1586="Hiver"),INDEX('Base de données Mono'!J:J,MATCH(B1586,'Base de données Mono'!D:D,0)),IF(AND(E1586="Gaz",M1586="Mi-saison"),INDEX('Base de données Mono'!#REF!,MATCH(B1586,'Base de données Mono'!D:D,0)),IF(AND(E1586="Gaz",M1586="Eté"),INDEX('Base de données Mono'!#REF!,MATCH(B1586,'Base de données Mono'!D:D,0)),"-"))))))</f>
        <v>50</v>
      </c>
      <c r="O1586" s="123">
        <v>45410</v>
      </c>
      <c r="P1586" s="123">
        <v>45413</v>
      </c>
      <c r="Q1586" s="34">
        <v>60</v>
      </c>
      <c r="R1586" s="33">
        <f t="shared" si="437"/>
        <v>10</v>
      </c>
      <c r="S1586" s="34">
        <v>6.2</v>
      </c>
      <c r="T1586" s="34">
        <f t="shared" si="432"/>
        <v>3</v>
      </c>
      <c r="U1586" s="33">
        <f t="shared" si="438"/>
        <v>186</v>
      </c>
      <c r="V1586" s="38" t="s">
        <v>827</v>
      </c>
      <c r="W1586" s="39">
        <f t="shared" si="439"/>
        <v>0.2</v>
      </c>
      <c r="X1586" s="40" t="s">
        <v>304</v>
      </c>
      <c r="Y1586" s="40" t="s">
        <v>284</v>
      </c>
      <c r="Z1586" s="40" t="s">
        <v>305</v>
      </c>
      <c r="AA1586" s="33" t="s">
        <v>771</v>
      </c>
      <c r="AB1586" s="95"/>
      <c r="AC1586" s="95"/>
    </row>
    <row r="1587" spans="1:29" ht="14.45" hidden="1" customHeight="1" x14ac:dyDescent="0.25">
      <c r="A1587" s="36" t="str">
        <f>INDEX('Base de données Mono'!C:C,MATCH(B1587,'Base de données Mono'!D:D,0))</f>
        <v>TOURS NATIONALE</v>
      </c>
      <c r="B1587" t="s">
        <v>37</v>
      </c>
      <c r="C1587" s="36" t="str">
        <f>INDEX('Base de données Mono'!B:B,MATCH(B1587,'Base de données Mono'!D:D,0))</f>
        <v>SES8</v>
      </c>
      <c r="D1587" s="36" t="str">
        <f>INDEX('Base de données Mono'!A:A,MATCH(B1587,'Base de données Mono'!D:D,0))</f>
        <v>AD</v>
      </c>
      <c r="E1587" s="37" t="s">
        <v>303</v>
      </c>
      <c r="F1587" s="41">
        <f t="shared" si="435"/>
        <v>18</v>
      </c>
      <c r="G1587" s="41">
        <f t="shared" si="436"/>
        <v>4</v>
      </c>
      <c r="I1587" s="131">
        <f>INDEX('Base de données Mono'!K:K,MATCH(B1587,'Base de données Mono'!D:D,0))</f>
        <v>0.22916666666666666</v>
      </c>
      <c r="J1587" s="131">
        <f>INDEX('Base de données Mono'!L:L,MATCH(B1587,'Base de données Mono'!D:D,0))</f>
        <v>0.88541666666666663</v>
      </c>
      <c r="K1587" s="131">
        <f>INDEX('Base de données Mono'!M:M,MATCH(B1587,'Base de données Mono'!D:D,0))</f>
        <v>0.31944444444444448</v>
      </c>
      <c r="L1587" s="131">
        <f>INDEX('Base de données Mono'!N:N,MATCH(B1587,'Base de données Mono'!D:D,0))</f>
        <v>0.55208333333333337</v>
      </c>
      <c r="M1587" s="33" t="s">
        <v>46</v>
      </c>
      <c r="N1587" s="33">
        <f>IF(AND(E1587="Electricité",M1587="Hiver"),INDEX('Base de données Mono'!E:E,MATCH(B1587,'Base de données Mono'!D:D,0)),IF(AND(E1587="Electricité",M1587="Mi-saison"),INDEX('Base de données Mono'!F:F,MATCH(B1587,'Base de données Mono'!D:D,0)),IF(AND(E1587="Electricité",M1587="Eté"),INDEX('Base de données Mono'!G:G,MATCH(B1587,'Base de données Mono'!D:D,0)),IF(AND(E1587="Gaz",M1587="Hiver"),INDEX('Base de données Mono'!J:J,MATCH(B1587,'Base de données Mono'!D:D,0)),IF(AND(E1587="Gaz",M1587="Mi-saison"),INDEX('Base de données Mono'!#REF!,MATCH(B1587,'Base de données Mono'!D:D,0)),IF(AND(E1587="Gaz",M1587="Eté"),INDEX('Base de données Mono'!#REF!,MATCH(B1587,'Base de données Mono'!D:D,0)),"-"))))))</f>
        <v>50</v>
      </c>
      <c r="O1587" s="123">
        <v>45410</v>
      </c>
      <c r="P1587" s="123">
        <v>45413</v>
      </c>
      <c r="Q1587" s="34">
        <v>80</v>
      </c>
      <c r="R1587" s="33">
        <f t="shared" si="437"/>
        <v>30</v>
      </c>
      <c r="S1587" s="34">
        <v>1</v>
      </c>
      <c r="T1587" s="34">
        <f t="shared" si="432"/>
        <v>3</v>
      </c>
      <c r="U1587" s="33">
        <f t="shared" si="438"/>
        <v>90</v>
      </c>
      <c r="V1587" s="38" t="s">
        <v>827</v>
      </c>
      <c r="W1587" s="39">
        <f t="shared" si="439"/>
        <v>0.6</v>
      </c>
      <c r="X1587" s="40" t="s">
        <v>304</v>
      </c>
      <c r="Y1587" s="40" t="s">
        <v>284</v>
      </c>
      <c r="Z1587" s="40" t="s">
        <v>305</v>
      </c>
      <c r="AA1587" s="33" t="s">
        <v>771</v>
      </c>
      <c r="AB1587" s="95"/>
      <c r="AC1587" s="95"/>
    </row>
    <row r="1588" spans="1:29" ht="14.45" hidden="1" customHeight="1" x14ac:dyDescent="0.25">
      <c r="A1588" s="36" t="str">
        <f>INDEX('Base de données Mono'!C:C,MATCH(B1588,'Base de données Mono'!D:D,0))</f>
        <v>ISSY GAMBETTA</v>
      </c>
      <c r="B1588" t="s">
        <v>17</v>
      </c>
      <c r="C1588" s="36" t="str">
        <f>INDEX('Base de données Mono'!B:B,MATCH(B1588,'Base de données Mono'!D:D,0))</f>
        <v>SES8</v>
      </c>
      <c r="D1588" s="36" t="str">
        <f>INDEX('Base de données Mono'!A:A,MATCH(B1588,'Base de données Mono'!D:D,0))</f>
        <v>AD</v>
      </c>
      <c r="E1588" s="37" t="s">
        <v>303</v>
      </c>
      <c r="F1588" s="41">
        <f t="shared" si="435"/>
        <v>18</v>
      </c>
      <c r="G1588" s="41">
        <f t="shared" si="436"/>
        <v>4</v>
      </c>
      <c r="I1588" s="131">
        <f>INDEX('Base de données Mono'!K:K,MATCH(B1588,'Base de données Mono'!D:D,0))</f>
        <v>0.25</v>
      </c>
      <c r="J1588" s="131">
        <f>INDEX('Base de données Mono'!L:L,MATCH(B1588,'Base de données Mono'!D:D,0))</f>
        <v>0.90625</v>
      </c>
      <c r="K1588" s="131">
        <f>INDEX('Base de données Mono'!M:M,MATCH(B1588,'Base de données Mono'!D:D,0))</f>
        <v>0.3263888888888889</v>
      </c>
      <c r="L1588" s="131">
        <f>INDEX('Base de données Mono'!N:N,MATCH(B1588,'Base de données Mono'!D:D,0))</f>
        <v>0.54166666666666663</v>
      </c>
      <c r="M1588" s="33" t="s">
        <v>46</v>
      </c>
      <c r="N1588" s="33">
        <f>IF(AND(E1588="Electricité",M1588="Hiver"),INDEX('Base de données Mono'!E:E,MATCH(B1588,'Base de données Mono'!D:D,0)),IF(AND(E1588="Electricité",M1588="Mi-saison"),INDEX('Base de données Mono'!F:F,MATCH(B1588,'Base de données Mono'!D:D,0)),IF(AND(E1588="Electricité",M1588="Eté"),INDEX('Base de données Mono'!G:G,MATCH(B1588,'Base de données Mono'!D:D,0)),IF(AND(E1588="Gaz",M1588="Hiver"),INDEX('Base de données Mono'!J:J,MATCH(B1588,'Base de données Mono'!D:D,0)),IF(AND(E1588="Gaz",M1588="Mi-saison"),INDEX('Base de données Mono'!#REF!,MATCH(B1588,'Base de données Mono'!D:D,0)),IF(AND(E1588="Gaz",M1588="Eté"),INDEX('Base de données Mono'!#REF!,MATCH(B1588,'Base de données Mono'!D:D,0)),"-"))))))</f>
        <v>35</v>
      </c>
      <c r="O1588" s="123">
        <v>45410</v>
      </c>
      <c r="P1588" s="123">
        <v>45413</v>
      </c>
      <c r="Q1588" s="34">
        <v>40</v>
      </c>
      <c r="R1588" s="33">
        <f t="shared" si="437"/>
        <v>5</v>
      </c>
      <c r="S1588" s="34">
        <v>8.1999999999999993</v>
      </c>
      <c r="T1588" s="34">
        <f t="shared" si="432"/>
        <v>3</v>
      </c>
      <c r="U1588" s="33">
        <f t="shared" si="438"/>
        <v>123</v>
      </c>
      <c r="V1588" s="38" t="s">
        <v>827</v>
      </c>
      <c r="W1588" s="39">
        <f t="shared" si="439"/>
        <v>0.14285714285714285</v>
      </c>
      <c r="X1588" s="40" t="s">
        <v>304</v>
      </c>
      <c r="Y1588" s="40" t="s">
        <v>284</v>
      </c>
      <c r="Z1588" s="40" t="s">
        <v>305</v>
      </c>
      <c r="AA1588" s="33" t="s">
        <v>771</v>
      </c>
      <c r="AB1588" s="95"/>
      <c r="AC1588" s="95"/>
    </row>
    <row r="1589" spans="1:29" ht="14.45" hidden="1" customHeight="1" x14ac:dyDescent="0.25">
      <c r="A1589" s="36" t="str">
        <f>INDEX('Base de données Mono'!C:C,MATCH(B1589,'Base de données Mono'!D:D,0))</f>
        <v>ANGERS LES HALLES</v>
      </c>
      <c r="B1589" t="s">
        <v>4</v>
      </c>
      <c r="C1589" s="36" t="str">
        <f>INDEX('Base de données Mono'!B:B,MATCH(B1589,'Base de données Mono'!D:D,0))</f>
        <v>SES8</v>
      </c>
      <c r="D1589" s="36" t="str">
        <f>INDEX('Base de données Mono'!A:A,MATCH(B1589,'Base de données Mono'!D:D,0))</f>
        <v>AD</v>
      </c>
      <c r="E1589" s="37" t="s">
        <v>303</v>
      </c>
      <c r="F1589" s="41">
        <f t="shared" si="435"/>
        <v>18</v>
      </c>
      <c r="G1589" s="41">
        <f t="shared" si="436"/>
        <v>4</v>
      </c>
      <c r="I1589" s="131">
        <f>INDEX('Base de données Mono'!K:K,MATCH(B1589,'Base de données Mono'!D:D,0))</f>
        <v>0.20833333333333334</v>
      </c>
      <c r="J1589" s="131">
        <f>INDEX('Base de données Mono'!L:L,MATCH(B1589,'Base de données Mono'!D:D,0))</f>
        <v>0.875</v>
      </c>
      <c r="K1589" s="131" t="str">
        <f>INDEX('Base de données Mono'!M:M,MATCH(B1589,'Base de données Mono'!D:D,0))</f>
        <v>-</v>
      </c>
      <c r="L1589" s="131" t="str">
        <f>INDEX('Base de données Mono'!N:N,MATCH(B1589,'Base de données Mono'!D:D,0))</f>
        <v>-</v>
      </c>
      <c r="M1589" s="33" t="s">
        <v>46</v>
      </c>
      <c r="N1589" s="33">
        <f>IF(AND(E1589="Electricité",M1589="Hiver"),INDEX('Base de données Mono'!E:E,MATCH(B1589,'Base de données Mono'!D:D,0)),IF(AND(E1589="Electricité",M1589="Mi-saison"),INDEX('Base de données Mono'!F:F,MATCH(B1589,'Base de données Mono'!D:D,0)),IF(AND(E1589="Electricité",M1589="Eté"),INDEX('Base de données Mono'!G:G,MATCH(B1589,'Base de données Mono'!D:D,0)),IF(AND(E1589="Gaz",M1589="Hiver"),INDEX('Base de données Mono'!J:J,MATCH(B1589,'Base de données Mono'!D:D,0)),IF(AND(E1589="Gaz",M1589="Mi-saison"),INDEX('Base de données Mono'!#REF!,MATCH(B1589,'Base de données Mono'!D:D,0)),IF(AND(E1589="Gaz",M1589="Eté"),INDEX('Base de données Mono'!#REF!,MATCH(B1589,'Base de données Mono'!D:D,0)),"-"))))))</f>
        <v>60</v>
      </c>
      <c r="O1589" s="123">
        <v>45410</v>
      </c>
      <c r="P1589" s="123">
        <v>45413</v>
      </c>
      <c r="Q1589" s="34">
        <v>70</v>
      </c>
      <c r="R1589" s="33">
        <f t="shared" si="437"/>
        <v>10</v>
      </c>
      <c r="S1589" s="34">
        <v>8</v>
      </c>
      <c r="T1589" s="34">
        <f t="shared" si="432"/>
        <v>3</v>
      </c>
      <c r="U1589" s="33">
        <f t="shared" si="438"/>
        <v>240</v>
      </c>
      <c r="V1589" s="38" t="s">
        <v>827</v>
      </c>
      <c r="W1589" s="39">
        <f t="shared" si="439"/>
        <v>0.16666666666666666</v>
      </c>
      <c r="X1589" s="40" t="s">
        <v>304</v>
      </c>
      <c r="Y1589" s="40" t="s">
        <v>284</v>
      </c>
      <c r="Z1589" s="40" t="s">
        <v>305</v>
      </c>
      <c r="AA1589" s="33" t="s">
        <v>771</v>
      </c>
      <c r="AB1589" s="95"/>
      <c r="AC1589" s="95"/>
    </row>
    <row r="1590" spans="1:29" ht="14.45" hidden="1" customHeight="1" x14ac:dyDescent="0.25">
      <c r="A1590" s="36" t="str">
        <f>INDEX('Base de données Mono'!C:C,MATCH(B1590,'Base de données Mono'!D:D,0))</f>
        <v>ANGERS LES HALLES</v>
      </c>
      <c r="B1590" t="s">
        <v>4</v>
      </c>
      <c r="C1590" s="36" t="str">
        <f>INDEX('Base de données Mono'!B:B,MATCH(B1590,'Base de données Mono'!D:D,0))</f>
        <v>SES8</v>
      </c>
      <c r="D1590" s="36" t="str">
        <f>INDEX('Base de données Mono'!A:A,MATCH(B1590,'Base de données Mono'!D:D,0))</f>
        <v>AD</v>
      </c>
      <c r="E1590" s="37" t="s">
        <v>303</v>
      </c>
      <c r="F1590" s="41">
        <f>IF(O1590="","-",IF(AND(X1590="Nuit",WEEKDAY(O1590,2)=7,O1590&lt;&gt;P1590),WEEKNUM(O1590,2),WEEKNUM(O1590,2)-1))+1</f>
        <v>18</v>
      </c>
      <c r="G1590" s="41">
        <f>IF(O1590="","-",MONTH(O1590))</f>
        <v>4</v>
      </c>
      <c r="I1590" s="131">
        <f>INDEX('Base de données Mono'!K:K,MATCH(B1590,'Base de données Mono'!D:D,0))</f>
        <v>0.20833333333333334</v>
      </c>
      <c r="J1590" s="131">
        <f>INDEX('Base de données Mono'!L:L,MATCH(B1590,'Base de données Mono'!D:D,0))</f>
        <v>0.875</v>
      </c>
      <c r="K1590" s="131" t="str">
        <f>INDEX('Base de données Mono'!M:M,MATCH(B1590,'Base de données Mono'!D:D,0))</f>
        <v>-</v>
      </c>
      <c r="L1590" s="131" t="str">
        <f>INDEX('Base de données Mono'!N:N,MATCH(B1590,'Base de données Mono'!D:D,0))</f>
        <v>-</v>
      </c>
      <c r="M1590" s="33" t="s">
        <v>46</v>
      </c>
      <c r="N1590" s="33">
        <f>IF(AND(E1590="Electricité",M1590="Hiver"),INDEX('Base de données Mono'!E:E,MATCH(B1590,'Base de données Mono'!D:D,0)),IF(AND(E1590="Electricité",M1590="Mi-saison"),INDEX('Base de données Mono'!F:F,MATCH(B1590,'Base de données Mono'!D:D,0)),IF(AND(E1590="Electricité",M1590="Eté"),INDEX('Base de données Mono'!G:G,MATCH(B1590,'Base de données Mono'!D:D,0)),IF(AND(E1590="Gaz",M1590="Hiver"),INDEX('Base de données Mono'!J:J,MATCH(B1590,'Base de données Mono'!D:D,0)),IF(AND(E1590="Gaz",M1590="Mi-saison"),INDEX('Base de données Mono'!#REF!,MATCH(B1590,'Base de données Mono'!D:D,0)),IF(AND(E1590="Gaz",M1590="Eté"),INDEX('Base de données Mono'!#REF!,MATCH(B1590,'Base de données Mono'!D:D,0)),"-"))))))</f>
        <v>60</v>
      </c>
      <c r="O1590" s="123">
        <v>45411</v>
      </c>
      <c r="P1590" s="123">
        <v>45413</v>
      </c>
      <c r="Q1590" s="34">
        <v>85</v>
      </c>
      <c r="R1590" s="33">
        <f t="shared" si="437"/>
        <v>25</v>
      </c>
      <c r="S1590" s="34">
        <v>0.3</v>
      </c>
      <c r="T1590" s="34">
        <f t="shared" si="432"/>
        <v>2</v>
      </c>
      <c r="U1590" s="33">
        <f t="shared" si="438"/>
        <v>15</v>
      </c>
      <c r="V1590" s="38" t="s">
        <v>827</v>
      </c>
      <c r="W1590" s="39">
        <f t="shared" si="439"/>
        <v>0.41666666666666669</v>
      </c>
      <c r="X1590" s="40" t="s">
        <v>304</v>
      </c>
      <c r="Y1590" s="40" t="s">
        <v>284</v>
      </c>
      <c r="Z1590" s="40" t="s">
        <v>307</v>
      </c>
      <c r="AA1590" s="33" t="s">
        <v>313</v>
      </c>
      <c r="AB1590" s="95"/>
      <c r="AC1590" s="95"/>
    </row>
    <row r="1591" spans="1:29" ht="14.45" hidden="1" customHeight="1" x14ac:dyDescent="0.25">
      <c r="A1591" s="36" t="str">
        <f>INDEX('Base de données Mono'!C:C,MATCH(B1591,'Base de données Mono'!D:D,0))</f>
        <v>ANGERS LES HALLES</v>
      </c>
      <c r="B1591" t="s">
        <v>4</v>
      </c>
      <c r="C1591" s="36" t="str">
        <f>INDEX('Base de données Mono'!B:B,MATCH(B1591,'Base de données Mono'!D:D,0))</f>
        <v>SES8</v>
      </c>
      <c r="D1591" s="36" t="str">
        <f>INDEX('Base de données Mono'!A:A,MATCH(B1591,'Base de données Mono'!D:D,0))</f>
        <v>AD</v>
      </c>
      <c r="E1591" s="37" t="s">
        <v>303</v>
      </c>
      <c r="F1591" s="41">
        <f t="shared" si="435"/>
        <v>18</v>
      </c>
      <c r="G1591" s="41">
        <f t="shared" si="436"/>
        <v>4</v>
      </c>
      <c r="I1591" s="131">
        <f>INDEX('Base de données Mono'!K:K,MATCH(B1591,'Base de données Mono'!D:D,0))</f>
        <v>0.20833333333333334</v>
      </c>
      <c r="J1591" s="131">
        <f>INDEX('Base de données Mono'!L:L,MATCH(B1591,'Base de données Mono'!D:D,0))</f>
        <v>0.875</v>
      </c>
      <c r="K1591" s="131" t="str">
        <f>INDEX('Base de données Mono'!M:M,MATCH(B1591,'Base de données Mono'!D:D,0))</f>
        <v>-</v>
      </c>
      <c r="L1591" s="131" t="str">
        <f>INDEX('Base de données Mono'!N:N,MATCH(B1591,'Base de données Mono'!D:D,0))</f>
        <v>-</v>
      </c>
      <c r="M1591" s="33" t="s">
        <v>46</v>
      </c>
      <c r="N1591" s="33">
        <f>IF(AND(E1591="Electricité",M1591="Hiver"),INDEX('Base de données Mono'!E:E,MATCH(B1591,'Base de données Mono'!D:D,0)),IF(AND(E1591="Electricité",M1591="Mi-saison"),INDEX('Base de données Mono'!F:F,MATCH(B1591,'Base de données Mono'!D:D,0)),IF(AND(E1591="Electricité",M1591="Eté"),INDEX('Base de données Mono'!G:G,MATCH(B1591,'Base de données Mono'!D:D,0)),IF(AND(E1591="Gaz",M1591="Hiver"),INDEX('Base de données Mono'!J:J,MATCH(B1591,'Base de données Mono'!D:D,0)),IF(AND(E1591="Gaz",M1591="Mi-saison"),INDEX('Base de données Mono'!#REF!,MATCH(B1591,'Base de données Mono'!D:D,0)),IF(AND(E1591="Gaz",M1591="Eté"),INDEX('Base de données Mono'!#REF!,MATCH(B1591,'Base de données Mono'!D:D,0)),"-"))))))</f>
        <v>60</v>
      </c>
      <c r="O1591" s="123">
        <v>45411</v>
      </c>
      <c r="P1591" s="123">
        <v>45413</v>
      </c>
      <c r="Q1591" s="34">
        <v>70</v>
      </c>
      <c r="R1591" s="33">
        <f t="shared" si="437"/>
        <v>10</v>
      </c>
      <c r="S1591" s="34">
        <v>7.7</v>
      </c>
      <c r="T1591" s="34">
        <f t="shared" si="432"/>
        <v>2</v>
      </c>
      <c r="U1591" s="33">
        <f t="shared" si="438"/>
        <v>154</v>
      </c>
      <c r="V1591" s="38" t="s">
        <v>827</v>
      </c>
      <c r="W1591" s="39">
        <f t="shared" si="439"/>
        <v>0.16666666666666666</v>
      </c>
      <c r="X1591" s="40" t="s">
        <v>304</v>
      </c>
      <c r="Y1591" s="40" t="s">
        <v>284</v>
      </c>
      <c r="Z1591" s="40" t="s">
        <v>305</v>
      </c>
      <c r="AA1591" s="33" t="s">
        <v>771</v>
      </c>
      <c r="AB1591" s="95"/>
      <c r="AC1591" s="95"/>
    </row>
    <row r="1592" spans="1:29" ht="14.45" hidden="1" customHeight="1" x14ac:dyDescent="0.25">
      <c r="A1592" s="36" t="str">
        <f>INDEX('Base de données Mono'!C:C,MATCH(B1592,'Base de données Mono'!D:D,0))</f>
        <v>NANCY ST SEBASTIEN</v>
      </c>
      <c r="B1592" t="s">
        <v>186</v>
      </c>
      <c r="C1592" s="36" t="str">
        <f>INDEX('Base de données Mono'!B:B,MATCH(B1592,'Base de données Mono'!D:D,0))</f>
        <v>SES8</v>
      </c>
      <c r="D1592" s="36" t="str">
        <f>INDEX('Base de données Mono'!A:A,MATCH(B1592,'Base de données Mono'!D:D,0))</f>
        <v>JG</v>
      </c>
      <c r="E1592" s="37" t="s">
        <v>303</v>
      </c>
      <c r="F1592" s="41">
        <f t="shared" ref="F1592" si="440">IF(O1592="","-",IF(AND(X1592="Nuit",WEEKDAY(O1592,2)=7,O1592&lt;&gt;P1592),WEEKNUM(O1592,2),WEEKNUM(O1592,2)-1))+1</f>
        <v>18</v>
      </c>
      <c r="G1592" s="41">
        <f t="shared" ref="G1592" si="441">IF(O1592="","-",MONTH(O1592))</f>
        <v>4</v>
      </c>
      <c r="I1592" s="131">
        <f>INDEX('Base de données Mono'!K:K,MATCH(B1592,'Base de données Mono'!D:D,0))</f>
        <v>0.23611111111111113</v>
      </c>
      <c r="J1592" s="131">
        <f>INDEX('Base de données Mono'!L:L,MATCH(B1592,'Base de données Mono'!D:D,0))</f>
        <v>0.86458333333333337</v>
      </c>
      <c r="K1592" s="131" t="str">
        <f>INDEX('Base de données Mono'!M:M,MATCH(B1592,'Base de données Mono'!D:D,0))</f>
        <v>-</v>
      </c>
      <c r="L1592" s="131" t="str">
        <f>INDEX('Base de données Mono'!N:N,MATCH(B1592,'Base de données Mono'!D:D,0))</f>
        <v>-</v>
      </c>
      <c r="M1592" s="33" t="s">
        <v>46</v>
      </c>
      <c r="N1592" s="33">
        <f>IF(AND(E1592="Electricité",M1592="Hiver"),INDEX('Base de données Mono'!E:E,MATCH(B1592,'Base de données Mono'!D:D,0)),IF(AND(E1592="Electricité",M1592="Mi-saison"),INDEX('Base de données Mono'!F:F,MATCH(B1592,'Base de données Mono'!D:D,0)),IF(AND(E1592="Electricité",M1592="Eté"),INDEX('Base de données Mono'!G:G,MATCH(B1592,'Base de données Mono'!D:D,0)),IF(AND(E1592="Gaz",M1592="Hiver"),INDEX('Base de données Mono'!J:J,MATCH(B1592,'Base de données Mono'!D:D,0)),IF(AND(E1592="Gaz",M1592="Mi-saison"),INDEX('Base de données Mono'!#REF!,MATCH(B1592,'Base de données Mono'!D:D,0)),IF(AND(E1592="Gaz",M1592="Eté"),INDEX('Base de données Mono'!#REF!,MATCH(B1592,'Base de données Mono'!D:D,0)),"-"))))))</f>
        <v>85</v>
      </c>
      <c r="O1592" s="123">
        <v>45410</v>
      </c>
      <c r="P1592" s="123">
        <v>45413</v>
      </c>
      <c r="Q1592" s="34">
        <v>130</v>
      </c>
      <c r="R1592" s="33">
        <f t="shared" ref="R1592:R1593" si="442">IF(Q1592="","",Q1592-N1592)</f>
        <v>45</v>
      </c>
      <c r="S1592" s="34">
        <v>7.6</v>
      </c>
      <c r="T1592" s="34">
        <f t="shared" ref="T1592:T1593" si="443">P1592-O1592</f>
        <v>3</v>
      </c>
      <c r="U1592" s="33">
        <f t="shared" ref="U1592" si="444">R1592*S1592*T1592</f>
        <v>1026</v>
      </c>
      <c r="V1592" s="38" t="s">
        <v>827</v>
      </c>
      <c r="W1592" s="39">
        <f t="shared" ref="W1592" si="445">IFERROR(IF(E1592="Gaz","-",R1592/N1592),"-")</f>
        <v>0.52941176470588236</v>
      </c>
      <c r="X1592" s="40" t="s">
        <v>304</v>
      </c>
      <c r="Y1592" s="40" t="s">
        <v>283</v>
      </c>
      <c r="Z1592" s="40" t="s">
        <v>749</v>
      </c>
      <c r="AA1592" s="33" t="s">
        <v>749</v>
      </c>
      <c r="AB1592" s="95"/>
      <c r="AC1592" s="95"/>
    </row>
    <row r="1593" spans="1:29" ht="14.45" hidden="1" customHeight="1" x14ac:dyDescent="0.25">
      <c r="A1593" s="36" t="str">
        <f>INDEX('Base de données Mono'!C:C,MATCH(B1593,'Base de données Mono'!D:D,0))</f>
        <v>NANCY ST SEBASTIEN</v>
      </c>
      <c r="B1593" t="s">
        <v>186</v>
      </c>
      <c r="C1593" s="36" t="str">
        <f>INDEX('Base de données Mono'!B:B,MATCH(B1593,'Base de données Mono'!D:D,0))</f>
        <v>SES8</v>
      </c>
      <c r="D1593" s="36" t="str">
        <f>INDEX('Base de données Mono'!A:A,MATCH(B1593,'Base de données Mono'!D:D,0))</f>
        <v>JG</v>
      </c>
      <c r="E1593" s="37" t="s">
        <v>303</v>
      </c>
      <c r="F1593" s="41">
        <f t="shared" si="435"/>
        <v>18</v>
      </c>
      <c r="G1593" s="41">
        <f t="shared" si="436"/>
        <v>4</v>
      </c>
      <c r="I1593" s="131">
        <f>INDEX('Base de données Mono'!K:K,MATCH(B1593,'Base de données Mono'!D:D,0))</f>
        <v>0.23611111111111113</v>
      </c>
      <c r="J1593" s="131">
        <f>INDEX('Base de données Mono'!L:L,MATCH(B1593,'Base de données Mono'!D:D,0))</f>
        <v>0.86458333333333337</v>
      </c>
      <c r="K1593" s="131" t="str">
        <f>INDEX('Base de données Mono'!M:M,MATCH(B1593,'Base de données Mono'!D:D,0))</f>
        <v>-</v>
      </c>
      <c r="L1593" s="131" t="str">
        <f>INDEX('Base de données Mono'!N:N,MATCH(B1593,'Base de données Mono'!D:D,0))</f>
        <v>-</v>
      </c>
      <c r="M1593" s="33" t="s">
        <v>46</v>
      </c>
      <c r="N1593" s="33">
        <f>IF(AND(E1593="Electricité",M1593="Hiver"),INDEX('Base de données Mono'!E:E,MATCH(B1593,'Base de données Mono'!D:D,0)),IF(AND(E1593="Electricité",M1593="Mi-saison"),INDEX('Base de données Mono'!F:F,MATCH(B1593,'Base de données Mono'!D:D,0)),IF(AND(E1593="Electricité",M1593="Eté"),INDEX('Base de données Mono'!G:G,MATCH(B1593,'Base de données Mono'!D:D,0)),IF(AND(E1593="Gaz",M1593="Hiver"),INDEX('Base de données Mono'!J:J,MATCH(B1593,'Base de données Mono'!D:D,0)),IF(AND(E1593="Gaz",M1593="Mi-saison"),INDEX('Base de données Mono'!#REF!,MATCH(B1593,'Base de données Mono'!D:D,0)),IF(AND(E1593="Gaz",M1593="Eté"),INDEX('Base de données Mono'!#REF!,MATCH(B1593,'Base de données Mono'!D:D,0)),"-"))))))</f>
        <v>85</v>
      </c>
      <c r="O1593" s="123">
        <v>45410</v>
      </c>
      <c r="P1593" s="123">
        <v>45413</v>
      </c>
      <c r="Q1593" s="34">
        <v>150</v>
      </c>
      <c r="R1593" s="33">
        <f t="shared" si="442"/>
        <v>65</v>
      </c>
      <c r="S1593" s="34">
        <v>1.3</v>
      </c>
      <c r="T1593" s="34">
        <f t="shared" si="443"/>
        <v>3</v>
      </c>
      <c r="U1593" s="33">
        <f t="shared" si="438"/>
        <v>253.5</v>
      </c>
      <c r="V1593" s="38" t="s">
        <v>827</v>
      </c>
      <c r="W1593" s="39">
        <f t="shared" si="439"/>
        <v>0.76470588235294112</v>
      </c>
      <c r="X1593" s="40" t="s">
        <v>304</v>
      </c>
      <c r="Y1593" s="40" t="s">
        <v>284</v>
      </c>
      <c r="Z1593" s="40" t="s">
        <v>307</v>
      </c>
      <c r="AA1593" s="33" t="s">
        <v>414</v>
      </c>
      <c r="AB1593" s="95"/>
      <c r="AC1593" s="95"/>
    </row>
    <row r="1594" spans="1:29" ht="14.45" hidden="1" customHeight="1" x14ac:dyDescent="0.25">
      <c r="A1594" s="36" t="str">
        <f>INDEX('Base de données Mono'!C:C,MATCH(B1594,'Base de données Mono'!D:D,0))</f>
        <v>MONTPARNASSE</v>
      </c>
      <c r="B1594" t="s">
        <v>177</v>
      </c>
      <c r="C1594" s="36" t="str">
        <f>INDEX('Base de données Mono'!B:B,MATCH(B1594,'Base de données Mono'!D:D,0))</f>
        <v>SES8</v>
      </c>
      <c r="D1594" s="36" t="str">
        <f>INDEX('Base de données Mono'!A:A,MATCH(B1594,'Base de données Mono'!D:D,0))</f>
        <v>AD</v>
      </c>
      <c r="E1594" s="37" t="s">
        <v>303</v>
      </c>
      <c r="F1594" s="41">
        <f t="shared" si="435"/>
        <v>18</v>
      </c>
      <c r="G1594" s="41">
        <f t="shared" si="436"/>
        <v>4</v>
      </c>
      <c r="I1594" s="131">
        <f>INDEX('Base de données Mono'!K:K,MATCH(B1594,'Base de données Mono'!D:D,0))</f>
        <v>0.23611111111111113</v>
      </c>
      <c r="J1594" s="131">
        <f>INDEX('Base de données Mono'!L:L,MATCH(B1594,'Base de données Mono'!D:D,0))</f>
        <v>0.875</v>
      </c>
      <c r="K1594" s="131">
        <f>INDEX('Base de données Mono'!M:M,MATCH(B1594,'Base de données Mono'!D:D,0))</f>
        <v>0.25</v>
      </c>
      <c r="L1594" s="131">
        <f>INDEX('Base de données Mono'!N:N,MATCH(B1594,'Base de données Mono'!D:D,0))</f>
        <v>0.85416666666666663</v>
      </c>
      <c r="M1594" s="33" t="s">
        <v>46</v>
      </c>
      <c r="N1594" s="33">
        <f>IF(AND(E1594="Electricité",M1594="Hiver"),INDEX('Base de données Mono'!E:E,MATCH(B1594,'Base de données Mono'!D:D,0)),IF(AND(E1594="Electricité",M1594="Mi-saison"),INDEX('Base de données Mono'!F:F,MATCH(B1594,'Base de données Mono'!D:D,0)),IF(AND(E1594="Electricité",M1594="Eté"),INDEX('Base de données Mono'!G:G,MATCH(B1594,'Base de données Mono'!D:D,0)),IF(AND(E1594="Gaz",M1594="Hiver"),INDEX('Base de données Mono'!J:J,MATCH(B1594,'Base de données Mono'!D:D,0)),IF(AND(E1594="Gaz",M1594="Mi-saison"),INDEX('Base de données Mono'!#REF!,MATCH(B1594,'Base de données Mono'!D:D,0)),IF(AND(E1594="Gaz",M1594="Eté"),INDEX('Base de données Mono'!#REF!,MATCH(B1594,'Base de données Mono'!D:D,0)),"-"))))))</f>
        <v>130</v>
      </c>
      <c r="O1594" s="123">
        <v>45410</v>
      </c>
      <c r="P1594" s="123">
        <v>45413</v>
      </c>
      <c r="Q1594" s="34">
        <v>205</v>
      </c>
      <c r="R1594" s="33">
        <f t="shared" si="437"/>
        <v>75</v>
      </c>
      <c r="S1594" s="34">
        <v>2.6</v>
      </c>
      <c r="T1594" s="34">
        <f t="shared" si="432"/>
        <v>3</v>
      </c>
      <c r="U1594" s="33">
        <f t="shared" si="438"/>
        <v>585</v>
      </c>
      <c r="V1594" s="38" t="s">
        <v>827</v>
      </c>
      <c r="W1594" s="39">
        <f t="shared" si="439"/>
        <v>0.57692307692307687</v>
      </c>
      <c r="X1594" s="40" t="s">
        <v>304</v>
      </c>
      <c r="Y1594" s="40" t="s">
        <v>284</v>
      </c>
      <c r="Z1594" s="40" t="s">
        <v>307</v>
      </c>
      <c r="AA1594" s="33" t="s">
        <v>313</v>
      </c>
      <c r="AB1594" s="95"/>
      <c r="AC1594" s="95"/>
    </row>
    <row r="1595" spans="1:29" ht="14.45" hidden="1" customHeight="1" x14ac:dyDescent="0.25">
      <c r="A1595" s="36" t="str">
        <f>INDEX('Base de données Mono'!C:C,MATCH(B1595,'Base de données Mono'!D:D,0))</f>
        <v>MONTPARNASSE</v>
      </c>
      <c r="B1595" t="s">
        <v>177</v>
      </c>
      <c r="C1595" s="36" t="str">
        <f>INDEX('Base de données Mono'!B:B,MATCH(B1595,'Base de données Mono'!D:D,0))</f>
        <v>SES8</v>
      </c>
      <c r="D1595" s="36" t="str">
        <f>INDEX('Base de données Mono'!A:A,MATCH(B1595,'Base de données Mono'!D:D,0))</f>
        <v>AD</v>
      </c>
      <c r="E1595" s="37" t="s">
        <v>303</v>
      </c>
      <c r="F1595" s="41">
        <f t="shared" si="435"/>
        <v>18</v>
      </c>
      <c r="G1595" s="41">
        <f t="shared" si="436"/>
        <v>4</v>
      </c>
      <c r="I1595" s="131">
        <f>INDEX('Base de données Mono'!K:K,MATCH(B1595,'Base de données Mono'!D:D,0))</f>
        <v>0.23611111111111113</v>
      </c>
      <c r="J1595" s="131">
        <f>INDEX('Base de données Mono'!L:L,MATCH(B1595,'Base de données Mono'!D:D,0))</f>
        <v>0.875</v>
      </c>
      <c r="K1595" s="131">
        <f>INDEX('Base de données Mono'!M:M,MATCH(B1595,'Base de données Mono'!D:D,0))</f>
        <v>0.25</v>
      </c>
      <c r="L1595" s="131">
        <f>INDEX('Base de données Mono'!N:N,MATCH(B1595,'Base de données Mono'!D:D,0))</f>
        <v>0.85416666666666663</v>
      </c>
      <c r="M1595" s="33" t="s">
        <v>46</v>
      </c>
      <c r="N1595" s="33">
        <f>IF(AND(E1595="Electricité",M1595="Hiver"),INDEX('Base de données Mono'!E:E,MATCH(B1595,'Base de données Mono'!D:D,0)),IF(AND(E1595="Electricité",M1595="Mi-saison"),INDEX('Base de données Mono'!F:F,MATCH(B1595,'Base de données Mono'!D:D,0)),IF(AND(E1595="Electricité",M1595="Eté"),INDEX('Base de données Mono'!G:G,MATCH(B1595,'Base de données Mono'!D:D,0)),IF(AND(E1595="Gaz",M1595="Hiver"),INDEX('Base de données Mono'!J:J,MATCH(B1595,'Base de données Mono'!D:D,0)),IF(AND(E1595="Gaz",M1595="Mi-saison"),INDEX('Base de données Mono'!#REF!,MATCH(B1595,'Base de données Mono'!D:D,0)),IF(AND(E1595="Gaz",M1595="Eté"),INDEX('Base de données Mono'!#REF!,MATCH(B1595,'Base de données Mono'!D:D,0)),"-"))))))</f>
        <v>130</v>
      </c>
      <c r="O1595" s="123">
        <v>45410</v>
      </c>
      <c r="P1595" s="123">
        <v>45412</v>
      </c>
      <c r="Q1595" s="34">
        <v>220</v>
      </c>
      <c r="R1595" s="33">
        <f t="shared" si="437"/>
        <v>90</v>
      </c>
      <c r="S1595" s="34">
        <v>0.5</v>
      </c>
      <c r="T1595" s="34">
        <f t="shared" si="432"/>
        <v>2</v>
      </c>
      <c r="U1595" s="33">
        <f t="shared" si="438"/>
        <v>90</v>
      </c>
      <c r="V1595" s="38" t="s">
        <v>827</v>
      </c>
      <c r="W1595" s="39">
        <f t="shared" si="439"/>
        <v>0.69230769230769229</v>
      </c>
      <c r="X1595" s="40" t="s">
        <v>304</v>
      </c>
      <c r="Y1595" s="40" t="s">
        <v>284</v>
      </c>
      <c r="Z1595" s="40" t="s">
        <v>307</v>
      </c>
      <c r="AA1595" s="33" t="s">
        <v>414</v>
      </c>
      <c r="AB1595" s="95"/>
      <c r="AC1595" s="95"/>
    </row>
    <row r="1596" spans="1:29" ht="14.45" hidden="1" customHeight="1" x14ac:dyDescent="0.25">
      <c r="A1596" s="36" t="str">
        <f>INDEX('Base de données Mono'!C:C,MATCH(B1596,'Base de données Mono'!D:D,0))</f>
        <v>MONTPARNASSE</v>
      </c>
      <c r="B1596" t="s">
        <v>177</v>
      </c>
      <c r="C1596" s="36" t="str">
        <f>INDEX('Base de données Mono'!B:B,MATCH(B1596,'Base de données Mono'!D:D,0))</f>
        <v>SES8</v>
      </c>
      <c r="D1596" s="36" t="str">
        <f>INDEX('Base de données Mono'!A:A,MATCH(B1596,'Base de données Mono'!D:D,0))</f>
        <v>AD</v>
      </c>
      <c r="E1596" s="37" t="s">
        <v>303</v>
      </c>
      <c r="F1596" s="41">
        <f t="shared" si="435"/>
        <v>18</v>
      </c>
      <c r="G1596" s="41">
        <f t="shared" si="436"/>
        <v>4</v>
      </c>
      <c r="I1596" s="131">
        <f>INDEX('Base de données Mono'!K:K,MATCH(B1596,'Base de données Mono'!D:D,0))</f>
        <v>0.23611111111111113</v>
      </c>
      <c r="J1596" s="131">
        <f>INDEX('Base de données Mono'!L:L,MATCH(B1596,'Base de données Mono'!D:D,0))</f>
        <v>0.875</v>
      </c>
      <c r="K1596" s="131">
        <f>INDEX('Base de données Mono'!M:M,MATCH(B1596,'Base de données Mono'!D:D,0))</f>
        <v>0.25</v>
      </c>
      <c r="L1596" s="131">
        <f>INDEX('Base de données Mono'!N:N,MATCH(B1596,'Base de données Mono'!D:D,0))</f>
        <v>0.85416666666666663</v>
      </c>
      <c r="M1596" s="33" t="s">
        <v>46</v>
      </c>
      <c r="N1596" s="33">
        <f>IF(AND(E1596="Electricité",M1596="Hiver"),INDEX('Base de données Mono'!E:E,MATCH(B1596,'Base de données Mono'!D:D,0)),IF(AND(E1596="Electricité",M1596="Mi-saison"),INDEX('Base de données Mono'!F:F,MATCH(B1596,'Base de données Mono'!D:D,0)),IF(AND(E1596="Electricité",M1596="Eté"),INDEX('Base de données Mono'!G:G,MATCH(B1596,'Base de données Mono'!D:D,0)),IF(AND(E1596="Gaz",M1596="Hiver"),INDEX('Base de données Mono'!J:J,MATCH(B1596,'Base de données Mono'!D:D,0)),IF(AND(E1596="Gaz",M1596="Mi-saison"),INDEX('Base de données Mono'!#REF!,MATCH(B1596,'Base de données Mono'!D:D,0)),IF(AND(E1596="Gaz",M1596="Eté"),INDEX('Base de données Mono'!#REF!,MATCH(B1596,'Base de données Mono'!D:D,0)),"-"))))))</f>
        <v>130</v>
      </c>
      <c r="O1596" s="123">
        <v>45412</v>
      </c>
      <c r="P1596" s="123">
        <v>45413</v>
      </c>
      <c r="Q1596" s="34">
        <v>145</v>
      </c>
      <c r="R1596" s="33">
        <f t="shared" si="437"/>
        <v>15</v>
      </c>
      <c r="S1596" s="34">
        <v>6</v>
      </c>
      <c r="T1596" s="34">
        <f t="shared" si="432"/>
        <v>1</v>
      </c>
      <c r="U1596" s="33">
        <f t="shared" si="438"/>
        <v>90</v>
      </c>
      <c r="V1596" s="38" t="s">
        <v>827</v>
      </c>
      <c r="W1596" s="39">
        <f t="shared" si="439"/>
        <v>0.11538461538461539</v>
      </c>
      <c r="X1596" s="40" t="s">
        <v>304</v>
      </c>
      <c r="Y1596" s="40" t="s">
        <v>284</v>
      </c>
      <c r="Z1596" s="40" t="s">
        <v>305</v>
      </c>
      <c r="AA1596" s="33" t="s">
        <v>771</v>
      </c>
      <c r="AB1596" s="95"/>
      <c r="AC1596" s="95"/>
    </row>
    <row r="1597" spans="1:29" ht="14.45" hidden="1" customHeight="1" x14ac:dyDescent="0.25">
      <c r="A1597" s="36" t="str">
        <f>INDEX('Base de données Mono'!C:C,MATCH(B1597,'Base de données Mono'!D:D,0))</f>
        <v>TOLBIAC</v>
      </c>
      <c r="B1597" t="s">
        <v>253</v>
      </c>
      <c r="C1597" s="36" t="str">
        <f>INDEX('Base de données Mono'!B:B,MATCH(B1597,'Base de données Mono'!D:D,0))</f>
        <v>SES8</v>
      </c>
      <c r="D1597" s="36" t="str">
        <f>INDEX('Base de données Mono'!A:A,MATCH(B1597,'Base de données Mono'!D:D,0))</f>
        <v>JG</v>
      </c>
      <c r="E1597" s="37" t="s">
        <v>303</v>
      </c>
      <c r="F1597" s="41">
        <f t="shared" si="435"/>
        <v>18</v>
      </c>
      <c r="G1597" s="41">
        <f t="shared" si="436"/>
        <v>4</v>
      </c>
      <c r="I1597" s="131">
        <f>INDEX('Base de données Mono'!K:K,MATCH(B1597,'Base de données Mono'!D:D,0))</f>
        <v>0.24305555555555555</v>
      </c>
      <c r="J1597" s="131">
        <f>INDEX('Base de données Mono'!L:L,MATCH(B1597,'Base de données Mono'!D:D,0))</f>
        <v>0.92708333333333337</v>
      </c>
      <c r="K1597" s="131" t="str">
        <f>INDEX('Base de données Mono'!M:M,MATCH(B1597,'Base de données Mono'!D:D,0))</f>
        <v>-</v>
      </c>
      <c r="L1597" s="131" t="str">
        <f>INDEX('Base de données Mono'!N:N,MATCH(B1597,'Base de données Mono'!D:D,0))</f>
        <v>-</v>
      </c>
      <c r="M1597" s="33" t="s">
        <v>46</v>
      </c>
      <c r="N1597" s="33">
        <f>IF(AND(E1597="Electricité",M1597="Hiver"),INDEX('Base de données Mono'!E:E,MATCH(B1597,'Base de données Mono'!D:D,0)),IF(AND(E1597="Electricité",M1597="Mi-saison"),INDEX('Base de données Mono'!F:F,MATCH(B1597,'Base de données Mono'!D:D,0)),IF(AND(E1597="Electricité",M1597="Eté"),INDEX('Base de données Mono'!G:G,MATCH(B1597,'Base de données Mono'!D:D,0)),IF(AND(E1597="Gaz",M1597="Hiver"),INDEX('Base de données Mono'!J:J,MATCH(B1597,'Base de données Mono'!D:D,0)),IF(AND(E1597="Gaz",M1597="Mi-saison"),INDEX('Base de données Mono'!#REF!,MATCH(B1597,'Base de données Mono'!D:D,0)),IF(AND(E1597="Gaz",M1597="Eté"),INDEX('Base de données Mono'!#REF!,MATCH(B1597,'Base de données Mono'!D:D,0)),"-"))))))</f>
        <v>55</v>
      </c>
      <c r="O1597" s="123">
        <v>45410</v>
      </c>
      <c r="P1597" s="123">
        <v>45412</v>
      </c>
      <c r="Q1597" s="34">
        <v>60</v>
      </c>
      <c r="R1597" s="33">
        <f t="shared" si="437"/>
        <v>5</v>
      </c>
      <c r="S1597" s="34">
        <v>7</v>
      </c>
      <c r="T1597" s="34">
        <f t="shared" si="432"/>
        <v>2</v>
      </c>
      <c r="U1597" s="33">
        <f t="shared" si="438"/>
        <v>70</v>
      </c>
      <c r="V1597" s="38" t="s">
        <v>827</v>
      </c>
      <c r="W1597" s="39">
        <f t="shared" si="439"/>
        <v>9.0909090909090912E-2</v>
      </c>
      <c r="X1597" s="40" t="s">
        <v>304</v>
      </c>
      <c r="Y1597" s="40" t="s">
        <v>284</v>
      </c>
      <c r="Z1597" s="40" t="s">
        <v>305</v>
      </c>
      <c r="AA1597" s="33" t="s">
        <v>771</v>
      </c>
      <c r="AB1597" s="95"/>
      <c r="AC1597" s="95"/>
    </row>
    <row r="1598" spans="1:29" ht="14.45" hidden="1" customHeight="1" x14ac:dyDescent="0.25">
      <c r="A1598" s="36" t="str">
        <f>INDEX('Base de données Mono'!C:C,MATCH(B1598,'Base de données Mono'!D:D,0))</f>
        <v>TOLBIAC</v>
      </c>
      <c r="B1598" t="s">
        <v>253</v>
      </c>
      <c r="C1598" s="36" t="str">
        <f>INDEX('Base de données Mono'!B:B,MATCH(B1598,'Base de données Mono'!D:D,0))</f>
        <v>SES8</v>
      </c>
      <c r="D1598" s="36" t="str">
        <f>INDEX('Base de données Mono'!A:A,MATCH(B1598,'Base de données Mono'!D:D,0))</f>
        <v>JG</v>
      </c>
      <c r="E1598" s="37" t="s">
        <v>303</v>
      </c>
      <c r="F1598" s="41">
        <f t="shared" si="435"/>
        <v>18</v>
      </c>
      <c r="G1598" s="41">
        <f t="shared" si="436"/>
        <v>4</v>
      </c>
      <c r="I1598" s="131">
        <f>INDEX('Base de données Mono'!K:K,MATCH(B1598,'Base de données Mono'!D:D,0))</f>
        <v>0.24305555555555555</v>
      </c>
      <c r="J1598" s="131">
        <f>INDEX('Base de données Mono'!L:L,MATCH(B1598,'Base de données Mono'!D:D,0))</f>
        <v>0.92708333333333337</v>
      </c>
      <c r="K1598" s="131" t="str">
        <f>INDEX('Base de données Mono'!M:M,MATCH(B1598,'Base de données Mono'!D:D,0))</f>
        <v>-</v>
      </c>
      <c r="L1598" s="131" t="str">
        <f>INDEX('Base de données Mono'!N:N,MATCH(B1598,'Base de données Mono'!D:D,0))</f>
        <v>-</v>
      </c>
      <c r="M1598" s="33" t="s">
        <v>46</v>
      </c>
      <c r="N1598" s="33">
        <f>IF(AND(E1598="Electricité",M1598="Hiver"),INDEX('Base de données Mono'!E:E,MATCH(B1598,'Base de données Mono'!D:D,0)),IF(AND(E1598="Electricité",M1598="Mi-saison"),INDEX('Base de données Mono'!F:F,MATCH(B1598,'Base de données Mono'!D:D,0)),IF(AND(E1598="Electricité",M1598="Eté"),INDEX('Base de données Mono'!G:G,MATCH(B1598,'Base de données Mono'!D:D,0)),IF(AND(E1598="Gaz",M1598="Hiver"),INDEX('Base de données Mono'!J:J,MATCH(B1598,'Base de données Mono'!D:D,0)),IF(AND(E1598="Gaz",M1598="Mi-saison"),INDEX('Base de données Mono'!#REF!,MATCH(B1598,'Base de données Mono'!D:D,0)),IF(AND(E1598="Gaz",M1598="Eté"),INDEX('Base de données Mono'!#REF!,MATCH(B1598,'Base de données Mono'!D:D,0)),"-"))))))</f>
        <v>55</v>
      </c>
      <c r="O1598" s="123">
        <v>45412</v>
      </c>
      <c r="P1598" s="123">
        <v>45413</v>
      </c>
      <c r="Q1598" s="34">
        <v>80</v>
      </c>
      <c r="R1598" s="33">
        <f t="shared" si="437"/>
        <v>25</v>
      </c>
      <c r="S1598" s="34">
        <v>5</v>
      </c>
      <c r="T1598" s="34">
        <f t="shared" si="432"/>
        <v>1</v>
      </c>
      <c r="U1598" s="33">
        <f t="shared" si="438"/>
        <v>125</v>
      </c>
      <c r="V1598" s="38" t="s">
        <v>827</v>
      </c>
      <c r="W1598" s="39">
        <f t="shared" si="439"/>
        <v>0.45454545454545453</v>
      </c>
      <c r="X1598" s="40" t="s">
        <v>304</v>
      </c>
      <c r="Y1598" s="40" t="s">
        <v>283</v>
      </c>
      <c r="Z1598" s="40" t="s">
        <v>749</v>
      </c>
      <c r="AA1598" s="33" t="s">
        <v>749</v>
      </c>
      <c r="AB1598" s="95"/>
      <c r="AC1598" s="95"/>
    </row>
    <row r="1599" spans="1:29" ht="14.45" hidden="1" customHeight="1" x14ac:dyDescent="0.25">
      <c r="A1599" s="36" t="str">
        <f>INDEX('Base de données Mono'!C:C,MATCH(B1599,'Base de données Mono'!D:D,0))</f>
        <v>TOLBIAC</v>
      </c>
      <c r="B1599" t="s">
        <v>253</v>
      </c>
      <c r="C1599" s="36" t="str">
        <f>INDEX('Base de données Mono'!B:B,MATCH(B1599,'Base de données Mono'!D:D,0))</f>
        <v>SES8</v>
      </c>
      <c r="D1599" s="36" t="str">
        <f>INDEX('Base de données Mono'!A:A,MATCH(B1599,'Base de données Mono'!D:D,0))</f>
        <v>JG</v>
      </c>
      <c r="E1599" s="37" t="s">
        <v>303</v>
      </c>
      <c r="F1599" s="41">
        <f t="shared" si="435"/>
        <v>18</v>
      </c>
      <c r="G1599" s="41">
        <f t="shared" si="436"/>
        <v>4</v>
      </c>
      <c r="I1599" s="131">
        <f>INDEX('Base de données Mono'!K:K,MATCH(B1599,'Base de données Mono'!D:D,0))</f>
        <v>0.24305555555555555</v>
      </c>
      <c r="J1599" s="131">
        <f>INDEX('Base de données Mono'!L:L,MATCH(B1599,'Base de données Mono'!D:D,0))</f>
        <v>0.92708333333333337</v>
      </c>
      <c r="K1599" s="131" t="str">
        <f>INDEX('Base de données Mono'!M:M,MATCH(B1599,'Base de données Mono'!D:D,0))</f>
        <v>-</v>
      </c>
      <c r="L1599" s="131" t="str">
        <f>INDEX('Base de données Mono'!N:N,MATCH(B1599,'Base de données Mono'!D:D,0))</f>
        <v>-</v>
      </c>
      <c r="M1599" s="33" t="s">
        <v>46</v>
      </c>
      <c r="N1599" s="33">
        <f>IF(AND(E1599="Electricité",M1599="Hiver"),INDEX('Base de données Mono'!E:E,MATCH(B1599,'Base de données Mono'!D:D,0)),IF(AND(E1599="Electricité",M1599="Mi-saison"),INDEX('Base de données Mono'!F:F,MATCH(B1599,'Base de données Mono'!D:D,0)),IF(AND(E1599="Electricité",M1599="Eté"),INDEX('Base de données Mono'!G:G,MATCH(B1599,'Base de données Mono'!D:D,0)),IF(AND(E1599="Gaz",M1599="Hiver"),INDEX('Base de données Mono'!J:J,MATCH(B1599,'Base de données Mono'!D:D,0)),IF(AND(E1599="Gaz",M1599="Mi-saison"),INDEX('Base de données Mono'!#REF!,MATCH(B1599,'Base de données Mono'!D:D,0)),IF(AND(E1599="Gaz",M1599="Eté"),INDEX('Base de données Mono'!#REF!,MATCH(B1599,'Base de données Mono'!D:D,0)),"-"))))))</f>
        <v>55</v>
      </c>
      <c r="O1599" s="123">
        <v>45410</v>
      </c>
      <c r="P1599" s="123">
        <v>45413</v>
      </c>
      <c r="Q1599" s="34">
        <v>85</v>
      </c>
      <c r="R1599" s="33">
        <f t="shared" si="437"/>
        <v>30</v>
      </c>
      <c r="S1599" s="34">
        <v>1</v>
      </c>
      <c r="T1599" s="34">
        <f t="shared" si="432"/>
        <v>3</v>
      </c>
      <c r="U1599" s="33">
        <f t="shared" si="438"/>
        <v>90</v>
      </c>
      <c r="V1599" s="38" t="s">
        <v>827</v>
      </c>
      <c r="W1599" s="39">
        <f t="shared" si="439"/>
        <v>0.54545454545454541</v>
      </c>
      <c r="X1599" s="40" t="s">
        <v>304</v>
      </c>
      <c r="Y1599" s="40" t="s">
        <v>284</v>
      </c>
      <c r="Z1599" s="40" t="s">
        <v>307</v>
      </c>
      <c r="AA1599" s="33" t="s">
        <v>414</v>
      </c>
      <c r="AB1599" s="95"/>
      <c r="AC1599" s="95"/>
    </row>
    <row r="1600" spans="1:29" ht="14.45" hidden="1" customHeight="1" x14ac:dyDescent="0.25">
      <c r="A1600" s="36" t="str">
        <f>INDEX('Base de données Mono'!C:C,MATCH(B1600,'Base de données Mono'!D:D,0))</f>
        <v>BORDEAUX ST CHRISTOLY</v>
      </c>
      <c r="B1600" t="s">
        <v>6</v>
      </c>
      <c r="C1600" s="36" t="str">
        <f>INDEX('Base de données Mono'!B:B,MATCH(B1600,'Base de données Mono'!D:D,0))</f>
        <v>SES8</v>
      </c>
      <c r="D1600" s="36" t="str">
        <f>INDEX('Base de données Mono'!A:A,MATCH(B1600,'Base de données Mono'!D:D,0))</f>
        <v>AD</v>
      </c>
      <c r="E1600" s="37" t="s">
        <v>303</v>
      </c>
      <c r="F1600" s="41">
        <f t="shared" si="435"/>
        <v>18</v>
      </c>
      <c r="G1600" s="41">
        <f t="shared" si="436"/>
        <v>4</v>
      </c>
      <c r="I1600" s="131">
        <f>INDEX('Base de données Mono'!K:K,MATCH(B1600,'Base de données Mono'!D:D,0))</f>
        <v>0.16666666666666666</v>
      </c>
      <c r="J1600" s="131">
        <f>INDEX('Base de données Mono'!L:L,MATCH(B1600,'Base de données Mono'!D:D,0))</f>
        <v>0.875</v>
      </c>
      <c r="K1600" s="131">
        <f>INDEX('Base de données Mono'!M:M,MATCH(B1600,'Base de données Mono'!D:D,0))</f>
        <v>0.20833333333333334</v>
      </c>
      <c r="L1600" s="131">
        <f>INDEX('Base de données Mono'!N:N,MATCH(B1600,'Base de données Mono'!D:D,0))</f>
        <v>0.54166666666666696</v>
      </c>
      <c r="M1600" s="33" t="s">
        <v>46</v>
      </c>
      <c r="N1600" s="33">
        <f>IF(AND(E1600="Electricité",M1600="Hiver"),INDEX('Base de données Mono'!E:E,MATCH(B1600,'Base de données Mono'!D:D,0)),IF(AND(E1600="Electricité",M1600="Mi-saison"),INDEX('Base de données Mono'!F:F,MATCH(B1600,'Base de données Mono'!D:D,0)),IF(AND(E1600="Electricité",M1600="Eté"),INDEX('Base de données Mono'!G:G,MATCH(B1600,'Base de données Mono'!D:D,0)),IF(AND(E1600="Gaz",M1600="Hiver"),INDEX('Base de données Mono'!J:J,MATCH(B1600,'Base de données Mono'!D:D,0)),IF(AND(E1600="Gaz",M1600="Mi-saison"),INDEX('Base de données Mono'!#REF!,MATCH(B1600,'Base de données Mono'!D:D,0)),IF(AND(E1600="Gaz",M1600="Eté"),INDEX('Base de données Mono'!#REF!,MATCH(B1600,'Base de données Mono'!D:D,0)),"-"))))))</f>
        <v>75</v>
      </c>
      <c r="O1600" s="123">
        <v>45410</v>
      </c>
      <c r="P1600" s="123">
        <v>45413</v>
      </c>
      <c r="Q1600" s="34">
        <v>95</v>
      </c>
      <c r="R1600" s="33">
        <f t="shared" si="437"/>
        <v>20</v>
      </c>
      <c r="S1600" s="34">
        <v>7</v>
      </c>
      <c r="T1600" s="34">
        <f t="shared" si="432"/>
        <v>3</v>
      </c>
      <c r="U1600" s="33">
        <f t="shared" si="438"/>
        <v>420</v>
      </c>
      <c r="V1600" s="38" t="s">
        <v>827</v>
      </c>
      <c r="W1600" s="39">
        <f t="shared" si="439"/>
        <v>0.26666666666666666</v>
      </c>
      <c r="X1600" s="40" t="s">
        <v>304</v>
      </c>
      <c r="Y1600" s="40" t="s">
        <v>284</v>
      </c>
      <c r="Z1600" s="40" t="s">
        <v>305</v>
      </c>
      <c r="AA1600" s="33" t="s">
        <v>771</v>
      </c>
      <c r="AB1600" s="95"/>
      <c r="AC1600" s="95"/>
    </row>
    <row r="1601" spans="1:29" ht="14.45" hidden="1" customHeight="1" x14ac:dyDescent="0.25">
      <c r="A1601" s="36" t="str">
        <f>INDEX('Base de données Mono'!C:C,MATCH(B1601,'Base de données Mono'!D:D,0))</f>
        <v>CROIX ROUSSE</v>
      </c>
      <c r="B1601" t="s">
        <v>116</v>
      </c>
      <c r="C1601" s="36" t="str">
        <f>INDEX('Base de données Mono'!B:B,MATCH(B1601,'Base de données Mono'!D:D,0))</f>
        <v>SES8</v>
      </c>
      <c r="D1601" s="36" t="str">
        <f>INDEX('Base de données Mono'!A:A,MATCH(B1601,'Base de données Mono'!D:D,0))</f>
        <v>JG</v>
      </c>
      <c r="E1601" s="37" t="s">
        <v>303</v>
      </c>
      <c r="F1601" s="41">
        <f t="shared" si="435"/>
        <v>18</v>
      </c>
      <c r="G1601" s="41">
        <f t="shared" si="436"/>
        <v>4</v>
      </c>
      <c r="I1601" s="131">
        <f>INDEX('Base de données Mono'!K:K,MATCH(B1601,'Base de données Mono'!D:D,0))</f>
        <v>0.20486111111111113</v>
      </c>
      <c r="J1601" s="131">
        <f>INDEX('Base de données Mono'!L:L,MATCH(B1601,'Base de données Mono'!D:D,0))</f>
        <v>0.89583333333333337</v>
      </c>
      <c r="K1601" s="131">
        <f>INDEX('Base de données Mono'!M:M,MATCH(B1601,'Base de données Mono'!D:D,0))</f>
        <v>0.29166666666666669</v>
      </c>
      <c r="L1601" s="131">
        <f>INDEX('Base de données Mono'!N:N,MATCH(B1601,'Base de données Mono'!D:D,0))</f>
        <v>0.5625</v>
      </c>
      <c r="M1601" s="33" t="s">
        <v>46</v>
      </c>
      <c r="N1601" s="33">
        <f>IF(AND(E1601="Electricité",M1601="Hiver"),INDEX('Base de données Mono'!E:E,MATCH(B1601,'Base de données Mono'!D:D,0)),IF(AND(E1601="Electricité",M1601="Mi-saison"),INDEX('Base de données Mono'!F:F,MATCH(B1601,'Base de données Mono'!D:D,0)),IF(AND(E1601="Electricité",M1601="Eté"),INDEX('Base de données Mono'!G:G,MATCH(B1601,'Base de données Mono'!D:D,0)),IF(AND(E1601="Gaz",M1601="Hiver"),INDEX('Base de données Mono'!J:J,MATCH(B1601,'Base de données Mono'!D:D,0)),IF(AND(E1601="Gaz",M1601="Mi-saison"),INDEX('Base de données Mono'!#REF!,MATCH(B1601,'Base de données Mono'!D:D,0)),IF(AND(E1601="Gaz",M1601="Eté"),INDEX('Base de données Mono'!#REF!,MATCH(B1601,'Base de données Mono'!D:D,0)),"-"))))))</f>
        <v>80</v>
      </c>
      <c r="O1601" s="123">
        <v>45410</v>
      </c>
      <c r="P1601" s="123">
        <v>45413</v>
      </c>
      <c r="Q1601" s="34">
        <v>110</v>
      </c>
      <c r="R1601" s="33">
        <f t="shared" si="437"/>
        <v>30</v>
      </c>
      <c r="S1601" s="34">
        <v>0.5</v>
      </c>
      <c r="T1601" s="34">
        <f t="shared" si="432"/>
        <v>3</v>
      </c>
      <c r="U1601" s="33">
        <f t="shared" si="438"/>
        <v>45</v>
      </c>
      <c r="V1601" s="38" t="s">
        <v>827</v>
      </c>
      <c r="W1601" s="39">
        <f t="shared" si="439"/>
        <v>0.375</v>
      </c>
      <c r="X1601" s="40" t="s">
        <v>304</v>
      </c>
      <c r="Y1601" s="40" t="s">
        <v>284</v>
      </c>
      <c r="Z1601" s="40" t="s">
        <v>305</v>
      </c>
      <c r="AA1601" s="33" t="s">
        <v>771</v>
      </c>
      <c r="AB1601" s="95"/>
      <c r="AC1601" s="95"/>
    </row>
    <row r="1602" spans="1:29" ht="14.45" hidden="1" customHeight="1" x14ac:dyDescent="0.25">
      <c r="A1602" s="36" t="str">
        <f>INDEX('Base de données Mono'!C:C,MATCH(B1602,'Base de données Mono'!D:D,0))</f>
        <v>MONTPELLIER COMEDIE</v>
      </c>
      <c r="B1602" t="s">
        <v>179</v>
      </c>
      <c r="C1602" s="36" t="str">
        <f>INDEX('Base de données Mono'!B:B,MATCH(B1602,'Base de données Mono'!D:D,0))</f>
        <v>SES8</v>
      </c>
      <c r="D1602" s="36" t="str">
        <f>INDEX('Base de données Mono'!A:A,MATCH(B1602,'Base de données Mono'!D:D,0))</f>
        <v>AD</v>
      </c>
      <c r="E1602" s="37" t="s">
        <v>303</v>
      </c>
      <c r="F1602" s="41">
        <f t="shared" si="435"/>
        <v>18</v>
      </c>
      <c r="G1602" s="41">
        <f t="shared" si="436"/>
        <v>4</v>
      </c>
      <c r="I1602" s="131">
        <f>INDEX('Base de données Mono'!K:K,MATCH(B1602,'Base de données Mono'!D:D,0))</f>
        <v>0.1875</v>
      </c>
      <c r="J1602" s="131">
        <f>INDEX('Base de données Mono'!L:L,MATCH(B1602,'Base de données Mono'!D:D,0))</f>
        <v>0.91666666666666663</v>
      </c>
      <c r="K1602" s="131">
        <f>INDEX('Base de données Mono'!M:M,MATCH(B1602,'Base de données Mono'!D:D,0))</f>
        <v>0.29166666666666669</v>
      </c>
      <c r="L1602" s="131">
        <f>INDEX('Base de données Mono'!N:N,MATCH(B1602,'Base de données Mono'!D:D,0))</f>
        <v>0.54166666666666663</v>
      </c>
      <c r="M1602" s="33" t="s">
        <v>46</v>
      </c>
      <c r="N1602" s="33">
        <f>IF(AND(E1602="Electricité",M1602="Hiver"),INDEX('Base de données Mono'!E:E,MATCH(B1602,'Base de données Mono'!D:D,0)),IF(AND(E1602="Electricité",M1602="Mi-saison"),INDEX('Base de données Mono'!F:F,MATCH(B1602,'Base de données Mono'!D:D,0)),IF(AND(E1602="Electricité",M1602="Eté"),INDEX('Base de données Mono'!G:G,MATCH(B1602,'Base de données Mono'!D:D,0)),IF(AND(E1602="Gaz",M1602="Hiver"),INDEX('Base de données Mono'!J:J,MATCH(B1602,'Base de données Mono'!D:D,0)),IF(AND(E1602="Gaz",M1602="Mi-saison"),INDEX('Base de données Mono'!#REF!,MATCH(B1602,'Base de données Mono'!D:D,0)),IF(AND(E1602="Gaz",M1602="Eté"),INDEX('Base de données Mono'!#REF!,MATCH(B1602,'Base de données Mono'!D:D,0)),"-"))))))</f>
        <v>60</v>
      </c>
      <c r="O1602" s="123">
        <v>45410</v>
      </c>
      <c r="P1602" s="123">
        <v>45413</v>
      </c>
      <c r="Q1602" s="34">
        <v>70</v>
      </c>
      <c r="R1602" s="33">
        <f t="shared" si="437"/>
        <v>10</v>
      </c>
      <c r="S1602" s="34">
        <v>6.5</v>
      </c>
      <c r="T1602" s="34">
        <f t="shared" si="432"/>
        <v>3</v>
      </c>
      <c r="U1602" s="33">
        <f t="shared" si="438"/>
        <v>195</v>
      </c>
      <c r="V1602" s="38" t="s">
        <v>827</v>
      </c>
      <c r="W1602" s="39">
        <f t="shared" si="439"/>
        <v>0.16666666666666666</v>
      </c>
      <c r="X1602" s="40" t="s">
        <v>304</v>
      </c>
      <c r="Y1602" s="40" t="s">
        <v>284</v>
      </c>
      <c r="Z1602" s="40" t="s">
        <v>305</v>
      </c>
      <c r="AA1602" s="33" t="s">
        <v>771</v>
      </c>
      <c r="AB1602" s="95"/>
      <c r="AC1602" s="95"/>
    </row>
    <row r="1603" spans="1:29" ht="14.45" hidden="1" customHeight="1" x14ac:dyDescent="0.25">
      <c r="A1603" s="36" t="str">
        <f>INDEX('Base de données Mono'!C:C,MATCH(B1603,'Base de données Mono'!D:D,0))</f>
        <v>VILLEJUIF</v>
      </c>
      <c r="B1603" t="s">
        <v>273</v>
      </c>
      <c r="C1603" s="36" t="str">
        <f>INDEX('Base de données Mono'!B:B,MATCH(B1603,'Base de données Mono'!D:D,0))</f>
        <v>SES8</v>
      </c>
      <c r="D1603" s="36" t="str">
        <f>INDEX('Base de données Mono'!A:A,MATCH(B1603,'Base de données Mono'!D:D,0))</f>
        <v>JG</v>
      </c>
      <c r="E1603" s="37" t="s">
        <v>303</v>
      </c>
      <c r="F1603" s="41">
        <f t="shared" si="435"/>
        <v>18</v>
      </c>
      <c r="G1603" s="41">
        <f t="shared" si="436"/>
        <v>4</v>
      </c>
      <c r="I1603" s="131">
        <f>INDEX('Base de données Mono'!K:K,MATCH(B1603,'Base de données Mono'!D:D,0))</f>
        <v>0.23611111111111113</v>
      </c>
      <c r="J1603" s="131">
        <f>INDEX('Base de données Mono'!L:L,MATCH(B1603,'Base de données Mono'!D:D,0))</f>
        <v>0.85416666666666663</v>
      </c>
      <c r="K1603" s="131">
        <f>INDEX('Base de données Mono'!M:M,MATCH(B1603,'Base de données Mono'!D:D,0))</f>
        <v>0.31944444444444448</v>
      </c>
      <c r="L1603" s="131">
        <f>INDEX('Base de données Mono'!N:N,MATCH(B1603,'Base de données Mono'!D:D,0))</f>
        <v>0.55208333333333337</v>
      </c>
      <c r="M1603" s="33" t="s">
        <v>46</v>
      </c>
      <c r="N1603" s="33">
        <f>IF(AND(E1603="Electricité",M1603="Hiver"),INDEX('Base de données Mono'!E:E,MATCH(B1603,'Base de données Mono'!D:D,0)),IF(AND(E1603="Electricité",M1603="Mi-saison"),INDEX('Base de données Mono'!F:F,MATCH(B1603,'Base de données Mono'!D:D,0)),IF(AND(E1603="Electricité",M1603="Eté"),INDEX('Base de données Mono'!G:G,MATCH(B1603,'Base de données Mono'!D:D,0)),IF(AND(E1603="Gaz",M1603="Hiver"),INDEX('Base de données Mono'!J:J,MATCH(B1603,'Base de données Mono'!D:D,0)),IF(AND(E1603="Gaz",M1603="Mi-saison"),INDEX('Base de données Mono'!#REF!,MATCH(B1603,'Base de données Mono'!D:D,0)),IF(AND(E1603="Gaz",M1603="Eté"),INDEX('Base de données Mono'!#REF!,MATCH(B1603,'Base de données Mono'!D:D,0)),"-"))))))</f>
        <v>45</v>
      </c>
      <c r="O1603" s="123">
        <v>45410</v>
      </c>
      <c r="P1603" s="123">
        <v>45413</v>
      </c>
      <c r="Q1603" s="34">
        <v>55</v>
      </c>
      <c r="R1603" s="33">
        <f t="shared" si="437"/>
        <v>10</v>
      </c>
      <c r="S1603" s="34">
        <v>2</v>
      </c>
      <c r="T1603" s="34">
        <f t="shared" si="432"/>
        <v>3</v>
      </c>
      <c r="U1603" s="33">
        <f t="shared" si="438"/>
        <v>60</v>
      </c>
      <c r="V1603" s="38" t="s">
        <v>827</v>
      </c>
      <c r="W1603" s="39">
        <f t="shared" si="439"/>
        <v>0.22222222222222221</v>
      </c>
      <c r="X1603" s="40" t="s">
        <v>304</v>
      </c>
      <c r="Y1603" s="40" t="s">
        <v>284</v>
      </c>
      <c r="Z1603" s="40" t="s">
        <v>305</v>
      </c>
      <c r="AA1603" s="33" t="s">
        <v>771</v>
      </c>
      <c r="AB1603" s="95"/>
      <c r="AC1603" s="95"/>
    </row>
    <row r="1604" spans="1:29" ht="14.45" hidden="1" customHeight="1" x14ac:dyDescent="0.25">
      <c r="A1604" s="36" t="str">
        <f>INDEX('Base de données Mono'!C:C,MATCH(B1604,'Base de données Mono'!D:D,0))</f>
        <v>VILLEJUIF</v>
      </c>
      <c r="B1604" t="s">
        <v>273</v>
      </c>
      <c r="C1604" s="36" t="str">
        <f>INDEX('Base de données Mono'!B:B,MATCH(B1604,'Base de données Mono'!D:D,0))</f>
        <v>SES8</v>
      </c>
      <c r="D1604" s="36" t="str">
        <f>INDEX('Base de données Mono'!A:A,MATCH(B1604,'Base de données Mono'!D:D,0))</f>
        <v>JG</v>
      </c>
      <c r="E1604" s="37" t="s">
        <v>303</v>
      </c>
      <c r="F1604" s="41">
        <f t="shared" si="435"/>
        <v>18</v>
      </c>
      <c r="G1604" s="41">
        <f t="shared" si="436"/>
        <v>4</v>
      </c>
      <c r="I1604" s="131">
        <f>INDEX('Base de données Mono'!K:K,MATCH(B1604,'Base de données Mono'!D:D,0))</f>
        <v>0.23611111111111113</v>
      </c>
      <c r="J1604" s="131">
        <f>INDEX('Base de données Mono'!L:L,MATCH(B1604,'Base de données Mono'!D:D,0))</f>
        <v>0.85416666666666663</v>
      </c>
      <c r="K1604" s="131">
        <f>INDEX('Base de données Mono'!M:M,MATCH(B1604,'Base de données Mono'!D:D,0))</f>
        <v>0.31944444444444448</v>
      </c>
      <c r="L1604" s="131">
        <f>INDEX('Base de données Mono'!N:N,MATCH(B1604,'Base de données Mono'!D:D,0))</f>
        <v>0.55208333333333337</v>
      </c>
      <c r="M1604" s="33" t="s">
        <v>46</v>
      </c>
      <c r="N1604" s="33">
        <f>IF(AND(E1604="Electricité",M1604="Hiver"),INDEX('Base de données Mono'!E:E,MATCH(B1604,'Base de données Mono'!D:D,0)),IF(AND(E1604="Electricité",M1604="Mi-saison"),INDEX('Base de données Mono'!F:F,MATCH(B1604,'Base de données Mono'!D:D,0)),IF(AND(E1604="Electricité",M1604="Eté"),INDEX('Base de données Mono'!G:G,MATCH(B1604,'Base de données Mono'!D:D,0)),IF(AND(E1604="Gaz",M1604="Hiver"),INDEX('Base de données Mono'!J:J,MATCH(B1604,'Base de données Mono'!D:D,0)),IF(AND(E1604="Gaz",M1604="Mi-saison"),INDEX('Base de données Mono'!#REF!,MATCH(B1604,'Base de données Mono'!D:D,0)),IF(AND(E1604="Gaz",M1604="Eté"),INDEX('Base de données Mono'!#REF!,MATCH(B1604,'Base de données Mono'!D:D,0)),"-"))))))</f>
        <v>45</v>
      </c>
      <c r="O1604" s="123">
        <v>45411</v>
      </c>
      <c r="P1604" s="123">
        <v>45413</v>
      </c>
      <c r="Q1604" s="34">
        <v>85</v>
      </c>
      <c r="R1604" s="33">
        <f t="shared" si="437"/>
        <v>40</v>
      </c>
      <c r="S1604" s="34">
        <v>0.5</v>
      </c>
      <c r="T1604" s="34">
        <f t="shared" si="432"/>
        <v>2</v>
      </c>
      <c r="U1604" s="33">
        <f t="shared" si="438"/>
        <v>40</v>
      </c>
      <c r="V1604" s="38" t="s">
        <v>827</v>
      </c>
      <c r="W1604" s="39">
        <f t="shared" si="439"/>
        <v>0.88888888888888884</v>
      </c>
      <c r="X1604" s="40" t="s">
        <v>304</v>
      </c>
      <c r="Y1604" s="40" t="s">
        <v>284</v>
      </c>
      <c r="Z1604" s="40" t="s">
        <v>307</v>
      </c>
      <c r="AA1604" s="33" t="s">
        <v>313</v>
      </c>
      <c r="AB1604" s="95"/>
      <c r="AC1604" s="95"/>
    </row>
    <row r="1605" spans="1:29" ht="14.45" hidden="1" customHeight="1" x14ac:dyDescent="0.25">
      <c r="A1605" s="36" t="str">
        <f>INDEX('Base de données Mono'!C:C,MATCH(B1605,'Base de données Mono'!D:D,0))</f>
        <v>BOULOGNE SEMBAT</v>
      </c>
      <c r="B1605" t="s">
        <v>8</v>
      </c>
      <c r="C1605" s="36" t="str">
        <f>INDEX('Base de données Mono'!B:B,MATCH(B1605,'Base de données Mono'!D:D,0))</f>
        <v>SES8</v>
      </c>
      <c r="D1605" s="36" t="str">
        <f>INDEX('Base de données Mono'!A:A,MATCH(B1605,'Base de données Mono'!D:D,0))</f>
        <v>AD</v>
      </c>
      <c r="E1605" s="37" t="s">
        <v>303</v>
      </c>
      <c r="F1605" s="41">
        <f t="shared" si="435"/>
        <v>18</v>
      </c>
      <c r="G1605" s="41">
        <f t="shared" si="436"/>
        <v>4</v>
      </c>
      <c r="I1605" s="131">
        <f>INDEX('Base de données Mono'!K:K,MATCH(B1605,'Base de données Mono'!D:D,0))</f>
        <v>0.20138888888888887</v>
      </c>
      <c r="J1605" s="131">
        <f>INDEX('Base de données Mono'!L:L,MATCH(B1605,'Base de données Mono'!D:D,0))</f>
        <v>0.97916666666666663</v>
      </c>
      <c r="K1605" s="131">
        <f>INDEX('Base de données Mono'!M:M,MATCH(B1605,'Base de données Mono'!D:D,0))</f>
        <v>0.2638888888888889</v>
      </c>
      <c r="L1605" s="131">
        <f>INDEX('Base de données Mono'!N:N,MATCH(B1605,'Base de données Mono'!D:D,0))</f>
        <v>0.85416666666666663</v>
      </c>
      <c r="M1605" s="33" t="s">
        <v>46</v>
      </c>
      <c r="N1605" s="33">
        <f>IF(AND(E1605="Electricité",M1605="Hiver"),INDEX('Base de données Mono'!E:E,MATCH(B1605,'Base de données Mono'!D:D,0)),IF(AND(E1605="Electricité",M1605="Mi-saison"),INDEX('Base de données Mono'!F:F,MATCH(B1605,'Base de données Mono'!D:D,0)),IF(AND(E1605="Electricité",M1605="Eté"),INDEX('Base de données Mono'!G:G,MATCH(B1605,'Base de données Mono'!D:D,0)),IF(AND(E1605="Gaz",M1605="Hiver"),INDEX('Base de données Mono'!J:J,MATCH(B1605,'Base de données Mono'!D:D,0)),IF(AND(E1605="Gaz",M1605="Mi-saison"),INDEX('Base de données Mono'!#REF!,MATCH(B1605,'Base de données Mono'!D:D,0)),IF(AND(E1605="Gaz",M1605="Eté"),INDEX('Base de données Mono'!#REF!,MATCH(B1605,'Base de données Mono'!D:D,0)),"-"))))))</f>
        <v>85</v>
      </c>
      <c r="O1605" s="123">
        <v>45410</v>
      </c>
      <c r="P1605" s="123">
        <v>45411</v>
      </c>
      <c r="Q1605" s="34">
        <v>135</v>
      </c>
      <c r="R1605" s="33">
        <f t="shared" si="437"/>
        <v>50</v>
      </c>
      <c r="S1605" s="34">
        <v>3.5</v>
      </c>
      <c r="T1605" s="34">
        <f t="shared" si="432"/>
        <v>1</v>
      </c>
      <c r="U1605" s="33">
        <f t="shared" si="438"/>
        <v>175</v>
      </c>
      <c r="V1605" s="38" t="s">
        <v>827</v>
      </c>
      <c r="W1605" s="39">
        <f t="shared" si="439"/>
        <v>0.58823529411764708</v>
      </c>
      <c r="X1605" s="40" t="s">
        <v>304</v>
      </c>
      <c r="Y1605" s="40" t="s">
        <v>284</v>
      </c>
      <c r="Z1605" s="40" t="s">
        <v>311</v>
      </c>
      <c r="AA1605" s="33" t="s">
        <v>775</v>
      </c>
      <c r="AB1605" s="95"/>
      <c r="AC1605" s="95"/>
    </row>
    <row r="1606" spans="1:29" ht="14.45" hidden="1" customHeight="1" x14ac:dyDescent="0.25">
      <c r="A1606" s="36" t="str">
        <f>INDEX('Base de données Mono'!C:C,MATCH(B1606,'Base de données Mono'!D:D,0))</f>
        <v>BOULOGNE SEMBAT</v>
      </c>
      <c r="B1606" t="s">
        <v>8</v>
      </c>
      <c r="C1606" s="36" t="str">
        <f>INDEX('Base de données Mono'!B:B,MATCH(B1606,'Base de données Mono'!D:D,0))</f>
        <v>SES8</v>
      </c>
      <c r="D1606" s="36" t="str">
        <f>INDEX('Base de données Mono'!A:A,MATCH(B1606,'Base de données Mono'!D:D,0))</f>
        <v>AD</v>
      </c>
      <c r="E1606" s="37" t="s">
        <v>303</v>
      </c>
      <c r="F1606" s="41">
        <f t="shared" si="435"/>
        <v>18</v>
      </c>
      <c r="G1606" s="41">
        <f t="shared" si="436"/>
        <v>4</v>
      </c>
      <c r="I1606" s="131">
        <f>INDEX('Base de données Mono'!K:K,MATCH(B1606,'Base de données Mono'!D:D,0))</f>
        <v>0.20138888888888887</v>
      </c>
      <c r="J1606" s="131">
        <f>INDEX('Base de données Mono'!L:L,MATCH(B1606,'Base de données Mono'!D:D,0))</f>
        <v>0.97916666666666663</v>
      </c>
      <c r="K1606" s="131">
        <f>INDEX('Base de données Mono'!M:M,MATCH(B1606,'Base de données Mono'!D:D,0))</f>
        <v>0.2638888888888889</v>
      </c>
      <c r="L1606" s="131">
        <f>INDEX('Base de données Mono'!N:N,MATCH(B1606,'Base de données Mono'!D:D,0))</f>
        <v>0.85416666666666663</v>
      </c>
      <c r="M1606" s="33" t="s">
        <v>46</v>
      </c>
      <c r="N1606" s="33">
        <f>IF(AND(E1606="Electricité",M1606="Hiver"),INDEX('Base de données Mono'!E:E,MATCH(B1606,'Base de données Mono'!D:D,0)),IF(AND(E1606="Electricité",M1606="Mi-saison"),INDEX('Base de données Mono'!F:F,MATCH(B1606,'Base de données Mono'!D:D,0)),IF(AND(E1606="Electricité",M1606="Eté"),INDEX('Base de données Mono'!G:G,MATCH(B1606,'Base de données Mono'!D:D,0)),IF(AND(E1606="Gaz",M1606="Hiver"),INDEX('Base de données Mono'!J:J,MATCH(B1606,'Base de données Mono'!D:D,0)),IF(AND(E1606="Gaz",M1606="Mi-saison"),INDEX('Base de données Mono'!#REF!,MATCH(B1606,'Base de données Mono'!D:D,0)),IF(AND(E1606="Gaz",M1606="Eté"),INDEX('Base de données Mono'!#REF!,MATCH(B1606,'Base de données Mono'!D:D,0)),"-"))))))</f>
        <v>85</v>
      </c>
      <c r="O1606" s="123">
        <v>45411</v>
      </c>
      <c r="P1606" s="123">
        <v>45412</v>
      </c>
      <c r="Q1606" s="34">
        <v>140</v>
      </c>
      <c r="R1606" s="33">
        <f t="shared" si="437"/>
        <v>55</v>
      </c>
      <c r="S1606" s="34">
        <v>0.8</v>
      </c>
      <c r="T1606" s="34">
        <f t="shared" si="432"/>
        <v>1</v>
      </c>
      <c r="U1606" s="33">
        <f t="shared" si="438"/>
        <v>44</v>
      </c>
      <c r="V1606" s="38" t="s">
        <v>827</v>
      </c>
      <c r="W1606" s="39">
        <f t="shared" si="439"/>
        <v>0.6470588235294118</v>
      </c>
      <c r="X1606" s="40" t="s">
        <v>304</v>
      </c>
      <c r="Y1606" s="40" t="s">
        <v>284</v>
      </c>
      <c r="Z1606" s="40" t="s">
        <v>307</v>
      </c>
      <c r="AA1606" s="33" t="s">
        <v>414</v>
      </c>
      <c r="AB1606" s="95"/>
      <c r="AC1606" s="95"/>
    </row>
    <row r="1607" spans="1:29" ht="14.45" hidden="1" customHeight="1" x14ac:dyDescent="0.25">
      <c r="A1607" s="36" t="str">
        <f>INDEX('Base de données Mono'!C:C,MATCH(B1607,'Base de données Mono'!D:D,0))</f>
        <v>LE HAVRE</v>
      </c>
      <c r="B1607" t="s">
        <v>152</v>
      </c>
      <c r="C1607" s="36" t="str">
        <f>INDEX('Base de données Mono'!B:B,MATCH(B1607,'Base de données Mono'!D:D,0))</f>
        <v>SES8</v>
      </c>
      <c r="D1607" s="36" t="str">
        <f>INDEX('Base de données Mono'!A:A,MATCH(B1607,'Base de données Mono'!D:D,0))</f>
        <v>AD</v>
      </c>
      <c r="E1607" s="37" t="s">
        <v>303</v>
      </c>
      <c r="F1607" s="41">
        <f t="shared" si="435"/>
        <v>18</v>
      </c>
      <c r="G1607" s="41">
        <f t="shared" si="436"/>
        <v>4</v>
      </c>
      <c r="I1607" s="131">
        <f>INDEX('Base de données Mono'!K:K,MATCH(B1607,'Base de données Mono'!D:D,0))</f>
        <v>0.1875</v>
      </c>
      <c r="J1607" s="131">
        <f>INDEX('Base de données Mono'!L:L,MATCH(B1607,'Base de données Mono'!D:D,0))</f>
        <v>0.88541666666666663</v>
      </c>
      <c r="K1607" s="131" t="str">
        <f>INDEX('Base de données Mono'!M:M,MATCH(B1607,'Base de données Mono'!D:D,0))</f>
        <v>-</v>
      </c>
      <c r="L1607" s="131" t="str">
        <f>INDEX('Base de données Mono'!N:N,MATCH(B1607,'Base de données Mono'!D:D,0))</f>
        <v>-</v>
      </c>
      <c r="M1607" s="33" t="s">
        <v>46</v>
      </c>
      <c r="N1607" s="33">
        <f>IF(AND(E1607="Electricité",M1607="Hiver"),INDEX('Base de données Mono'!E:E,MATCH(B1607,'Base de données Mono'!D:D,0)),IF(AND(E1607="Electricité",M1607="Mi-saison"),INDEX('Base de données Mono'!F:F,MATCH(B1607,'Base de données Mono'!D:D,0)),IF(AND(E1607="Electricité",M1607="Eté"),INDEX('Base de données Mono'!G:G,MATCH(B1607,'Base de données Mono'!D:D,0)),IF(AND(E1607="Gaz",M1607="Hiver"),INDEX('Base de données Mono'!J:J,MATCH(B1607,'Base de données Mono'!D:D,0)),IF(AND(E1607="Gaz",M1607="Mi-saison"),INDEX('Base de données Mono'!#REF!,MATCH(B1607,'Base de données Mono'!D:D,0)),IF(AND(E1607="Gaz",M1607="Eté"),INDEX('Base de données Mono'!#REF!,MATCH(B1607,'Base de données Mono'!D:D,0)),"-"))))))</f>
        <v>60</v>
      </c>
      <c r="O1607" s="123">
        <v>45410</v>
      </c>
      <c r="P1607" s="123">
        <v>45413</v>
      </c>
      <c r="Q1607" s="34">
        <v>75</v>
      </c>
      <c r="R1607" s="33">
        <f t="shared" si="437"/>
        <v>15</v>
      </c>
      <c r="S1607" s="34">
        <v>1.5</v>
      </c>
      <c r="T1607" s="34">
        <f t="shared" si="432"/>
        <v>3</v>
      </c>
      <c r="U1607" s="33">
        <f t="shared" si="438"/>
        <v>67.5</v>
      </c>
      <c r="V1607" s="38" t="s">
        <v>827</v>
      </c>
      <c r="W1607" s="39">
        <f t="shared" si="439"/>
        <v>0.25</v>
      </c>
      <c r="X1607" s="40" t="s">
        <v>304</v>
      </c>
      <c r="Y1607" s="40" t="s">
        <v>284</v>
      </c>
      <c r="Z1607" s="40" t="s">
        <v>305</v>
      </c>
      <c r="AA1607" s="33" t="s">
        <v>771</v>
      </c>
      <c r="AB1607" s="95"/>
      <c r="AC1607" s="95"/>
    </row>
    <row r="1608" spans="1:29" ht="14.45" hidden="1" customHeight="1" x14ac:dyDescent="0.25">
      <c r="A1608" s="36" t="str">
        <f>INDEX('Base de données Mono'!C:C,MATCH(B1608,'Base de données Mono'!D:D,0))</f>
        <v>LE HAVRE</v>
      </c>
      <c r="B1608" t="s">
        <v>152</v>
      </c>
      <c r="C1608" s="36" t="str">
        <f>INDEX('Base de données Mono'!B:B,MATCH(B1608,'Base de données Mono'!D:D,0))</f>
        <v>SES8</v>
      </c>
      <c r="D1608" s="36" t="str">
        <f>INDEX('Base de données Mono'!A:A,MATCH(B1608,'Base de données Mono'!D:D,0))</f>
        <v>AD</v>
      </c>
      <c r="E1608" s="37" t="s">
        <v>303</v>
      </c>
      <c r="F1608" s="41">
        <f t="shared" si="435"/>
        <v>18</v>
      </c>
      <c r="G1608" s="41">
        <f t="shared" si="436"/>
        <v>4</v>
      </c>
      <c r="I1608" s="131">
        <f>INDEX('Base de données Mono'!K:K,MATCH(B1608,'Base de données Mono'!D:D,0))</f>
        <v>0.1875</v>
      </c>
      <c r="J1608" s="131">
        <f>INDEX('Base de données Mono'!L:L,MATCH(B1608,'Base de données Mono'!D:D,0))</f>
        <v>0.88541666666666663</v>
      </c>
      <c r="K1608" s="131" t="str">
        <f>INDEX('Base de données Mono'!M:M,MATCH(B1608,'Base de données Mono'!D:D,0))</f>
        <v>-</v>
      </c>
      <c r="L1608" s="131" t="str">
        <f>INDEX('Base de données Mono'!N:N,MATCH(B1608,'Base de données Mono'!D:D,0))</f>
        <v>-</v>
      </c>
      <c r="M1608" s="33" t="s">
        <v>46</v>
      </c>
      <c r="N1608" s="33">
        <f>IF(AND(E1608="Electricité",M1608="Hiver"),INDEX('Base de données Mono'!E:E,MATCH(B1608,'Base de données Mono'!D:D,0)),IF(AND(E1608="Electricité",M1608="Mi-saison"),INDEX('Base de données Mono'!F:F,MATCH(B1608,'Base de données Mono'!D:D,0)),IF(AND(E1608="Electricité",M1608="Eté"),INDEX('Base de données Mono'!G:G,MATCH(B1608,'Base de données Mono'!D:D,0)),IF(AND(E1608="Gaz",M1608="Hiver"),INDEX('Base de données Mono'!J:J,MATCH(B1608,'Base de données Mono'!D:D,0)),IF(AND(E1608="Gaz",M1608="Mi-saison"),INDEX('Base de données Mono'!#REF!,MATCH(B1608,'Base de données Mono'!D:D,0)),IF(AND(E1608="Gaz",M1608="Eté"),INDEX('Base de données Mono'!#REF!,MATCH(B1608,'Base de données Mono'!D:D,0)),"-"))))))</f>
        <v>60</v>
      </c>
      <c r="O1608" s="123">
        <v>45411</v>
      </c>
      <c r="P1608" s="123">
        <v>45412</v>
      </c>
      <c r="Q1608" s="34">
        <v>65</v>
      </c>
      <c r="R1608" s="33">
        <f t="shared" si="437"/>
        <v>5</v>
      </c>
      <c r="S1608" s="34">
        <v>5.7</v>
      </c>
      <c r="T1608" s="34">
        <f t="shared" si="432"/>
        <v>1</v>
      </c>
      <c r="U1608" s="33">
        <f t="shared" si="438"/>
        <v>28.5</v>
      </c>
      <c r="V1608" s="38" t="s">
        <v>827</v>
      </c>
      <c r="W1608" s="39">
        <f t="shared" si="439"/>
        <v>8.3333333333333329E-2</v>
      </c>
      <c r="X1608" s="40" t="s">
        <v>304</v>
      </c>
      <c r="Y1608" s="40" t="s">
        <v>284</v>
      </c>
      <c r="Z1608" s="40" t="s">
        <v>305</v>
      </c>
      <c r="AA1608" s="33" t="s">
        <v>771</v>
      </c>
      <c r="AB1608" s="95"/>
      <c r="AC1608" s="95"/>
    </row>
    <row r="1609" spans="1:29" ht="14.45" hidden="1" customHeight="1" x14ac:dyDescent="0.25">
      <c r="A1609" s="36" t="str">
        <f>INDEX('Base de données Mono'!C:C,MATCH(B1609,'Base de données Mono'!D:D,0))</f>
        <v>SABLONS</v>
      </c>
      <c r="B1609" t="s">
        <v>32</v>
      </c>
      <c r="C1609" s="36" t="str">
        <f>INDEX('Base de données Mono'!B:B,MATCH(B1609,'Base de données Mono'!D:D,0))</f>
        <v>SES8</v>
      </c>
      <c r="D1609" s="36" t="str">
        <f>INDEX('Base de données Mono'!A:A,MATCH(B1609,'Base de données Mono'!D:D,0))</f>
        <v>AD</v>
      </c>
      <c r="E1609" s="37" t="s">
        <v>303</v>
      </c>
      <c r="F1609" s="41">
        <f t="shared" si="435"/>
        <v>18</v>
      </c>
      <c r="G1609" s="41">
        <f t="shared" si="436"/>
        <v>4</v>
      </c>
      <c r="I1609" s="131">
        <f>INDEX('Base de données Mono'!K:K,MATCH(B1609,'Base de données Mono'!D:D,0))</f>
        <v>0.23611111111111113</v>
      </c>
      <c r="J1609" s="131">
        <f>INDEX('Base de données Mono'!L:L,MATCH(B1609,'Base de données Mono'!D:D,0))</f>
        <v>0.91666666666666663</v>
      </c>
      <c r="K1609" s="131">
        <f>INDEX('Base de données Mono'!M:M,MATCH(B1609,'Base de données Mono'!D:D,0))</f>
        <v>0.25694444444444448</v>
      </c>
      <c r="L1609" s="131">
        <f>INDEX('Base de données Mono'!N:N,MATCH(B1609,'Base de données Mono'!D:D,0))</f>
        <v>0.60069444444444442</v>
      </c>
      <c r="M1609" s="33" t="s">
        <v>46</v>
      </c>
      <c r="N1609" s="33">
        <f>IF(AND(E1609="Electricité",M1609="Hiver"),INDEX('Base de données Mono'!E:E,MATCH(B1609,'Base de données Mono'!D:D,0)),IF(AND(E1609="Electricité",M1609="Mi-saison"),INDEX('Base de données Mono'!F:F,MATCH(B1609,'Base de données Mono'!D:D,0)),IF(AND(E1609="Electricité",M1609="Eté"),INDEX('Base de données Mono'!G:G,MATCH(B1609,'Base de données Mono'!D:D,0)),IF(AND(E1609="Gaz",M1609="Hiver"),INDEX('Base de données Mono'!J:J,MATCH(B1609,'Base de données Mono'!D:D,0)),IF(AND(E1609="Gaz",M1609="Mi-saison"),INDEX('Base de données Mono'!#REF!,MATCH(B1609,'Base de données Mono'!D:D,0)),IF(AND(E1609="Gaz",M1609="Eté"),INDEX('Base de données Mono'!#REF!,MATCH(B1609,'Base de données Mono'!D:D,0)),"-"))))))</f>
        <v>70</v>
      </c>
      <c r="O1609" s="123">
        <v>45410</v>
      </c>
      <c r="P1609" s="123">
        <v>45413</v>
      </c>
      <c r="Q1609" s="34">
        <v>85</v>
      </c>
      <c r="R1609" s="33">
        <f t="shared" si="437"/>
        <v>15</v>
      </c>
      <c r="S1609" s="34">
        <v>7.6</v>
      </c>
      <c r="T1609" s="34">
        <f t="shared" si="432"/>
        <v>3</v>
      </c>
      <c r="U1609" s="33">
        <f t="shared" si="438"/>
        <v>342</v>
      </c>
      <c r="V1609" s="38" t="s">
        <v>827</v>
      </c>
      <c r="W1609" s="39">
        <f t="shared" si="439"/>
        <v>0.21428571428571427</v>
      </c>
      <c r="X1609" s="40" t="s">
        <v>304</v>
      </c>
      <c r="Y1609" s="40" t="s">
        <v>284</v>
      </c>
      <c r="Z1609" s="40" t="s">
        <v>305</v>
      </c>
      <c r="AA1609" s="33" t="s">
        <v>771</v>
      </c>
      <c r="AB1609" s="95"/>
      <c r="AC1609" s="95"/>
    </row>
    <row r="1610" spans="1:29" ht="14.45" hidden="1" customHeight="1" x14ac:dyDescent="0.25">
      <c r="A1610" s="36" t="str">
        <f>INDEX('Base de données Mono'!C:C,MATCH(B1610,'Base de données Mono'!D:D,0))</f>
        <v>SAINT RAPHAEL</v>
      </c>
      <c r="B1610" t="s">
        <v>36</v>
      </c>
      <c r="C1610" s="36" t="str">
        <f>INDEX('Base de données Mono'!B:B,MATCH(B1610,'Base de données Mono'!D:D,0))</f>
        <v>SES8</v>
      </c>
      <c r="D1610" s="36" t="str">
        <f>INDEX('Base de données Mono'!A:A,MATCH(B1610,'Base de données Mono'!D:D,0))</f>
        <v>JG</v>
      </c>
      <c r="E1610" s="37" t="s">
        <v>303</v>
      </c>
      <c r="F1610" s="41">
        <f t="shared" si="435"/>
        <v>18</v>
      </c>
      <c r="G1610" s="41">
        <f t="shared" si="436"/>
        <v>4</v>
      </c>
      <c r="I1610" s="131">
        <f>INDEX('Base de données Mono'!K:K,MATCH(B1610,'Base de données Mono'!D:D,0))</f>
        <v>0.20833333333333334</v>
      </c>
      <c r="J1610" s="131">
        <f>INDEX('Base de données Mono'!L:L,MATCH(B1610,'Base de données Mono'!D:D,0))</f>
        <v>0.85416666666666663</v>
      </c>
      <c r="K1610" s="131">
        <f>INDEX('Base de données Mono'!M:M,MATCH(B1610,'Base de données Mono'!D:D,0))</f>
        <v>0.3125</v>
      </c>
      <c r="L1610" s="131">
        <f>INDEX('Base de données Mono'!N:N,MATCH(B1610,'Base de données Mono'!D:D,0))</f>
        <v>0.55902777777777779</v>
      </c>
      <c r="M1610" s="33" t="s">
        <v>46</v>
      </c>
      <c r="N1610" s="33">
        <f>IF(AND(E1610="Electricité",M1610="Hiver"),INDEX('Base de données Mono'!E:E,MATCH(B1610,'Base de données Mono'!D:D,0)),IF(AND(E1610="Electricité",M1610="Mi-saison"),INDEX('Base de données Mono'!F:F,MATCH(B1610,'Base de données Mono'!D:D,0)),IF(AND(E1610="Electricité",M1610="Eté"),INDEX('Base de données Mono'!G:G,MATCH(B1610,'Base de données Mono'!D:D,0)),IF(AND(E1610="Gaz",M1610="Hiver"),INDEX('Base de données Mono'!J:J,MATCH(B1610,'Base de données Mono'!D:D,0)),IF(AND(E1610="Gaz",M1610="Mi-saison"),INDEX('Base de données Mono'!#REF!,MATCH(B1610,'Base de données Mono'!D:D,0)),IF(AND(E1610="Gaz",M1610="Eté"),INDEX('Base de données Mono'!#REF!,MATCH(B1610,'Base de données Mono'!D:D,0)),"-"))))))</f>
        <v>35</v>
      </c>
      <c r="O1610" s="123">
        <v>45410</v>
      </c>
      <c r="P1610" s="123">
        <v>45411</v>
      </c>
      <c r="Q1610" s="34">
        <v>60</v>
      </c>
      <c r="R1610" s="33">
        <f t="shared" si="437"/>
        <v>25</v>
      </c>
      <c r="S1610" s="34">
        <v>2.5</v>
      </c>
      <c r="T1610" s="34">
        <f t="shared" si="432"/>
        <v>1</v>
      </c>
      <c r="U1610" s="33">
        <f t="shared" si="438"/>
        <v>62.5</v>
      </c>
      <c r="V1610" s="38" t="s">
        <v>827</v>
      </c>
      <c r="W1610" s="39">
        <f t="shared" si="439"/>
        <v>0.7142857142857143</v>
      </c>
      <c r="X1610" s="40" t="s">
        <v>304</v>
      </c>
      <c r="Y1610" s="40" t="s">
        <v>284</v>
      </c>
      <c r="Z1610" s="40" t="s">
        <v>307</v>
      </c>
      <c r="AA1610" s="33" t="s">
        <v>313</v>
      </c>
      <c r="AB1610" s="95"/>
      <c r="AC1610" s="95"/>
    </row>
    <row r="1611" spans="1:29" ht="14.45" hidden="1" customHeight="1" x14ac:dyDescent="0.25">
      <c r="A1611" s="36" t="str">
        <f>INDEX('Base de données Mono'!C:C,MATCH(B1611,'Base de données Mono'!D:D,0))</f>
        <v>SAINT RAPHAEL</v>
      </c>
      <c r="B1611" t="s">
        <v>36</v>
      </c>
      <c r="C1611" s="36" t="str">
        <f>INDEX('Base de données Mono'!B:B,MATCH(B1611,'Base de données Mono'!D:D,0))</f>
        <v>SES8</v>
      </c>
      <c r="D1611" s="36" t="str">
        <f>INDEX('Base de données Mono'!A:A,MATCH(B1611,'Base de données Mono'!D:D,0))</f>
        <v>JG</v>
      </c>
      <c r="E1611" s="37" t="s">
        <v>303</v>
      </c>
      <c r="F1611" s="41">
        <f t="shared" si="435"/>
        <v>18</v>
      </c>
      <c r="G1611" s="41">
        <f t="shared" si="436"/>
        <v>4</v>
      </c>
      <c r="I1611" s="131">
        <f>INDEX('Base de données Mono'!K:K,MATCH(B1611,'Base de données Mono'!D:D,0))</f>
        <v>0.20833333333333334</v>
      </c>
      <c r="J1611" s="131">
        <f>INDEX('Base de données Mono'!L:L,MATCH(B1611,'Base de données Mono'!D:D,0))</f>
        <v>0.85416666666666663</v>
      </c>
      <c r="K1611" s="131">
        <f>INDEX('Base de données Mono'!M:M,MATCH(B1611,'Base de données Mono'!D:D,0))</f>
        <v>0.3125</v>
      </c>
      <c r="L1611" s="131">
        <f>INDEX('Base de données Mono'!N:N,MATCH(B1611,'Base de données Mono'!D:D,0))</f>
        <v>0.55902777777777779</v>
      </c>
      <c r="M1611" s="33" t="s">
        <v>46</v>
      </c>
      <c r="N1611" s="33">
        <f>IF(AND(E1611="Electricité",M1611="Hiver"),INDEX('Base de données Mono'!E:E,MATCH(B1611,'Base de données Mono'!D:D,0)),IF(AND(E1611="Electricité",M1611="Mi-saison"),INDEX('Base de données Mono'!F:F,MATCH(B1611,'Base de données Mono'!D:D,0)),IF(AND(E1611="Electricité",M1611="Eté"),INDEX('Base de données Mono'!G:G,MATCH(B1611,'Base de données Mono'!D:D,0)),IF(AND(E1611="Gaz",M1611="Hiver"),INDEX('Base de données Mono'!J:J,MATCH(B1611,'Base de données Mono'!D:D,0)),IF(AND(E1611="Gaz",M1611="Mi-saison"),INDEX('Base de données Mono'!#REF!,MATCH(B1611,'Base de données Mono'!D:D,0)),IF(AND(E1611="Gaz",M1611="Eté"),INDEX('Base de données Mono'!#REF!,MATCH(B1611,'Base de données Mono'!D:D,0)),"-"))))))</f>
        <v>35</v>
      </c>
      <c r="O1611" s="123">
        <v>45411</v>
      </c>
      <c r="P1611" s="123">
        <v>45412</v>
      </c>
      <c r="Q1611" s="34">
        <v>55</v>
      </c>
      <c r="R1611" s="33">
        <f t="shared" si="437"/>
        <v>20</v>
      </c>
      <c r="S1611" s="34">
        <v>8</v>
      </c>
      <c r="T1611" s="34">
        <f t="shared" si="432"/>
        <v>1</v>
      </c>
      <c r="U1611" s="33">
        <f t="shared" si="438"/>
        <v>160</v>
      </c>
      <c r="V1611" s="38" t="s">
        <v>827</v>
      </c>
      <c r="W1611" s="39">
        <f t="shared" si="439"/>
        <v>0.5714285714285714</v>
      </c>
      <c r="X1611" s="40" t="s">
        <v>304</v>
      </c>
      <c r="Y1611" s="40" t="s">
        <v>284</v>
      </c>
      <c r="Z1611" s="40" t="s">
        <v>311</v>
      </c>
      <c r="AA1611" s="33" t="s">
        <v>775</v>
      </c>
      <c r="AB1611" s="95"/>
      <c r="AC1611" s="95"/>
    </row>
    <row r="1612" spans="1:29" ht="14.45" hidden="1" customHeight="1" x14ac:dyDescent="0.25">
      <c r="A1612" s="36" t="str">
        <f>INDEX('Base de données Mono'!C:C,MATCH(B1612,'Base de données Mono'!D:D,0))</f>
        <v>SAINT RAPHAEL</v>
      </c>
      <c r="B1612" t="s">
        <v>36</v>
      </c>
      <c r="C1612" s="36" t="str">
        <f>INDEX('Base de données Mono'!B:B,MATCH(B1612,'Base de données Mono'!D:D,0))</f>
        <v>SES8</v>
      </c>
      <c r="D1612" s="36" t="str">
        <f>INDEX('Base de données Mono'!A:A,MATCH(B1612,'Base de données Mono'!D:D,0))</f>
        <v>JG</v>
      </c>
      <c r="E1612" s="37" t="s">
        <v>303</v>
      </c>
      <c r="F1612" s="41">
        <f t="shared" si="435"/>
        <v>18</v>
      </c>
      <c r="G1612" s="41">
        <f t="shared" si="436"/>
        <v>4</v>
      </c>
      <c r="I1612" s="131">
        <f>INDEX('Base de données Mono'!K:K,MATCH(B1612,'Base de données Mono'!D:D,0))</f>
        <v>0.20833333333333334</v>
      </c>
      <c r="J1612" s="131">
        <f>INDEX('Base de données Mono'!L:L,MATCH(B1612,'Base de données Mono'!D:D,0))</f>
        <v>0.85416666666666663</v>
      </c>
      <c r="K1612" s="131">
        <f>INDEX('Base de données Mono'!M:M,MATCH(B1612,'Base de données Mono'!D:D,0))</f>
        <v>0.3125</v>
      </c>
      <c r="L1612" s="131">
        <f>INDEX('Base de données Mono'!N:N,MATCH(B1612,'Base de données Mono'!D:D,0))</f>
        <v>0.55902777777777779</v>
      </c>
      <c r="M1612" s="33" t="s">
        <v>46</v>
      </c>
      <c r="N1612" s="33">
        <f>IF(AND(E1612="Electricité",M1612="Hiver"),INDEX('Base de données Mono'!E:E,MATCH(B1612,'Base de données Mono'!D:D,0)),IF(AND(E1612="Electricité",M1612="Mi-saison"),INDEX('Base de données Mono'!F:F,MATCH(B1612,'Base de données Mono'!D:D,0)),IF(AND(E1612="Electricité",M1612="Eté"),INDEX('Base de données Mono'!G:G,MATCH(B1612,'Base de données Mono'!D:D,0)),IF(AND(E1612="Gaz",M1612="Hiver"),INDEX('Base de données Mono'!J:J,MATCH(B1612,'Base de données Mono'!D:D,0)),IF(AND(E1612="Gaz",M1612="Mi-saison"),INDEX('Base de données Mono'!#REF!,MATCH(B1612,'Base de données Mono'!D:D,0)),IF(AND(E1612="Gaz",M1612="Eté"),INDEX('Base de données Mono'!#REF!,MATCH(B1612,'Base de données Mono'!D:D,0)),"-"))))))</f>
        <v>35</v>
      </c>
      <c r="O1612" s="123">
        <v>45412</v>
      </c>
      <c r="P1612" s="123">
        <v>45413</v>
      </c>
      <c r="Q1612" s="34">
        <v>60</v>
      </c>
      <c r="R1612" s="33">
        <f t="shared" si="437"/>
        <v>25</v>
      </c>
      <c r="S1612" s="34">
        <v>2.5</v>
      </c>
      <c r="T1612" s="34">
        <f t="shared" si="432"/>
        <v>1</v>
      </c>
      <c r="U1612" s="33">
        <f t="shared" si="438"/>
        <v>62.5</v>
      </c>
      <c r="V1612" s="38" t="s">
        <v>827</v>
      </c>
      <c r="W1612" s="39">
        <f t="shared" si="439"/>
        <v>0.7142857142857143</v>
      </c>
      <c r="X1612" s="40" t="s">
        <v>304</v>
      </c>
      <c r="Y1612" s="40" t="s">
        <v>284</v>
      </c>
      <c r="Z1612" s="40" t="s">
        <v>307</v>
      </c>
      <c r="AA1612" s="33" t="s">
        <v>313</v>
      </c>
      <c r="AB1612" s="95"/>
      <c r="AC1612" s="95"/>
    </row>
    <row r="1613" spans="1:29" ht="14.45" hidden="1" customHeight="1" x14ac:dyDescent="0.25">
      <c r="A1613" s="36" t="str">
        <f>INDEX('Base de données Mono'!C:C,MATCH(B1613,'Base de données Mono'!D:D,0))</f>
        <v>CHAVILLE</v>
      </c>
      <c r="B1613" t="s">
        <v>12</v>
      </c>
      <c r="C1613" s="36" t="str">
        <f>INDEX('Base de données Mono'!B:B,MATCH(B1613,'Base de données Mono'!D:D,0))</f>
        <v>SES8</v>
      </c>
      <c r="D1613" s="36" t="str">
        <f>INDEX('Base de données Mono'!A:A,MATCH(B1613,'Base de données Mono'!D:D,0))</f>
        <v>AD</v>
      </c>
      <c r="E1613" s="37" t="s">
        <v>303</v>
      </c>
      <c r="F1613" s="41">
        <f t="shared" si="435"/>
        <v>18</v>
      </c>
      <c r="G1613" s="41">
        <f t="shared" si="436"/>
        <v>4</v>
      </c>
      <c r="I1613" s="131">
        <f>INDEX('Base de données Mono'!K:K,MATCH(B1613,'Base de données Mono'!D:D,0))</f>
        <v>0.25</v>
      </c>
      <c r="J1613" s="131">
        <f>INDEX('Base de données Mono'!L:L,MATCH(B1613,'Base de données Mono'!D:D,0))</f>
        <v>0.89583333333333337</v>
      </c>
      <c r="K1613" s="131">
        <f>INDEX('Base de données Mono'!M:M,MATCH(B1613,'Base de données Mono'!D:D,0))</f>
        <v>0.29166666666666702</v>
      </c>
      <c r="L1613" s="131">
        <f>INDEX('Base de données Mono'!N:N,MATCH(B1613,'Base de données Mono'!D:D,0))</f>
        <v>0.80208333333333337</v>
      </c>
      <c r="M1613" s="33" t="s">
        <v>46</v>
      </c>
      <c r="N1613" s="33">
        <f>IF(AND(E1613="Electricité",M1613="Hiver"),INDEX('Base de données Mono'!E:E,MATCH(B1613,'Base de données Mono'!D:D,0)),IF(AND(E1613="Electricité",M1613="Mi-saison"),INDEX('Base de données Mono'!F:F,MATCH(B1613,'Base de données Mono'!D:D,0)),IF(AND(E1613="Electricité",M1613="Eté"),INDEX('Base de données Mono'!G:G,MATCH(B1613,'Base de données Mono'!D:D,0)),IF(AND(E1613="Gaz",M1613="Hiver"),INDEX('Base de données Mono'!J:J,MATCH(B1613,'Base de données Mono'!D:D,0)),IF(AND(E1613="Gaz",M1613="Mi-saison"),INDEX('Base de données Mono'!#REF!,MATCH(B1613,'Base de données Mono'!D:D,0)),IF(AND(E1613="Gaz",M1613="Eté"),INDEX('Base de données Mono'!#REF!,MATCH(B1613,'Base de données Mono'!D:D,0)),"-"))))))</f>
        <v>80</v>
      </c>
      <c r="O1613" s="123">
        <v>45410</v>
      </c>
      <c r="P1613" s="123">
        <v>45412</v>
      </c>
      <c r="Q1613" s="34">
        <v>115</v>
      </c>
      <c r="R1613" s="33">
        <f t="shared" si="437"/>
        <v>35</v>
      </c>
      <c r="S1613" s="34">
        <v>0.5</v>
      </c>
      <c r="T1613" s="34">
        <f t="shared" si="432"/>
        <v>2</v>
      </c>
      <c r="U1613" s="33">
        <f t="shared" si="438"/>
        <v>35</v>
      </c>
      <c r="V1613" s="38" t="s">
        <v>827</v>
      </c>
      <c r="W1613" s="39">
        <f t="shared" si="439"/>
        <v>0.4375</v>
      </c>
      <c r="X1613" s="40" t="s">
        <v>304</v>
      </c>
      <c r="Y1613" s="40" t="s">
        <v>284</v>
      </c>
      <c r="Z1613" s="40" t="s">
        <v>307</v>
      </c>
      <c r="AA1613" s="33" t="s">
        <v>414</v>
      </c>
      <c r="AB1613" s="95"/>
      <c r="AC1613" s="95"/>
    </row>
    <row r="1614" spans="1:29" ht="14.45" hidden="1" customHeight="1" x14ac:dyDescent="0.25">
      <c r="A1614" s="36" t="str">
        <f>INDEX('Base de données Mono'!C:C,MATCH(B1614,'Base de données Mono'!D:D,0))</f>
        <v>CHAVILLE</v>
      </c>
      <c r="B1614" t="s">
        <v>12</v>
      </c>
      <c r="C1614" s="36" t="str">
        <f>INDEX('Base de données Mono'!B:B,MATCH(B1614,'Base de données Mono'!D:D,0))</f>
        <v>SES8</v>
      </c>
      <c r="D1614" s="36" t="str">
        <f>INDEX('Base de données Mono'!A:A,MATCH(B1614,'Base de données Mono'!D:D,0))</f>
        <v>AD</v>
      </c>
      <c r="E1614" s="37" t="s">
        <v>303</v>
      </c>
      <c r="F1614" s="41">
        <f t="shared" ref="F1614:F1637" si="446">IF(O1614="","-",IF(AND(X1614="Nuit",WEEKDAY(O1614,2)=7,O1614&lt;&gt;P1614),WEEKNUM(O1614,2),WEEKNUM(O1614,2)-1))+1</f>
        <v>18</v>
      </c>
      <c r="G1614" s="41">
        <f t="shared" ref="G1614:G1637" si="447">IF(O1614="","-",MONTH(O1614))</f>
        <v>4</v>
      </c>
      <c r="I1614" s="131">
        <f>INDEX('Base de données Mono'!K:K,MATCH(B1614,'Base de données Mono'!D:D,0))</f>
        <v>0.25</v>
      </c>
      <c r="J1614" s="131">
        <f>INDEX('Base de données Mono'!L:L,MATCH(B1614,'Base de données Mono'!D:D,0))</f>
        <v>0.89583333333333337</v>
      </c>
      <c r="K1614" s="131">
        <f>INDEX('Base de données Mono'!M:M,MATCH(B1614,'Base de données Mono'!D:D,0))</f>
        <v>0.29166666666666702</v>
      </c>
      <c r="L1614" s="131">
        <f>INDEX('Base de données Mono'!N:N,MATCH(B1614,'Base de données Mono'!D:D,0))</f>
        <v>0.80208333333333337</v>
      </c>
      <c r="M1614" s="33" t="s">
        <v>46</v>
      </c>
      <c r="N1614" s="33">
        <f>IF(AND(E1614="Electricité",M1614="Hiver"),INDEX('Base de données Mono'!E:E,MATCH(B1614,'Base de données Mono'!D:D,0)),IF(AND(E1614="Electricité",M1614="Mi-saison"),INDEX('Base de données Mono'!F:F,MATCH(B1614,'Base de données Mono'!D:D,0)),IF(AND(E1614="Electricité",M1614="Eté"),INDEX('Base de données Mono'!G:G,MATCH(B1614,'Base de données Mono'!D:D,0)),IF(AND(E1614="Gaz",M1614="Hiver"),INDEX('Base de données Mono'!J:J,MATCH(B1614,'Base de données Mono'!D:D,0)),IF(AND(E1614="Gaz",M1614="Mi-saison"),INDEX('Base de données Mono'!#REF!,MATCH(B1614,'Base de données Mono'!D:D,0)),IF(AND(E1614="Gaz",M1614="Eté"),INDEX('Base de données Mono'!#REF!,MATCH(B1614,'Base de données Mono'!D:D,0)),"-"))))))</f>
        <v>80</v>
      </c>
      <c r="O1614" s="123">
        <v>45411</v>
      </c>
      <c r="P1614" s="123">
        <v>45413</v>
      </c>
      <c r="Q1614" s="34">
        <v>120</v>
      </c>
      <c r="R1614" s="33">
        <f t="shared" ref="R1614:R1637" si="448">IF(Q1614="","",Q1614-N1614)</f>
        <v>40</v>
      </c>
      <c r="S1614" s="34">
        <v>2</v>
      </c>
      <c r="T1614" s="34">
        <f t="shared" si="432"/>
        <v>2</v>
      </c>
      <c r="U1614" s="33">
        <f t="shared" ref="U1614:U1637" si="449">R1614*S1614*T1614</f>
        <v>160</v>
      </c>
      <c r="V1614" s="38" t="s">
        <v>827</v>
      </c>
      <c r="W1614" s="39">
        <f t="shared" ref="W1614:W1637" si="450">IFERROR(IF(E1614="Gaz","-",R1614/N1614),"-")</f>
        <v>0.5</v>
      </c>
      <c r="X1614" s="40" t="s">
        <v>304</v>
      </c>
      <c r="Y1614" s="40" t="s">
        <v>284</v>
      </c>
      <c r="Z1614" s="40" t="s">
        <v>311</v>
      </c>
      <c r="AA1614" s="33" t="s">
        <v>775</v>
      </c>
      <c r="AB1614" s="95"/>
      <c r="AC1614" s="95"/>
    </row>
    <row r="1615" spans="1:29" ht="14.45" hidden="1" customHeight="1" x14ac:dyDescent="0.25">
      <c r="A1615" s="36" t="str">
        <f>INDEX('Base de données Mono'!C:C,MATCH(B1615,'Base de données Mono'!D:D,0))</f>
        <v>VANNES</v>
      </c>
      <c r="B1615" t="s">
        <v>260</v>
      </c>
      <c r="C1615" s="36" t="str">
        <f>INDEX('Base de données Mono'!B:B,MATCH(B1615,'Base de données Mono'!D:D,0))</f>
        <v>SES8</v>
      </c>
      <c r="D1615" s="36" t="str">
        <f>INDEX('Base de données Mono'!A:A,MATCH(B1615,'Base de données Mono'!D:D,0))</f>
        <v>AD</v>
      </c>
      <c r="E1615" s="37" t="s">
        <v>303</v>
      </c>
      <c r="F1615" s="41">
        <f t="shared" si="446"/>
        <v>18</v>
      </c>
      <c r="G1615" s="41">
        <f t="shared" si="447"/>
        <v>4</v>
      </c>
      <c r="I1615" s="131">
        <f>INDEX('Base de données Mono'!K:K,MATCH(B1615,'Base de données Mono'!D:D,0))</f>
        <v>0.24305555555555555</v>
      </c>
      <c r="J1615" s="131">
        <f>INDEX('Base de données Mono'!L:L,MATCH(B1615,'Base de données Mono'!D:D,0))</f>
        <v>0.83333333333333337</v>
      </c>
      <c r="K1615" s="131">
        <f>INDEX('Base de données Mono'!M:M,MATCH(B1615,'Base de données Mono'!D:D,0))</f>
        <v>0.34722222222222227</v>
      </c>
      <c r="L1615" s="131">
        <f>INDEX('Base de données Mono'!N:N,MATCH(B1615,'Base de données Mono'!D:D,0))</f>
        <v>0.57986111111111105</v>
      </c>
      <c r="M1615" s="33" t="s">
        <v>46</v>
      </c>
      <c r="N1615" s="33">
        <f>IF(AND(E1615="Electricité",M1615="Hiver"),INDEX('Base de données Mono'!E:E,MATCH(B1615,'Base de données Mono'!D:D,0)),IF(AND(E1615="Electricité",M1615="Mi-saison"),INDEX('Base de données Mono'!F:F,MATCH(B1615,'Base de données Mono'!D:D,0)),IF(AND(E1615="Electricité",M1615="Eté"),INDEX('Base de données Mono'!G:G,MATCH(B1615,'Base de données Mono'!D:D,0)),IF(AND(E1615="Gaz",M1615="Hiver"),INDEX('Base de données Mono'!J:J,MATCH(B1615,'Base de données Mono'!D:D,0)),IF(AND(E1615="Gaz",M1615="Mi-saison"),INDEX('Base de données Mono'!#REF!,MATCH(B1615,'Base de données Mono'!D:D,0)),IF(AND(E1615="Gaz",M1615="Eté"),INDEX('Base de données Mono'!#REF!,MATCH(B1615,'Base de données Mono'!D:D,0)),"-"))))))</f>
        <v>45</v>
      </c>
      <c r="O1615" s="123">
        <v>45410</v>
      </c>
      <c r="P1615" s="123">
        <v>45413</v>
      </c>
      <c r="Q1615" s="34">
        <v>70</v>
      </c>
      <c r="R1615" s="33">
        <f t="shared" si="448"/>
        <v>25</v>
      </c>
      <c r="S1615" s="34">
        <v>0.5</v>
      </c>
      <c r="T1615" s="34">
        <f t="shared" si="432"/>
        <v>3</v>
      </c>
      <c r="U1615" s="33">
        <f t="shared" si="449"/>
        <v>37.5</v>
      </c>
      <c r="V1615" s="38" t="s">
        <v>827</v>
      </c>
      <c r="W1615" s="39">
        <f t="shared" si="450"/>
        <v>0.55555555555555558</v>
      </c>
      <c r="X1615" s="40" t="s">
        <v>304</v>
      </c>
      <c r="Y1615" s="40" t="s">
        <v>284</v>
      </c>
      <c r="Z1615" s="40" t="s">
        <v>307</v>
      </c>
      <c r="AA1615" s="33" t="s">
        <v>414</v>
      </c>
      <c r="AB1615" s="95"/>
      <c r="AC1615" s="95"/>
    </row>
    <row r="1616" spans="1:29" ht="14.45" hidden="1" customHeight="1" x14ac:dyDescent="0.25">
      <c r="A1616" s="36" t="str">
        <f>INDEX('Base de données Mono'!C:C,MATCH(B1616,'Base de données Mono'!D:D,0))</f>
        <v>ASNIERES MARCHE</v>
      </c>
      <c r="B1616" t="s">
        <v>5</v>
      </c>
      <c r="C1616" s="36" t="str">
        <f>INDEX('Base de données Mono'!B:B,MATCH(B1616,'Base de données Mono'!D:D,0))</f>
        <v>SES8</v>
      </c>
      <c r="D1616" s="36" t="str">
        <f>INDEX('Base de données Mono'!A:A,MATCH(B1616,'Base de données Mono'!D:D,0))</f>
        <v>AD</v>
      </c>
      <c r="E1616" s="37" t="s">
        <v>303</v>
      </c>
      <c r="F1616" s="41">
        <f t="shared" si="446"/>
        <v>18</v>
      </c>
      <c r="G1616" s="41">
        <f t="shared" si="447"/>
        <v>4</v>
      </c>
      <c r="I1616" s="131">
        <f>INDEX('Base de données Mono'!K:K,MATCH(B1616,'Base de données Mono'!D:D,0))</f>
        <v>0.20833333333333334</v>
      </c>
      <c r="J1616" s="131">
        <f>INDEX('Base de données Mono'!L:L,MATCH(B1616,'Base de données Mono'!D:D,0))</f>
        <v>0.83333333333333337</v>
      </c>
      <c r="K1616" s="131">
        <f>INDEX('Base de données Mono'!M:M,MATCH(B1616,'Base de données Mono'!D:D,0))</f>
        <v>0.25</v>
      </c>
      <c r="L1616" s="131">
        <f>INDEX('Base de données Mono'!N:N,MATCH(B1616,'Base de données Mono'!D:D,0))</f>
        <v>0.79166666666666663</v>
      </c>
      <c r="M1616" s="33" t="s">
        <v>46</v>
      </c>
      <c r="N1616" s="33">
        <f>IF(AND(E1616="Electricité",M1616="Hiver"),INDEX('Base de données Mono'!E:E,MATCH(B1616,'Base de données Mono'!D:D,0)),IF(AND(E1616="Electricité",M1616="Mi-saison"),INDEX('Base de données Mono'!F:F,MATCH(B1616,'Base de données Mono'!D:D,0)),IF(AND(E1616="Electricité",M1616="Eté"),INDEX('Base de données Mono'!G:G,MATCH(B1616,'Base de données Mono'!D:D,0)),IF(AND(E1616="Gaz",M1616="Hiver"),INDEX('Base de données Mono'!J:J,MATCH(B1616,'Base de données Mono'!D:D,0)),IF(AND(E1616="Gaz",M1616="Mi-saison"),INDEX('Base de données Mono'!#REF!,MATCH(B1616,'Base de données Mono'!D:D,0)),IF(AND(E1616="Gaz",M1616="Eté"),INDEX('Base de données Mono'!#REF!,MATCH(B1616,'Base de données Mono'!D:D,0)),"-"))))))</f>
        <v>45</v>
      </c>
      <c r="O1616" s="123">
        <v>45411</v>
      </c>
      <c r="P1616" s="123">
        <v>45413</v>
      </c>
      <c r="Q1616" s="34">
        <v>80</v>
      </c>
      <c r="R1616" s="33">
        <f t="shared" si="448"/>
        <v>35</v>
      </c>
      <c r="S1616" s="34">
        <v>0.8</v>
      </c>
      <c r="T1616" s="34">
        <f t="shared" si="432"/>
        <v>2</v>
      </c>
      <c r="U1616" s="33">
        <f t="shared" si="449"/>
        <v>56</v>
      </c>
      <c r="V1616" s="38" t="s">
        <v>827</v>
      </c>
      <c r="W1616" s="39">
        <f t="shared" si="450"/>
        <v>0.77777777777777779</v>
      </c>
      <c r="X1616" s="40" t="s">
        <v>304</v>
      </c>
      <c r="Y1616" s="40" t="s">
        <v>284</v>
      </c>
      <c r="Z1616" s="40" t="s">
        <v>307</v>
      </c>
      <c r="AA1616" s="33" t="s">
        <v>313</v>
      </c>
      <c r="AB1616" s="95"/>
      <c r="AC1616" s="95"/>
    </row>
    <row r="1617" spans="1:29" ht="14.45" hidden="1" customHeight="1" x14ac:dyDescent="0.25">
      <c r="A1617" s="36" t="str">
        <f>INDEX('Base de données Mono'!C:C,MATCH(B1617,'Base de données Mono'!D:D,0))</f>
        <v>VINCI COURBEVOIE</v>
      </c>
      <c r="B1617" t="s">
        <v>279</v>
      </c>
      <c r="C1617" s="36" t="str">
        <f>INDEX('Base de données Mono'!B:B,MATCH(B1617,'Base de données Mono'!D:D,0))</f>
        <v>SES8</v>
      </c>
      <c r="D1617" s="36" t="str">
        <f>INDEX('Base de données Mono'!A:A,MATCH(B1617,'Base de données Mono'!D:D,0))</f>
        <v>AD</v>
      </c>
      <c r="E1617" s="37" t="s">
        <v>303</v>
      </c>
      <c r="F1617" s="41">
        <f t="shared" si="446"/>
        <v>18</v>
      </c>
      <c r="G1617" s="41">
        <f t="shared" si="447"/>
        <v>4</v>
      </c>
      <c r="I1617" s="131">
        <f>INDEX('Base de données Mono'!K:K,MATCH(B1617,'Base de données Mono'!D:D,0))</f>
        <v>0.25</v>
      </c>
      <c r="J1617" s="131">
        <f>INDEX('Base de données Mono'!L:L,MATCH(B1617,'Base de données Mono'!D:D,0))</f>
        <v>0.91666666666666663</v>
      </c>
      <c r="K1617" s="131">
        <f>INDEX('Base de données Mono'!M:M,MATCH(B1617,'Base de données Mono'!D:D,0))</f>
        <v>0.27777777777777779</v>
      </c>
      <c r="L1617" s="131">
        <f>INDEX('Base de données Mono'!N:N,MATCH(B1617,'Base de données Mono'!D:D,0))</f>
        <v>0.5625</v>
      </c>
      <c r="M1617" s="33" t="s">
        <v>46</v>
      </c>
      <c r="N1617" s="33">
        <f>IF(AND(E1617="Electricité",M1617="Hiver"),INDEX('Base de données Mono'!E:E,MATCH(B1617,'Base de données Mono'!D:D,0)),IF(AND(E1617="Electricité",M1617="Mi-saison"),INDEX('Base de données Mono'!F:F,MATCH(B1617,'Base de données Mono'!D:D,0)),IF(AND(E1617="Electricité",M1617="Eté"),INDEX('Base de données Mono'!G:G,MATCH(B1617,'Base de données Mono'!D:D,0)),IF(AND(E1617="Gaz",M1617="Hiver"),INDEX('Base de données Mono'!J:J,MATCH(B1617,'Base de données Mono'!D:D,0)),IF(AND(E1617="Gaz",M1617="Mi-saison"),INDEX('Base de données Mono'!#REF!,MATCH(B1617,'Base de données Mono'!D:D,0)),IF(AND(E1617="Gaz",M1617="Eté"),INDEX('Base de données Mono'!#REF!,MATCH(B1617,'Base de données Mono'!D:D,0)),"-"))))))</f>
        <v>75</v>
      </c>
      <c r="O1617" s="123">
        <v>45410</v>
      </c>
      <c r="P1617" s="123">
        <v>45413</v>
      </c>
      <c r="Q1617" s="34">
        <v>90</v>
      </c>
      <c r="R1617" s="33">
        <f t="shared" si="448"/>
        <v>15</v>
      </c>
      <c r="S1617" s="34">
        <v>2.5</v>
      </c>
      <c r="T1617" s="34">
        <f t="shared" si="432"/>
        <v>3</v>
      </c>
      <c r="U1617" s="33">
        <f t="shared" si="449"/>
        <v>112.5</v>
      </c>
      <c r="V1617" s="38" t="s">
        <v>827</v>
      </c>
      <c r="W1617" s="39">
        <f t="shared" si="450"/>
        <v>0.2</v>
      </c>
      <c r="X1617" s="40" t="s">
        <v>304</v>
      </c>
      <c r="Y1617" s="40" t="s">
        <v>284</v>
      </c>
      <c r="Z1617" s="40" t="s">
        <v>305</v>
      </c>
      <c r="AA1617" s="33" t="s">
        <v>771</v>
      </c>
      <c r="AB1617" s="95"/>
      <c r="AC1617" s="95"/>
    </row>
    <row r="1618" spans="1:29" ht="14.45" hidden="1" customHeight="1" x14ac:dyDescent="0.25">
      <c r="A1618" s="36" t="str">
        <f>INDEX('Base de données Mono'!C:C,MATCH(B1618,'Base de données Mono'!D:D,0))</f>
        <v>RENNES COLOMBIA</v>
      </c>
      <c r="B1618" t="s">
        <v>30</v>
      </c>
      <c r="C1618" s="36" t="str">
        <f>INDEX('Base de données Mono'!B:B,MATCH(B1618,'Base de données Mono'!D:D,0))</f>
        <v>SES8</v>
      </c>
      <c r="D1618" s="36" t="str">
        <f>INDEX('Base de données Mono'!A:A,MATCH(B1618,'Base de données Mono'!D:D,0))</f>
        <v>AD</v>
      </c>
      <c r="E1618" s="37" t="s">
        <v>303</v>
      </c>
      <c r="F1618" s="41">
        <f t="shared" si="446"/>
        <v>18</v>
      </c>
      <c r="G1618" s="41">
        <f t="shared" si="447"/>
        <v>4</v>
      </c>
      <c r="I1618" s="131">
        <f>INDEX('Base de données Mono'!K:K,MATCH(B1618,'Base de données Mono'!D:D,0))</f>
        <v>0.22916666666666666</v>
      </c>
      <c r="J1618" s="131">
        <f>INDEX('Base de données Mono'!L:L,MATCH(B1618,'Base de données Mono'!D:D,0))</f>
        <v>0.86458333333333337</v>
      </c>
      <c r="K1618" s="131" t="str">
        <f>INDEX('Base de données Mono'!M:M,MATCH(B1618,'Base de données Mono'!D:D,0))</f>
        <v>-</v>
      </c>
      <c r="L1618" s="131" t="str">
        <f>INDEX('Base de données Mono'!N:N,MATCH(B1618,'Base de données Mono'!D:D,0))</f>
        <v>-</v>
      </c>
      <c r="M1618" s="33" t="s">
        <v>46</v>
      </c>
      <c r="N1618" s="33">
        <f>IF(AND(E1618="Electricité",M1618="Hiver"),INDEX('Base de données Mono'!E:E,MATCH(B1618,'Base de données Mono'!D:D,0)),IF(AND(E1618="Electricité",M1618="Mi-saison"),INDEX('Base de données Mono'!F:F,MATCH(B1618,'Base de données Mono'!D:D,0)),IF(AND(E1618="Electricité",M1618="Eté"),INDEX('Base de données Mono'!G:G,MATCH(B1618,'Base de données Mono'!D:D,0)),IF(AND(E1618="Gaz",M1618="Hiver"),INDEX('Base de données Mono'!J:J,MATCH(B1618,'Base de données Mono'!D:D,0)),IF(AND(E1618="Gaz",M1618="Mi-saison"),INDEX('Base de données Mono'!#REF!,MATCH(B1618,'Base de données Mono'!D:D,0)),IF(AND(E1618="Gaz",M1618="Eté"),INDEX('Base de données Mono'!#REF!,MATCH(B1618,'Base de données Mono'!D:D,0)),"-"))))))</f>
        <v>60</v>
      </c>
      <c r="O1618" s="123">
        <v>45410</v>
      </c>
      <c r="P1618" s="123">
        <v>45412</v>
      </c>
      <c r="Q1618" s="34">
        <v>65</v>
      </c>
      <c r="R1618" s="33">
        <f t="shared" si="448"/>
        <v>5</v>
      </c>
      <c r="S1618" s="34">
        <v>8.5</v>
      </c>
      <c r="T1618" s="34">
        <f t="shared" ref="T1618:T1664" si="451">P1618-O1618</f>
        <v>2</v>
      </c>
      <c r="U1618" s="33">
        <f t="shared" si="449"/>
        <v>85</v>
      </c>
      <c r="V1618" s="38" t="s">
        <v>827</v>
      </c>
      <c r="W1618" s="39">
        <f t="shared" si="450"/>
        <v>8.3333333333333329E-2</v>
      </c>
      <c r="X1618" s="40" t="s">
        <v>304</v>
      </c>
      <c r="Y1618" s="40" t="s">
        <v>284</v>
      </c>
      <c r="Z1618" s="40" t="s">
        <v>305</v>
      </c>
      <c r="AA1618" s="33" t="s">
        <v>771</v>
      </c>
      <c r="AB1618" s="95"/>
      <c r="AC1618" s="95"/>
    </row>
    <row r="1619" spans="1:29" ht="14.45" hidden="1" customHeight="1" x14ac:dyDescent="0.25">
      <c r="A1619" s="36" t="str">
        <f>INDEX('Base de données Mono'!C:C,MATCH(B1619,'Base de données Mono'!D:D,0))</f>
        <v>RENNES COLOMBIA</v>
      </c>
      <c r="B1619" t="s">
        <v>30</v>
      </c>
      <c r="C1619" s="36" t="str">
        <f>INDEX('Base de données Mono'!B:B,MATCH(B1619,'Base de données Mono'!D:D,0))</f>
        <v>SES8</v>
      </c>
      <c r="D1619" s="36" t="str">
        <f>INDEX('Base de données Mono'!A:A,MATCH(B1619,'Base de données Mono'!D:D,0))</f>
        <v>AD</v>
      </c>
      <c r="E1619" s="37" t="s">
        <v>303</v>
      </c>
      <c r="F1619" s="41">
        <f t="shared" si="446"/>
        <v>18</v>
      </c>
      <c r="G1619" s="41">
        <f t="shared" si="447"/>
        <v>4</v>
      </c>
      <c r="I1619" s="131">
        <f>INDEX('Base de données Mono'!K:K,MATCH(B1619,'Base de données Mono'!D:D,0))</f>
        <v>0.22916666666666666</v>
      </c>
      <c r="J1619" s="131">
        <f>INDEX('Base de données Mono'!L:L,MATCH(B1619,'Base de données Mono'!D:D,0))</f>
        <v>0.86458333333333337</v>
      </c>
      <c r="K1619" s="131" t="str">
        <f>INDEX('Base de données Mono'!M:M,MATCH(B1619,'Base de données Mono'!D:D,0))</f>
        <v>-</v>
      </c>
      <c r="L1619" s="131" t="str">
        <f>INDEX('Base de données Mono'!N:N,MATCH(B1619,'Base de données Mono'!D:D,0))</f>
        <v>-</v>
      </c>
      <c r="M1619" s="33" t="s">
        <v>46</v>
      </c>
      <c r="N1619" s="33">
        <f>IF(AND(E1619="Electricité",M1619="Hiver"),INDEX('Base de données Mono'!E:E,MATCH(B1619,'Base de données Mono'!D:D,0)),IF(AND(E1619="Electricité",M1619="Mi-saison"),INDEX('Base de données Mono'!F:F,MATCH(B1619,'Base de données Mono'!D:D,0)),IF(AND(E1619="Electricité",M1619="Eté"),INDEX('Base de données Mono'!G:G,MATCH(B1619,'Base de données Mono'!D:D,0)),IF(AND(E1619="Gaz",M1619="Hiver"),INDEX('Base de données Mono'!J:J,MATCH(B1619,'Base de données Mono'!D:D,0)),IF(AND(E1619="Gaz",M1619="Mi-saison"),INDEX('Base de données Mono'!#REF!,MATCH(B1619,'Base de données Mono'!D:D,0)),IF(AND(E1619="Gaz",M1619="Eté"),INDEX('Base de données Mono'!#REF!,MATCH(B1619,'Base de données Mono'!D:D,0)),"-"))))))</f>
        <v>60</v>
      </c>
      <c r="O1619" s="123">
        <v>45410</v>
      </c>
      <c r="P1619" s="123">
        <v>45412</v>
      </c>
      <c r="Q1619" s="34">
        <v>90</v>
      </c>
      <c r="R1619" s="33">
        <f t="shared" si="448"/>
        <v>30</v>
      </c>
      <c r="S1619" s="34">
        <v>0.3</v>
      </c>
      <c r="T1619" s="34">
        <f t="shared" si="451"/>
        <v>2</v>
      </c>
      <c r="U1619" s="33">
        <f t="shared" si="449"/>
        <v>18</v>
      </c>
      <c r="V1619" s="38" t="s">
        <v>827</v>
      </c>
      <c r="W1619" s="39">
        <f t="shared" si="450"/>
        <v>0.5</v>
      </c>
      <c r="X1619" s="40" t="s">
        <v>304</v>
      </c>
      <c r="Y1619" s="40" t="s">
        <v>284</v>
      </c>
      <c r="Z1619" s="40" t="s">
        <v>307</v>
      </c>
      <c r="AA1619" s="33" t="s">
        <v>414</v>
      </c>
      <c r="AB1619" s="95"/>
      <c r="AC1619" s="95"/>
    </row>
    <row r="1620" spans="1:29" ht="14.45" hidden="1" customHeight="1" x14ac:dyDescent="0.25">
      <c r="A1620" s="36" t="str">
        <f>INDEX('Base de données Mono'!C:C,MATCH(B1620,'Base de données Mono'!D:D,0))</f>
        <v>RENNES COLOMBIA</v>
      </c>
      <c r="B1620" t="s">
        <v>30</v>
      </c>
      <c r="C1620" s="36" t="str">
        <f>INDEX('Base de données Mono'!B:B,MATCH(B1620,'Base de données Mono'!D:D,0))</f>
        <v>SES8</v>
      </c>
      <c r="D1620" s="36" t="str">
        <f>INDEX('Base de données Mono'!A:A,MATCH(B1620,'Base de données Mono'!D:D,0))</f>
        <v>AD</v>
      </c>
      <c r="E1620" s="37" t="s">
        <v>303</v>
      </c>
      <c r="F1620" s="41">
        <f t="shared" si="446"/>
        <v>18</v>
      </c>
      <c r="G1620" s="41">
        <f t="shared" si="447"/>
        <v>4</v>
      </c>
      <c r="I1620" s="131">
        <f>INDEX('Base de données Mono'!K:K,MATCH(B1620,'Base de données Mono'!D:D,0))</f>
        <v>0.22916666666666666</v>
      </c>
      <c r="J1620" s="131">
        <f>INDEX('Base de données Mono'!L:L,MATCH(B1620,'Base de données Mono'!D:D,0))</f>
        <v>0.86458333333333337</v>
      </c>
      <c r="K1620" s="131" t="str">
        <f>INDEX('Base de données Mono'!M:M,MATCH(B1620,'Base de données Mono'!D:D,0))</f>
        <v>-</v>
      </c>
      <c r="L1620" s="131" t="str">
        <f>INDEX('Base de données Mono'!N:N,MATCH(B1620,'Base de données Mono'!D:D,0))</f>
        <v>-</v>
      </c>
      <c r="M1620" s="33" t="s">
        <v>46</v>
      </c>
      <c r="N1620" s="33">
        <f>IF(AND(E1620="Electricité",M1620="Hiver"),INDEX('Base de données Mono'!E:E,MATCH(B1620,'Base de données Mono'!D:D,0)),IF(AND(E1620="Electricité",M1620="Mi-saison"),INDEX('Base de données Mono'!F:F,MATCH(B1620,'Base de données Mono'!D:D,0)),IF(AND(E1620="Electricité",M1620="Eté"),INDEX('Base de données Mono'!G:G,MATCH(B1620,'Base de données Mono'!D:D,0)),IF(AND(E1620="Gaz",M1620="Hiver"),INDEX('Base de données Mono'!J:J,MATCH(B1620,'Base de données Mono'!D:D,0)),IF(AND(E1620="Gaz",M1620="Mi-saison"),INDEX('Base de données Mono'!#REF!,MATCH(B1620,'Base de données Mono'!D:D,0)),IF(AND(E1620="Gaz",M1620="Eté"),INDEX('Base de données Mono'!#REF!,MATCH(B1620,'Base de données Mono'!D:D,0)),"-"))))))</f>
        <v>60</v>
      </c>
      <c r="O1620" s="123">
        <v>45412</v>
      </c>
      <c r="P1620" s="123">
        <v>45413</v>
      </c>
      <c r="Q1620" s="34">
        <v>70</v>
      </c>
      <c r="R1620" s="33">
        <f t="shared" si="448"/>
        <v>10</v>
      </c>
      <c r="S1620" s="34">
        <v>8</v>
      </c>
      <c r="T1620" s="34">
        <f t="shared" si="451"/>
        <v>1</v>
      </c>
      <c r="U1620" s="33">
        <f t="shared" si="449"/>
        <v>80</v>
      </c>
      <c r="V1620" s="38" t="s">
        <v>827</v>
      </c>
      <c r="W1620" s="39">
        <f t="shared" si="450"/>
        <v>0.16666666666666666</v>
      </c>
      <c r="X1620" s="40" t="s">
        <v>304</v>
      </c>
      <c r="Y1620" s="40" t="s">
        <v>284</v>
      </c>
      <c r="Z1620" s="40" t="s">
        <v>305</v>
      </c>
      <c r="AA1620" s="33" t="s">
        <v>771</v>
      </c>
      <c r="AB1620" s="95"/>
      <c r="AC1620" s="95"/>
    </row>
    <row r="1621" spans="1:29" ht="14.45" hidden="1" customHeight="1" x14ac:dyDescent="0.25">
      <c r="A1621" s="36" t="str">
        <f>INDEX('Base de données Mono'!C:C,MATCH(B1621,'Base de données Mono'!D:D,0))</f>
        <v>COLOMBES</v>
      </c>
      <c r="B1621" t="s">
        <v>14</v>
      </c>
      <c r="C1621" s="36" t="str">
        <f>INDEX('Base de données Mono'!B:B,MATCH(B1621,'Base de données Mono'!D:D,0))</f>
        <v>SES8</v>
      </c>
      <c r="D1621" s="36" t="str">
        <f>INDEX('Base de données Mono'!A:A,MATCH(B1621,'Base de données Mono'!D:D,0))</f>
        <v>AD</v>
      </c>
      <c r="E1621" s="37" t="s">
        <v>303</v>
      </c>
      <c r="F1621" s="41">
        <f t="shared" si="446"/>
        <v>18</v>
      </c>
      <c r="G1621" s="41">
        <f t="shared" si="447"/>
        <v>4</v>
      </c>
      <c r="I1621" s="131">
        <f>INDEX('Base de données Mono'!K:K,MATCH(B1621,'Base de données Mono'!D:D,0))</f>
        <v>0.24305555555555555</v>
      </c>
      <c r="J1621" s="131">
        <f>INDEX('Base de données Mono'!L:L,MATCH(B1621,'Base de données Mono'!D:D,0))</f>
        <v>0.89583333333333337</v>
      </c>
      <c r="K1621" s="131">
        <f>INDEX('Base de données Mono'!M:M,MATCH(B1621,'Base de données Mono'!D:D,0))</f>
        <v>0.27083333333333331</v>
      </c>
      <c r="L1621" s="131">
        <f>INDEX('Base de données Mono'!N:N,MATCH(B1621,'Base de données Mono'!D:D,0))</f>
        <v>0.55902777777777779</v>
      </c>
      <c r="M1621" s="33" t="s">
        <v>46</v>
      </c>
      <c r="N1621" s="33">
        <f>IF(AND(E1621="Electricité",M1621="Hiver"),INDEX('Base de données Mono'!E:E,MATCH(B1621,'Base de données Mono'!D:D,0)),IF(AND(E1621="Electricité",M1621="Mi-saison"),INDEX('Base de données Mono'!F:F,MATCH(B1621,'Base de données Mono'!D:D,0)),IF(AND(E1621="Electricité",M1621="Eté"),INDEX('Base de données Mono'!G:G,MATCH(B1621,'Base de données Mono'!D:D,0)),IF(AND(E1621="Gaz",M1621="Hiver"),INDEX('Base de données Mono'!J:J,MATCH(B1621,'Base de données Mono'!D:D,0)),IF(AND(E1621="Gaz",M1621="Mi-saison"),INDEX('Base de données Mono'!#REF!,MATCH(B1621,'Base de données Mono'!D:D,0)),IF(AND(E1621="Gaz",M1621="Eté"),INDEX('Base de données Mono'!#REF!,MATCH(B1621,'Base de données Mono'!D:D,0)),"-"))))))</f>
        <v>75</v>
      </c>
      <c r="O1621" s="123">
        <v>45410</v>
      </c>
      <c r="P1621" s="123">
        <v>45412</v>
      </c>
      <c r="Q1621" s="34">
        <v>120</v>
      </c>
      <c r="R1621" s="33">
        <f t="shared" si="448"/>
        <v>45</v>
      </c>
      <c r="S1621" s="34">
        <v>8.3000000000000007</v>
      </c>
      <c r="T1621" s="34">
        <f t="shared" si="451"/>
        <v>2</v>
      </c>
      <c r="U1621" s="33">
        <f t="shared" si="449"/>
        <v>747.00000000000011</v>
      </c>
      <c r="V1621" s="38" t="s">
        <v>827</v>
      </c>
      <c r="W1621" s="39">
        <f t="shared" si="450"/>
        <v>0.6</v>
      </c>
      <c r="X1621" s="40" t="s">
        <v>304</v>
      </c>
      <c r="Y1621" s="40" t="s">
        <v>284</v>
      </c>
      <c r="Z1621" s="40" t="s">
        <v>311</v>
      </c>
      <c r="AA1621" s="33" t="s">
        <v>775</v>
      </c>
      <c r="AB1621" s="95"/>
      <c r="AC1621" s="95"/>
    </row>
    <row r="1622" spans="1:29" ht="14.45" hidden="1" customHeight="1" x14ac:dyDescent="0.25">
      <c r="A1622" s="36" t="str">
        <f>INDEX('Base de données Mono'!C:C,MATCH(B1622,'Base de données Mono'!D:D,0))</f>
        <v>COLOMBES</v>
      </c>
      <c r="B1622" t="s">
        <v>14</v>
      </c>
      <c r="C1622" s="36" t="str">
        <f>INDEX('Base de données Mono'!B:B,MATCH(B1622,'Base de données Mono'!D:D,0))</f>
        <v>SES8</v>
      </c>
      <c r="D1622" s="36" t="str">
        <f>INDEX('Base de données Mono'!A:A,MATCH(B1622,'Base de données Mono'!D:D,0))</f>
        <v>AD</v>
      </c>
      <c r="E1622" s="37" t="s">
        <v>303</v>
      </c>
      <c r="F1622" s="41">
        <f t="shared" si="446"/>
        <v>18</v>
      </c>
      <c r="G1622" s="41">
        <f t="shared" si="447"/>
        <v>4</v>
      </c>
      <c r="I1622" s="131">
        <f>INDEX('Base de données Mono'!K:K,MATCH(B1622,'Base de données Mono'!D:D,0))</f>
        <v>0.24305555555555555</v>
      </c>
      <c r="J1622" s="131">
        <f>INDEX('Base de données Mono'!L:L,MATCH(B1622,'Base de données Mono'!D:D,0))</f>
        <v>0.89583333333333337</v>
      </c>
      <c r="K1622" s="131">
        <f>INDEX('Base de données Mono'!M:M,MATCH(B1622,'Base de données Mono'!D:D,0))</f>
        <v>0.27083333333333331</v>
      </c>
      <c r="L1622" s="131">
        <f>INDEX('Base de données Mono'!N:N,MATCH(B1622,'Base de données Mono'!D:D,0))</f>
        <v>0.55902777777777779</v>
      </c>
      <c r="M1622" s="33" t="s">
        <v>46</v>
      </c>
      <c r="N1622" s="33">
        <f>IF(AND(E1622="Electricité",M1622="Hiver"),INDEX('Base de données Mono'!E:E,MATCH(B1622,'Base de données Mono'!D:D,0)),IF(AND(E1622="Electricité",M1622="Mi-saison"),INDEX('Base de données Mono'!F:F,MATCH(B1622,'Base de données Mono'!D:D,0)),IF(AND(E1622="Electricité",M1622="Eté"),INDEX('Base de données Mono'!G:G,MATCH(B1622,'Base de données Mono'!D:D,0)),IF(AND(E1622="Gaz",M1622="Hiver"),INDEX('Base de données Mono'!J:J,MATCH(B1622,'Base de données Mono'!D:D,0)),IF(AND(E1622="Gaz",M1622="Mi-saison"),INDEX('Base de données Mono'!#REF!,MATCH(B1622,'Base de données Mono'!D:D,0)),IF(AND(E1622="Gaz",M1622="Eté"),INDEX('Base de données Mono'!#REF!,MATCH(B1622,'Base de données Mono'!D:D,0)),"-"))))))</f>
        <v>75</v>
      </c>
      <c r="O1622" s="123">
        <v>45412</v>
      </c>
      <c r="P1622" s="123">
        <v>45413</v>
      </c>
      <c r="Q1622" s="34">
        <v>85</v>
      </c>
      <c r="R1622" s="33">
        <f t="shared" si="448"/>
        <v>10</v>
      </c>
      <c r="S1622" s="34">
        <v>1</v>
      </c>
      <c r="T1622" s="34">
        <f t="shared" si="451"/>
        <v>1</v>
      </c>
      <c r="U1622" s="33">
        <f t="shared" si="449"/>
        <v>10</v>
      </c>
      <c r="V1622" s="38" t="s">
        <v>827</v>
      </c>
      <c r="W1622" s="39">
        <f t="shared" si="450"/>
        <v>0.13333333333333333</v>
      </c>
      <c r="X1622" s="40" t="s">
        <v>304</v>
      </c>
      <c r="Y1622" s="40" t="s">
        <v>284</v>
      </c>
      <c r="Z1622" s="40" t="s">
        <v>305</v>
      </c>
      <c r="AA1622" s="33" t="s">
        <v>771</v>
      </c>
      <c r="AB1622" s="95"/>
      <c r="AC1622" s="95"/>
    </row>
    <row r="1623" spans="1:29" ht="14.45" hidden="1" customHeight="1" x14ac:dyDescent="0.25">
      <c r="A1623" s="36" t="str">
        <f>INDEX('Base de données Mono'!C:C,MATCH(B1623,'Base de données Mono'!D:D,0))</f>
        <v>BOULOGNE LES PASSAGES</v>
      </c>
      <c r="B1623" t="s">
        <v>7</v>
      </c>
      <c r="C1623" s="36" t="str">
        <f>INDEX('Base de données Mono'!B:B,MATCH(B1623,'Base de données Mono'!D:D,0))</f>
        <v>SES8</v>
      </c>
      <c r="D1623" s="36" t="str">
        <f>INDEX('Base de données Mono'!A:A,MATCH(B1623,'Base de données Mono'!D:D,0))</f>
        <v>AD</v>
      </c>
      <c r="E1623" s="37" t="s">
        <v>303</v>
      </c>
      <c r="F1623" s="41">
        <f t="shared" si="446"/>
        <v>18</v>
      </c>
      <c r="G1623" s="41">
        <f t="shared" si="447"/>
        <v>4</v>
      </c>
      <c r="I1623" s="131">
        <f>INDEX('Base de données Mono'!K:K,MATCH(B1623,'Base de données Mono'!D:D,0))</f>
        <v>0.20833333333333334</v>
      </c>
      <c r="J1623" s="131">
        <f>INDEX('Base de données Mono'!L:L,MATCH(B1623,'Base de données Mono'!D:D,0))</f>
        <v>0.85416666666666663</v>
      </c>
      <c r="K1623" s="131" t="str">
        <f>INDEX('Base de données Mono'!M:M,MATCH(B1623,'Base de données Mono'!D:D,0))</f>
        <v>-</v>
      </c>
      <c r="L1623" s="131" t="str">
        <f>INDEX('Base de données Mono'!N:N,MATCH(B1623,'Base de données Mono'!D:D,0))</f>
        <v>-</v>
      </c>
      <c r="M1623" s="33" t="s">
        <v>46</v>
      </c>
      <c r="N1623" s="33">
        <f>IF(AND(E1623="Electricité",M1623="Hiver"),INDEX('Base de données Mono'!E:E,MATCH(B1623,'Base de données Mono'!D:D,0)),IF(AND(E1623="Electricité",M1623="Mi-saison"),INDEX('Base de données Mono'!F:F,MATCH(B1623,'Base de données Mono'!D:D,0)),IF(AND(E1623="Electricité",M1623="Eté"),INDEX('Base de données Mono'!G:G,MATCH(B1623,'Base de données Mono'!D:D,0)),IF(AND(E1623="Gaz",M1623="Hiver"),INDEX('Base de données Mono'!J:J,MATCH(B1623,'Base de données Mono'!D:D,0)),IF(AND(E1623="Gaz",M1623="Mi-saison"),INDEX('Base de données Mono'!#REF!,MATCH(B1623,'Base de données Mono'!D:D,0)),IF(AND(E1623="Gaz",M1623="Eté"),INDEX('Base de données Mono'!#REF!,MATCH(B1623,'Base de données Mono'!D:D,0)),"-"))))))</f>
        <v>95</v>
      </c>
      <c r="O1623" s="123">
        <v>45410</v>
      </c>
      <c r="P1623" s="123">
        <v>45413</v>
      </c>
      <c r="Q1623" s="34">
        <v>160</v>
      </c>
      <c r="R1623" s="33">
        <f t="shared" si="448"/>
        <v>65</v>
      </c>
      <c r="S1623" s="34">
        <v>0.8</v>
      </c>
      <c r="T1623" s="34">
        <f t="shared" si="451"/>
        <v>3</v>
      </c>
      <c r="U1623" s="33">
        <f t="shared" si="449"/>
        <v>156</v>
      </c>
      <c r="V1623" s="38" t="s">
        <v>827</v>
      </c>
      <c r="W1623" s="39">
        <f t="shared" si="450"/>
        <v>0.68421052631578949</v>
      </c>
      <c r="X1623" s="40" t="s">
        <v>304</v>
      </c>
      <c r="Y1623" s="40" t="s">
        <v>284</v>
      </c>
      <c r="Z1623" s="40" t="s">
        <v>307</v>
      </c>
      <c r="AA1623" s="33" t="s">
        <v>313</v>
      </c>
      <c r="AB1623" s="95"/>
      <c r="AC1623" s="95"/>
    </row>
    <row r="1624" spans="1:29" ht="14.45" hidden="1" customHeight="1" x14ac:dyDescent="0.25">
      <c r="A1624" s="36" t="str">
        <f>INDEX('Base de données Mono'!C:C,MATCH(B1624,'Base de données Mono'!D:D,0))</f>
        <v>BOULOGNE LES PASSAGES</v>
      </c>
      <c r="B1624" t="s">
        <v>7</v>
      </c>
      <c r="C1624" s="36" t="str">
        <f>INDEX('Base de données Mono'!B:B,MATCH(B1624,'Base de données Mono'!D:D,0))</f>
        <v>SES8</v>
      </c>
      <c r="D1624" s="36" t="str">
        <f>INDEX('Base de données Mono'!A:A,MATCH(B1624,'Base de données Mono'!D:D,0))</f>
        <v>AD</v>
      </c>
      <c r="E1624" s="37" t="s">
        <v>303</v>
      </c>
      <c r="F1624" s="41">
        <f t="shared" si="446"/>
        <v>18</v>
      </c>
      <c r="G1624" s="41">
        <f t="shared" si="447"/>
        <v>4</v>
      </c>
      <c r="I1624" s="131">
        <f>INDEX('Base de données Mono'!K:K,MATCH(B1624,'Base de données Mono'!D:D,0))</f>
        <v>0.20833333333333334</v>
      </c>
      <c r="J1624" s="131">
        <f>INDEX('Base de données Mono'!L:L,MATCH(B1624,'Base de données Mono'!D:D,0))</f>
        <v>0.85416666666666663</v>
      </c>
      <c r="K1624" s="131" t="str">
        <f>INDEX('Base de données Mono'!M:M,MATCH(B1624,'Base de données Mono'!D:D,0))</f>
        <v>-</v>
      </c>
      <c r="L1624" s="131" t="str">
        <f>INDEX('Base de données Mono'!N:N,MATCH(B1624,'Base de données Mono'!D:D,0))</f>
        <v>-</v>
      </c>
      <c r="M1624" s="33" t="s">
        <v>46</v>
      </c>
      <c r="N1624" s="33">
        <f>IF(AND(E1624="Electricité",M1624="Hiver"),INDEX('Base de données Mono'!E:E,MATCH(B1624,'Base de données Mono'!D:D,0)),IF(AND(E1624="Electricité",M1624="Mi-saison"),INDEX('Base de données Mono'!F:F,MATCH(B1624,'Base de données Mono'!D:D,0)),IF(AND(E1624="Electricité",M1624="Eté"),INDEX('Base de données Mono'!G:G,MATCH(B1624,'Base de données Mono'!D:D,0)),IF(AND(E1624="Gaz",M1624="Hiver"),INDEX('Base de données Mono'!J:J,MATCH(B1624,'Base de données Mono'!D:D,0)),IF(AND(E1624="Gaz",M1624="Mi-saison"),INDEX('Base de données Mono'!#REF!,MATCH(B1624,'Base de données Mono'!D:D,0)),IF(AND(E1624="Gaz",M1624="Eté"),INDEX('Base de données Mono'!#REF!,MATCH(B1624,'Base de données Mono'!D:D,0)),"-"))))))</f>
        <v>95</v>
      </c>
      <c r="O1624" s="123">
        <v>45410</v>
      </c>
      <c r="P1624" s="123">
        <v>45413</v>
      </c>
      <c r="Q1624" s="34">
        <v>105</v>
      </c>
      <c r="R1624" s="33">
        <f t="shared" si="448"/>
        <v>10</v>
      </c>
      <c r="S1624" s="34">
        <v>7.7</v>
      </c>
      <c r="T1624" s="34">
        <f t="shared" si="451"/>
        <v>3</v>
      </c>
      <c r="U1624" s="33">
        <f t="shared" si="449"/>
        <v>231</v>
      </c>
      <c r="V1624" s="38" t="s">
        <v>827</v>
      </c>
      <c r="W1624" s="39">
        <f t="shared" si="450"/>
        <v>0.10526315789473684</v>
      </c>
      <c r="X1624" s="40" t="s">
        <v>304</v>
      </c>
      <c r="Y1624" s="40" t="s">
        <v>284</v>
      </c>
      <c r="Z1624" s="40" t="s">
        <v>305</v>
      </c>
      <c r="AA1624" s="33" t="s">
        <v>771</v>
      </c>
      <c r="AB1624" s="95"/>
      <c r="AC1624" s="95"/>
    </row>
    <row r="1625" spans="1:29" ht="14.45" hidden="1" customHeight="1" x14ac:dyDescent="0.25">
      <c r="A1625" s="36" t="str">
        <f>INDEX('Base de données Mono'!C:C,MATCH(B1625,'Base de données Mono'!D:D,0))</f>
        <v>ANNECY COURRIER</v>
      </c>
      <c r="B1625" t="s">
        <v>59</v>
      </c>
      <c r="C1625" s="36" t="str">
        <f>INDEX('Base de données Mono'!B:B,MATCH(B1625,'Base de données Mono'!D:D,0))</f>
        <v>SES8</v>
      </c>
      <c r="D1625" s="36" t="str">
        <f>INDEX('Base de données Mono'!A:A,MATCH(B1625,'Base de données Mono'!D:D,0))</f>
        <v>JG</v>
      </c>
      <c r="E1625" s="37" t="s">
        <v>303</v>
      </c>
      <c r="F1625" s="41">
        <f t="shared" si="446"/>
        <v>18</v>
      </c>
      <c r="G1625" s="41">
        <f t="shared" si="447"/>
        <v>4</v>
      </c>
      <c r="I1625" s="131">
        <f>INDEX('Base de données Mono'!K:K,MATCH(B1625,'Base de données Mono'!D:D,0))</f>
        <v>0.20833333333333334</v>
      </c>
      <c r="J1625" s="131">
        <f>INDEX('Base de données Mono'!L:L,MATCH(B1625,'Base de données Mono'!D:D,0))</f>
        <v>0.83333333333333304</v>
      </c>
      <c r="K1625" s="131" t="str">
        <f>INDEX('Base de données Mono'!M:M,MATCH(B1625,'Base de données Mono'!D:D,0))</f>
        <v>-</v>
      </c>
      <c r="L1625" s="131" t="str">
        <f>INDEX('Base de données Mono'!N:N,MATCH(B1625,'Base de données Mono'!D:D,0))</f>
        <v>-</v>
      </c>
      <c r="M1625" s="33" t="s">
        <v>46</v>
      </c>
      <c r="N1625" s="33">
        <f>IF(AND(E1625="Electricité",M1625="Hiver"),INDEX('Base de données Mono'!E:E,MATCH(B1625,'Base de données Mono'!D:D,0)),IF(AND(E1625="Electricité",M1625="Mi-saison"),INDEX('Base de données Mono'!F:F,MATCH(B1625,'Base de données Mono'!D:D,0)),IF(AND(E1625="Electricité",M1625="Eté"),INDEX('Base de données Mono'!G:G,MATCH(B1625,'Base de données Mono'!D:D,0)),IF(AND(E1625="Gaz",M1625="Hiver"),INDEX('Base de données Mono'!J:J,MATCH(B1625,'Base de données Mono'!D:D,0)),IF(AND(E1625="Gaz",M1625="Mi-saison"),INDEX('Base de données Mono'!#REF!,MATCH(B1625,'Base de données Mono'!D:D,0)),IF(AND(E1625="Gaz",M1625="Eté"),INDEX('Base de données Mono'!#REF!,MATCH(B1625,'Base de données Mono'!D:D,0)),"-"))))))</f>
        <v>110</v>
      </c>
      <c r="O1625" s="123">
        <v>45410</v>
      </c>
      <c r="P1625" s="123">
        <v>45411</v>
      </c>
      <c r="Q1625" s="34">
        <v>150</v>
      </c>
      <c r="R1625" s="33">
        <f t="shared" si="448"/>
        <v>40</v>
      </c>
      <c r="S1625" s="34">
        <v>9</v>
      </c>
      <c r="T1625" s="34">
        <f t="shared" si="451"/>
        <v>1</v>
      </c>
      <c r="U1625" s="33">
        <f t="shared" si="449"/>
        <v>360</v>
      </c>
      <c r="V1625" s="38" t="s">
        <v>827</v>
      </c>
      <c r="W1625" s="39">
        <f t="shared" si="450"/>
        <v>0.36363636363636365</v>
      </c>
      <c r="X1625" s="40" t="s">
        <v>304</v>
      </c>
      <c r="Y1625" s="40" t="s">
        <v>284</v>
      </c>
      <c r="Z1625" s="40" t="s">
        <v>305</v>
      </c>
      <c r="AA1625" s="33" t="s">
        <v>771</v>
      </c>
      <c r="AB1625" s="95"/>
      <c r="AC1625" s="95"/>
    </row>
    <row r="1626" spans="1:29" ht="14.45" hidden="1" customHeight="1" x14ac:dyDescent="0.25">
      <c r="A1626" s="36" t="str">
        <f>INDEX('Base de données Mono'!C:C,MATCH(B1626,'Base de données Mono'!D:D,0))</f>
        <v>ANNECY COURRIER</v>
      </c>
      <c r="B1626" t="s">
        <v>59</v>
      </c>
      <c r="C1626" s="36" t="str">
        <f>INDEX('Base de données Mono'!B:B,MATCH(B1626,'Base de données Mono'!D:D,0))</f>
        <v>SES8</v>
      </c>
      <c r="D1626" s="36" t="str">
        <f>INDEX('Base de données Mono'!A:A,MATCH(B1626,'Base de données Mono'!D:D,0))</f>
        <v>JG</v>
      </c>
      <c r="E1626" s="37" t="s">
        <v>303</v>
      </c>
      <c r="F1626" s="41">
        <f t="shared" si="446"/>
        <v>18</v>
      </c>
      <c r="G1626" s="41">
        <f t="shared" si="447"/>
        <v>4</v>
      </c>
      <c r="I1626" s="131">
        <f>INDEX('Base de données Mono'!K:K,MATCH(B1626,'Base de données Mono'!D:D,0))</f>
        <v>0.20833333333333334</v>
      </c>
      <c r="J1626" s="131">
        <f>INDEX('Base de données Mono'!L:L,MATCH(B1626,'Base de données Mono'!D:D,0))</f>
        <v>0.83333333333333304</v>
      </c>
      <c r="K1626" s="131" t="str">
        <f>INDEX('Base de données Mono'!M:M,MATCH(B1626,'Base de données Mono'!D:D,0))</f>
        <v>-</v>
      </c>
      <c r="L1626" s="131" t="str">
        <f>INDEX('Base de données Mono'!N:N,MATCH(B1626,'Base de données Mono'!D:D,0))</f>
        <v>-</v>
      </c>
      <c r="M1626" s="33" t="s">
        <v>46</v>
      </c>
      <c r="N1626" s="33">
        <f>IF(AND(E1626="Electricité",M1626="Hiver"),INDEX('Base de données Mono'!E:E,MATCH(B1626,'Base de données Mono'!D:D,0)),IF(AND(E1626="Electricité",M1626="Mi-saison"),INDEX('Base de données Mono'!F:F,MATCH(B1626,'Base de données Mono'!D:D,0)),IF(AND(E1626="Electricité",M1626="Eté"),INDEX('Base de données Mono'!G:G,MATCH(B1626,'Base de données Mono'!D:D,0)),IF(AND(E1626="Gaz",M1626="Hiver"),INDEX('Base de données Mono'!J:J,MATCH(B1626,'Base de données Mono'!D:D,0)),IF(AND(E1626="Gaz",M1626="Mi-saison"),INDEX('Base de données Mono'!#REF!,MATCH(B1626,'Base de données Mono'!D:D,0)),IF(AND(E1626="Gaz",M1626="Eté"),INDEX('Base de données Mono'!#REF!,MATCH(B1626,'Base de données Mono'!D:D,0)),"-"))))))</f>
        <v>110</v>
      </c>
      <c r="O1626" s="123">
        <v>45411</v>
      </c>
      <c r="P1626" s="123">
        <v>45413</v>
      </c>
      <c r="Q1626" s="34">
        <v>185</v>
      </c>
      <c r="R1626" s="33">
        <f t="shared" si="448"/>
        <v>75</v>
      </c>
      <c r="S1626" s="34">
        <v>1</v>
      </c>
      <c r="T1626" s="34">
        <f t="shared" si="451"/>
        <v>2</v>
      </c>
      <c r="U1626" s="33">
        <f t="shared" si="449"/>
        <v>150</v>
      </c>
      <c r="V1626" s="38" t="s">
        <v>827</v>
      </c>
      <c r="W1626" s="39">
        <f t="shared" si="450"/>
        <v>0.68181818181818177</v>
      </c>
      <c r="X1626" s="40" t="s">
        <v>304</v>
      </c>
      <c r="Y1626" s="40" t="s">
        <v>284</v>
      </c>
      <c r="Z1626" s="95" t="s">
        <v>307</v>
      </c>
      <c r="AA1626" s="95" t="s">
        <v>313</v>
      </c>
      <c r="AB1626" s="95"/>
      <c r="AC1626" s="95"/>
    </row>
    <row r="1627" spans="1:29" ht="14.45" hidden="1" customHeight="1" x14ac:dyDescent="0.25">
      <c r="A1627" s="36" t="str">
        <f>INDEX('Base de données Mono'!C:C,MATCH(B1627,'Base de données Mono'!D:D,0))</f>
        <v>ANNECY COURRIER</v>
      </c>
      <c r="B1627" t="s">
        <v>59</v>
      </c>
      <c r="C1627" s="36" t="str">
        <f>INDEX('Base de données Mono'!B:B,MATCH(B1627,'Base de données Mono'!D:D,0))</f>
        <v>SES8</v>
      </c>
      <c r="D1627" s="36" t="str">
        <f>INDEX('Base de données Mono'!A:A,MATCH(B1627,'Base de données Mono'!D:D,0))</f>
        <v>JG</v>
      </c>
      <c r="E1627" s="37" t="s">
        <v>303</v>
      </c>
      <c r="F1627" s="41">
        <f t="shared" si="446"/>
        <v>18</v>
      </c>
      <c r="G1627" s="41">
        <f t="shared" si="447"/>
        <v>4</v>
      </c>
      <c r="I1627" s="131">
        <f>INDEX('Base de données Mono'!K:K,MATCH(B1627,'Base de données Mono'!D:D,0))</f>
        <v>0.20833333333333334</v>
      </c>
      <c r="J1627" s="131">
        <f>INDEX('Base de données Mono'!L:L,MATCH(B1627,'Base de données Mono'!D:D,0))</f>
        <v>0.83333333333333304</v>
      </c>
      <c r="K1627" s="131" t="str">
        <f>INDEX('Base de données Mono'!M:M,MATCH(B1627,'Base de données Mono'!D:D,0))</f>
        <v>-</v>
      </c>
      <c r="L1627" s="131" t="str">
        <f>INDEX('Base de données Mono'!N:N,MATCH(B1627,'Base de données Mono'!D:D,0))</f>
        <v>-</v>
      </c>
      <c r="M1627" s="33" t="s">
        <v>46</v>
      </c>
      <c r="N1627" s="33">
        <f>IF(AND(E1627="Electricité",M1627="Hiver"),INDEX('Base de données Mono'!E:E,MATCH(B1627,'Base de données Mono'!D:D,0)),IF(AND(E1627="Electricité",M1627="Mi-saison"),INDEX('Base de données Mono'!F:F,MATCH(B1627,'Base de données Mono'!D:D,0)),IF(AND(E1627="Electricité",M1627="Eté"),INDEX('Base de données Mono'!G:G,MATCH(B1627,'Base de données Mono'!D:D,0)),IF(AND(E1627="Gaz",M1627="Hiver"),INDEX('Base de données Mono'!J:J,MATCH(B1627,'Base de données Mono'!D:D,0)),IF(AND(E1627="Gaz",M1627="Mi-saison"),INDEX('Base de données Mono'!#REF!,MATCH(B1627,'Base de données Mono'!D:D,0)),IF(AND(E1627="Gaz",M1627="Eté"),INDEX('Base de données Mono'!#REF!,MATCH(B1627,'Base de données Mono'!D:D,0)),"-"))))))</f>
        <v>110</v>
      </c>
      <c r="O1627" s="123">
        <v>45411</v>
      </c>
      <c r="P1627" s="123">
        <v>45413</v>
      </c>
      <c r="Q1627" s="34">
        <v>155</v>
      </c>
      <c r="R1627" s="33">
        <f t="shared" si="448"/>
        <v>45</v>
      </c>
      <c r="S1627" s="34">
        <v>8</v>
      </c>
      <c r="T1627" s="34">
        <f t="shared" si="451"/>
        <v>2</v>
      </c>
      <c r="U1627" s="33">
        <f t="shared" si="449"/>
        <v>720</v>
      </c>
      <c r="V1627" s="38" t="s">
        <v>827</v>
      </c>
      <c r="W1627" s="39">
        <f t="shared" si="450"/>
        <v>0.40909090909090912</v>
      </c>
      <c r="X1627" s="40" t="s">
        <v>304</v>
      </c>
      <c r="Y1627" s="40" t="s">
        <v>284</v>
      </c>
      <c r="Z1627" s="40" t="s">
        <v>305</v>
      </c>
      <c r="AA1627" s="33" t="s">
        <v>771</v>
      </c>
      <c r="AB1627" s="95"/>
      <c r="AC1627" s="95"/>
    </row>
    <row r="1628" spans="1:29" ht="14.45" hidden="1" customHeight="1" x14ac:dyDescent="0.25">
      <c r="A1628" s="36" t="str">
        <f>INDEX('Base de données Mono'!C:C,MATCH(B1628,'Base de données Mono'!D:D,0))</f>
        <v>OULLINS</v>
      </c>
      <c r="B1628" t="s">
        <v>203</v>
      </c>
      <c r="C1628" s="36" t="str">
        <f>INDEX('Base de données Mono'!B:B,MATCH(B1628,'Base de données Mono'!D:D,0))</f>
        <v>SES8</v>
      </c>
      <c r="D1628" s="36" t="str">
        <f>INDEX('Base de données Mono'!A:A,MATCH(B1628,'Base de données Mono'!D:D,0))</f>
        <v>JG</v>
      </c>
      <c r="E1628" s="37" t="s">
        <v>303</v>
      </c>
      <c r="F1628" s="41">
        <f t="shared" si="446"/>
        <v>18</v>
      </c>
      <c r="G1628" s="41">
        <f t="shared" si="447"/>
        <v>4</v>
      </c>
      <c r="I1628" s="131">
        <f>INDEX('Base de données Mono'!K:K,MATCH(B1628,'Base de données Mono'!D:D,0))</f>
        <v>0.1875</v>
      </c>
      <c r="J1628" s="131">
        <f>INDEX('Base de données Mono'!L:L,MATCH(B1628,'Base de données Mono'!D:D,0))</f>
        <v>0.83333333333333337</v>
      </c>
      <c r="K1628" s="131">
        <f>INDEX('Base de données Mono'!M:M,MATCH(B1628,'Base de données Mono'!D:D,0))</f>
        <v>0.27083333333333331</v>
      </c>
      <c r="L1628" s="131">
        <f>INDEX('Base de données Mono'!N:N,MATCH(B1628,'Base de données Mono'!D:D,0))</f>
        <v>0.8125</v>
      </c>
      <c r="M1628" s="33" t="s">
        <v>46</v>
      </c>
      <c r="N1628" s="33">
        <f>IF(AND(E1628="Electricité",M1628="Hiver"),INDEX('Base de données Mono'!E:E,MATCH(B1628,'Base de données Mono'!D:D,0)),IF(AND(E1628="Electricité",M1628="Mi-saison"),INDEX('Base de données Mono'!F:F,MATCH(B1628,'Base de données Mono'!D:D,0)),IF(AND(E1628="Electricité",M1628="Eté"),INDEX('Base de données Mono'!G:G,MATCH(B1628,'Base de données Mono'!D:D,0)),IF(AND(E1628="Gaz",M1628="Hiver"),INDEX('Base de données Mono'!J:J,MATCH(B1628,'Base de données Mono'!D:D,0)),IF(AND(E1628="Gaz",M1628="Mi-saison"),INDEX('Base de données Mono'!#REF!,MATCH(B1628,'Base de données Mono'!D:D,0)),IF(AND(E1628="Gaz",M1628="Eté"),INDEX('Base de données Mono'!#REF!,MATCH(B1628,'Base de données Mono'!D:D,0)),"-"))))))</f>
        <v>45</v>
      </c>
      <c r="O1628" s="123">
        <v>45410</v>
      </c>
      <c r="P1628" s="123">
        <v>45413</v>
      </c>
      <c r="Q1628" s="34">
        <v>50</v>
      </c>
      <c r="R1628" s="33">
        <f t="shared" si="448"/>
        <v>5</v>
      </c>
      <c r="S1628" s="34">
        <v>8.5</v>
      </c>
      <c r="T1628" s="34">
        <f t="shared" si="451"/>
        <v>3</v>
      </c>
      <c r="U1628" s="33">
        <f t="shared" si="449"/>
        <v>127.5</v>
      </c>
      <c r="V1628" s="38" t="s">
        <v>827</v>
      </c>
      <c r="W1628" s="39">
        <f t="shared" si="450"/>
        <v>0.1111111111111111</v>
      </c>
      <c r="X1628" s="40" t="s">
        <v>304</v>
      </c>
      <c r="Y1628" s="40" t="s">
        <v>284</v>
      </c>
      <c r="Z1628" s="40" t="s">
        <v>305</v>
      </c>
      <c r="AA1628" s="33" t="s">
        <v>771</v>
      </c>
      <c r="AB1628" s="95"/>
      <c r="AC1628" s="95"/>
    </row>
    <row r="1629" spans="1:29" ht="14.45" hidden="1" customHeight="1" x14ac:dyDescent="0.25">
      <c r="A1629" s="36" t="str">
        <f>INDEX('Base de données Mono'!C:C,MATCH(B1629,'Base de données Mono'!D:D,0))</f>
        <v>POITIERS</v>
      </c>
      <c r="B1629" t="s">
        <v>212</v>
      </c>
      <c r="C1629" s="36" t="str">
        <f>INDEX('Base de données Mono'!B:B,MATCH(B1629,'Base de données Mono'!D:D,0))</f>
        <v>SES8</v>
      </c>
      <c r="D1629" s="36" t="str">
        <f>INDEX('Base de données Mono'!A:A,MATCH(B1629,'Base de données Mono'!D:D,0))</f>
        <v>AD</v>
      </c>
      <c r="E1629" s="37" t="s">
        <v>303</v>
      </c>
      <c r="F1629" s="41">
        <f t="shared" si="446"/>
        <v>18</v>
      </c>
      <c r="G1629" s="41">
        <f t="shared" si="447"/>
        <v>4</v>
      </c>
      <c r="I1629" s="131">
        <f>INDEX('Base de données Mono'!K:K,MATCH(B1629,'Base de données Mono'!D:D,0))</f>
        <v>0.22916666666666666</v>
      </c>
      <c r="J1629" s="131">
        <f>INDEX('Base de données Mono'!L:L,MATCH(B1629,'Base de données Mono'!D:D,0))</f>
        <v>0.875</v>
      </c>
      <c r="K1629" s="131">
        <f>INDEX('Base de données Mono'!M:M,MATCH(B1629,'Base de données Mono'!D:D,0))</f>
        <v>0.22916666666666666</v>
      </c>
      <c r="L1629" s="131">
        <f>INDEX('Base de données Mono'!N:N,MATCH(B1629,'Base de données Mono'!D:D,0))</f>
        <v>0.54166666666666663</v>
      </c>
      <c r="M1629" s="33" t="s">
        <v>46</v>
      </c>
      <c r="N1629" s="33">
        <f>IF(AND(E1629="Electricité",M1629="Hiver"),INDEX('Base de données Mono'!E:E,MATCH(B1629,'Base de données Mono'!D:D,0)),IF(AND(E1629="Electricité",M1629="Mi-saison"),INDEX('Base de données Mono'!F:F,MATCH(B1629,'Base de données Mono'!D:D,0)),IF(AND(E1629="Electricité",M1629="Eté"),INDEX('Base de données Mono'!G:G,MATCH(B1629,'Base de données Mono'!D:D,0)),IF(AND(E1629="Gaz",M1629="Hiver"),INDEX('Base de données Mono'!J:J,MATCH(B1629,'Base de données Mono'!D:D,0)),IF(AND(E1629="Gaz",M1629="Mi-saison"),INDEX('Base de données Mono'!#REF!,MATCH(B1629,'Base de données Mono'!D:D,0)),IF(AND(E1629="Gaz",M1629="Eté"),INDEX('Base de données Mono'!#REF!,MATCH(B1629,'Base de données Mono'!D:D,0)),"-"))))))</f>
        <v>75</v>
      </c>
      <c r="O1629" s="123">
        <v>45410</v>
      </c>
      <c r="P1629" s="123">
        <v>45411</v>
      </c>
      <c r="Q1629" s="34">
        <v>90</v>
      </c>
      <c r="R1629" s="33">
        <f t="shared" si="448"/>
        <v>15</v>
      </c>
      <c r="S1629" s="34">
        <v>8.5</v>
      </c>
      <c r="T1629" s="34">
        <f t="shared" si="451"/>
        <v>1</v>
      </c>
      <c r="U1629" s="33">
        <f t="shared" si="449"/>
        <v>127.5</v>
      </c>
      <c r="V1629" s="38" t="s">
        <v>827</v>
      </c>
      <c r="W1629" s="39">
        <f t="shared" si="450"/>
        <v>0.2</v>
      </c>
      <c r="X1629" s="40" t="s">
        <v>304</v>
      </c>
      <c r="Y1629" s="40" t="s">
        <v>284</v>
      </c>
      <c r="Z1629" s="40" t="s">
        <v>305</v>
      </c>
      <c r="AA1629" s="33" t="s">
        <v>771</v>
      </c>
      <c r="AB1629" s="95"/>
      <c r="AC1629" s="95"/>
    </row>
    <row r="1630" spans="1:29" ht="14.45" hidden="1" customHeight="1" x14ac:dyDescent="0.25">
      <c r="A1630" s="36" t="str">
        <f>INDEX('Base de données Mono'!C:C,MATCH(B1630,'Base de données Mono'!D:D,0))</f>
        <v>POITIERS</v>
      </c>
      <c r="B1630" t="s">
        <v>212</v>
      </c>
      <c r="C1630" s="36" t="str">
        <f>INDEX('Base de données Mono'!B:B,MATCH(B1630,'Base de données Mono'!D:D,0))</f>
        <v>SES8</v>
      </c>
      <c r="D1630" s="36" t="str">
        <f>INDEX('Base de données Mono'!A:A,MATCH(B1630,'Base de données Mono'!D:D,0))</f>
        <v>AD</v>
      </c>
      <c r="E1630" s="37" t="s">
        <v>303</v>
      </c>
      <c r="F1630" s="41">
        <f t="shared" si="446"/>
        <v>18</v>
      </c>
      <c r="G1630" s="41">
        <f t="shared" si="447"/>
        <v>4</v>
      </c>
      <c r="I1630" s="131">
        <f>INDEX('Base de données Mono'!K:K,MATCH(B1630,'Base de données Mono'!D:D,0))</f>
        <v>0.22916666666666666</v>
      </c>
      <c r="J1630" s="131">
        <f>INDEX('Base de données Mono'!L:L,MATCH(B1630,'Base de données Mono'!D:D,0))</f>
        <v>0.875</v>
      </c>
      <c r="K1630" s="131">
        <f>INDEX('Base de données Mono'!M:M,MATCH(B1630,'Base de données Mono'!D:D,0))</f>
        <v>0.22916666666666666</v>
      </c>
      <c r="L1630" s="131">
        <f>INDEX('Base de données Mono'!N:N,MATCH(B1630,'Base de données Mono'!D:D,0))</f>
        <v>0.54166666666666663</v>
      </c>
      <c r="M1630" s="33" t="s">
        <v>46</v>
      </c>
      <c r="N1630" s="33">
        <f>IF(AND(E1630="Electricité",M1630="Hiver"),INDEX('Base de données Mono'!E:E,MATCH(B1630,'Base de données Mono'!D:D,0)),IF(AND(E1630="Electricité",M1630="Mi-saison"),INDEX('Base de données Mono'!F:F,MATCH(B1630,'Base de données Mono'!D:D,0)),IF(AND(E1630="Electricité",M1630="Eté"),INDEX('Base de données Mono'!G:G,MATCH(B1630,'Base de données Mono'!D:D,0)),IF(AND(E1630="Gaz",M1630="Hiver"),INDEX('Base de données Mono'!J:J,MATCH(B1630,'Base de données Mono'!D:D,0)),IF(AND(E1630="Gaz",M1630="Mi-saison"),INDEX('Base de données Mono'!#REF!,MATCH(B1630,'Base de données Mono'!D:D,0)),IF(AND(E1630="Gaz",M1630="Eté"),INDEX('Base de données Mono'!#REF!,MATCH(B1630,'Base de données Mono'!D:D,0)),"-"))))))</f>
        <v>75</v>
      </c>
      <c r="O1630" s="123">
        <v>45411</v>
      </c>
      <c r="P1630" s="123">
        <v>45413</v>
      </c>
      <c r="Q1630" s="34">
        <v>95</v>
      </c>
      <c r="R1630" s="33">
        <f t="shared" si="448"/>
        <v>20</v>
      </c>
      <c r="S1630" s="34">
        <v>8.5</v>
      </c>
      <c r="T1630" s="34">
        <f t="shared" si="451"/>
        <v>2</v>
      </c>
      <c r="U1630" s="33">
        <f t="shared" si="449"/>
        <v>340</v>
      </c>
      <c r="V1630" s="38" t="s">
        <v>827</v>
      </c>
      <c r="W1630" s="39">
        <f t="shared" si="450"/>
        <v>0.26666666666666666</v>
      </c>
      <c r="X1630" s="40" t="s">
        <v>304</v>
      </c>
      <c r="Y1630" s="40" t="s">
        <v>284</v>
      </c>
      <c r="Z1630" s="40" t="s">
        <v>305</v>
      </c>
      <c r="AA1630" s="33" t="s">
        <v>771</v>
      </c>
      <c r="AB1630" s="95"/>
      <c r="AC1630" s="95"/>
    </row>
    <row r="1631" spans="1:29" ht="14.45" hidden="1" customHeight="1" x14ac:dyDescent="0.25">
      <c r="A1631" s="36" t="str">
        <f>INDEX('Base de données Mono'!C:C,MATCH(B1631,'Base de données Mono'!D:D,0))</f>
        <v>MONTREUIL</v>
      </c>
      <c r="B1631" t="s">
        <v>25</v>
      </c>
      <c r="C1631" s="36" t="str">
        <f>INDEX('Base de données Mono'!B:B,MATCH(B1631,'Base de données Mono'!D:D,0))</f>
        <v>SES8</v>
      </c>
      <c r="D1631" s="36" t="str">
        <f>INDEX('Base de données Mono'!A:A,MATCH(B1631,'Base de données Mono'!D:D,0))</f>
        <v>JG</v>
      </c>
      <c r="E1631" s="37" t="s">
        <v>303</v>
      </c>
      <c r="F1631" s="41">
        <f t="shared" si="446"/>
        <v>18</v>
      </c>
      <c r="G1631" s="41">
        <f t="shared" si="447"/>
        <v>4</v>
      </c>
      <c r="I1631" s="131">
        <f>INDEX('Base de données Mono'!K:K,MATCH(B1631,'Base de données Mono'!D:D,0))</f>
        <v>0.24305555555555555</v>
      </c>
      <c r="J1631" s="131">
        <f>INDEX('Base de données Mono'!L:L,MATCH(B1631,'Base de données Mono'!D:D,0))</f>
        <v>0.875</v>
      </c>
      <c r="K1631" s="131">
        <f>INDEX('Base de données Mono'!M:M,MATCH(B1631,'Base de données Mono'!D:D,0))</f>
        <v>0.27083333333333331</v>
      </c>
      <c r="L1631" s="131">
        <f>INDEX('Base de données Mono'!N:N,MATCH(B1631,'Base de données Mono'!D:D,0))</f>
        <v>0.55902777777777779</v>
      </c>
      <c r="M1631" s="33" t="s">
        <v>46</v>
      </c>
      <c r="N1631" s="33">
        <f>IF(AND(E1631="Electricité",M1631="Hiver"),INDEX('Base de données Mono'!E:E,MATCH(B1631,'Base de données Mono'!D:D,0)),IF(AND(E1631="Electricité",M1631="Mi-saison"),INDEX('Base de données Mono'!F:F,MATCH(B1631,'Base de données Mono'!D:D,0)),IF(AND(E1631="Electricité",M1631="Eté"),INDEX('Base de données Mono'!G:G,MATCH(B1631,'Base de données Mono'!D:D,0)),IF(AND(E1631="Gaz",M1631="Hiver"),INDEX('Base de données Mono'!J:J,MATCH(B1631,'Base de données Mono'!D:D,0)),IF(AND(E1631="Gaz",M1631="Mi-saison"),INDEX('Base de données Mono'!#REF!,MATCH(B1631,'Base de données Mono'!D:D,0)),IF(AND(E1631="Gaz",M1631="Eté"),INDEX('Base de données Mono'!#REF!,MATCH(B1631,'Base de données Mono'!D:D,0)),"-"))))))</f>
        <v>95</v>
      </c>
      <c r="O1631" s="123">
        <v>45410</v>
      </c>
      <c r="P1631" s="123">
        <v>45413</v>
      </c>
      <c r="Q1631" s="34">
        <v>115</v>
      </c>
      <c r="R1631" s="33">
        <f t="shared" si="448"/>
        <v>20</v>
      </c>
      <c r="S1631" s="34">
        <v>8.8000000000000007</v>
      </c>
      <c r="T1631" s="34">
        <f t="shared" si="451"/>
        <v>3</v>
      </c>
      <c r="U1631" s="33">
        <f t="shared" si="449"/>
        <v>528</v>
      </c>
      <c r="V1631" s="38" t="s">
        <v>827</v>
      </c>
      <c r="W1631" s="39">
        <f t="shared" si="450"/>
        <v>0.21052631578947367</v>
      </c>
      <c r="X1631" s="40" t="s">
        <v>304</v>
      </c>
      <c r="Y1631" s="40" t="s">
        <v>284</v>
      </c>
      <c r="Z1631" s="40" t="s">
        <v>305</v>
      </c>
      <c r="AA1631" s="33" t="s">
        <v>771</v>
      </c>
      <c r="AB1631" s="95"/>
      <c r="AC1631" s="95"/>
    </row>
    <row r="1632" spans="1:29" ht="14.45" hidden="1" customHeight="1" x14ac:dyDescent="0.25">
      <c r="A1632" s="36" t="str">
        <f>INDEX('Base de données Mono'!C:C,MATCH(B1632,'Base de données Mono'!D:D,0))</f>
        <v>PLACE DES FETES</v>
      </c>
      <c r="B1632" t="s">
        <v>210</v>
      </c>
      <c r="C1632" s="36" t="str">
        <f>INDEX('Base de données Mono'!B:B,MATCH(B1632,'Base de données Mono'!D:D,0))</f>
        <v>SES8</v>
      </c>
      <c r="D1632" s="36" t="str">
        <f>INDEX('Base de données Mono'!A:A,MATCH(B1632,'Base de données Mono'!D:D,0))</f>
        <v>AD</v>
      </c>
      <c r="E1632" s="37" t="s">
        <v>303</v>
      </c>
      <c r="F1632" s="41">
        <f t="shared" si="446"/>
        <v>18</v>
      </c>
      <c r="G1632" s="41">
        <f t="shared" si="447"/>
        <v>4</v>
      </c>
      <c r="I1632" s="131">
        <f>INDEX('Base de données Mono'!K:K,MATCH(B1632,'Base de données Mono'!D:D,0))</f>
        <v>0.22916666666666666</v>
      </c>
      <c r="J1632" s="131">
        <f>INDEX('Base de données Mono'!L:L,MATCH(B1632,'Base de données Mono'!D:D,0))</f>
        <v>0.86111111111111116</v>
      </c>
      <c r="K1632" s="131">
        <f>INDEX('Base de données Mono'!M:M,MATCH(B1632,'Base de données Mono'!D:D,0))</f>
        <v>0.27777777777777779</v>
      </c>
      <c r="L1632" s="131">
        <f>INDEX('Base de données Mono'!N:N,MATCH(B1632,'Base de données Mono'!D:D,0))</f>
        <v>0.77777777777777779</v>
      </c>
      <c r="M1632" s="33" t="s">
        <v>46</v>
      </c>
      <c r="N1632" s="33">
        <f>IF(AND(E1632="Electricité",M1632="Hiver"),INDEX('Base de données Mono'!E:E,MATCH(B1632,'Base de données Mono'!D:D,0)),IF(AND(E1632="Electricité",M1632="Mi-saison"),INDEX('Base de données Mono'!F:F,MATCH(B1632,'Base de données Mono'!D:D,0)),IF(AND(E1632="Electricité",M1632="Eté"),INDEX('Base de données Mono'!G:G,MATCH(B1632,'Base de données Mono'!D:D,0)),IF(AND(E1632="Gaz",M1632="Hiver"),INDEX('Base de données Mono'!J:J,MATCH(B1632,'Base de données Mono'!D:D,0)),IF(AND(E1632="Gaz",M1632="Mi-saison"),INDEX('Base de données Mono'!#REF!,MATCH(B1632,'Base de données Mono'!D:D,0)),IF(AND(E1632="Gaz",M1632="Eté"),INDEX('Base de données Mono'!#REF!,MATCH(B1632,'Base de données Mono'!D:D,0)),"-"))))))</f>
        <v>85</v>
      </c>
      <c r="O1632" s="123">
        <v>45410</v>
      </c>
      <c r="P1632" s="123">
        <v>45412</v>
      </c>
      <c r="Q1632" s="34">
        <v>115</v>
      </c>
      <c r="R1632" s="33">
        <f t="shared" si="448"/>
        <v>30</v>
      </c>
      <c r="S1632" s="34">
        <v>0.5</v>
      </c>
      <c r="T1632" s="34">
        <f t="shared" si="451"/>
        <v>2</v>
      </c>
      <c r="U1632" s="33">
        <v>45</v>
      </c>
      <c r="V1632" s="38" t="s">
        <v>827</v>
      </c>
      <c r="W1632" s="39">
        <v>0.35294117647058826</v>
      </c>
      <c r="X1632" s="40" t="s">
        <v>304</v>
      </c>
      <c r="Y1632" s="40" t="s">
        <v>284</v>
      </c>
      <c r="Z1632" s="40" t="s">
        <v>307</v>
      </c>
      <c r="AA1632" s="95" t="s">
        <v>414</v>
      </c>
      <c r="AB1632" s="95"/>
      <c r="AC1632" s="95"/>
    </row>
    <row r="1633" spans="1:29" ht="14.45" hidden="1" customHeight="1" x14ac:dyDescent="0.25">
      <c r="A1633" s="36" t="str">
        <f>INDEX('Base de données Mono'!C:C,MATCH(B1633,'Base de données Mono'!D:D,0))</f>
        <v>PLACE DES FETES</v>
      </c>
      <c r="B1633" t="s">
        <v>210</v>
      </c>
      <c r="C1633" s="36" t="str">
        <f>INDEX('Base de données Mono'!B:B,MATCH(B1633,'Base de données Mono'!D:D,0))</f>
        <v>SES8</v>
      </c>
      <c r="D1633" s="36" t="str">
        <f>INDEX('Base de données Mono'!A:A,MATCH(B1633,'Base de données Mono'!D:D,0))</f>
        <v>AD</v>
      </c>
      <c r="E1633" s="37" t="s">
        <v>303</v>
      </c>
      <c r="F1633" s="41">
        <f t="shared" si="446"/>
        <v>18</v>
      </c>
      <c r="G1633" s="41">
        <f t="shared" si="447"/>
        <v>4</v>
      </c>
      <c r="I1633" s="131">
        <f>INDEX('Base de données Mono'!K:K,MATCH(B1633,'Base de données Mono'!D:D,0))</f>
        <v>0.22916666666666666</v>
      </c>
      <c r="J1633" s="131">
        <f>INDEX('Base de données Mono'!L:L,MATCH(B1633,'Base de données Mono'!D:D,0))</f>
        <v>0.86111111111111116</v>
      </c>
      <c r="K1633" s="131">
        <f>INDEX('Base de données Mono'!M:M,MATCH(B1633,'Base de données Mono'!D:D,0))</f>
        <v>0.27777777777777779</v>
      </c>
      <c r="L1633" s="131">
        <f>INDEX('Base de données Mono'!N:N,MATCH(B1633,'Base de données Mono'!D:D,0))</f>
        <v>0.77777777777777779</v>
      </c>
      <c r="M1633" s="33" t="s">
        <v>46</v>
      </c>
      <c r="N1633" s="33">
        <f>IF(AND(E1633="Electricité",M1633="Hiver"),INDEX('Base de données Mono'!E:E,MATCH(B1633,'Base de données Mono'!D:D,0)),IF(AND(E1633="Electricité",M1633="Mi-saison"),INDEX('Base de données Mono'!F:F,MATCH(B1633,'Base de données Mono'!D:D,0)),IF(AND(E1633="Electricité",M1633="Eté"),INDEX('Base de données Mono'!G:G,MATCH(B1633,'Base de données Mono'!D:D,0)),IF(AND(E1633="Gaz",M1633="Hiver"),INDEX('Base de données Mono'!J:J,MATCH(B1633,'Base de données Mono'!D:D,0)),IF(AND(E1633="Gaz",M1633="Mi-saison"),INDEX('Base de données Mono'!#REF!,MATCH(B1633,'Base de données Mono'!D:D,0)),IF(AND(E1633="Gaz",M1633="Eté"),INDEX('Base de données Mono'!#REF!,MATCH(B1633,'Base de données Mono'!D:D,0)),"-"))))))</f>
        <v>85</v>
      </c>
      <c r="O1633" s="123">
        <v>45411</v>
      </c>
      <c r="P1633" s="123">
        <v>45413</v>
      </c>
      <c r="Q1633" s="34">
        <v>120</v>
      </c>
      <c r="R1633" s="33">
        <f t="shared" si="448"/>
        <v>35</v>
      </c>
      <c r="S1633" s="34">
        <v>0.3</v>
      </c>
      <c r="T1633" s="34">
        <f t="shared" si="451"/>
        <v>2</v>
      </c>
      <c r="U1633" s="33">
        <v>72</v>
      </c>
      <c r="V1633" s="38" t="s">
        <v>827</v>
      </c>
      <c r="W1633" s="39">
        <v>0.47058823529411764</v>
      </c>
      <c r="X1633" s="40" t="s">
        <v>304</v>
      </c>
      <c r="Y1633" s="40" t="s">
        <v>284</v>
      </c>
      <c r="Z1633" s="40" t="s">
        <v>307</v>
      </c>
      <c r="AA1633" s="33" t="s">
        <v>313</v>
      </c>
      <c r="AB1633" s="95"/>
      <c r="AC1633" s="95"/>
    </row>
    <row r="1634" spans="1:29" hidden="1" x14ac:dyDescent="0.25">
      <c r="A1634" s="36" t="str">
        <f>INDEX('Base de données Mono'!C:C,MATCH(B1634,'Base de données Mono'!D:D,0))</f>
        <v>LES HUISSIERS</v>
      </c>
      <c r="B1634" t="s">
        <v>156</v>
      </c>
      <c r="C1634" s="36" t="str">
        <f>INDEX('Base de données Mono'!B:B,MATCH(B1634,'Base de données Mono'!D:D,0))</f>
        <v>SES8</v>
      </c>
      <c r="D1634" s="36" t="str">
        <f>INDEX('Base de données Mono'!A:A,MATCH(B1634,'Base de données Mono'!D:D,0))</f>
        <v>AD</v>
      </c>
      <c r="E1634" s="37" t="s">
        <v>303</v>
      </c>
      <c r="F1634" s="41">
        <f t="shared" si="446"/>
        <v>18</v>
      </c>
      <c r="G1634" s="41">
        <f t="shared" si="447"/>
        <v>4</v>
      </c>
      <c r="I1634" s="131">
        <f>INDEX('Base de données Mono'!K:K,MATCH(B1634,'Base de données Mono'!D:D,0))</f>
        <v>0.22916666666666666</v>
      </c>
      <c r="J1634" s="131">
        <f>INDEX('Base de données Mono'!L:L,MATCH(B1634,'Base de données Mono'!D:D,0))</f>
        <v>0.89583333333333337</v>
      </c>
      <c r="K1634" s="131">
        <f>INDEX('Base de données Mono'!M:M,MATCH(B1634,'Base de données Mono'!D:D,0))</f>
        <v>0.27777777777777779</v>
      </c>
      <c r="L1634" s="131">
        <f>INDEX('Base de données Mono'!N:N,MATCH(B1634,'Base de données Mono'!D:D,0))</f>
        <v>0.5625</v>
      </c>
      <c r="M1634" s="33" t="s">
        <v>46</v>
      </c>
      <c r="N1634" s="33">
        <f>IF(AND(E1634="Electricité",M1634="Hiver"),INDEX('Base de données Mono'!E:E,MATCH(B1634,'Base de données Mono'!D:D,0)),IF(AND(E1634="Electricité",M1634="Mi-saison"),INDEX('Base de données Mono'!F:F,MATCH(B1634,'Base de données Mono'!D:D,0)),IF(AND(E1634="Electricité",M1634="Eté"),INDEX('Base de données Mono'!G:G,MATCH(B1634,'Base de données Mono'!D:D,0)),IF(AND(E1634="Gaz",M1634="Hiver"),INDEX('Base de données Mono'!J:J,MATCH(B1634,'Base de données Mono'!D:D,0)),IF(AND(E1634="Gaz",M1634="Mi-saison"),INDEX('Base de données Mono'!#REF!,MATCH(B1634,'Base de données Mono'!D:D,0)),IF(AND(E1634="Gaz",M1634="Eté"),INDEX('Base de données Mono'!#REF!,MATCH(B1634,'Base de données Mono'!D:D,0)),"-"))))))</f>
        <v>65</v>
      </c>
      <c r="O1634" s="123">
        <v>45410</v>
      </c>
      <c r="P1634" s="123">
        <v>45413</v>
      </c>
      <c r="Q1634" s="34">
        <v>70</v>
      </c>
      <c r="R1634" s="33">
        <f t="shared" si="448"/>
        <v>5</v>
      </c>
      <c r="S1634" s="34">
        <v>8</v>
      </c>
      <c r="T1634" s="34">
        <f t="shared" si="451"/>
        <v>3</v>
      </c>
      <c r="U1634" s="33">
        <f t="shared" si="449"/>
        <v>120</v>
      </c>
      <c r="V1634" s="38" t="s">
        <v>827</v>
      </c>
      <c r="W1634" s="39">
        <f t="shared" si="450"/>
        <v>7.6923076923076927E-2</v>
      </c>
      <c r="X1634" s="40" t="s">
        <v>304</v>
      </c>
      <c r="Y1634" s="40" t="s">
        <v>284</v>
      </c>
      <c r="Z1634" s="40" t="s">
        <v>305</v>
      </c>
      <c r="AA1634" s="33" t="s">
        <v>771</v>
      </c>
      <c r="AB1634" s="95"/>
      <c r="AC1634" s="95"/>
    </row>
    <row r="1635" spans="1:29" ht="14.45" hidden="1" customHeight="1" x14ac:dyDescent="0.25">
      <c r="A1635" s="36" t="str">
        <f>INDEX('Base de données Mono'!C:C,MATCH(B1635,'Base de données Mono'!D:D,0))</f>
        <v>ROQUETTE</v>
      </c>
      <c r="B1635" t="s">
        <v>225</v>
      </c>
      <c r="C1635" s="36" t="str">
        <f>INDEX('Base de données Mono'!B:B,MATCH(B1635,'Base de données Mono'!D:D,0))</f>
        <v>SES8</v>
      </c>
      <c r="D1635" s="36" t="str">
        <f>INDEX('Base de données Mono'!A:A,MATCH(B1635,'Base de données Mono'!D:D,0))</f>
        <v>JG</v>
      </c>
      <c r="E1635" s="37" t="s">
        <v>303</v>
      </c>
      <c r="F1635" s="41">
        <f t="shared" si="446"/>
        <v>18</v>
      </c>
      <c r="G1635" s="41">
        <f t="shared" si="447"/>
        <v>4</v>
      </c>
      <c r="I1635" s="131">
        <f>INDEX('Base de données Mono'!K:K,MATCH(B1635,'Base de données Mono'!D:D,0))</f>
        <v>0.25</v>
      </c>
      <c r="J1635" s="131">
        <f>INDEX('Base de données Mono'!L:L,MATCH(B1635,'Base de données Mono'!D:D,0))</f>
        <v>0.91666666666666663</v>
      </c>
      <c r="K1635" s="131">
        <f>INDEX('Base de données Mono'!M:M,MATCH(B1635,'Base de données Mono'!D:D,0))</f>
        <v>0.29166666666666669</v>
      </c>
      <c r="L1635" s="131">
        <f>INDEX('Base de données Mono'!N:N,MATCH(B1635,'Base de données Mono'!D:D,0))</f>
        <v>0.55208333333333337</v>
      </c>
      <c r="M1635" s="33" t="s">
        <v>46</v>
      </c>
      <c r="N1635" s="33">
        <f>IF(AND(E1635="Electricité",M1635="Hiver"),INDEX('Base de données Mono'!E:E,MATCH(B1635,'Base de données Mono'!D:D,0)),IF(AND(E1635="Electricité",M1635="Mi-saison"),INDEX('Base de données Mono'!F:F,MATCH(B1635,'Base de données Mono'!D:D,0)),IF(AND(E1635="Electricité",M1635="Eté"),INDEX('Base de données Mono'!G:G,MATCH(B1635,'Base de données Mono'!D:D,0)),IF(AND(E1635="Gaz",M1635="Hiver"),INDEX('Base de données Mono'!J:J,MATCH(B1635,'Base de données Mono'!D:D,0)),IF(AND(E1635="Gaz",M1635="Mi-saison"),INDEX('Base de données Mono'!#REF!,MATCH(B1635,'Base de données Mono'!D:D,0)),IF(AND(E1635="Gaz",M1635="Eté"),INDEX('Base de données Mono'!#REF!,MATCH(B1635,'Base de données Mono'!D:D,0)),"-"))))))</f>
        <v>60</v>
      </c>
      <c r="O1635" s="123">
        <v>45410</v>
      </c>
      <c r="P1635" s="123">
        <v>45413</v>
      </c>
      <c r="Q1635" s="34">
        <v>75</v>
      </c>
      <c r="R1635" s="33">
        <f t="shared" si="448"/>
        <v>15</v>
      </c>
      <c r="S1635" s="34">
        <v>8</v>
      </c>
      <c r="T1635" s="34">
        <f t="shared" si="451"/>
        <v>3</v>
      </c>
      <c r="U1635" s="33">
        <f t="shared" si="449"/>
        <v>360</v>
      </c>
      <c r="V1635" s="38" t="s">
        <v>827</v>
      </c>
      <c r="W1635" s="39">
        <f t="shared" si="450"/>
        <v>0.25</v>
      </c>
      <c r="X1635" s="40" t="s">
        <v>304</v>
      </c>
      <c r="Y1635" s="40" t="s">
        <v>283</v>
      </c>
      <c r="Z1635" s="40" t="s">
        <v>749</v>
      </c>
      <c r="AA1635" s="33" t="s">
        <v>749</v>
      </c>
      <c r="AB1635" s="95"/>
      <c r="AC1635" s="95"/>
    </row>
    <row r="1636" spans="1:29" ht="14.45" hidden="1" customHeight="1" x14ac:dyDescent="0.25">
      <c r="A1636" s="36" t="str">
        <f>INDEX('Base de données Mono'!C:C,MATCH(B1636,'Base de données Mono'!D:D,0))</f>
        <v>TERNES</v>
      </c>
      <c r="B1636" t="s">
        <v>251</v>
      </c>
      <c r="C1636" s="36" t="str">
        <f>INDEX('Base de données Mono'!B:B,MATCH(B1636,'Base de données Mono'!D:D,0))</f>
        <v>SES8</v>
      </c>
      <c r="D1636" s="36" t="str">
        <f>INDEX('Base de données Mono'!A:A,MATCH(B1636,'Base de données Mono'!D:D,0))</f>
        <v>AD</v>
      </c>
      <c r="E1636" s="37" t="s">
        <v>303</v>
      </c>
      <c r="F1636" s="41">
        <f t="shared" si="446"/>
        <v>18</v>
      </c>
      <c r="G1636" s="41">
        <f t="shared" si="447"/>
        <v>4</v>
      </c>
      <c r="I1636" s="131">
        <f>INDEX('Base de données Mono'!K:K,MATCH(B1636,'Base de données Mono'!D:D,0))</f>
        <v>0.1875</v>
      </c>
      <c r="J1636" s="131">
        <f>INDEX('Base de données Mono'!L:L,MATCH(B1636,'Base de données Mono'!D:D,0))</f>
        <v>0.89583333333333337</v>
      </c>
      <c r="K1636" s="131">
        <f>INDEX('Base de données Mono'!M:M,MATCH(B1636,'Base de données Mono'!D:D,0))</f>
        <v>0.22916666666666666</v>
      </c>
      <c r="L1636" s="131">
        <f>INDEX('Base de données Mono'!N:N,MATCH(B1636,'Base de données Mono'!D:D,0))</f>
        <v>0.8125</v>
      </c>
      <c r="M1636" s="33" t="s">
        <v>46</v>
      </c>
      <c r="N1636" s="33">
        <f>IF(AND(E1636="Electricité",M1636="Hiver"),INDEX('Base de données Mono'!E:E,MATCH(B1636,'Base de données Mono'!D:D,0)),IF(AND(E1636="Electricité",M1636="Mi-saison"),INDEX('Base de données Mono'!F:F,MATCH(B1636,'Base de données Mono'!D:D,0)),IF(AND(E1636="Electricité",M1636="Eté"),INDEX('Base de données Mono'!G:G,MATCH(B1636,'Base de données Mono'!D:D,0)),IF(AND(E1636="Gaz",M1636="Hiver"),INDEX('Base de données Mono'!J:J,MATCH(B1636,'Base de données Mono'!D:D,0)),IF(AND(E1636="Gaz",M1636="Mi-saison"),INDEX('Base de données Mono'!#REF!,MATCH(B1636,'Base de données Mono'!D:D,0)),IF(AND(E1636="Gaz",M1636="Eté"),INDEX('Base de données Mono'!#REF!,MATCH(B1636,'Base de données Mono'!D:D,0)),"-"))))))</f>
        <v>80</v>
      </c>
      <c r="O1636" s="123">
        <v>45410</v>
      </c>
      <c r="P1636" s="123">
        <v>45413</v>
      </c>
      <c r="Q1636" s="34">
        <v>110</v>
      </c>
      <c r="R1636" s="33">
        <f t="shared" si="448"/>
        <v>30</v>
      </c>
      <c r="S1636" s="34">
        <v>0.5</v>
      </c>
      <c r="T1636" s="34">
        <f t="shared" si="451"/>
        <v>3</v>
      </c>
      <c r="U1636" s="33">
        <f t="shared" si="449"/>
        <v>45</v>
      </c>
      <c r="V1636" s="38" t="s">
        <v>827</v>
      </c>
      <c r="W1636" s="39">
        <f t="shared" si="450"/>
        <v>0.375</v>
      </c>
      <c r="X1636" s="40" t="s">
        <v>304</v>
      </c>
      <c r="Y1636" s="40" t="s">
        <v>284</v>
      </c>
      <c r="Z1636" s="40" t="s">
        <v>305</v>
      </c>
      <c r="AA1636" s="33" t="s">
        <v>771</v>
      </c>
      <c r="AB1636" s="95"/>
      <c r="AC1636" s="95"/>
    </row>
    <row r="1637" spans="1:29" ht="14.45" hidden="1" customHeight="1" x14ac:dyDescent="0.25">
      <c r="A1637" s="36" t="str">
        <f>INDEX('Base de données Mono'!C:C,MATCH(B1637,'Base de données Mono'!D:D,0))</f>
        <v>TERNES</v>
      </c>
      <c r="B1637" t="s">
        <v>251</v>
      </c>
      <c r="C1637" s="36" t="str">
        <f>INDEX('Base de données Mono'!B:B,MATCH(B1637,'Base de données Mono'!D:D,0))</f>
        <v>SES8</v>
      </c>
      <c r="D1637" s="36" t="str">
        <f>INDEX('Base de données Mono'!A:A,MATCH(B1637,'Base de données Mono'!D:D,0))</f>
        <v>AD</v>
      </c>
      <c r="E1637" s="37" t="s">
        <v>303</v>
      </c>
      <c r="F1637" s="41">
        <f t="shared" si="446"/>
        <v>18</v>
      </c>
      <c r="G1637" s="41">
        <f t="shared" si="447"/>
        <v>4</v>
      </c>
      <c r="I1637" s="131">
        <f>INDEX('Base de données Mono'!K:K,MATCH(B1637,'Base de données Mono'!D:D,0))</f>
        <v>0.1875</v>
      </c>
      <c r="J1637" s="131">
        <f>INDEX('Base de données Mono'!L:L,MATCH(B1637,'Base de données Mono'!D:D,0))</f>
        <v>0.89583333333333337</v>
      </c>
      <c r="K1637" s="131">
        <f>INDEX('Base de données Mono'!M:M,MATCH(B1637,'Base de données Mono'!D:D,0))</f>
        <v>0.22916666666666666</v>
      </c>
      <c r="L1637" s="131">
        <f>INDEX('Base de données Mono'!N:N,MATCH(B1637,'Base de données Mono'!D:D,0))</f>
        <v>0.8125</v>
      </c>
      <c r="M1637" s="33" t="s">
        <v>46</v>
      </c>
      <c r="N1637" s="33">
        <f>IF(AND(E1637="Electricité",M1637="Hiver"),INDEX('Base de données Mono'!E:E,MATCH(B1637,'Base de données Mono'!D:D,0)),IF(AND(E1637="Electricité",M1637="Mi-saison"),INDEX('Base de données Mono'!F:F,MATCH(B1637,'Base de données Mono'!D:D,0)),IF(AND(E1637="Electricité",M1637="Eté"),INDEX('Base de données Mono'!G:G,MATCH(B1637,'Base de données Mono'!D:D,0)),IF(AND(E1637="Gaz",M1637="Hiver"),INDEX('Base de données Mono'!J:J,MATCH(B1637,'Base de données Mono'!D:D,0)),IF(AND(E1637="Gaz",M1637="Mi-saison"),INDEX('Base de données Mono'!#REF!,MATCH(B1637,'Base de données Mono'!D:D,0)),IF(AND(E1637="Gaz",M1637="Eté"),INDEX('Base de données Mono'!#REF!,MATCH(B1637,'Base de données Mono'!D:D,0)),"-"))))))</f>
        <v>80</v>
      </c>
      <c r="O1637" s="123">
        <v>45411</v>
      </c>
      <c r="P1637" s="123">
        <v>45413</v>
      </c>
      <c r="Q1637" s="34">
        <v>130</v>
      </c>
      <c r="R1637" s="33">
        <f t="shared" si="448"/>
        <v>50</v>
      </c>
      <c r="S1637" s="34">
        <v>0.5</v>
      </c>
      <c r="T1637" s="34">
        <f t="shared" si="451"/>
        <v>2</v>
      </c>
      <c r="U1637" s="33">
        <f t="shared" si="449"/>
        <v>50</v>
      </c>
      <c r="V1637" s="38" t="s">
        <v>827</v>
      </c>
      <c r="W1637" s="39">
        <f t="shared" si="450"/>
        <v>0.625</v>
      </c>
      <c r="X1637" s="40" t="s">
        <v>304</v>
      </c>
      <c r="Y1637" s="40" t="s">
        <v>284</v>
      </c>
      <c r="Z1637" s="40" t="s">
        <v>307</v>
      </c>
      <c r="AA1637" s="33" t="s">
        <v>313</v>
      </c>
      <c r="AB1637" s="95"/>
      <c r="AC1637" s="95"/>
    </row>
    <row r="1638" spans="1:29" ht="14.45" hidden="1" customHeight="1" x14ac:dyDescent="0.25">
      <c r="A1638" s="36" t="str">
        <f>INDEX('Base de données Mono'!C:C,MATCH(B1638,'Base de données Mono'!D:D,0))</f>
        <v>LES TOITS DE BOULOGNE</v>
      </c>
      <c r="B1638" t="s">
        <v>158</v>
      </c>
      <c r="C1638" s="36" t="str">
        <f>INDEX('Base de données Mono'!B:B,MATCH(B1638,'Base de données Mono'!D:D,0))</f>
        <v>SES8</v>
      </c>
      <c r="D1638" s="36" t="str">
        <f>INDEX('Base de données Mono'!A:A,MATCH(B1638,'Base de données Mono'!D:D,0))</f>
        <v>AD</v>
      </c>
      <c r="E1638" s="37" t="s">
        <v>303</v>
      </c>
      <c r="F1638" s="41">
        <f t="shared" ref="F1638:F1664" si="452">IF(O1638="","-",IF(AND(X1638="Nuit",WEEKDAY(O1638,2)=7,O1638&lt;&gt;P1638),WEEKNUM(O1638,2),WEEKNUM(O1638,2)-1))+1</f>
        <v>18</v>
      </c>
      <c r="G1638" s="41">
        <f t="shared" ref="G1638:G1664" si="453">IF(O1638="","-",MONTH(O1638))</f>
        <v>4</v>
      </c>
      <c r="I1638" s="131">
        <f>INDEX('Base de données Mono'!K:K,MATCH(B1638,'Base de données Mono'!D:D,0))</f>
        <v>0.22916666666666666</v>
      </c>
      <c r="J1638" s="131">
        <f>INDEX('Base de données Mono'!L:L,MATCH(B1638,'Base de données Mono'!D:D,0))</f>
        <v>0.875</v>
      </c>
      <c r="K1638" s="131">
        <f>INDEX('Base de données Mono'!M:M,MATCH(B1638,'Base de données Mono'!D:D,0))</f>
        <v>0.29166666666666669</v>
      </c>
      <c r="L1638" s="131">
        <f>INDEX('Base de données Mono'!N:N,MATCH(B1638,'Base de données Mono'!D:D,0))</f>
        <v>0.83333333333333337</v>
      </c>
      <c r="M1638" s="33" t="s">
        <v>46</v>
      </c>
      <c r="N1638" s="33">
        <f>IF(AND(E1638="Electricité",M1638="Hiver"),INDEX('Base de données Mono'!E:E,MATCH(B1638,'Base de données Mono'!D:D,0)),IF(AND(E1638="Electricité",M1638="Mi-saison"),INDEX('Base de données Mono'!F:F,MATCH(B1638,'Base de données Mono'!D:D,0)),IF(AND(E1638="Electricité",M1638="Eté"),INDEX('Base de données Mono'!G:G,MATCH(B1638,'Base de données Mono'!D:D,0)),IF(AND(E1638="Gaz",M1638="Hiver"),INDEX('Base de données Mono'!J:J,MATCH(B1638,'Base de données Mono'!D:D,0)),IF(AND(E1638="Gaz",M1638="Mi-saison"),INDEX('Base de données Mono'!#REF!,MATCH(B1638,'Base de données Mono'!D:D,0)),IF(AND(E1638="Gaz",M1638="Eté"),INDEX('Base de données Mono'!#REF!,MATCH(B1638,'Base de données Mono'!D:D,0)),"-"))))))</f>
        <v>70</v>
      </c>
      <c r="O1638" s="123">
        <v>45410</v>
      </c>
      <c r="P1638" s="123">
        <v>45411</v>
      </c>
      <c r="Q1638" s="34">
        <v>100</v>
      </c>
      <c r="R1638" s="33">
        <f t="shared" ref="R1638:R1664" si="454">IF(Q1638="","",Q1638-N1638)</f>
        <v>30</v>
      </c>
      <c r="S1638" s="34">
        <v>8.5</v>
      </c>
      <c r="T1638" s="34">
        <f t="shared" si="451"/>
        <v>1</v>
      </c>
      <c r="U1638" s="33">
        <f t="shared" ref="U1638:U1664" si="455">R1638*S1638*T1638</f>
        <v>255</v>
      </c>
      <c r="V1638" s="38" t="s">
        <v>827</v>
      </c>
      <c r="W1638" s="39">
        <f t="shared" ref="W1638:W1664" si="456">IFERROR(IF(E1638="Gaz","-",R1638/N1638),"-")</f>
        <v>0.42857142857142855</v>
      </c>
      <c r="X1638" s="40" t="s">
        <v>304</v>
      </c>
      <c r="Y1638" s="40" t="s">
        <v>284</v>
      </c>
      <c r="Z1638" s="40" t="s">
        <v>305</v>
      </c>
      <c r="AA1638" s="33" t="s">
        <v>771</v>
      </c>
      <c r="AB1638" s="95"/>
      <c r="AC1638" s="95"/>
    </row>
    <row r="1639" spans="1:29" ht="14.45" hidden="1" customHeight="1" x14ac:dyDescent="0.25">
      <c r="A1639" s="36" t="str">
        <f>INDEX('Base de données Mono'!C:C,MATCH(B1639,'Base de données Mono'!D:D,0))</f>
        <v>LES TOITS DE BOULOGNE</v>
      </c>
      <c r="B1639" t="s">
        <v>158</v>
      </c>
      <c r="C1639" s="36" t="str">
        <f>INDEX('Base de données Mono'!B:B,MATCH(B1639,'Base de données Mono'!D:D,0))</f>
        <v>SES8</v>
      </c>
      <c r="D1639" s="36" t="str">
        <f>INDEX('Base de données Mono'!A:A,MATCH(B1639,'Base de données Mono'!D:D,0))</f>
        <v>AD</v>
      </c>
      <c r="E1639" s="37" t="s">
        <v>303</v>
      </c>
      <c r="F1639" s="41">
        <f>IF(O1639="","-",IF(AND(X1639="Nuit",WEEKDAY(O1639,2)=7,O1639&lt;&gt;P1639),WEEKNUM(O1639,2),WEEKNUM(O1639,2)-1))+1</f>
        <v>18</v>
      </c>
      <c r="G1639" s="41">
        <f>IF(O1639="","-",MONTH(O1639))</f>
        <v>4</v>
      </c>
      <c r="I1639" s="131">
        <f>INDEX('Base de données Mono'!K:K,MATCH(B1639,'Base de données Mono'!D:D,0))</f>
        <v>0.22916666666666666</v>
      </c>
      <c r="J1639" s="131">
        <f>INDEX('Base de données Mono'!L:L,MATCH(B1639,'Base de données Mono'!D:D,0))</f>
        <v>0.875</v>
      </c>
      <c r="K1639" s="131">
        <f>INDEX('Base de données Mono'!M:M,MATCH(B1639,'Base de données Mono'!D:D,0))</f>
        <v>0.29166666666666669</v>
      </c>
      <c r="L1639" s="131">
        <f>INDEX('Base de données Mono'!N:N,MATCH(B1639,'Base de données Mono'!D:D,0))</f>
        <v>0.83333333333333337</v>
      </c>
      <c r="M1639" s="33" t="s">
        <v>46</v>
      </c>
      <c r="N1639" s="33">
        <f>IF(AND(E1639="Electricité",M1639="Hiver"),INDEX('Base de données Mono'!E:E,MATCH(B1639,'Base de données Mono'!D:D,0)),IF(AND(E1639="Electricité",M1639="Mi-saison"),INDEX('Base de données Mono'!F:F,MATCH(B1639,'Base de données Mono'!D:D,0)),IF(AND(E1639="Electricité",M1639="Eté"),INDEX('Base de données Mono'!G:G,MATCH(B1639,'Base de données Mono'!D:D,0)),IF(AND(E1639="Gaz",M1639="Hiver"),INDEX('Base de données Mono'!J:J,MATCH(B1639,'Base de données Mono'!D:D,0)),IF(AND(E1639="Gaz",M1639="Mi-saison"),INDEX('Base de données Mono'!#REF!,MATCH(B1639,'Base de données Mono'!D:D,0)),IF(AND(E1639="Gaz",M1639="Eté"),INDEX('Base de données Mono'!#REF!,MATCH(B1639,'Base de données Mono'!D:D,0)),"-"))))))</f>
        <v>70</v>
      </c>
      <c r="O1639" s="123">
        <v>45411</v>
      </c>
      <c r="P1639" s="123">
        <v>45413</v>
      </c>
      <c r="Q1639" s="34">
        <v>145</v>
      </c>
      <c r="R1639" s="33">
        <f t="shared" si="454"/>
        <v>75</v>
      </c>
      <c r="S1639" s="34">
        <v>0.5</v>
      </c>
      <c r="T1639" s="34">
        <f t="shared" si="451"/>
        <v>2</v>
      </c>
      <c r="U1639" s="33">
        <f t="shared" si="455"/>
        <v>75</v>
      </c>
      <c r="V1639" s="38" t="s">
        <v>827</v>
      </c>
      <c r="W1639" s="39">
        <f t="shared" si="456"/>
        <v>1.0714285714285714</v>
      </c>
      <c r="X1639" s="40" t="s">
        <v>304</v>
      </c>
      <c r="Y1639" s="40" t="s">
        <v>284</v>
      </c>
      <c r="Z1639" s="40" t="s">
        <v>307</v>
      </c>
      <c r="AA1639" s="33" t="s">
        <v>313</v>
      </c>
      <c r="AB1639" s="95"/>
      <c r="AC1639" s="95"/>
    </row>
    <row r="1640" spans="1:29" ht="14.45" hidden="1" customHeight="1" x14ac:dyDescent="0.25">
      <c r="A1640" s="36" t="str">
        <f>INDEX('Base de données Mono'!C:C,MATCH(B1640,'Base de données Mono'!D:D,0))</f>
        <v>LES TOITS DE BOULOGNE</v>
      </c>
      <c r="B1640" t="s">
        <v>158</v>
      </c>
      <c r="C1640" s="36" t="str">
        <f>INDEX('Base de données Mono'!B:B,MATCH(B1640,'Base de données Mono'!D:D,0))</f>
        <v>SES8</v>
      </c>
      <c r="D1640" s="36" t="str">
        <f>INDEX('Base de données Mono'!A:A,MATCH(B1640,'Base de données Mono'!D:D,0))</f>
        <v>AD</v>
      </c>
      <c r="E1640" s="37" t="s">
        <v>303</v>
      </c>
      <c r="F1640" s="41">
        <f t="shared" si="452"/>
        <v>18</v>
      </c>
      <c r="G1640" s="41">
        <f t="shared" si="453"/>
        <v>4</v>
      </c>
      <c r="I1640" s="131">
        <f>INDEX('Base de données Mono'!K:K,MATCH(B1640,'Base de données Mono'!D:D,0))</f>
        <v>0.22916666666666666</v>
      </c>
      <c r="J1640" s="131">
        <f>INDEX('Base de données Mono'!L:L,MATCH(B1640,'Base de données Mono'!D:D,0))</f>
        <v>0.875</v>
      </c>
      <c r="K1640" s="131">
        <f>INDEX('Base de données Mono'!M:M,MATCH(B1640,'Base de données Mono'!D:D,0))</f>
        <v>0.29166666666666669</v>
      </c>
      <c r="L1640" s="131">
        <f>INDEX('Base de données Mono'!N:N,MATCH(B1640,'Base de données Mono'!D:D,0))</f>
        <v>0.83333333333333337</v>
      </c>
      <c r="M1640" s="33" t="s">
        <v>46</v>
      </c>
      <c r="N1640" s="33">
        <f>IF(AND(E1640="Electricité",M1640="Hiver"),INDEX('Base de données Mono'!E:E,MATCH(B1640,'Base de données Mono'!D:D,0)),IF(AND(E1640="Electricité",M1640="Mi-saison"),INDEX('Base de données Mono'!F:F,MATCH(B1640,'Base de données Mono'!D:D,0)),IF(AND(E1640="Electricité",M1640="Eté"),INDEX('Base de données Mono'!G:G,MATCH(B1640,'Base de données Mono'!D:D,0)),IF(AND(E1640="Gaz",M1640="Hiver"),INDEX('Base de données Mono'!J:J,MATCH(B1640,'Base de données Mono'!D:D,0)),IF(AND(E1640="Gaz",M1640="Mi-saison"),INDEX('Base de données Mono'!#REF!,MATCH(B1640,'Base de données Mono'!D:D,0)),IF(AND(E1640="Gaz",M1640="Eté"),INDEX('Base de données Mono'!#REF!,MATCH(B1640,'Base de données Mono'!D:D,0)),"-"))))))</f>
        <v>70</v>
      </c>
      <c r="O1640" s="123">
        <v>45411</v>
      </c>
      <c r="P1640" s="123">
        <v>45413</v>
      </c>
      <c r="Q1640" s="34">
        <v>100</v>
      </c>
      <c r="R1640" s="33">
        <f t="shared" si="454"/>
        <v>30</v>
      </c>
      <c r="S1640" s="34">
        <v>8</v>
      </c>
      <c r="T1640" s="34">
        <f t="shared" si="451"/>
        <v>2</v>
      </c>
      <c r="U1640" s="33">
        <f t="shared" si="455"/>
        <v>480</v>
      </c>
      <c r="V1640" s="38" t="s">
        <v>827</v>
      </c>
      <c r="W1640" s="39">
        <f t="shared" si="456"/>
        <v>0.42857142857142855</v>
      </c>
      <c r="X1640" s="40" t="s">
        <v>304</v>
      </c>
      <c r="Y1640" s="40" t="s">
        <v>284</v>
      </c>
      <c r="Z1640" s="40" t="s">
        <v>305</v>
      </c>
      <c r="AA1640" s="33" t="s">
        <v>771</v>
      </c>
      <c r="AB1640" s="95"/>
      <c r="AC1640" s="95"/>
    </row>
    <row r="1641" spans="1:29" ht="14.45" hidden="1" customHeight="1" x14ac:dyDescent="0.25">
      <c r="A1641" s="36" t="str">
        <f>INDEX('Base de données Mono'!C:C,MATCH(B1641,'Base de données Mono'!D:D,0))</f>
        <v>VAUGIRARD</v>
      </c>
      <c r="B1641" t="s">
        <v>262</v>
      </c>
      <c r="C1641" s="36" t="str">
        <f>INDEX('Base de données Mono'!B:B,MATCH(B1641,'Base de données Mono'!D:D,0))</f>
        <v>SES8</v>
      </c>
      <c r="D1641" s="36" t="str">
        <f>INDEX('Base de données Mono'!A:A,MATCH(B1641,'Base de données Mono'!D:D,0))</f>
        <v>AD</v>
      </c>
      <c r="E1641" s="37" t="s">
        <v>303</v>
      </c>
      <c r="F1641" s="41">
        <f t="shared" si="452"/>
        <v>18</v>
      </c>
      <c r="G1641" s="41">
        <f t="shared" si="453"/>
        <v>4</v>
      </c>
      <c r="I1641" s="131">
        <f>INDEX('Base de données Mono'!K:K,MATCH(B1641,'Base de données Mono'!D:D,0))</f>
        <v>0.20138888888888887</v>
      </c>
      <c r="J1641" s="131">
        <f>INDEX('Base de données Mono'!L:L,MATCH(B1641,'Base de données Mono'!D:D,0))</f>
        <v>0.92708333333333337</v>
      </c>
      <c r="K1641" s="131">
        <f>INDEX('Base de données Mono'!M:M,MATCH(B1641,'Base de données Mono'!D:D,0))</f>
        <v>0.2638888888888889</v>
      </c>
      <c r="L1641" s="131">
        <f>INDEX('Base de données Mono'!N:N,MATCH(B1641,'Base de données Mono'!D:D,0))</f>
        <v>0.5625</v>
      </c>
      <c r="M1641" s="33" t="s">
        <v>46</v>
      </c>
      <c r="N1641" s="33">
        <f>IF(AND(E1641="Electricité",M1641="Hiver"),INDEX('Base de données Mono'!E:E,MATCH(B1641,'Base de données Mono'!D:D,0)),IF(AND(E1641="Electricité",M1641="Mi-saison"),INDEX('Base de données Mono'!F:F,MATCH(B1641,'Base de données Mono'!D:D,0)),IF(AND(E1641="Electricité",M1641="Eté"),INDEX('Base de données Mono'!G:G,MATCH(B1641,'Base de données Mono'!D:D,0)),IF(AND(E1641="Gaz",M1641="Hiver"),INDEX('Base de données Mono'!J:J,MATCH(B1641,'Base de données Mono'!D:D,0)),IF(AND(E1641="Gaz",M1641="Mi-saison"),INDEX('Base de données Mono'!#REF!,MATCH(B1641,'Base de données Mono'!D:D,0)),IF(AND(E1641="Gaz",M1641="Eté"),INDEX('Base de données Mono'!#REF!,MATCH(B1641,'Base de données Mono'!D:D,0)),"-"))))))</f>
        <v>80</v>
      </c>
      <c r="O1641" s="123">
        <v>45410</v>
      </c>
      <c r="P1641" s="123">
        <v>45412</v>
      </c>
      <c r="Q1641" s="34">
        <v>100</v>
      </c>
      <c r="R1641" s="33">
        <f t="shared" si="454"/>
        <v>20</v>
      </c>
      <c r="S1641" s="34">
        <v>6</v>
      </c>
      <c r="T1641" s="34">
        <f t="shared" si="451"/>
        <v>2</v>
      </c>
      <c r="U1641" s="33">
        <f t="shared" si="455"/>
        <v>240</v>
      </c>
      <c r="V1641" s="38" t="s">
        <v>827</v>
      </c>
      <c r="W1641" s="39">
        <f t="shared" si="456"/>
        <v>0.25</v>
      </c>
      <c r="X1641" s="40" t="s">
        <v>304</v>
      </c>
      <c r="Y1641" s="40" t="s">
        <v>284</v>
      </c>
      <c r="Z1641" s="40" t="s">
        <v>305</v>
      </c>
      <c r="AA1641" s="33" t="s">
        <v>771</v>
      </c>
      <c r="AB1641" s="95"/>
      <c r="AC1641" s="95"/>
    </row>
    <row r="1642" spans="1:29" ht="14.45" hidden="1" customHeight="1" x14ac:dyDescent="0.25">
      <c r="A1642" s="36" t="str">
        <f>INDEX('Base de données Mono'!C:C,MATCH(B1642,'Base de données Mono'!D:D,0))</f>
        <v>VAUGIRARD</v>
      </c>
      <c r="B1642" t="s">
        <v>262</v>
      </c>
      <c r="C1642" s="36" t="str">
        <f>INDEX('Base de données Mono'!B:B,MATCH(B1642,'Base de données Mono'!D:D,0))</f>
        <v>SES8</v>
      </c>
      <c r="D1642" s="36" t="str">
        <f>INDEX('Base de données Mono'!A:A,MATCH(B1642,'Base de données Mono'!D:D,0))</f>
        <v>AD</v>
      </c>
      <c r="E1642" s="37" t="s">
        <v>303</v>
      </c>
      <c r="F1642" s="41">
        <f t="shared" ref="F1642" si="457">IF(O1642="","-",IF(AND(X1642="Nuit",WEEKDAY(O1642,2)=7,O1642&lt;&gt;P1642),WEEKNUM(O1642,2),WEEKNUM(O1642,2)-1))+1</f>
        <v>18</v>
      </c>
      <c r="G1642" s="41">
        <f t="shared" ref="G1642" si="458">IF(O1642="","-",MONTH(O1642))</f>
        <v>4</v>
      </c>
      <c r="I1642" s="131">
        <f>INDEX('Base de données Mono'!K:K,MATCH(B1642,'Base de données Mono'!D:D,0))</f>
        <v>0.20138888888888887</v>
      </c>
      <c r="J1642" s="131">
        <f>INDEX('Base de données Mono'!L:L,MATCH(B1642,'Base de données Mono'!D:D,0))</f>
        <v>0.92708333333333337</v>
      </c>
      <c r="K1642" s="131">
        <f>INDEX('Base de données Mono'!M:M,MATCH(B1642,'Base de données Mono'!D:D,0))</f>
        <v>0.2638888888888889</v>
      </c>
      <c r="L1642" s="131">
        <f>INDEX('Base de données Mono'!N:N,MATCH(B1642,'Base de données Mono'!D:D,0))</f>
        <v>0.5625</v>
      </c>
      <c r="M1642" s="33" t="s">
        <v>46</v>
      </c>
      <c r="N1642" s="33">
        <f>IF(AND(E1642="Electricité",M1642="Hiver"),INDEX('Base de données Mono'!E:E,MATCH(B1642,'Base de données Mono'!D:D,0)),IF(AND(E1642="Electricité",M1642="Mi-saison"),INDEX('Base de données Mono'!F:F,MATCH(B1642,'Base de données Mono'!D:D,0)),IF(AND(E1642="Electricité",M1642="Eté"),INDEX('Base de données Mono'!G:G,MATCH(B1642,'Base de données Mono'!D:D,0)),IF(AND(E1642="Gaz",M1642="Hiver"),INDEX('Base de données Mono'!J:J,MATCH(B1642,'Base de données Mono'!D:D,0)),IF(AND(E1642="Gaz",M1642="Mi-saison"),INDEX('Base de données Mono'!#REF!,MATCH(B1642,'Base de données Mono'!D:D,0)),IF(AND(E1642="Gaz",M1642="Eté"),INDEX('Base de données Mono'!#REF!,MATCH(B1642,'Base de données Mono'!D:D,0)),"-"))))))</f>
        <v>80</v>
      </c>
      <c r="O1642" s="123">
        <v>45410</v>
      </c>
      <c r="P1642" s="123">
        <v>45412</v>
      </c>
      <c r="Q1642" s="34">
        <v>185</v>
      </c>
      <c r="R1642" s="33">
        <f t="shared" ref="R1642" si="459">IF(Q1642="","",Q1642-N1642)</f>
        <v>105</v>
      </c>
      <c r="S1642" s="34">
        <v>0.6</v>
      </c>
      <c r="T1642" s="34">
        <f t="shared" ref="T1642" si="460">P1642-O1642</f>
        <v>2</v>
      </c>
      <c r="U1642" s="33">
        <f t="shared" ref="U1642" si="461">R1642*S1642*T1642</f>
        <v>126</v>
      </c>
      <c r="V1642" s="38" t="s">
        <v>827</v>
      </c>
      <c r="W1642" s="39">
        <f t="shared" ref="W1642" si="462">IFERROR(IF(E1642="Gaz","-",R1642/N1642),"-")</f>
        <v>1.3125</v>
      </c>
      <c r="X1642" s="40" t="s">
        <v>304</v>
      </c>
      <c r="Y1642" s="40" t="s">
        <v>284</v>
      </c>
      <c r="Z1642" s="40" t="s">
        <v>311</v>
      </c>
      <c r="AA1642" s="33" t="s">
        <v>775</v>
      </c>
      <c r="AB1642" s="95"/>
      <c r="AC1642" s="95"/>
    </row>
    <row r="1643" spans="1:29" ht="14.45" hidden="1" customHeight="1" x14ac:dyDescent="0.25">
      <c r="A1643" s="36" t="str">
        <f>INDEX('Base de données Mono'!C:C,MATCH(B1643,'Base de données Mono'!D:D,0))</f>
        <v>VAUGIRARD</v>
      </c>
      <c r="B1643" t="s">
        <v>262</v>
      </c>
      <c r="C1643" s="36" t="str">
        <f>INDEX('Base de données Mono'!B:B,MATCH(B1643,'Base de données Mono'!D:D,0))</f>
        <v>SES8</v>
      </c>
      <c r="D1643" s="36" t="str">
        <f>INDEX('Base de données Mono'!A:A,MATCH(B1643,'Base de données Mono'!D:D,0))</f>
        <v>AD</v>
      </c>
      <c r="E1643" s="37" t="s">
        <v>303</v>
      </c>
      <c r="F1643" s="41">
        <f t="shared" si="452"/>
        <v>18</v>
      </c>
      <c r="G1643" s="41">
        <f t="shared" si="453"/>
        <v>4</v>
      </c>
      <c r="I1643" s="131">
        <f>INDEX('Base de données Mono'!K:K,MATCH(B1643,'Base de données Mono'!D:D,0))</f>
        <v>0.20138888888888887</v>
      </c>
      <c r="J1643" s="131">
        <f>INDEX('Base de données Mono'!L:L,MATCH(B1643,'Base de données Mono'!D:D,0))</f>
        <v>0.92708333333333337</v>
      </c>
      <c r="K1643" s="131">
        <f>INDEX('Base de données Mono'!M:M,MATCH(B1643,'Base de données Mono'!D:D,0))</f>
        <v>0.2638888888888889</v>
      </c>
      <c r="L1643" s="131">
        <f>INDEX('Base de données Mono'!N:N,MATCH(B1643,'Base de données Mono'!D:D,0))</f>
        <v>0.5625</v>
      </c>
      <c r="M1643" s="33" t="s">
        <v>46</v>
      </c>
      <c r="N1643" s="33">
        <f>IF(AND(E1643="Electricité",M1643="Hiver"),INDEX('Base de données Mono'!E:E,MATCH(B1643,'Base de données Mono'!D:D,0)),IF(AND(E1643="Electricité",M1643="Mi-saison"),INDEX('Base de données Mono'!F:F,MATCH(B1643,'Base de données Mono'!D:D,0)),IF(AND(E1643="Electricité",M1643="Eté"),INDEX('Base de données Mono'!G:G,MATCH(B1643,'Base de données Mono'!D:D,0)),IF(AND(E1643="Gaz",M1643="Hiver"),INDEX('Base de données Mono'!J:J,MATCH(B1643,'Base de données Mono'!D:D,0)),IF(AND(E1643="Gaz",M1643="Mi-saison"),INDEX('Base de données Mono'!#REF!,MATCH(B1643,'Base de données Mono'!D:D,0)),IF(AND(E1643="Gaz",M1643="Eté"),INDEX('Base de données Mono'!#REF!,MATCH(B1643,'Base de données Mono'!D:D,0)),"-"))))))</f>
        <v>80</v>
      </c>
      <c r="O1643" s="123">
        <v>45412</v>
      </c>
      <c r="P1643" s="123">
        <v>45413</v>
      </c>
      <c r="Q1643" s="34">
        <v>95</v>
      </c>
      <c r="R1643" s="33">
        <f t="shared" si="454"/>
        <v>15</v>
      </c>
      <c r="S1643" s="34">
        <v>6.5</v>
      </c>
      <c r="T1643" s="34">
        <f t="shared" si="451"/>
        <v>1</v>
      </c>
      <c r="U1643" s="33">
        <f t="shared" si="455"/>
        <v>97.5</v>
      </c>
      <c r="V1643" s="38" t="s">
        <v>827</v>
      </c>
      <c r="W1643" s="39">
        <f t="shared" si="456"/>
        <v>0.1875</v>
      </c>
      <c r="X1643" s="40" t="s">
        <v>304</v>
      </c>
      <c r="Y1643" s="40" t="s">
        <v>284</v>
      </c>
      <c r="Z1643" s="40" t="s">
        <v>305</v>
      </c>
      <c r="AA1643" s="33" t="s">
        <v>771</v>
      </c>
      <c r="AB1643" s="95"/>
      <c r="AC1643" s="95"/>
    </row>
    <row r="1644" spans="1:29" ht="14.45" hidden="1" customHeight="1" x14ac:dyDescent="0.25">
      <c r="A1644" s="36" t="str">
        <f>INDEX('Base de données Mono'!C:C,MATCH(B1644,'Base de données Mono'!D:D,0))</f>
        <v>SAINT MAUR</v>
      </c>
      <c r="B1644" t="s">
        <v>235</v>
      </c>
      <c r="C1644" s="36" t="str">
        <f>INDEX('Base de données Mono'!B:B,MATCH(B1644,'Base de données Mono'!D:D,0))</f>
        <v>SES8</v>
      </c>
      <c r="D1644" s="36" t="str">
        <f>INDEX('Base de données Mono'!A:A,MATCH(B1644,'Base de données Mono'!D:D,0))</f>
        <v>JG</v>
      </c>
      <c r="E1644" s="37" t="s">
        <v>303</v>
      </c>
      <c r="F1644" s="41">
        <f t="shared" si="452"/>
        <v>18</v>
      </c>
      <c r="G1644" s="41">
        <f t="shared" si="453"/>
        <v>4</v>
      </c>
      <c r="I1644" s="131">
        <f>INDEX('Base de données Mono'!K:K,MATCH(B1644,'Base de données Mono'!D:D,0))</f>
        <v>0.24305555555555555</v>
      </c>
      <c r="J1644" s="131">
        <f>INDEX('Base de données Mono'!L:L,MATCH(B1644,'Base de données Mono'!D:D,0))</f>
        <v>0.875</v>
      </c>
      <c r="K1644" s="131">
        <f>INDEX('Base de données Mono'!M:M,MATCH(B1644,'Base de données Mono'!D:D,0))</f>
        <v>0.28472222222222221</v>
      </c>
      <c r="L1644" s="131">
        <f>INDEX('Base de données Mono'!N:N,MATCH(B1644,'Base de données Mono'!D:D,0))</f>
        <v>0.55208333333333337</v>
      </c>
      <c r="M1644" s="33" t="s">
        <v>46</v>
      </c>
      <c r="N1644" s="33">
        <f>IF(AND(E1644="Electricité",M1644="Hiver"),INDEX('Base de données Mono'!E:E,MATCH(B1644,'Base de données Mono'!D:D,0)),IF(AND(E1644="Electricité",M1644="Mi-saison"),INDEX('Base de données Mono'!F:F,MATCH(B1644,'Base de données Mono'!D:D,0)),IF(AND(E1644="Electricité",M1644="Eté"),INDEX('Base de données Mono'!G:G,MATCH(B1644,'Base de données Mono'!D:D,0)),IF(AND(E1644="Gaz",M1644="Hiver"),INDEX('Base de données Mono'!J:J,MATCH(B1644,'Base de données Mono'!D:D,0)),IF(AND(E1644="Gaz",M1644="Mi-saison"),INDEX('Base de données Mono'!#REF!,MATCH(B1644,'Base de données Mono'!D:D,0)),IF(AND(E1644="Gaz",M1644="Eté"),INDEX('Base de données Mono'!#REF!,MATCH(B1644,'Base de données Mono'!D:D,0)),"-"))))))</f>
        <v>50</v>
      </c>
      <c r="O1644" s="123">
        <v>45410</v>
      </c>
      <c r="P1644" s="123">
        <v>45412</v>
      </c>
      <c r="Q1644" s="34">
        <v>60</v>
      </c>
      <c r="R1644" s="33">
        <f t="shared" si="454"/>
        <v>10</v>
      </c>
      <c r="S1644" s="34">
        <v>8.8000000000000007</v>
      </c>
      <c r="T1644" s="34">
        <f t="shared" si="451"/>
        <v>2</v>
      </c>
      <c r="U1644" s="33">
        <f t="shared" si="455"/>
        <v>176</v>
      </c>
      <c r="V1644" s="38" t="s">
        <v>827</v>
      </c>
      <c r="W1644" s="39">
        <f t="shared" si="456"/>
        <v>0.2</v>
      </c>
      <c r="X1644" s="40" t="s">
        <v>304</v>
      </c>
      <c r="Y1644" s="40" t="s">
        <v>284</v>
      </c>
      <c r="Z1644" s="40" t="s">
        <v>305</v>
      </c>
      <c r="AA1644" s="33" t="s">
        <v>771</v>
      </c>
      <c r="AB1644" s="95"/>
      <c r="AC1644" s="95"/>
    </row>
    <row r="1645" spans="1:29" ht="14.45" hidden="1" customHeight="1" x14ac:dyDescent="0.25">
      <c r="A1645" s="36" t="str">
        <f>INDEX('Base de données Mono'!C:C,MATCH(B1645,'Base de données Mono'!D:D,0))</f>
        <v>RUEIL MALMAISON</v>
      </c>
      <c r="B1645" t="s">
        <v>31</v>
      </c>
      <c r="C1645" s="36" t="str">
        <f>INDEX('Base de données Mono'!B:B,MATCH(B1645,'Base de données Mono'!D:D,0))</f>
        <v>SES8</v>
      </c>
      <c r="D1645" s="36" t="str">
        <f>INDEX('Base de données Mono'!A:A,MATCH(B1645,'Base de données Mono'!D:D,0))</f>
        <v>AD</v>
      </c>
      <c r="E1645" s="37" t="s">
        <v>303</v>
      </c>
      <c r="F1645" s="41">
        <f t="shared" si="452"/>
        <v>18</v>
      </c>
      <c r="G1645" s="41">
        <f t="shared" si="453"/>
        <v>4</v>
      </c>
      <c r="I1645" s="131">
        <f>INDEX('Base de données Mono'!K:K,MATCH(B1645,'Base de données Mono'!D:D,0))</f>
        <v>0.26041666666666669</v>
      </c>
      <c r="J1645" s="131">
        <f>INDEX('Base de données Mono'!L:L,MATCH(B1645,'Base de données Mono'!D:D,0))</f>
        <v>0.92708333333333337</v>
      </c>
      <c r="K1645" s="131">
        <f>INDEX('Base de données Mono'!M:M,MATCH(B1645,'Base de données Mono'!D:D,0))</f>
        <v>0.27777777777777779</v>
      </c>
      <c r="L1645" s="131">
        <f>INDEX('Base de données Mono'!N:N,MATCH(B1645,'Base de données Mono'!D:D,0))</f>
        <v>0.59375</v>
      </c>
      <c r="M1645" s="33" t="s">
        <v>46</v>
      </c>
      <c r="N1645" s="33">
        <f>IF(AND(E1645="Electricité",M1645="Hiver"),INDEX('Base de données Mono'!E:E,MATCH(B1645,'Base de données Mono'!D:D,0)),IF(AND(E1645="Electricité",M1645="Mi-saison"),INDEX('Base de données Mono'!F:F,MATCH(B1645,'Base de données Mono'!D:D,0)),IF(AND(E1645="Electricité",M1645="Eté"),INDEX('Base de données Mono'!G:G,MATCH(B1645,'Base de données Mono'!D:D,0)),IF(AND(E1645="Gaz",M1645="Hiver"),INDEX('Base de données Mono'!J:J,MATCH(B1645,'Base de données Mono'!D:D,0)),IF(AND(E1645="Gaz",M1645="Mi-saison"),INDEX('Base de données Mono'!#REF!,MATCH(B1645,'Base de données Mono'!D:D,0)),IF(AND(E1645="Gaz",M1645="Eté"),INDEX('Base de données Mono'!#REF!,MATCH(B1645,'Base de données Mono'!D:D,0)),"-"))))))</f>
        <v>65</v>
      </c>
      <c r="O1645" s="123">
        <v>45410</v>
      </c>
      <c r="P1645" s="123">
        <v>45411</v>
      </c>
      <c r="Q1645" s="34">
        <v>105</v>
      </c>
      <c r="R1645" s="33">
        <f t="shared" si="454"/>
        <v>40</v>
      </c>
      <c r="S1645" s="34">
        <v>5</v>
      </c>
      <c r="T1645" s="34">
        <f t="shared" si="451"/>
        <v>1</v>
      </c>
      <c r="U1645" s="33">
        <f t="shared" si="455"/>
        <v>200</v>
      </c>
      <c r="V1645" s="38" t="s">
        <v>827</v>
      </c>
      <c r="W1645" s="39">
        <f t="shared" si="456"/>
        <v>0.61538461538461542</v>
      </c>
      <c r="X1645" s="40" t="s">
        <v>304</v>
      </c>
      <c r="Y1645" s="40" t="s">
        <v>284</v>
      </c>
      <c r="Z1645" s="40" t="s">
        <v>305</v>
      </c>
      <c r="AA1645" s="33" t="s">
        <v>771</v>
      </c>
      <c r="AB1645" s="95"/>
      <c r="AC1645" s="95"/>
    </row>
    <row r="1646" spans="1:29" ht="14.45" hidden="1" customHeight="1" x14ac:dyDescent="0.25">
      <c r="A1646" s="36" t="str">
        <f>INDEX('Base de données Mono'!C:C,MATCH(B1646,'Base de données Mono'!D:D,0))</f>
        <v>RUEIL MALMAISON</v>
      </c>
      <c r="B1646" t="s">
        <v>31</v>
      </c>
      <c r="C1646" s="36" t="str">
        <f>INDEX('Base de données Mono'!B:B,MATCH(B1646,'Base de données Mono'!D:D,0))</f>
        <v>SES8</v>
      </c>
      <c r="D1646" s="36" t="str">
        <f>INDEX('Base de données Mono'!A:A,MATCH(B1646,'Base de données Mono'!D:D,0))</f>
        <v>AD</v>
      </c>
      <c r="E1646" s="37" t="s">
        <v>303</v>
      </c>
      <c r="F1646" s="41">
        <f t="shared" si="452"/>
        <v>18</v>
      </c>
      <c r="G1646" s="41">
        <f t="shared" si="453"/>
        <v>4</v>
      </c>
      <c r="I1646" s="131">
        <f>INDEX('Base de données Mono'!K:K,MATCH(B1646,'Base de données Mono'!D:D,0))</f>
        <v>0.26041666666666669</v>
      </c>
      <c r="J1646" s="131">
        <f>INDEX('Base de données Mono'!L:L,MATCH(B1646,'Base de données Mono'!D:D,0))</f>
        <v>0.92708333333333337</v>
      </c>
      <c r="K1646" s="131">
        <f>INDEX('Base de données Mono'!M:M,MATCH(B1646,'Base de données Mono'!D:D,0))</f>
        <v>0.27777777777777779</v>
      </c>
      <c r="L1646" s="131">
        <f>INDEX('Base de données Mono'!N:N,MATCH(B1646,'Base de données Mono'!D:D,0))</f>
        <v>0.59375</v>
      </c>
      <c r="M1646" s="33" t="s">
        <v>46</v>
      </c>
      <c r="N1646" s="33">
        <f>IF(AND(E1646="Electricité",M1646="Hiver"),INDEX('Base de données Mono'!E:E,MATCH(B1646,'Base de données Mono'!D:D,0)),IF(AND(E1646="Electricité",M1646="Mi-saison"),INDEX('Base de données Mono'!F:F,MATCH(B1646,'Base de données Mono'!D:D,0)),IF(AND(E1646="Electricité",M1646="Eté"),INDEX('Base de données Mono'!G:G,MATCH(B1646,'Base de données Mono'!D:D,0)),IF(AND(E1646="Gaz",M1646="Hiver"),INDEX('Base de données Mono'!J:J,MATCH(B1646,'Base de données Mono'!D:D,0)),IF(AND(E1646="Gaz",M1646="Mi-saison"),INDEX('Base de données Mono'!#REF!,MATCH(B1646,'Base de données Mono'!D:D,0)),IF(AND(E1646="Gaz",M1646="Eté"),INDEX('Base de données Mono'!#REF!,MATCH(B1646,'Base de données Mono'!D:D,0)),"-"))))))</f>
        <v>65</v>
      </c>
      <c r="O1646" s="123">
        <v>45410</v>
      </c>
      <c r="P1646" s="123">
        <v>45411</v>
      </c>
      <c r="Q1646" s="34">
        <v>75</v>
      </c>
      <c r="R1646" s="33">
        <f t="shared" si="454"/>
        <v>10</v>
      </c>
      <c r="S1646" s="34">
        <v>1</v>
      </c>
      <c r="T1646" s="34">
        <f t="shared" si="451"/>
        <v>1</v>
      </c>
      <c r="U1646" s="33">
        <f t="shared" si="455"/>
        <v>10</v>
      </c>
      <c r="V1646" s="38" t="s">
        <v>827</v>
      </c>
      <c r="W1646" s="39">
        <f t="shared" si="456"/>
        <v>0.15384615384615385</v>
      </c>
      <c r="X1646" s="40" t="s">
        <v>304</v>
      </c>
      <c r="Y1646" s="40" t="s">
        <v>284</v>
      </c>
      <c r="Z1646" s="40" t="s">
        <v>305</v>
      </c>
      <c r="AA1646" s="33" t="s">
        <v>771</v>
      </c>
      <c r="AB1646" s="95"/>
      <c r="AC1646" s="95"/>
    </row>
    <row r="1647" spans="1:29" ht="14.45" hidden="1" customHeight="1" x14ac:dyDescent="0.25">
      <c r="A1647" s="36" t="str">
        <f>INDEX('Base de données Mono'!C:C,MATCH(B1647,'Base de données Mono'!D:D,0))</f>
        <v>MANTES LA JOLIE</v>
      </c>
      <c r="B1647" t="s">
        <v>23</v>
      </c>
      <c r="C1647" s="36" t="str">
        <f>INDEX('Base de données Mono'!B:B,MATCH(B1647,'Base de données Mono'!D:D,0))</f>
        <v>SES8</v>
      </c>
      <c r="D1647" s="36" t="str">
        <f>INDEX('Base de données Mono'!A:A,MATCH(B1647,'Base de données Mono'!D:D,0))</f>
        <v>AD</v>
      </c>
      <c r="E1647" s="37" t="s">
        <v>303</v>
      </c>
      <c r="F1647" s="41">
        <f t="shared" si="452"/>
        <v>18</v>
      </c>
      <c r="G1647" s="41">
        <f t="shared" si="453"/>
        <v>4</v>
      </c>
      <c r="I1647" s="131">
        <f>INDEX('Base de données Mono'!K:K,MATCH(B1647,'Base de données Mono'!D:D,0))</f>
        <v>0.20138888888888887</v>
      </c>
      <c r="J1647" s="131">
        <f>INDEX('Base de données Mono'!L:L,MATCH(B1647,'Base de données Mono'!D:D,0))</f>
        <v>0.875</v>
      </c>
      <c r="K1647" s="131">
        <f>INDEX('Base de données Mono'!M:M,MATCH(B1647,'Base de données Mono'!D:D,0))</f>
        <v>0.24305555555555555</v>
      </c>
      <c r="L1647" s="131">
        <f>INDEX('Base de données Mono'!N:N,MATCH(B1647,'Base de données Mono'!D:D,0))</f>
        <v>0.83333333333333337</v>
      </c>
      <c r="M1647" s="33" t="s">
        <v>46</v>
      </c>
      <c r="N1647" s="33">
        <f>IF(AND(E1647="Electricité",M1647="Hiver"),INDEX('Base de données Mono'!E:E,MATCH(B1647,'Base de données Mono'!D:D,0)),IF(AND(E1647="Electricité",M1647="Mi-saison"),INDEX('Base de données Mono'!F:F,MATCH(B1647,'Base de données Mono'!D:D,0)),IF(AND(E1647="Electricité",M1647="Eté"),INDEX('Base de données Mono'!G:G,MATCH(B1647,'Base de données Mono'!D:D,0)),IF(AND(E1647="Gaz",M1647="Hiver"),INDEX('Base de données Mono'!J:J,MATCH(B1647,'Base de données Mono'!D:D,0)),IF(AND(E1647="Gaz",M1647="Mi-saison"),INDEX('Base de données Mono'!#REF!,MATCH(B1647,'Base de données Mono'!D:D,0)),IF(AND(E1647="Gaz",M1647="Eté"),INDEX('Base de données Mono'!#REF!,MATCH(B1647,'Base de données Mono'!D:D,0)),"-"))))))</f>
        <v>35</v>
      </c>
      <c r="O1647" s="123">
        <v>45412</v>
      </c>
      <c r="P1647" s="123">
        <v>45413</v>
      </c>
      <c r="Q1647" s="34">
        <v>40</v>
      </c>
      <c r="R1647" s="33">
        <f t="shared" si="454"/>
        <v>5</v>
      </c>
      <c r="S1647" s="34">
        <v>7.8</v>
      </c>
      <c r="T1647" s="34">
        <f t="shared" si="451"/>
        <v>1</v>
      </c>
      <c r="U1647" s="33">
        <f t="shared" si="455"/>
        <v>39</v>
      </c>
      <c r="V1647" s="38" t="s">
        <v>827</v>
      </c>
      <c r="W1647" s="39">
        <f t="shared" si="456"/>
        <v>0.14285714285714285</v>
      </c>
      <c r="X1647" s="40" t="s">
        <v>304</v>
      </c>
      <c r="Y1647" s="40" t="s">
        <v>283</v>
      </c>
      <c r="Z1647" s="40" t="s">
        <v>749</v>
      </c>
      <c r="AA1647" s="33" t="s">
        <v>749</v>
      </c>
      <c r="AB1647" s="95"/>
      <c r="AC1647" s="95"/>
    </row>
    <row r="1648" spans="1:29" ht="14.45" hidden="1" customHeight="1" x14ac:dyDescent="0.25">
      <c r="A1648" s="36" t="str">
        <f>INDEX('Base de données Mono'!C:C,MATCH(B1648,'Base de données Mono'!D:D,0))</f>
        <v>LYON LA PART DIEU</v>
      </c>
      <c r="B1648" t="s">
        <v>21</v>
      </c>
      <c r="C1648" s="36" t="str">
        <f>INDEX('Base de données Mono'!B:B,MATCH(B1648,'Base de données Mono'!D:D,0))</f>
        <v>SES8</v>
      </c>
      <c r="D1648" s="36" t="str">
        <f>INDEX('Base de données Mono'!A:A,MATCH(B1648,'Base de données Mono'!D:D,0))</f>
        <v>JG</v>
      </c>
      <c r="E1648" s="37" t="s">
        <v>303</v>
      </c>
      <c r="F1648" s="41">
        <f t="shared" si="452"/>
        <v>18</v>
      </c>
      <c r="G1648" s="41">
        <f t="shared" si="453"/>
        <v>4</v>
      </c>
      <c r="I1648" s="131">
        <f>INDEX('Base de données Mono'!K:K,MATCH(B1648,'Base de données Mono'!D:D,0))</f>
        <v>0.1875</v>
      </c>
      <c r="J1648" s="131">
        <f>INDEX('Base de données Mono'!L:L,MATCH(B1648,'Base de données Mono'!D:D,0))</f>
        <v>0.83333333333333337</v>
      </c>
      <c r="K1648" s="131">
        <f>INDEX('Base de données Mono'!M:M,MATCH(B1648,'Base de données Mono'!D:D,0))</f>
        <v>0.25</v>
      </c>
      <c r="L1648" s="131">
        <f>INDEX('Base de données Mono'!N:N,MATCH(B1648,'Base de données Mono'!D:D,0))</f>
        <v>0.5</v>
      </c>
      <c r="M1648" s="33" t="s">
        <v>46</v>
      </c>
      <c r="N1648" s="33">
        <f>IF(AND(E1648="Electricité",M1648="Hiver"),INDEX('Base de données Mono'!E:E,MATCH(B1648,'Base de données Mono'!D:D,0)),IF(AND(E1648="Electricité",M1648="Mi-saison"),INDEX('Base de données Mono'!F:F,MATCH(B1648,'Base de données Mono'!D:D,0)),IF(AND(E1648="Electricité",M1648="Eté"),INDEX('Base de données Mono'!G:G,MATCH(B1648,'Base de données Mono'!D:D,0)),IF(AND(E1648="Gaz",M1648="Hiver"),INDEX('Base de données Mono'!J:J,MATCH(B1648,'Base de données Mono'!D:D,0)),IF(AND(E1648="Gaz",M1648="Mi-saison"),INDEX('Base de données Mono'!#REF!,MATCH(B1648,'Base de données Mono'!D:D,0)),IF(AND(E1648="Gaz",M1648="Eté"),INDEX('Base de données Mono'!#REF!,MATCH(B1648,'Base de données Mono'!D:D,0)),"-"))))))</f>
        <v>45</v>
      </c>
      <c r="O1648" s="123">
        <v>45411</v>
      </c>
      <c r="P1648" s="123">
        <v>45413</v>
      </c>
      <c r="Q1648" s="34">
        <v>110</v>
      </c>
      <c r="R1648" s="33">
        <f t="shared" si="454"/>
        <v>65</v>
      </c>
      <c r="S1648" s="34">
        <v>1</v>
      </c>
      <c r="T1648" s="34">
        <f t="shared" si="451"/>
        <v>2</v>
      </c>
      <c r="U1648" s="33">
        <f t="shared" si="455"/>
        <v>130</v>
      </c>
      <c r="V1648" s="38" t="s">
        <v>827</v>
      </c>
      <c r="W1648" s="39">
        <f t="shared" si="456"/>
        <v>1.4444444444444444</v>
      </c>
      <c r="X1648" s="40" t="s">
        <v>304</v>
      </c>
      <c r="Y1648" s="40" t="s">
        <v>284</v>
      </c>
      <c r="Z1648" s="40" t="s">
        <v>307</v>
      </c>
      <c r="AA1648" s="33" t="s">
        <v>313</v>
      </c>
      <c r="AB1648" s="95"/>
      <c r="AC1648" s="95"/>
    </row>
    <row r="1649" spans="1:29" ht="14.45" hidden="1" customHeight="1" x14ac:dyDescent="0.25">
      <c r="A1649" s="36" t="str">
        <f>INDEX('Base de données Mono'!C:C,MATCH(B1649,'Base de données Mono'!D:D,0))</f>
        <v>NICE VICTOIRE</v>
      </c>
      <c r="B1649" t="s">
        <v>28</v>
      </c>
      <c r="C1649" s="36" t="str">
        <f>INDEX('Base de données Mono'!B:B,MATCH(B1649,'Base de données Mono'!D:D,0))</f>
        <v>SES8</v>
      </c>
      <c r="D1649" s="36" t="str">
        <f>INDEX('Base de données Mono'!A:A,MATCH(B1649,'Base de données Mono'!D:D,0))</f>
        <v>JG</v>
      </c>
      <c r="E1649" s="37" t="s">
        <v>303</v>
      </c>
      <c r="F1649" s="41">
        <f t="shared" si="452"/>
        <v>18</v>
      </c>
      <c r="G1649" s="41">
        <f t="shared" si="453"/>
        <v>4</v>
      </c>
      <c r="I1649" s="131">
        <f>INDEX('Base de données Mono'!K:K,MATCH(B1649,'Base de données Mono'!D:D,0))</f>
        <v>0.20138888888888887</v>
      </c>
      <c r="J1649" s="131">
        <f>INDEX('Base de données Mono'!L:L,MATCH(B1649,'Base de données Mono'!D:D,0))</f>
        <v>0.89583333333333337</v>
      </c>
      <c r="K1649" s="131">
        <f>INDEX('Base de données Mono'!M:M,MATCH(B1649,'Base de données Mono'!D:D,0))</f>
        <v>0.28472222222222221</v>
      </c>
      <c r="L1649" s="131">
        <f>INDEX('Base de données Mono'!N:N,MATCH(B1649,'Base de données Mono'!D:D,0))</f>
        <v>0.85416666666666663</v>
      </c>
      <c r="M1649" s="33" t="s">
        <v>46</v>
      </c>
      <c r="N1649" s="33">
        <f>IF(AND(E1649="Electricité",M1649="Hiver"),INDEX('Base de données Mono'!E:E,MATCH(B1649,'Base de données Mono'!D:D,0)),IF(AND(E1649="Electricité",M1649="Mi-saison"),INDEX('Base de données Mono'!F:F,MATCH(B1649,'Base de données Mono'!D:D,0)),IF(AND(E1649="Electricité",M1649="Eté"),INDEX('Base de données Mono'!G:G,MATCH(B1649,'Base de données Mono'!D:D,0)),IF(AND(E1649="Gaz",M1649="Hiver"),INDEX('Base de données Mono'!J:J,MATCH(B1649,'Base de données Mono'!D:D,0)),IF(AND(E1649="Gaz",M1649="Mi-saison"),INDEX('Base de données Mono'!#REF!,MATCH(B1649,'Base de données Mono'!D:D,0)),IF(AND(E1649="Gaz",M1649="Eté"),INDEX('Base de données Mono'!#REF!,MATCH(B1649,'Base de données Mono'!D:D,0)),"-"))))))</f>
        <v>110</v>
      </c>
      <c r="O1649" s="123">
        <v>45410</v>
      </c>
      <c r="P1649" s="123">
        <v>45411</v>
      </c>
      <c r="Q1649" s="34">
        <v>135</v>
      </c>
      <c r="R1649" s="33">
        <f t="shared" si="454"/>
        <v>25</v>
      </c>
      <c r="S1649" s="34">
        <v>6.3</v>
      </c>
      <c r="T1649" s="34">
        <f t="shared" si="451"/>
        <v>1</v>
      </c>
      <c r="U1649" s="33">
        <f t="shared" si="455"/>
        <v>157.5</v>
      </c>
      <c r="V1649" s="38" t="s">
        <v>827</v>
      </c>
      <c r="W1649" s="39">
        <f t="shared" si="456"/>
        <v>0.22727272727272727</v>
      </c>
      <c r="X1649" s="40" t="s">
        <v>304</v>
      </c>
      <c r="Y1649" s="40" t="s">
        <v>284</v>
      </c>
      <c r="Z1649" s="40" t="s">
        <v>305</v>
      </c>
      <c r="AA1649" s="33" t="s">
        <v>771</v>
      </c>
      <c r="AB1649" s="95"/>
      <c r="AC1649" s="95"/>
    </row>
    <row r="1650" spans="1:29" ht="14.45" hidden="1" customHeight="1" x14ac:dyDescent="0.25">
      <c r="A1650" s="36" t="str">
        <f>INDEX('Base de données Mono'!C:C,MATCH(B1650,'Base de données Mono'!D:D,0))</f>
        <v>NICE VICTOIRE</v>
      </c>
      <c r="B1650" t="s">
        <v>28</v>
      </c>
      <c r="C1650" s="36" t="str">
        <f>INDEX('Base de données Mono'!B:B,MATCH(B1650,'Base de données Mono'!D:D,0))</f>
        <v>SES8</v>
      </c>
      <c r="D1650" s="36" t="str">
        <f>INDEX('Base de données Mono'!A:A,MATCH(B1650,'Base de données Mono'!D:D,0))</f>
        <v>JG</v>
      </c>
      <c r="E1650" s="37" t="s">
        <v>303</v>
      </c>
      <c r="F1650" s="41">
        <f t="shared" si="452"/>
        <v>18</v>
      </c>
      <c r="G1650" s="41">
        <f t="shared" si="453"/>
        <v>4</v>
      </c>
      <c r="I1650" s="131">
        <f>INDEX('Base de données Mono'!K:K,MATCH(B1650,'Base de données Mono'!D:D,0))</f>
        <v>0.20138888888888887</v>
      </c>
      <c r="J1650" s="131">
        <f>INDEX('Base de données Mono'!L:L,MATCH(B1650,'Base de données Mono'!D:D,0))</f>
        <v>0.89583333333333337</v>
      </c>
      <c r="K1650" s="131">
        <f>INDEX('Base de données Mono'!M:M,MATCH(B1650,'Base de données Mono'!D:D,0))</f>
        <v>0.28472222222222221</v>
      </c>
      <c r="L1650" s="131">
        <f>INDEX('Base de données Mono'!N:N,MATCH(B1650,'Base de données Mono'!D:D,0))</f>
        <v>0.85416666666666663</v>
      </c>
      <c r="M1650" s="33" t="s">
        <v>46</v>
      </c>
      <c r="N1650" s="33">
        <f>IF(AND(E1650="Electricité",M1650="Hiver"),INDEX('Base de données Mono'!E:E,MATCH(B1650,'Base de données Mono'!D:D,0)),IF(AND(E1650="Electricité",M1650="Mi-saison"),INDEX('Base de données Mono'!F:F,MATCH(B1650,'Base de données Mono'!D:D,0)),IF(AND(E1650="Electricité",M1650="Eté"),INDEX('Base de données Mono'!G:G,MATCH(B1650,'Base de données Mono'!D:D,0)),IF(AND(E1650="Gaz",M1650="Hiver"),INDEX('Base de données Mono'!J:J,MATCH(B1650,'Base de données Mono'!D:D,0)),IF(AND(E1650="Gaz",M1650="Mi-saison"),INDEX('Base de données Mono'!#REF!,MATCH(B1650,'Base de données Mono'!D:D,0)),IF(AND(E1650="Gaz",M1650="Eté"),INDEX('Base de données Mono'!#REF!,MATCH(B1650,'Base de données Mono'!D:D,0)),"-"))))))</f>
        <v>110</v>
      </c>
      <c r="O1650" s="123">
        <v>45410</v>
      </c>
      <c r="P1650" s="123">
        <v>45413</v>
      </c>
      <c r="Q1650" s="34">
        <v>185</v>
      </c>
      <c r="R1650" s="33">
        <f t="shared" si="454"/>
        <v>75</v>
      </c>
      <c r="S1650" s="34">
        <v>1</v>
      </c>
      <c r="T1650" s="34">
        <f t="shared" si="451"/>
        <v>3</v>
      </c>
      <c r="U1650" s="33">
        <f t="shared" si="455"/>
        <v>225</v>
      </c>
      <c r="V1650" s="38" t="s">
        <v>827</v>
      </c>
      <c r="W1650" s="39">
        <f t="shared" si="456"/>
        <v>0.68181818181818177</v>
      </c>
      <c r="X1650" s="40" t="s">
        <v>304</v>
      </c>
      <c r="Y1650" s="40" t="s">
        <v>284</v>
      </c>
      <c r="Z1650" s="40" t="s">
        <v>307</v>
      </c>
      <c r="AA1650" s="33" t="s">
        <v>414</v>
      </c>
      <c r="AB1650" s="95"/>
      <c r="AC1650" s="95"/>
    </row>
    <row r="1651" spans="1:29" ht="14.45" hidden="1" customHeight="1" x14ac:dyDescent="0.25">
      <c r="A1651" s="36" t="str">
        <f>INDEX('Base de données Mono'!C:C,MATCH(B1651,'Base de données Mono'!D:D,0))</f>
        <v>NICE VICTOIRE</v>
      </c>
      <c r="B1651" t="s">
        <v>28</v>
      </c>
      <c r="C1651" s="36" t="str">
        <f>INDEX('Base de données Mono'!B:B,MATCH(B1651,'Base de données Mono'!D:D,0))</f>
        <v>SES8</v>
      </c>
      <c r="D1651" s="36" t="str">
        <f>INDEX('Base de données Mono'!A:A,MATCH(B1651,'Base de données Mono'!D:D,0))</f>
        <v>JG</v>
      </c>
      <c r="E1651" s="37" t="s">
        <v>303</v>
      </c>
      <c r="F1651" s="41">
        <f t="shared" si="452"/>
        <v>18</v>
      </c>
      <c r="G1651" s="41">
        <f t="shared" si="453"/>
        <v>4</v>
      </c>
      <c r="I1651" s="131">
        <f>INDEX('Base de données Mono'!K:K,MATCH(B1651,'Base de données Mono'!D:D,0))</f>
        <v>0.20138888888888887</v>
      </c>
      <c r="J1651" s="131">
        <f>INDEX('Base de données Mono'!L:L,MATCH(B1651,'Base de données Mono'!D:D,0))</f>
        <v>0.89583333333333337</v>
      </c>
      <c r="K1651" s="131">
        <f>INDEX('Base de données Mono'!M:M,MATCH(B1651,'Base de données Mono'!D:D,0))</f>
        <v>0.28472222222222221</v>
      </c>
      <c r="L1651" s="131">
        <f>INDEX('Base de données Mono'!N:N,MATCH(B1651,'Base de données Mono'!D:D,0))</f>
        <v>0.85416666666666663</v>
      </c>
      <c r="M1651" s="33" t="s">
        <v>46</v>
      </c>
      <c r="N1651" s="33">
        <f>IF(AND(E1651="Electricité",M1651="Hiver"),INDEX('Base de données Mono'!E:E,MATCH(B1651,'Base de données Mono'!D:D,0)),IF(AND(E1651="Electricité",M1651="Mi-saison"),INDEX('Base de données Mono'!F:F,MATCH(B1651,'Base de données Mono'!D:D,0)),IF(AND(E1651="Electricité",M1651="Eté"),INDEX('Base de données Mono'!G:G,MATCH(B1651,'Base de données Mono'!D:D,0)),IF(AND(E1651="Gaz",M1651="Hiver"),INDEX('Base de données Mono'!J:J,MATCH(B1651,'Base de données Mono'!D:D,0)),IF(AND(E1651="Gaz",M1651="Mi-saison"),INDEX('Base de données Mono'!#REF!,MATCH(B1651,'Base de données Mono'!D:D,0)),IF(AND(E1651="Gaz",M1651="Eté"),INDEX('Base de données Mono'!#REF!,MATCH(B1651,'Base de données Mono'!D:D,0)),"-"))))))</f>
        <v>110</v>
      </c>
      <c r="O1651" s="123">
        <v>45411</v>
      </c>
      <c r="P1651" s="123">
        <v>45413</v>
      </c>
      <c r="Q1651" s="34">
        <v>140</v>
      </c>
      <c r="R1651" s="33">
        <f t="shared" si="454"/>
        <v>30</v>
      </c>
      <c r="S1651" s="34">
        <v>6.3</v>
      </c>
      <c r="T1651" s="34">
        <f t="shared" si="451"/>
        <v>2</v>
      </c>
      <c r="U1651" s="33">
        <f t="shared" si="455"/>
        <v>378</v>
      </c>
      <c r="V1651" s="38" t="s">
        <v>827</v>
      </c>
      <c r="W1651" s="39">
        <f t="shared" si="456"/>
        <v>0.27272727272727271</v>
      </c>
      <c r="X1651" s="40" t="s">
        <v>304</v>
      </c>
      <c r="Y1651" s="40" t="s">
        <v>284</v>
      </c>
      <c r="Z1651" s="40" t="s">
        <v>305</v>
      </c>
      <c r="AA1651" s="33" t="s">
        <v>771</v>
      </c>
      <c r="AB1651" s="95"/>
      <c r="AC1651" s="95"/>
    </row>
    <row r="1652" spans="1:29" ht="14.45" hidden="1" customHeight="1" x14ac:dyDescent="0.25">
      <c r="A1652" s="36" t="str">
        <f>INDEX('Base de données Mono'!C:C,MATCH(B1652,'Base de données Mono'!D:D,0))</f>
        <v>COURCELLES</v>
      </c>
      <c r="B1652" t="s">
        <v>112</v>
      </c>
      <c r="C1652" s="36" t="str">
        <f>INDEX('Base de données Mono'!B:B,MATCH(B1652,'Base de données Mono'!D:D,0))</f>
        <v>SES8</v>
      </c>
      <c r="D1652" s="36" t="str">
        <f>INDEX('Base de données Mono'!A:A,MATCH(B1652,'Base de données Mono'!D:D,0))</f>
        <v>AD</v>
      </c>
      <c r="E1652" s="37" t="s">
        <v>303</v>
      </c>
      <c r="F1652" s="41">
        <f t="shared" si="452"/>
        <v>18</v>
      </c>
      <c r="G1652" s="41">
        <f t="shared" si="453"/>
        <v>4</v>
      </c>
      <c r="I1652" s="131">
        <f>INDEX('Base de données Mono'!K:K,MATCH(B1652,'Base de données Mono'!D:D,0))</f>
        <v>0.25</v>
      </c>
      <c r="J1652" s="131">
        <f>INDEX('Base de données Mono'!L:L,MATCH(B1652,'Base de données Mono'!D:D,0))</f>
        <v>0.86458333333333337</v>
      </c>
      <c r="K1652" s="131" t="str">
        <f>INDEX('Base de données Mono'!M:M,MATCH(B1652,'Base de données Mono'!D:D,0))</f>
        <v>-</v>
      </c>
      <c r="L1652" s="131" t="str">
        <f>INDEX('Base de données Mono'!N:N,MATCH(B1652,'Base de données Mono'!D:D,0))</f>
        <v>-</v>
      </c>
      <c r="M1652" s="33" t="s">
        <v>46</v>
      </c>
      <c r="N1652" s="33">
        <f>IF(AND(E1652="Electricité",M1652="Hiver"),INDEX('Base de données Mono'!E:E,MATCH(B1652,'Base de données Mono'!D:D,0)),IF(AND(E1652="Electricité",M1652="Mi-saison"),INDEX('Base de données Mono'!F:F,MATCH(B1652,'Base de données Mono'!D:D,0)),IF(AND(E1652="Electricité",M1652="Eté"),INDEX('Base de données Mono'!G:G,MATCH(B1652,'Base de données Mono'!D:D,0)),IF(AND(E1652="Gaz",M1652="Hiver"),INDEX('Base de données Mono'!J:J,MATCH(B1652,'Base de données Mono'!D:D,0)),IF(AND(E1652="Gaz",M1652="Mi-saison"),INDEX('Base de données Mono'!#REF!,MATCH(B1652,'Base de données Mono'!D:D,0)),IF(AND(E1652="Gaz",M1652="Eté"),INDEX('Base de données Mono'!#REF!,MATCH(B1652,'Base de données Mono'!D:D,0)),"-"))))))</f>
        <v>45</v>
      </c>
      <c r="O1652" s="123">
        <v>45410</v>
      </c>
      <c r="P1652" s="123">
        <v>45412</v>
      </c>
      <c r="Q1652" s="34">
        <v>60</v>
      </c>
      <c r="R1652" s="33">
        <f t="shared" si="454"/>
        <v>15</v>
      </c>
      <c r="S1652" s="34">
        <v>2</v>
      </c>
      <c r="T1652" s="34">
        <f t="shared" si="451"/>
        <v>2</v>
      </c>
      <c r="U1652" s="33">
        <f t="shared" si="455"/>
        <v>60</v>
      </c>
      <c r="V1652" s="38" t="s">
        <v>827</v>
      </c>
      <c r="W1652" s="39">
        <f t="shared" si="456"/>
        <v>0.33333333333333331</v>
      </c>
      <c r="X1652" s="40" t="s">
        <v>304</v>
      </c>
      <c r="Y1652" s="40" t="s">
        <v>284</v>
      </c>
      <c r="Z1652" s="40" t="s">
        <v>307</v>
      </c>
      <c r="AA1652" s="33" t="s">
        <v>414</v>
      </c>
      <c r="AB1652" s="95"/>
      <c r="AC1652" s="95"/>
    </row>
    <row r="1653" spans="1:29" ht="14.45" hidden="1" customHeight="1" x14ac:dyDescent="0.25">
      <c r="A1653" s="36" t="str">
        <f>INDEX('Base de données Mono'!C:C,MATCH(B1653,'Base de données Mono'!D:D,0))</f>
        <v>COURCELLES</v>
      </c>
      <c r="B1653" t="s">
        <v>112</v>
      </c>
      <c r="C1653" s="36" t="str">
        <f>INDEX('Base de données Mono'!B:B,MATCH(B1653,'Base de données Mono'!D:D,0))</f>
        <v>SES8</v>
      </c>
      <c r="D1653" s="36" t="str">
        <f>INDEX('Base de données Mono'!A:A,MATCH(B1653,'Base de données Mono'!D:D,0))</f>
        <v>AD</v>
      </c>
      <c r="E1653" s="37" t="s">
        <v>303</v>
      </c>
      <c r="F1653" s="41">
        <f t="shared" si="452"/>
        <v>18</v>
      </c>
      <c r="G1653" s="41">
        <f t="shared" si="453"/>
        <v>4</v>
      </c>
      <c r="I1653" s="131">
        <f>INDEX('Base de données Mono'!K:K,MATCH(B1653,'Base de données Mono'!D:D,0))</f>
        <v>0.25</v>
      </c>
      <c r="J1653" s="131">
        <f>INDEX('Base de données Mono'!L:L,MATCH(B1653,'Base de données Mono'!D:D,0))</f>
        <v>0.86458333333333337</v>
      </c>
      <c r="K1653" s="131" t="str">
        <f>INDEX('Base de données Mono'!M:M,MATCH(B1653,'Base de données Mono'!D:D,0))</f>
        <v>-</v>
      </c>
      <c r="L1653" s="131" t="str">
        <f>INDEX('Base de données Mono'!N:N,MATCH(B1653,'Base de données Mono'!D:D,0))</f>
        <v>-</v>
      </c>
      <c r="M1653" s="33" t="s">
        <v>46</v>
      </c>
      <c r="N1653" s="33">
        <f>IF(AND(E1653="Electricité",M1653="Hiver"),INDEX('Base de données Mono'!E:E,MATCH(B1653,'Base de données Mono'!D:D,0)),IF(AND(E1653="Electricité",M1653="Mi-saison"),INDEX('Base de données Mono'!F:F,MATCH(B1653,'Base de données Mono'!D:D,0)),IF(AND(E1653="Electricité",M1653="Eté"),INDEX('Base de données Mono'!G:G,MATCH(B1653,'Base de données Mono'!D:D,0)),IF(AND(E1653="Gaz",M1653="Hiver"),INDEX('Base de données Mono'!J:J,MATCH(B1653,'Base de données Mono'!D:D,0)),IF(AND(E1653="Gaz",M1653="Mi-saison"),INDEX('Base de données Mono'!#REF!,MATCH(B1653,'Base de données Mono'!D:D,0)),IF(AND(E1653="Gaz",M1653="Eté"),INDEX('Base de données Mono'!#REF!,MATCH(B1653,'Base de données Mono'!D:D,0)),"-"))))))</f>
        <v>45</v>
      </c>
      <c r="O1653" s="123">
        <v>45411</v>
      </c>
      <c r="P1653" s="123">
        <v>45413</v>
      </c>
      <c r="Q1653" s="34">
        <v>70</v>
      </c>
      <c r="R1653" s="33">
        <f t="shared" si="454"/>
        <v>25</v>
      </c>
      <c r="S1653" s="34">
        <v>1.2</v>
      </c>
      <c r="T1653" s="34">
        <f t="shared" si="451"/>
        <v>2</v>
      </c>
      <c r="U1653" s="33">
        <f t="shared" si="455"/>
        <v>60</v>
      </c>
      <c r="V1653" s="38" t="s">
        <v>827</v>
      </c>
      <c r="W1653" s="39">
        <f t="shared" si="456"/>
        <v>0.55555555555555558</v>
      </c>
      <c r="X1653" s="40" t="s">
        <v>304</v>
      </c>
      <c r="Y1653" s="40" t="s">
        <v>284</v>
      </c>
      <c r="Z1653" s="40" t="s">
        <v>307</v>
      </c>
      <c r="AA1653" s="33" t="s">
        <v>313</v>
      </c>
      <c r="AB1653" s="95"/>
      <c r="AC1653" s="95"/>
    </row>
    <row r="1654" spans="1:29" ht="14.45" hidden="1" customHeight="1" x14ac:dyDescent="0.25">
      <c r="A1654" s="36" t="str">
        <f>INDEX('Base de données Mono'!C:C,MATCH(B1654,'Base de données Mono'!D:D,0))</f>
        <v>NICE CIMIEZ</v>
      </c>
      <c r="B1654" t="s">
        <v>194</v>
      </c>
      <c r="C1654" s="36" t="str">
        <f>INDEX('Base de données Mono'!B:B,MATCH(B1654,'Base de données Mono'!D:D,0))</f>
        <v>SES8</v>
      </c>
      <c r="D1654" s="36" t="str">
        <f>INDEX('Base de données Mono'!A:A,MATCH(B1654,'Base de données Mono'!D:D,0))</f>
        <v>JG</v>
      </c>
      <c r="E1654" s="37" t="s">
        <v>303</v>
      </c>
      <c r="F1654" s="41">
        <f t="shared" si="452"/>
        <v>18</v>
      </c>
      <c r="G1654" s="41">
        <f t="shared" si="453"/>
        <v>4</v>
      </c>
      <c r="I1654" s="131">
        <f>INDEX('Base de données Mono'!K:K,MATCH(B1654,'Base de données Mono'!D:D,0))</f>
        <v>0.23611111111111113</v>
      </c>
      <c r="J1654" s="131">
        <f>INDEX('Base de données Mono'!L:L,MATCH(B1654,'Base de données Mono'!D:D,0))</f>
        <v>0.875</v>
      </c>
      <c r="K1654" s="131">
        <f>INDEX('Base de données Mono'!M:M,MATCH(B1654,'Base de données Mono'!D:D,0))</f>
        <v>0.28472222222222221</v>
      </c>
      <c r="L1654" s="131">
        <f>INDEX('Base de données Mono'!N:N,MATCH(B1654,'Base de données Mono'!D:D,0))</f>
        <v>0.54166666666666663</v>
      </c>
      <c r="M1654" s="33" t="s">
        <v>46</v>
      </c>
      <c r="N1654" s="33">
        <f>IF(AND(E1654="Electricité",M1654="Hiver"),INDEX('Base de données Mono'!E:E,MATCH(B1654,'Base de données Mono'!D:D,0)),IF(AND(E1654="Electricité",M1654="Mi-saison"),INDEX('Base de données Mono'!F:F,MATCH(B1654,'Base de données Mono'!D:D,0)),IF(AND(E1654="Electricité",M1654="Eté"),INDEX('Base de données Mono'!G:G,MATCH(B1654,'Base de données Mono'!D:D,0)),IF(AND(E1654="Gaz",M1654="Hiver"),INDEX('Base de données Mono'!J:J,MATCH(B1654,'Base de données Mono'!D:D,0)),IF(AND(E1654="Gaz",M1654="Mi-saison"),INDEX('Base de données Mono'!#REF!,MATCH(B1654,'Base de données Mono'!D:D,0)),IF(AND(E1654="Gaz",M1654="Eté"),INDEX('Base de données Mono'!#REF!,MATCH(B1654,'Base de données Mono'!D:D,0)),"-"))))))</f>
        <v>85</v>
      </c>
      <c r="O1654" s="123">
        <v>45410</v>
      </c>
      <c r="P1654" s="123">
        <v>45413</v>
      </c>
      <c r="Q1654" s="34">
        <v>100</v>
      </c>
      <c r="R1654" s="33">
        <f t="shared" si="454"/>
        <v>15</v>
      </c>
      <c r="S1654" s="34">
        <v>8.6</v>
      </c>
      <c r="T1654" s="34">
        <f t="shared" si="451"/>
        <v>3</v>
      </c>
      <c r="U1654" s="33">
        <f t="shared" si="455"/>
        <v>387</v>
      </c>
      <c r="V1654" s="38" t="s">
        <v>827</v>
      </c>
      <c r="W1654" s="39">
        <f t="shared" si="456"/>
        <v>0.17647058823529413</v>
      </c>
      <c r="X1654" s="40" t="s">
        <v>304</v>
      </c>
      <c r="Y1654" s="40" t="s">
        <v>284</v>
      </c>
      <c r="Z1654" s="40" t="s">
        <v>305</v>
      </c>
      <c r="AA1654" s="33" t="s">
        <v>771</v>
      </c>
      <c r="AB1654" s="95"/>
      <c r="AC1654" s="95"/>
    </row>
    <row r="1655" spans="1:29" ht="14.45" hidden="1" customHeight="1" x14ac:dyDescent="0.25">
      <c r="A1655" s="36" t="str">
        <f>INDEX('Base de données Mono'!C:C,MATCH(B1655,'Base de données Mono'!D:D,0))</f>
        <v>CHALON SUR SAONE</v>
      </c>
      <c r="B1655" t="s">
        <v>98</v>
      </c>
      <c r="C1655" s="36" t="str">
        <f>INDEX('Base de données Mono'!B:B,MATCH(B1655,'Base de données Mono'!D:D,0))</f>
        <v>SES8</v>
      </c>
      <c r="D1655" s="36" t="str">
        <f>INDEX('Base de données Mono'!A:A,MATCH(B1655,'Base de données Mono'!D:D,0))</f>
        <v>JG</v>
      </c>
      <c r="E1655" s="37" t="s">
        <v>303</v>
      </c>
      <c r="F1655" s="41">
        <f t="shared" si="452"/>
        <v>18</v>
      </c>
      <c r="G1655" s="41">
        <f t="shared" si="453"/>
        <v>4</v>
      </c>
      <c r="I1655" s="131">
        <f>INDEX('Base de données Mono'!K:K,MATCH(B1655,'Base de données Mono'!D:D,0))</f>
        <v>0.25</v>
      </c>
      <c r="J1655" s="131">
        <f>INDEX('Base de données Mono'!L:L,MATCH(B1655,'Base de données Mono'!D:D,0))</f>
        <v>0.83333333333333304</v>
      </c>
      <c r="K1655" s="131" t="str">
        <f>INDEX('Base de données Mono'!M:M,MATCH(B1655,'Base de données Mono'!D:D,0))</f>
        <v>-</v>
      </c>
      <c r="L1655" s="131" t="str">
        <f>INDEX('Base de données Mono'!N:N,MATCH(B1655,'Base de données Mono'!D:D,0))</f>
        <v>-</v>
      </c>
      <c r="M1655" s="33" t="s">
        <v>46</v>
      </c>
      <c r="N1655" s="33">
        <f>IF(AND(E1655="Electricité",M1655="Hiver"),INDEX('Base de données Mono'!E:E,MATCH(B1655,'Base de données Mono'!D:D,0)),IF(AND(E1655="Electricité",M1655="Mi-saison"),INDEX('Base de données Mono'!F:F,MATCH(B1655,'Base de données Mono'!D:D,0)),IF(AND(E1655="Electricité",M1655="Eté"),INDEX('Base de données Mono'!G:G,MATCH(B1655,'Base de données Mono'!D:D,0)),IF(AND(E1655="Gaz",M1655="Hiver"),INDEX('Base de données Mono'!J:J,MATCH(B1655,'Base de données Mono'!D:D,0)),IF(AND(E1655="Gaz",M1655="Mi-saison"),INDEX('Base de données Mono'!#REF!,MATCH(B1655,'Base de données Mono'!D:D,0)),IF(AND(E1655="Gaz",M1655="Eté"),INDEX('Base de données Mono'!#REF!,MATCH(B1655,'Base de données Mono'!D:D,0)),"-"))))))</f>
        <v>45</v>
      </c>
      <c r="O1655" s="123">
        <v>45410</v>
      </c>
      <c r="P1655" s="123">
        <v>45413</v>
      </c>
      <c r="Q1655" s="34">
        <v>55</v>
      </c>
      <c r="R1655" s="33">
        <f t="shared" si="454"/>
        <v>10</v>
      </c>
      <c r="S1655" s="34">
        <v>2</v>
      </c>
      <c r="T1655" s="34">
        <f t="shared" si="451"/>
        <v>3</v>
      </c>
      <c r="U1655" s="33">
        <f t="shared" si="455"/>
        <v>60</v>
      </c>
      <c r="V1655" s="38" t="s">
        <v>827</v>
      </c>
      <c r="W1655" s="39">
        <f t="shared" si="456"/>
        <v>0.22222222222222221</v>
      </c>
      <c r="X1655" s="40" t="s">
        <v>304</v>
      </c>
      <c r="Y1655" s="40" t="s">
        <v>284</v>
      </c>
      <c r="Z1655" s="40" t="s">
        <v>305</v>
      </c>
      <c r="AA1655" s="33" t="s">
        <v>771</v>
      </c>
      <c r="AB1655" s="95"/>
      <c r="AC1655" s="95"/>
    </row>
    <row r="1656" spans="1:29" ht="14.45" hidden="1" customHeight="1" x14ac:dyDescent="0.25">
      <c r="A1656" s="36" t="str">
        <f>INDEX('Base de données Mono'!C:C,MATCH(B1656,'Base de données Mono'!D:D,0))</f>
        <v>DIJON</v>
      </c>
      <c r="B1656" t="s">
        <v>119</v>
      </c>
      <c r="C1656" s="36" t="str">
        <f>INDEX('Base de données Mono'!B:B,MATCH(B1656,'Base de données Mono'!D:D,0))</f>
        <v>SES8</v>
      </c>
      <c r="D1656" s="36" t="str">
        <f>INDEX('Base de données Mono'!A:A,MATCH(B1656,'Base de données Mono'!D:D,0))</f>
        <v>JG</v>
      </c>
      <c r="E1656" s="37" t="s">
        <v>303</v>
      </c>
      <c r="F1656" s="41">
        <f t="shared" si="452"/>
        <v>18</v>
      </c>
      <c r="G1656" s="41">
        <f t="shared" si="453"/>
        <v>4</v>
      </c>
      <c r="I1656" s="131">
        <f>INDEX('Base de données Mono'!K:K,MATCH(B1656,'Base de données Mono'!D:D,0))</f>
        <v>0.24305555555555555</v>
      </c>
      <c r="J1656" s="131">
        <f>INDEX('Base de données Mono'!L:L,MATCH(B1656,'Base de données Mono'!D:D,0))</f>
        <v>0.875</v>
      </c>
      <c r="K1656" s="131">
        <f>INDEX('Base de données Mono'!M:M,MATCH(B1656,'Base de données Mono'!D:D,0))</f>
        <v>0.3125</v>
      </c>
      <c r="L1656" s="131">
        <f>INDEX('Base de données Mono'!N:N,MATCH(B1656,'Base de données Mono'!D:D,0))</f>
        <v>0.54166666666666663</v>
      </c>
      <c r="M1656" s="33" t="s">
        <v>46</v>
      </c>
      <c r="N1656" s="33">
        <f>IF(AND(E1656="Electricité",M1656="Hiver"),INDEX('Base de données Mono'!E:E,MATCH(B1656,'Base de données Mono'!D:D,0)),IF(AND(E1656="Electricité",M1656="Mi-saison"),INDEX('Base de données Mono'!F:F,MATCH(B1656,'Base de données Mono'!D:D,0)),IF(AND(E1656="Electricité",M1656="Eté"),INDEX('Base de données Mono'!G:G,MATCH(B1656,'Base de données Mono'!D:D,0)),IF(AND(E1656="Gaz",M1656="Hiver"),INDEX('Base de données Mono'!J:J,MATCH(B1656,'Base de données Mono'!D:D,0)),IF(AND(E1656="Gaz",M1656="Mi-saison"),INDEX('Base de données Mono'!#REF!,MATCH(B1656,'Base de données Mono'!D:D,0)),IF(AND(E1656="Gaz",M1656="Eté"),INDEX('Base de données Mono'!#REF!,MATCH(B1656,'Base de données Mono'!D:D,0)),"-"))))))</f>
        <v>55</v>
      </c>
      <c r="O1656" s="123">
        <v>45410</v>
      </c>
      <c r="P1656" s="123">
        <v>45413</v>
      </c>
      <c r="Q1656" s="34">
        <v>70</v>
      </c>
      <c r="R1656" s="33">
        <f t="shared" si="454"/>
        <v>15</v>
      </c>
      <c r="S1656" s="34">
        <v>8.8000000000000007</v>
      </c>
      <c r="T1656" s="34">
        <f t="shared" si="451"/>
        <v>3</v>
      </c>
      <c r="U1656" s="33">
        <f t="shared" si="455"/>
        <v>396</v>
      </c>
      <c r="V1656" s="38" t="s">
        <v>827</v>
      </c>
      <c r="W1656" s="39">
        <f t="shared" si="456"/>
        <v>0.27272727272727271</v>
      </c>
      <c r="X1656" s="40" t="s">
        <v>304</v>
      </c>
      <c r="Y1656" s="40" t="s">
        <v>284</v>
      </c>
      <c r="Z1656" s="40" t="s">
        <v>305</v>
      </c>
      <c r="AA1656" s="33" t="s">
        <v>771</v>
      </c>
      <c r="AB1656" s="95"/>
      <c r="AC1656" s="95"/>
    </row>
    <row r="1657" spans="1:29" ht="14.45" hidden="1" customHeight="1" x14ac:dyDescent="0.25">
      <c r="A1657" s="36" t="str">
        <f>INDEX('Base de données Mono'!C:C,MATCH(B1657,'Base de données Mono'!D:D,0))</f>
        <v>LYON VALMY</v>
      </c>
      <c r="B1657" t="s">
        <v>22</v>
      </c>
      <c r="C1657" s="36" t="str">
        <f>INDEX('Base de données Mono'!B:B,MATCH(B1657,'Base de données Mono'!D:D,0))</f>
        <v>SES8</v>
      </c>
      <c r="D1657" s="36" t="str">
        <f>INDEX('Base de données Mono'!A:A,MATCH(B1657,'Base de données Mono'!D:D,0))</f>
        <v>JG</v>
      </c>
      <c r="E1657" s="37" t="s">
        <v>303</v>
      </c>
      <c r="F1657" s="41">
        <f t="shared" si="452"/>
        <v>18</v>
      </c>
      <c r="G1657" s="41">
        <f t="shared" si="453"/>
        <v>4</v>
      </c>
      <c r="I1657" s="131">
        <f>INDEX('Base de données Mono'!K:K,MATCH(B1657,'Base de données Mono'!D:D,0))</f>
        <v>0.20833333333333334</v>
      </c>
      <c r="J1657" s="131">
        <f>INDEX('Base de données Mono'!L:L,MATCH(B1657,'Base de données Mono'!D:D,0))</f>
        <v>0.88541666666666663</v>
      </c>
      <c r="K1657" s="131">
        <f>INDEX('Base de données Mono'!M:M,MATCH(B1657,'Base de données Mono'!D:D,0))</f>
        <v>0.31944444444444448</v>
      </c>
      <c r="L1657" s="131">
        <f>INDEX('Base de données Mono'!N:N,MATCH(B1657,'Base de données Mono'!D:D,0))</f>
        <v>0.55208333333333337</v>
      </c>
      <c r="M1657" s="33" t="s">
        <v>46</v>
      </c>
      <c r="N1657" s="33">
        <f>IF(AND(E1657="Electricité",M1657="Hiver"),INDEX('Base de données Mono'!E:E,MATCH(B1657,'Base de données Mono'!D:D,0)),IF(AND(E1657="Electricité",M1657="Mi-saison"),INDEX('Base de données Mono'!F:F,MATCH(B1657,'Base de données Mono'!D:D,0)),IF(AND(E1657="Electricité",M1657="Eté"),INDEX('Base de données Mono'!G:G,MATCH(B1657,'Base de données Mono'!D:D,0)),IF(AND(E1657="Gaz",M1657="Hiver"),INDEX('Base de données Mono'!J:J,MATCH(B1657,'Base de données Mono'!D:D,0)),IF(AND(E1657="Gaz",M1657="Mi-saison"),INDEX('Base de données Mono'!#REF!,MATCH(B1657,'Base de données Mono'!D:D,0)),IF(AND(E1657="Gaz",M1657="Eté"),INDEX('Base de données Mono'!#REF!,MATCH(B1657,'Base de données Mono'!D:D,0)),"-"))))))</f>
        <v>50</v>
      </c>
      <c r="O1657" s="123">
        <v>45410</v>
      </c>
      <c r="P1657" s="123">
        <v>45411</v>
      </c>
      <c r="Q1657" s="34">
        <v>55</v>
      </c>
      <c r="R1657" s="33">
        <f t="shared" si="454"/>
        <v>5</v>
      </c>
      <c r="S1657" s="34">
        <v>7.7</v>
      </c>
      <c r="T1657" s="34">
        <f t="shared" si="451"/>
        <v>1</v>
      </c>
      <c r="U1657" s="33">
        <f t="shared" si="455"/>
        <v>38.5</v>
      </c>
      <c r="V1657" s="38" t="s">
        <v>827</v>
      </c>
      <c r="W1657" s="39">
        <f t="shared" si="456"/>
        <v>0.1</v>
      </c>
      <c r="X1657" s="40" t="s">
        <v>304</v>
      </c>
      <c r="Y1657" s="40" t="s">
        <v>284</v>
      </c>
      <c r="Z1657" s="40" t="s">
        <v>305</v>
      </c>
      <c r="AA1657" s="33" t="s">
        <v>771</v>
      </c>
      <c r="AB1657" s="95"/>
      <c r="AC1657" s="95"/>
    </row>
    <row r="1658" spans="1:29" ht="14.45" hidden="1" customHeight="1" x14ac:dyDescent="0.25">
      <c r="A1658" s="36" t="str">
        <f>INDEX('Base de données Mono'!C:C,MATCH(B1658,'Base de données Mono'!D:D,0))</f>
        <v>LYON VALMY</v>
      </c>
      <c r="B1658" t="s">
        <v>22</v>
      </c>
      <c r="C1658" s="36" t="str">
        <f>INDEX('Base de données Mono'!B:B,MATCH(B1658,'Base de données Mono'!D:D,0))</f>
        <v>SES8</v>
      </c>
      <c r="D1658" s="36" t="str">
        <f>INDEX('Base de données Mono'!A:A,MATCH(B1658,'Base de données Mono'!D:D,0))</f>
        <v>JG</v>
      </c>
      <c r="E1658" s="37" t="s">
        <v>303</v>
      </c>
      <c r="F1658" s="41">
        <f t="shared" si="452"/>
        <v>18</v>
      </c>
      <c r="G1658" s="41">
        <f t="shared" si="453"/>
        <v>4</v>
      </c>
      <c r="I1658" s="131">
        <f>INDEX('Base de données Mono'!K:K,MATCH(B1658,'Base de données Mono'!D:D,0))</f>
        <v>0.20833333333333334</v>
      </c>
      <c r="J1658" s="131">
        <f>INDEX('Base de données Mono'!L:L,MATCH(B1658,'Base de données Mono'!D:D,0))</f>
        <v>0.88541666666666663</v>
      </c>
      <c r="K1658" s="131">
        <f>INDEX('Base de données Mono'!M:M,MATCH(B1658,'Base de données Mono'!D:D,0))</f>
        <v>0.31944444444444448</v>
      </c>
      <c r="L1658" s="131">
        <f>INDEX('Base de données Mono'!N:N,MATCH(B1658,'Base de données Mono'!D:D,0))</f>
        <v>0.55208333333333337</v>
      </c>
      <c r="M1658" s="33" t="s">
        <v>46</v>
      </c>
      <c r="N1658" s="33">
        <f>IF(AND(E1658="Electricité",M1658="Hiver"),INDEX('Base de données Mono'!E:E,MATCH(B1658,'Base de données Mono'!D:D,0)),IF(AND(E1658="Electricité",M1658="Mi-saison"),INDEX('Base de données Mono'!F:F,MATCH(B1658,'Base de données Mono'!D:D,0)),IF(AND(E1658="Electricité",M1658="Eté"),INDEX('Base de données Mono'!G:G,MATCH(B1658,'Base de données Mono'!D:D,0)),IF(AND(E1658="Gaz",M1658="Hiver"),INDEX('Base de données Mono'!J:J,MATCH(B1658,'Base de données Mono'!D:D,0)),IF(AND(E1658="Gaz",M1658="Mi-saison"),INDEX('Base de données Mono'!#REF!,MATCH(B1658,'Base de données Mono'!D:D,0)),IF(AND(E1658="Gaz",M1658="Eté"),INDEX('Base de données Mono'!#REF!,MATCH(B1658,'Base de données Mono'!D:D,0)),"-"))))))</f>
        <v>50</v>
      </c>
      <c r="O1658" s="123">
        <v>45411</v>
      </c>
      <c r="P1658" s="123">
        <v>45413</v>
      </c>
      <c r="Q1658" s="34">
        <v>70</v>
      </c>
      <c r="R1658" s="33">
        <f t="shared" si="454"/>
        <v>20</v>
      </c>
      <c r="S1658" s="34">
        <v>0.7</v>
      </c>
      <c r="T1658" s="34">
        <f t="shared" si="451"/>
        <v>2</v>
      </c>
      <c r="U1658" s="33">
        <f t="shared" si="455"/>
        <v>28</v>
      </c>
      <c r="V1658" s="38" t="s">
        <v>827</v>
      </c>
      <c r="W1658" s="39">
        <f t="shared" si="456"/>
        <v>0.4</v>
      </c>
      <c r="X1658" s="40" t="s">
        <v>304</v>
      </c>
      <c r="Y1658" s="40" t="s">
        <v>284</v>
      </c>
      <c r="Z1658" s="40" t="s">
        <v>307</v>
      </c>
      <c r="AA1658" s="33" t="s">
        <v>313</v>
      </c>
      <c r="AB1658" s="95"/>
      <c r="AC1658" s="95"/>
    </row>
    <row r="1659" spans="1:29" ht="14.45" hidden="1" customHeight="1" x14ac:dyDescent="0.25">
      <c r="A1659" s="36" t="str">
        <f>INDEX('Base de données Mono'!C:C,MATCH(B1659,'Base de données Mono'!D:D,0))</f>
        <v>LYON VALMY</v>
      </c>
      <c r="B1659" t="s">
        <v>22</v>
      </c>
      <c r="C1659" s="36" t="str">
        <f>INDEX('Base de données Mono'!B:B,MATCH(B1659,'Base de données Mono'!D:D,0))</f>
        <v>SES8</v>
      </c>
      <c r="D1659" s="36" t="str">
        <f>INDEX('Base de données Mono'!A:A,MATCH(B1659,'Base de données Mono'!D:D,0))</f>
        <v>JG</v>
      </c>
      <c r="E1659" s="37" t="s">
        <v>303</v>
      </c>
      <c r="F1659" s="41">
        <f t="shared" si="452"/>
        <v>18</v>
      </c>
      <c r="G1659" s="41">
        <f t="shared" si="453"/>
        <v>4</v>
      </c>
      <c r="I1659" s="131">
        <f>INDEX('Base de données Mono'!K:K,MATCH(B1659,'Base de données Mono'!D:D,0))</f>
        <v>0.20833333333333334</v>
      </c>
      <c r="J1659" s="131">
        <f>INDEX('Base de données Mono'!L:L,MATCH(B1659,'Base de données Mono'!D:D,0))</f>
        <v>0.88541666666666663</v>
      </c>
      <c r="K1659" s="131">
        <f>INDEX('Base de données Mono'!M:M,MATCH(B1659,'Base de données Mono'!D:D,0))</f>
        <v>0.31944444444444448</v>
      </c>
      <c r="L1659" s="131">
        <f>INDEX('Base de données Mono'!N:N,MATCH(B1659,'Base de données Mono'!D:D,0))</f>
        <v>0.55208333333333337</v>
      </c>
      <c r="M1659" s="33" t="s">
        <v>46</v>
      </c>
      <c r="N1659" s="33">
        <f>IF(AND(E1659="Electricité",M1659="Hiver"),INDEX('Base de données Mono'!E:E,MATCH(B1659,'Base de données Mono'!D:D,0)),IF(AND(E1659="Electricité",M1659="Mi-saison"),INDEX('Base de données Mono'!F:F,MATCH(B1659,'Base de données Mono'!D:D,0)),IF(AND(E1659="Electricité",M1659="Eté"),INDEX('Base de données Mono'!G:G,MATCH(B1659,'Base de données Mono'!D:D,0)),IF(AND(E1659="Gaz",M1659="Hiver"),INDEX('Base de données Mono'!J:J,MATCH(B1659,'Base de données Mono'!D:D,0)),IF(AND(E1659="Gaz",M1659="Mi-saison"),INDEX('Base de données Mono'!#REF!,MATCH(B1659,'Base de données Mono'!D:D,0)),IF(AND(E1659="Gaz",M1659="Eté"),INDEX('Base de données Mono'!#REF!,MATCH(B1659,'Base de données Mono'!D:D,0)),"-"))))))</f>
        <v>50</v>
      </c>
      <c r="O1659" s="123">
        <v>45411</v>
      </c>
      <c r="P1659" s="123">
        <v>45413</v>
      </c>
      <c r="Q1659" s="34">
        <v>55</v>
      </c>
      <c r="R1659" s="33">
        <f t="shared" si="454"/>
        <v>5</v>
      </c>
      <c r="S1659" s="34">
        <v>7</v>
      </c>
      <c r="T1659" s="34">
        <f t="shared" si="451"/>
        <v>2</v>
      </c>
      <c r="U1659" s="33">
        <f t="shared" si="455"/>
        <v>70</v>
      </c>
      <c r="V1659" s="38" t="s">
        <v>827</v>
      </c>
      <c r="W1659" s="39">
        <f t="shared" si="456"/>
        <v>0.1</v>
      </c>
      <c r="X1659" s="40" t="s">
        <v>304</v>
      </c>
      <c r="Y1659" s="40" t="s">
        <v>284</v>
      </c>
      <c r="Z1659" s="40" t="s">
        <v>305</v>
      </c>
      <c r="AA1659" s="33" t="s">
        <v>771</v>
      </c>
      <c r="AB1659" s="95"/>
      <c r="AC1659" s="95"/>
    </row>
    <row r="1660" spans="1:29" ht="14.45" hidden="1" customHeight="1" x14ac:dyDescent="0.25">
      <c r="A1660" s="36" t="str">
        <f>INDEX('Base de données Mono'!C:C,MATCH(B1660,'Base de données Mono'!D:D,0))</f>
        <v>LYON GBL</v>
      </c>
      <c r="B1660" t="s">
        <v>167</v>
      </c>
      <c r="C1660" s="36" t="str">
        <f>INDEX('Base de données Mono'!B:B,MATCH(B1660,'Base de données Mono'!D:D,0))</f>
        <v>SES8</v>
      </c>
      <c r="D1660" s="36" t="str">
        <f>INDEX('Base de données Mono'!A:A,MATCH(B1660,'Base de données Mono'!D:D,0))</f>
        <v>JG</v>
      </c>
      <c r="E1660" s="37" t="s">
        <v>303</v>
      </c>
      <c r="F1660" s="41">
        <f t="shared" ref="F1660" si="463">IF(O1660="","-",IF(AND(X1660="Nuit",WEEKDAY(O1660,2)=7,O1660&lt;&gt;P1660),WEEKNUM(O1660,2),WEEKNUM(O1660,2)-1))+1</f>
        <v>18</v>
      </c>
      <c r="G1660" s="41">
        <f t="shared" ref="G1660" si="464">IF(O1660="","-",MONTH(O1660))</f>
        <v>4</v>
      </c>
      <c r="I1660" s="131">
        <f>INDEX('Base de données Mono'!K:K,MATCH(B1660,'Base de données Mono'!D:D,0))</f>
        <v>0.19791666666666666</v>
      </c>
      <c r="J1660" s="131">
        <f>INDEX('Base de données Mono'!L:L,MATCH(B1660,'Base de données Mono'!D:D,0))</f>
        <v>0.89583333333333337</v>
      </c>
      <c r="K1660" s="131">
        <f>INDEX('Base de données Mono'!M:M,MATCH(B1660,'Base de données Mono'!D:D,0))</f>
        <v>0.27083333333333331</v>
      </c>
      <c r="L1660" s="131">
        <f>INDEX('Base de données Mono'!N:N,MATCH(B1660,'Base de données Mono'!D:D,0))</f>
        <v>0.54166666666666663</v>
      </c>
      <c r="M1660" s="33" t="s">
        <v>46</v>
      </c>
      <c r="N1660" s="33">
        <f>IF(AND(E1660="Electricité",M1660="Hiver"),INDEX('Base de données Mono'!E:E,MATCH(B1660,'Base de données Mono'!D:D,0)),IF(AND(E1660="Electricité",M1660="Mi-saison"),INDEX('Base de données Mono'!F:F,MATCH(B1660,'Base de données Mono'!D:D,0)),IF(AND(E1660="Electricité",M1660="Eté"),INDEX('Base de données Mono'!G:G,MATCH(B1660,'Base de données Mono'!D:D,0)),IF(AND(E1660="Gaz",M1660="Hiver"),INDEX('Base de données Mono'!J:J,MATCH(B1660,'Base de données Mono'!D:D,0)),IF(AND(E1660="Gaz",M1660="Mi-saison"),INDEX('Base de données Mono'!#REF!,MATCH(B1660,'Base de données Mono'!D:D,0)),IF(AND(E1660="Gaz",M1660="Eté"),INDEX('Base de données Mono'!#REF!,MATCH(B1660,'Base de données Mono'!D:D,0)),"-"))))))</f>
        <v>120</v>
      </c>
      <c r="O1660" s="123">
        <v>45410</v>
      </c>
      <c r="P1660" s="123">
        <v>45411</v>
      </c>
      <c r="Q1660" s="34">
        <v>145</v>
      </c>
      <c r="R1660" s="33">
        <f t="shared" ref="R1660" si="465">IF(Q1660="","",Q1660-N1660)</f>
        <v>25</v>
      </c>
      <c r="S1660" s="34">
        <v>2.5</v>
      </c>
      <c r="T1660" s="34">
        <f t="shared" si="451"/>
        <v>1</v>
      </c>
      <c r="U1660" s="33">
        <f t="shared" ref="U1660" si="466">R1660*S1660*T1660</f>
        <v>62.5</v>
      </c>
      <c r="V1660" s="38" t="s">
        <v>827</v>
      </c>
      <c r="W1660" s="39">
        <f t="shared" ref="W1660" si="467">IFERROR(IF(E1660="Gaz","-",R1660/N1660),"-")</f>
        <v>0.20833333333333334</v>
      </c>
      <c r="X1660" s="40" t="s">
        <v>304</v>
      </c>
      <c r="Y1660" s="40" t="s">
        <v>284</v>
      </c>
      <c r="Z1660" s="40" t="s">
        <v>305</v>
      </c>
      <c r="AA1660" s="33" t="s">
        <v>771</v>
      </c>
      <c r="AB1660" s="95"/>
      <c r="AC1660" s="95"/>
    </row>
    <row r="1661" spans="1:29" ht="14.45" hidden="1" customHeight="1" x14ac:dyDescent="0.25">
      <c r="A1661" s="36" t="str">
        <f>INDEX('Base de données Mono'!C:C,MATCH(B1661,'Base de données Mono'!D:D,0))</f>
        <v>LYON GBL</v>
      </c>
      <c r="B1661" t="s">
        <v>167</v>
      </c>
      <c r="C1661" s="36" t="str">
        <f>INDEX('Base de données Mono'!B:B,MATCH(B1661,'Base de données Mono'!D:D,0))</f>
        <v>SES8</v>
      </c>
      <c r="D1661" s="36" t="str">
        <f>INDEX('Base de données Mono'!A:A,MATCH(B1661,'Base de données Mono'!D:D,0))</f>
        <v>JG</v>
      </c>
      <c r="E1661" s="37" t="s">
        <v>303</v>
      </c>
      <c r="F1661" s="41">
        <f t="shared" si="452"/>
        <v>18</v>
      </c>
      <c r="G1661" s="41">
        <f t="shared" si="453"/>
        <v>4</v>
      </c>
      <c r="I1661" s="131">
        <f>INDEX('Base de données Mono'!K:K,MATCH(B1661,'Base de données Mono'!D:D,0))</f>
        <v>0.19791666666666666</v>
      </c>
      <c r="J1661" s="131">
        <f>INDEX('Base de données Mono'!L:L,MATCH(B1661,'Base de données Mono'!D:D,0))</f>
        <v>0.89583333333333337</v>
      </c>
      <c r="K1661" s="131">
        <f>INDEX('Base de données Mono'!M:M,MATCH(B1661,'Base de données Mono'!D:D,0))</f>
        <v>0.27083333333333331</v>
      </c>
      <c r="L1661" s="131">
        <f>INDEX('Base de données Mono'!N:N,MATCH(B1661,'Base de données Mono'!D:D,0))</f>
        <v>0.54166666666666663</v>
      </c>
      <c r="M1661" s="33" t="s">
        <v>46</v>
      </c>
      <c r="N1661" s="33">
        <f>IF(AND(E1661="Electricité",M1661="Hiver"),INDEX('Base de données Mono'!E:E,MATCH(B1661,'Base de données Mono'!D:D,0)),IF(AND(E1661="Electricité",M1661="Mi-saison"),INDEX('Base de données Mono'!F:F,MATCH(B1661,'Base de données Mono'!D:D,0)),IF(AND(E1661="Electricité",M1661="Eté"),INDEX('Base de données Mono'!G:G,MATCH(B1661,'Base de données Mono'!D:D,0)),IF(AND(E1661="Gaz",M1661="Hiver"),INDEX('Base de données Mono'!J:J,MATCH(B1661,'Base de données Mono'!D:D,0)),IF(AND(E1661="Gaz",M1661="Mi-saison"),INDEX('Base de données Mono'!#REF!,MATCH(B1661,'Base de données Mono'!D:D,0)),IF(AND(E1661="Gaz",M1661="Eté"),INDEX('Base de données Mono'!#REF!,MATCH(B1661,'Base de données Mono'!D:D,0)),"-"))))))</f>
        <v>120</v>
      </c>
      <c r="O1661" s="123">
        <v>45410</v>
      </c>
      <c r="P1661" s="123">
        <v>45411</v>
      </c>
      <c r="Q1661" s="34">
        <v>185</v>
      </c>
      <c r="R1661" s="33">
        <f t="shared" si="454"/>
        <v>65</v>
      </c>
      <c r="S1661" s="34">
        <v>4.7</v>
      </c>
      <c r="T1661" s="34">
        <f t="shared" si="451"/>
        <v>1</v>
      </c>
      <c r="U1661" s="33">
        <f t="shared" si="455"/>
        <v>305.5</v>
      </c>
      <c r="V1661" s="38" t="s">
        <v>827</v>
      </c>
      <c r="W1661" s="39">
        <f t="shared" si="456"/>
        <v>0.54166666666666663</v>
      </c>
      <c r="X1661" s="40" t="s">
        <v>304</v>
      </c>
      <c r="Y1661" s="40" t="s">
        <v>283</v>
      </c>
      <c r="Z1661" s="40" t="s">
        <v>749</v>
      </c>
      <c r="AA1661" s="33" t="s">
        <v>749</v>
      </c>
      <c r="AB1661" s="95"/>
      <c r="AC1661" s="95"/>
    </row>
    <row r="1662" spans="1:29" ht="14.45" hidden="1" customHeight="1" x14ac:dyDescent="0.25">
      <c r="A1662" s="36" t="str">
        <f>INDEX('Base de données Mono'!C:C,MATCH(B1662,'Base de données Mono'!D:D,0))</f>
        <v>LYON GBL</v>
      </c>
      <c r="B1662" t="s">
        <v>167</v>
      </c>
      <c r="C1662" s="36" t="str">
        <f>INDEX('Base de données Mono'!B:B,MATCH(B1662,'Base de données Mono'!D:D,0))</f>
        <v>SES8</v>
      </c>
      <c r="D1662" s="36" t="str">
        <f>INDEX('Base de données Mono'!A:A,MATCH(B1662,'Base de données Mono'!D:D,0))</f>
        <v>JG</v>
      </c>
      <c r="E1662" s="37" t="s">
        <v>303</v>
      </c>
      <c r="F1662" s="41">
        <f t="shared" si="452"/>
        <v>18</v>
      </c>
      <c r="G1662" s="41">
        <f t="shared" si="453"/>
        <v>4</v>
      </c>
      <c r="I1662" s="131">
        <f>INDEX('Base de données Mono'!K:K,MATCH(B1662,'Base de données Mono'!D:D,0))</f>
        <v>0.19791666666666666</v>
      </c>
      <c r="J1662" s="131">
        <f>INDEX('Base de données Mono'!L:L,MATCH(B1662,'Base de données Mono'!D:D,0))</f>
        <v>0.89583333333333337</v>
      </c>
      <c r="K1662" s="131">
        <f>INDEX('Base de données Mono'!M:M,MATCH(B1662,'Base de données Mono'!D:D,0))</f>
        <v>0.27083333333333331</v>
      </c>
      <c r="L1662" s="131">
        <f>INDEX('Base de données Mono'!N:N,MATCH(B1662,'Base de données Mono'!D:D,0))</f>
        <v>0.54166666666666663</v>
      </c>
      <c r="M1662" s="33" t="s">
        <v>46</v>
      </c>
      <c r="N1662" s="33">
        <f>IF(AND(E1662="Electricité",M1662="Hiver"),INDEX('Base de données Mono'!E:E,MATCH(B1662,'Base de données Mono'!D:D,0)),IF(AND(E1662="Electricité",M1662="Mi-saison"),INDEX('Base de données Mono'!F:F,MATCH(B1662,'Base de données Mono'!D:D,0)),IF(AND(E1662="Electricité",M1662="Eté"),INDEX('Base de données Mono'!G:G,MATCH(B1662,'Base de données Mono'!D:D,0)),IF(AND(E1662="Gaz",M1662="Hiver"),INDEX('Base de données Mono'!J:J,MATCH(B1662,'Base de données Mono'!D:D,0)),IF(AND(E1662="Gaz",M1662="Mi-saison"),INDEX('Base de données Mono'!#REF!,MATCH(B1662,'Base de données Mono'!D:D,0)),IF(AND(E1662="Gaz",M1662="Eté"),INDEX('Base de données Mono'!#REF!,MATCH(B1662,'Base de données Mono'!D:D,0)),"-"))))))</f>
        <v>120</v>
      </c>
      <c r="O1662" s="123">
        <v>45411</v>
      </c>
      <c r="P1662" s="123">
        <v>45413</v>
      </c>
      <c r="Q1662" s="34">
        <v>180</v>
      </c>
      <c r="R1662" s="33">
        <f t="shared" si="454"/>
        <v>60</v>
      </c>
      <c r="S1662" s="34">
        <v>7.2</v>
      </c>
      <c r="T1662" s="34">
        <f t="shared" si="451"/>
        <v>2</v>
      </c>
      <c r="U1662" s="33">
        <f t="shared" si="455"/>
        <v>864</v>
      </c>
      <c r="V1662" s="38" t="s">
        <v>827</v>
      </c>
      <c r="W1662" s="39">
        <f t="shared" si="456"/>
        <v>0.5</v>
      </c>
      <c r="X1662" s="40" t="s">
        <v>304</v>
      </c>
      <c r="Y1662" s="40" t="s">
        <v>283</v>
      </c>
      <c r="Z1662" s="40" t="s">
        <v>749</v>
      </c>
      <c r="AA1662" s="33" t="s">
        <v>749</v>
      </c>
      <c r="AB1662" s="95"/>
      <c r="AC1662" s="95"/>
    </row>
    <row r="1663" spans="1:29" ht="14.45" hidden="1" customHeight="1" x14ac:dyDescent="0.25">
      <c r="A1663" s="36" t="str">
        <f>INDEX('Base de données Mono'!C:C,MATCH(B1663,'Base de données Mono'!D:D,0))</f>
        <v>LILLE LES TANNEURS</v>
      </c>
      <c r="B1663" t="s">
        <v>160</v>
      </c>
      <c r="C1663" s="36" t="str">
        <f>INDEX('Base de données Mono'!B:B,MATCH(B1663,'Base de données Mono'!D:D,0))</f>
        <v>SES8</v>
      </c>
      <c r="D1663" s="36" t="str">
        <f>INDEX('Base de données Mono'!A:A,MATCH(B1663,'Base de données Mono'!D:D,0))</f>
        <v>JG</v>
      </c>
      <c r="E1663" s="37" t="s">
        <v>303</v>
      </c>
      <c r="F1663" s="41">
        <f t="shared" si="452"/>
        <v>18</v>
      </c>
      <c r="G1663" s="41">
        <f t="shared" si="453"/>
        <v>4</v>
      </c>
      <c r="I1663" s="131">
        <f>INDEX('Base de données Mono'!K:K,MATCH(B1663,'Base de données Mono'!D:D,0))</f>
        <v>0.16666666666666666</v>
      </c>
      <c r="J1663" s="131">
        <f>INDEX('Base de données Mono'!L:L,MATCH(B1663,'Base de données Mono'!D:D,0))</f>
        <v>0.83333333333333337</v>
      </c>
      <c r="K1663" s="131">
        <f>INDEX('Base de données Mono'!M:M,MATCH(B1663,'Base de données Mono'!D:D,0))</f>
        <v>0.29166666666666669</v>
      </c>
      <c r="L1663" s="131">
        <f>INDEX('Base de données Mono'!N:N,MATCH(B1663,'Base de données Mono'!D:D,0))</f>
        <v>0.79166666666666663</v>
      </c>
      <c r="M1663" s="33" t="s">
        <v>46</v>
      </c>
      <c r="N1663" s="33">
        <f>IF(AND(E1663="Electricité",M1663="Hiver"),INDEX('Base de données Mono'!E:E,MATCH(B1663,'Base de données Mono'!D:D,0)),IF(AND(E1663="Electricité",M1663="Mi-saison"),INDEX('Base de données Mono'!F:F,MATCH(B1663,'Base de données Mono'!D:D,0)),IF(AND(E1663="Electricité",M1663="Eté"),INDEX('Base de données Mono'!G:G,MATCH(B1663,'Base de données Mono'!D:D,0)),IF(AND(E1663="Gaz",M1663="Hiver"),INDEX('Base de données Mono'!J:J,MATCH(B1663,'Base de données Mono'!D:D,0)),IF(AND(E1663="Gaz",M1663="Mi-saison"),INDEX('Base de données Mono'!#REF!,MATCH(B1663,'Base de données Mono'!D:D,0)),IF(AND(E1663="Gaz",M1663="Eté"),INDEX('Base de données Mono'!#REF!,MATCH(B1663,'Base de données Mono'!D:D,0)),"-"))))))</f>
        <v>50</v>
      </c>
      <c r="O1663" s="123">
        <v>45411</v>
      </c>
      <c r="P1663" s="123">
        <v>45413</v>
      </c>
      <c r="Q1663" s="34">
        <v>100</v>
      </c>
      <c r="R1663" s="33">
        <f t="shared" si="454"/>
        <v>50</v>
      </c>
      <c r="S1663" s="34">
        <v>1</v>
      </c>
      <c r="T1663" s="34">
        <f t="shared" si="451"/>
        <v>2</v>
      </c>
      <c r="U1663" s="33">
        <f t="shared" si="455"/>
        <v>100</v>
      </c>
      <c r="V1663" s="38" t="s">
        <v>827</v>
      </c>
      <c r="W1663" s="39">
        <f t="shared" si="456"/>
        <v>1</v>
      </c>
      <c r="X1663" s="40" t="s">
        <v>304</v>
      </c>
      <c r="Y1663" s="40" t="s">
        <v>284</v>
      </c>
      <c r="Z1663" s="40" t="s">
        <v>307</v>
      </c>
      <c r="AA1663" s="33" t="s">
        <v>313</v>
      </c>
      <c r="AB1663" s="95"/>
      <c r="AC1663" s="95"/>
    </row>
    <row r="1664" spans="1:29" ht="14.45" hidden="1" customHeight="1" x14ac:dyDescent="0.25">
      <c r="A1664" s="36" t="str">
        <f>INDEX('Base de données Mono'!C:C,MATCH(B1664,'Base de données Mono'!D:D,0))</f>
        <v>LILLE LES TANNEURS</v>
      </c>
      <c r="B1664" t="s">
        <v>160</v>
      </c>
      <c r="C1664" s="36" t="str">
        <f>INDEX('Base de données Mono'!B:B,MATCH(B1664,'Base de données Mono'!D:D,0))</f>
        <v>SES8</v>
      </c>
      <c r="D1664" s="36" t="str">
        <f>INDEX('Base de données Mono'!A:A,MATCH(B1664,'Base de données Mono'!D:D,0))</f>
        <v>JG</v>
      </c>
      <c r="E1664" s="37" t="s">
        <v>303</v>
      </c>
      <c r="F1664" s="41">
        <f t="shared" si="452"/>
        <v>18</v>
      </c>
      <c r="G1664" s="41">
        <f t="shared" si="453"/>
        <v>4</v>
      </c>
      <c r="I1664" s="131">
        <f>INDEX('Base de données Mono'!K:K,MATCH(B1664,'Base de données Mono'!D:D,0))</f>
        <v>0.16666666666666666</v>
      </c>
      <c r="J1664" s="131">
        <f>INDEX('Base de données Mono'!L:L,MATCH(B1664,'Base de données Mono'!D:D,0))</f>
        <v>0.83333333333333337</v>
      </c>
      <c r="K1664" s="131">
        <f>INDEX('Base de données Mono'!M:M,MATCH(B1664,'Base de données Mono'!D:D,0))</f>
        <v>0.29166666666666669</v>
      </c>
      <c r="L1664" s="131">
        <f>INDEX('Base de données Mono'!N:N,MATCH(B1664,'Base de données Mono'!D:D,0))</f>
        <v>0.79166666666666663</v>
      </c>
      <c r="M1664" s="33" t="s">
        <v>46</v>
      </c>
      <c r="N1664" s="33">
        <f>IF(AND(E1664="Electricité",M1664="Hiver"),INDEX('Base de données Mono'!E:E,MATCH(B1664,'Base de données Mono'!D:D,0)),IF(AND(E1664="Electricité",M1664="Mi-saison"),INDEX('Base de données Mono'!F:F,MATCH(B1664,'Base de données Mono'!D:D,0)),IF(AND(E1664="Electricité",M1664="Eté"),INDEX('Base de données Mono'!G:G,MATCH(B1664,'Base de données Mono'!D:D,0)),IF(AND(E1664="Gaz",M1664="Hiver"),INDEX('Base de données Mono'!J:J,MATCH(B1664,'Base de données Mono'!D:D,0)),IF(AND(E1664="Gaz",M1664="Mi-saison"),INDEX('Base de données Mono'!#REF!,MATCH(B1664,'Base de données Mono'!D:D,0)),IF(AND(E1664="Gaz",M1664="Eté"),INDEX('Base de données Mono'!#REF!,MATCH(B1664,'Base de données Mono'!D:D,0)),"-"))))))</f>
        <v>50</v>
      </c>
      <c r="O1664" s="123">
        <v>45411</v>
      </c>
      <c r="P1664" s="123">
        <v>45413</v>
      </c>
      <c r="Q1664" s="34">
        <v>60</v>
      </c>
      <c r="R1664" s="33">
        <f t="shared" si="454"/>
        <v>10</v>
      </c>
      <c r="S1664" s="34">
        <v>7</v>
      </c>
      <c r="T1664" s="34">
        <f t="shared" si="451"/>
        <v>2</v>
      </c>
      <c r="U1664" s="33">
        <f t="shared" si="455"/>
        <v>140</v>
      </c>
      <c r="V1664" s="38" t="s">
        <v>827</v>
      </c>
      <c r="W1664" s="39">
        <f t="shared" si="456"/>
        <v>0.2</v>
      </c>
      <c r="X1664" s="40" t="s">
        <v>304</v>
      </c>
      <c r="Y1664" s="40" t="s">
        <v>284</v>
      </c>
      <c r="Z1664" s="40" t="s">
        <v>305</v>
      </c>
      <c r="AA1664" s="33" t="s">
        <v>771</v>
      </c>
      <c r="AB1664" s="95"/>
      <c r="AC1664" s="95"/>
    </row>
    <row r="1665" spans="1:29" ht="14.45" hidden="1" customHeight="1" x14ac:dyDescent="0.25">
      <c r="A1665" s="36" t="str">
        <f>INDEX('Base de données Mono'!C:C,MATCH(B1665,'Base de données Mono'!D:D,0))</f>
        <v>DAUMESNIL</v>
      </c>
      <c r="B1665" t="s">
        <v>15</v>
      </c>
      <c r="C1665" s="36" t="str">
        <f>INDEX('Base de données Mono'!B:B,MATCH(B1665,'Base de données Mono'!D:D,0))</f>
        <v>SES8</v>
      </c>
      <c r="D1665" s="36" t="str">
        <f>INDEX('Base de données Mono'!A:A,MATCH(B1665,'Base de données Mono'!D:D,0))</f>
        <v>JG</v>
      </c>
      <c r="E1665" s="37" t="s">
        <v>303</v>
      </c>
      <c r="F1665" s="41">
        <f t="shared" ref="F1665:F1672" si="468">IF(O1665="","-",IF(AND(X1665="Nuit",WEEKDAY(O1665,2)=7,O1665&lt;&gt;P1665),WEEKNUM(O1665,2),WEEKNUM(O1665,2)-1))+1</f>
        <v>18</v>
      </c>
      <c r="G1665" s="41">
        <f t="shared" ref="G1665:G1672" si="469">IF(O1665="","-",MONTH(O1665))</f>
        <v>4</v>
      </c>
      <c r="I1665" s="131">
        <f>INDEX('Base de données Mono'!K:K,MATCH(B1665,'Base de données Mono'!D:D,0))</f>
        <v>0.24305555555555555</v>
      </c>
      <c r="J1665" s="131">
        <f>INDEX('Base de données Mono'!L:L,MATCH(B1665,'Base de données Mono'!D:D,0))</f>
        <v>0.92013888888888884</v>
      </c>
      <c r="K1665" s="131">
        <f>INDEX('Base de données Mono'!M:M,MATCH(B1665,'Base de données Mono'!D:D,0))</f>
        <v>0.28472222222222221</v>
      </c>
      <c r="L1665" s="131">
        <f>INDEX('Base de données Mono'!N:N,MATCH(B1665,'Base de données Mono'!D:D,0))</f>
        <v>0.54166666666666663</v>
      </c>
      <c r="M1665" s="33" t="s">
        <v>46</v>
      </c>
      <c r="N1665" s="33">
        <f>IF(AND(E1665="Electricité",M1665="Hiver"),INDEX('Base de données Mono'!E:E,MATCH(B1665,'Base de données Mono'!D:D,0)),IF(AND(E1665="Electricité",M1665="Mi-saison"),INDEX('Base de données Mono'!F:F,MATCH(B1665,'Base de données Mono'!D:D,0)),IF(AND(E1665="Electricité",M1665="Eté"),INDEX('Base de données Mono'!G:G,MATCH(B1665,'Base de données Mono'!D:D,0)),IF(AND(E1665="Gaz",M1665="Hiver"),INDEX('Base de données Mono'!J:J,MATCH(B1665,'Base de données Mono'!D:D,0)),IF(AND(E1665="Gaz",M1665="Mi-saison"),INDEX('Base de données Mono'!#REF!,MATCH(B1665,'Base de données Mono'!D:D,0)),IF(AND(E1665="Gaz",M1665="Eté"),INDEX('Base de données Mono'!#REF!,MATCH(B1665,'Base de données Mono'!D:D,0)),"-"))))))</f>
        <v>15</v>
      </c>
      <c r="O1665" s="123">
        <v>45410</v>
      </c>
      <c r="P1665" s="123">
        <v>45413</v>
      </c>
      <c r="Q1665" s="34">
        <v>55</v>
      </c>
      <c r="R1665" s="33">
        <f t="shared" ref="R1665:R1672" si="470">IF(Q1665="","",Q1665-N1665)</f>
        <v>40</v>
      </c>
      <c r="S1665" s="34">
        <v>7</v>
      </c>
      <c r="T1665" s="34">
        <f t="shared" ref="T1665:T1678" si="471">P1665-O1665</f>
        <v>3</v>
      </c>
      <c r="U1665" s="33">
        <f t="shared" ref="U1665:U1671" si="472">R1665*S1665*T1665</f>
        <v>840</v>
      </c>
      <c r="V1665" s="38" t="s">
        <v>827</v>
      </c>
      <c r="W1665" s="39">
        <f t="shared" ref="W1665:W1671" si="473">IFERROR(IF(E1665="Gaz","-",R1665/N1665),"-")</f>
        <v>2.6666666666666665</v>
      </c>
      <c r="X1665" s="40" t="s">
        <v>304</v>
      </c>
      <c r="Y1665" s="40" t="s">
        <v>284</v>
      </c>
      <c r="Z1665" s="40" t="s">
        <v>305</v>
      </c>
      <c r="AA1665" s="33" t="s">
        <v>771</v>
      </c>
      <c r="AB1665" s="95"/>
      <c r="AC1665" s="95"/>
    </row>
    <row r="1666" spans="1:29" ht="14.45" hidden="1" customHeight="1" x14ac:dyDescent="0.25">
      <c r="A1666" s="36" t="str">
        <f>INDEX('Base de données Mono'!C:C,MATCH(B1666,'Base de données Mono'!D:D,0))</f>
        <v>SETE</v>
      </c>
      <c r="B1666" t="s">
        <v>34</v>
      </c>
      <c r="C1666" s="36" t="str">
        <f>INDEX('Base de données Mono'!B:B,MATCH(B1666,'Base de données Mono'!D:D,0))</f>
        <v>SES8</v>
      </c>
      <c r="D1666" s="36" t="str">
        <f>INDEX('Base de données Mono'!A:A,MATCH(B1666,'Base de données Mono'!D:D,0))</f>
        <v>AD</v>
      </c>
      <c r="E1666" s="37" t="s">
        <v>303</v>
      </c>
      <c r="F1666" s="41">
        <f t="shared" si="468"/>
        <v>18</v>
      </c>
      <c r="G1666" s="41">
        <f t="shared" si="469"/>
        <v>4</v>
      </c>
      <c r="I1666" s="131">
        <f>INDEX('Base de données Mono'!K:K,MATCH(B1666,'Base de données Mono'!D:D,0))</f>
        <v>0.23611111111111113</v>
      </c>
      <c r="J1666" s="131">
        <f>INDEX('Base de données Mono'!L:L,MATCH(B1666,'Base de données Mono'!D:D,0))</f>
        <v>0.85416666666666663</v>
      </c>
      <c r="K1666" s="131">
        <f>INDEX('Base de données Mono'!M:M,MATCH(B1666,'Base de données Mono'!D:D,0))</f>
        <v>0.29166666666666669</v>
      </c>
      <c r="L1666" s="131">
        <f>INDEX('Base de données Mono'!N:N,MATCH(B1666,'Base de données Mono'!D:D,0))</f>
        <v>0.54166666666666663</v>
      </c>
      <c r="M1666" s="33" t="s">
        <v>46</v>
      </c>
      <c r="N1666" s="33">
        <f>IF(AND(E1666="Electricité",M1666="Hiver"),INDEX('Base de données Mono'!E:E,MATCH(B1666,'Base de données Mono'!D:D,0)),IF(AND(E1666="Electricité",M1666="Mi-saison"),INDEX('Base de données Mono'!F:F,MATCH(B1666,'Base de données Mono'!D:D,0)),IF(AND(E1666="Electricité",M1666="Eté"),INDEX('Base de données Mono'!G:G,MATCH(B1666,'Base de données Mono'!D:D,0)),IF(AND(E1666="Gaz",M1666="Hiver"),INDEX('Base de données Mono'!J:J,MATCH(B1666,'Base de données Mono'!D:D,0)),IF(AND(E1666="Gaz",M1666="Mi-saison"),INDEX('Base de données Mono'!#REF!,MATCH(B1666,'Base de données Mono'!D:D,0)),IF(AND(E1666="Gaz",M1666="Eté"),INDEX('Base de données Mono'!#REF!,MATCH(B1666,'Base de données Mono'!D:D,0)),"-"))))))</f>
        <v>45</v>
      </c>
      <c r="O1666" s="123">
        <v>45411</v>
      </c>
      <c r="P1666" s="123">
        <v>45413</v>
      </c>
      <c r="Q1666" s="34">
        <v>50</v>
      </c>
      <c r="R1666" s="33">
        <f t="shared" si="470"/>
        <v>5</v>
      </c>
      <c r="S1666" s="34">
        <v>9</v>
      </c>
      <c r="T1666" s="34">
        <f t="shared" si="471"/>
        <v>2</v>
      </c>
      <c r="U1666" s="33">
        <f t="shared" si="472"/>
        <v>90</v>
      </c>
      <c r="V1666" s="38" t="s">
        <v>827</v>
      </c>
      <c r="W1666" s="39">
        <f t="shared" si="473"/>
        <v>0.1111111111111111</v>
      </c>
      <c r="X1666" s="40" t="s">
        <v>304</v>
      </c>
      <c r="Y1666" s="40" t="s">
        <v>284</v>
      </c>
      <c r="Z1666" s="40" t="s">
        <v>305</v>
      </c>
      <c r="AA1666" s="33" t="s">
        <v>771</v>
      </c>
      <c r="AB1666" s="95"/>
      <c r="AC1666" s="95"/>
    </row>
    <row r="1667" spans="1:29" ht="14.45" hidden="1" customHeight="1" x14ac:dyDescent="0.25">
      <c r="A1667" s="36" t="str">
        <f>INDEX('Base de données Mono'!C:C,MATCH(B1667,'Base de données Mono'!D:D,0))</f>
        <v>VINCENNES</v>
      </c>
      <c r="B1667" t="s">
        <v>277</v>
      </c>
      <c r="C1667" s="36" t="str">
        <f>INDEX('Base de données Mono'!B:B,MATCH(B1667,'Base de données Mono'!D:D,0))</f>
        <v>SES8</v>
      </c>
      <c r="D1667" s="36" t="str">
        <f>INDEX('Base de données Mono'!A:A,MATCH(B1667,'Base de données Mono'!D:D,0))</f>
        <v>JG</v>
      </c>
      <c r="E1667" s="37" t="s">
        <v>303</v>
      </c>
      <c r="F1667" s="41">
        <f t="shared" ref="F1667" si="474">IF(O1667="","-",IF(AND(X1667="Nuit",WEEKDAY(O1667,2)=7,O1667&lt;&gt;P1667),WEEKNUM(O1667,2),WEEKNUM(O1667,2)-1))+1</f>
        <v>18</v>
      </c>
      <c r="G1667" s="41">
        <f t="shared" ref="G1667" si="475">IF(O1667="","-",MONTH(O1667))</f>
        <v>4</v>
      </c>
      <c r="I1667" s="131">
        <f>INDEX('Base de données Mono'!K:K,MATCH(B1667,'Base de données Mono'!D:D,0))</f>
        <v>0.24305555555555555</v>
      </c>
      <c r="J1667" s="131">
        <f>INDEX('Base de données Mono'!L:L,MATCH(B1667,'Base de données Mono'!D:D,0))</f>
        <v>0.91666666666666663</v>
      </c>
      <c r="K1667" s="131">
        <f>INDEX('Base de données Mono'!M:M,MATCH(B1667,'Base de données Mono'!D:D,0))</f>
        <v>0.28472222222222221</v>
      </c>
      <c r="L1667" s="131">
        <f>INDEX('Base de données Mono'!N:N,MATCH(B1667,'Base de données Mono'!D:D,0))</f>
        <v>0.56944444444444442</v>
      </c>
      <c r="M1667" s="33" t="s">
        <v>46</v>
      </c>
      <c r="N1667" s="33">
        <f>IF(AND(E1667="Electricité",M1667="Hiver"),INDEX('Base de données Mono'!E:E,MATCH(B1667,'Base de données Mono'!D:D,0)),IF(AND(E1667="Electricité",M1667="Mi-saison"),INDEX('Base de données Mono'!F:F,MATCH(B1667,'Base de données Mono'!D:D,0)),IF(AND(E1667="Electricité",M1667="Eté"),INDEX('Base de données Mono'!G:G,MATCH(B1667,'Base de données Mono'!D:D,0)),IF(AND(E1667="Gaz",M1667="Hiver"),INDEX('Base de données Mono'!J:J,MATCH(B1667,'Base de données Mono'!D:D,0)),IF(AND(E1667="Gaz",M1667="Mi-saison"),INDEX('Base de données Mono'!#REF!,MATCH(B1667,'Base de données Mono'!D:D,0)),IF(AND(E1667="Gaz",M1667="Eté"),INDEX('Base de données Mono'!#REF!,MATCH(B1667,'Base de données Mono'!D:D,0)),"-"))))))</f>
        <v>45</v>
      </c>
      <c r="O1667" s="123">
        <v>45410</v>
      </c>
      <c r="P1667" s="123">
        <v>45411</v>
      </c>
      <c r="Q1667" s="34">
        <v>65</v>
      </c>
      <c r="R1667" s="33">
        <f t="shared" ref="R1667" si="476">IF(Q1667="","",Q1667-N1667)</f>
        <v>20</v>
      </c>
      <c r="S1667" s="34">
        <v>2.6</v>
      </c>
      <c r="T1667" s="34">
        <f t="shared" ref="T1667" si="477">P1667-O1667</f>
        <v>1</v>
      </c>
      <c r="U1667" s="33">
        <f t="shared" ref="U1667" si="478">R1667*S1667*T1667</f>
        <v>52</v>
      </c>
      <c r="V1667" s="38" t="s">
        <v>827</v>
      </c>
      <c r="W1667" s="39">
        <f t="shared" ref="W1667" si="479">IFERROR(IF(E1667="Gaz","-",R1667/N1667),"-")</f>
        <v>0.44444444444444442</v>
      </c>
      <c r="X1667" s="40" t="s">
        <v>304</v>
      </c>
      <c r="Y1667" s="40" t="s">
        <v>284</v>
      </c>
      <c r="Z1667" s="40" t="s">
        <v>311</v>
      </c>
      <c r="AA1667" s="33" t="s">
        <v>775</v>
      </c>
      <c r="AB1667" s="95"/>
      <c r="AC1667" s="95"/>
    </row>
    <row r="1668" spans="1:29" ht="14.45" hidden="1" customHeight="1" x14ac:dyDescent="0.25">
      <c r="A1668" s="36" t="str">
        <f>INDEX('Base de données Mono'!C:C,MATCH(B1668,'Base de données Mono'!D:D,0))</f>
        <v>VINCENNES</v>
      </c>
      <c r="B1668" t="s">
        <v>277</v>
      </c>
      <c r="C1668" s="36" t="str">
        <f>INDEX('Base de données Mono'!B:B,MATCH(B1668,'Base de données Mono'!D:D,0))</f>
        <v>SES8</v>
      </c>
      <c r="D1668" s="36" t="str">
        <f>INDEX('Base de données Mono'!A:A,MATCH(B1668,'Base de données Mono'!D:D,0))</f>
        <v>JG</v>
      </c>
      <c r="E1668" s="37" t="s">
        <v>303</v>
      </c>
      <c r="F1668" s="41">
        <f t="shared" si="468"/>
        <v>18</v>
      </c>
      <c r="G1668" s="41">
        <f t="shared" si="469"/>
        <v>4</v>
      </c>
      <c r="I1668" s="131">
        <f>INDEX('Base de données Mono'!K:K,MATCH(B1668,'Base de données Mono'!D:D,0))</f>
        <v>0.24305555555555555</v>
      </c>
      <c r="J1668" s="131">
        <f>INDEX('Base de données Mono'!L:L,MATCH(B1668,'Base de données Mono'!D:D,0))</f>
        <v>0.91666666666666663</v>
      </c>
      <c r="K1668" s="131">
        <f>INDEX('Base de données Mono'!M:M,MATCH(B1668,'Base de données Mono'!D:D,0))</f>
        <v>0.28472222222222221</v>
      </c>
      <c r="L1668" s="131">
        <f>INDEX('Base de données Mono'!N:N,MATCH(B1668,'Base de données Mono'!D:D,0))</f>
        <v>0.56944444444444442</v>
      </c>
      <c r="M1668" s="33" t="s">
        <v>46</v>
      </c>
      <c r="N1668" s="33">
        <f>IF(AND(E1668="Electricité",M1668="Hiver"),INDEX('Base de données Mono'!E:E,MATCH(B1668,'Base de données Mono'!D:D,0)),IF(AND(E1668="Electricité",M1668="Mi-saison"),INDEX('Base de données Mono'!F:F,MATCH(B1668,'Base de données Mono'!D:D,0)),IF(AND(E1668="Electricité",M1668="Eté"),INDEX('Base de données Mono'!G:G,MATCH(B1668,'Base de données Mono'!D:D,0)),IF(AND(E1668="Gaz",M1668="Hiver"),INDEX('Base de données Mono'!J:J,MATCH(B1668,'Base de données Mono'!D:D,0)),IF(AND(E1668="Gaz",M1668="Mi-saison"),INDEX('Base de données Mono'!#REF!,MATCH(B1668,'Base de données Mono'!D:D,0)),IF(AND(E1668="Gaz",M1668="Eté"),INDEX('Base de données Mono'!#REF!,MATCH(B1668,'Base de données Mono'!D:D,0)),"-"))))))</f>
        <v>45</v>
      </c>
      <c r="O1668" s="123">
        <v>45412</v>
      </c>
      <c r="P1668" s="123">
        <v>45413</v>
      </c>
      <c r="Q1668" s="34">
        <v>70</v>
      </c>
      <c r="R1668" s="33">
        <f t="shared" si="470"/>
        <v>25</v>
      </c>
      <c r="S1668" s="34">
        <v>1.6</v>
      </c>
      <c r="T1668" s="34">
        <f t="shared" si="471"/>
        <v>1</v>
      </c>
      <c r="U1668" s="33">
        <f t="shared" si="472"/>
        <v>40</v>
      </c>
      <c r="V1668" s="38" t="s">
        <v>827</v>
      </c>
      <c r="W1668" s="39">
        <f t="shared" si="473"/>
        <v>0.55555555555555558</v>
      </c>
      <c r="X1668" s="40" t="s">
        <v>304</v>
      </c>
      <c r="Y1668" s="40" t="s">
        <v>284</v>
      </c>
      <c r="Z1668" s="40" t="s">
        <v>307</v>
      </c>
      <c r="AA1668" s="33" t="s">
        <v>313</v>
      </c>
      <c r="AB1668" s="95"/>
      <c r="AC1668" s="95"/>
    </row>
    <row r="1669" spans="1:29" ht="14.45" hidden="1" customHeight="1" x14ac:dyDescent="0.25">
      <c r="A1669" s="36" t="str">
        <f>INDEX('Base de données Mono'!C:C,MATCH(B1669,'Base de données Mono'!D:D,0))</f>
        <v>LE VESINET</v>
      </c>
      <c r="B1669" t="s">
        <v>19</v>
      </c>
      <c r="C1669" s="36" t="str">
        <f>INDEX('Base de données Mono'!B:B,MATCH(B1669,'Base de données Mono'!D:D,0))</f>
        <v>SES8</v>
      </c>
      <c r="D1669" s="36" t="str">
        <f>INDEX('Base de données Mono'!A:A,MATCH(B1669,'Base de données Mono'!D:D,0))</f>
        <v>AD</v>
      </c>
      <c r="E1669" s="37" t="s">
        <v>303</v>
      </c>
      <c r="F1669" s="41">
        <f t="shared" si="468"/>
        <v>18</v>
      </c>
      <c r="G1669" s="41">
        <f t="shared" si="469"/>
        <v>4</v>
      </c>
      <c r="I1669" s="131">
        <f>INDEX('Base de données Mono'!K:K,MATCH(B1669,'Base de données Mono'!D:D,0))</f>
        <v>0.24305555555555555</v>
      </c>
      <c r="J1669" s="131">
        <f>INDEX('Base de données Mono'!L:L,MATCH(B1669,'Base de données Mono'!D:D,0))</f>
        <v>0.89583333333333337</v>
      </c>
      <c r="K1669" s="131">
        <f>INDEX('Base de données Mono'!M:M,MATCH(B1669,'Base de données Mono'!D:D,0))</f>
        <v>0.29166666666666669</v>
      </c>
      <c r="L1669" s="131">
        <f>INDEX('Base de données Mono'!N:N,MATCH(B1669,'Base de données Mono'!D:D,0))</f>
        <v>0.5625</v>
      </c>
      <c r="M1669" s="33" t="s">
        <v>46</v>
      </c>
      <c r="N1669" s="33">
        <f>IF(AND(E1669="Electricité",M1669="Hiver"),INDEX('Base de données Mono'!E:E,MATCH(B1669,'Base de données Mono'!D:D,0)),IF(AND(E1669="Electricité",M1669="Mi-saison"),INDEX('Base de données Mono'!F:F,MATCH(B1669,'Base de données Mono'!D:D,0)),IF(AND(E1669="Electricité",M1669="Eté"),INDEX('Base de données Mono'!G:G,MATCH(B1669,'Base de données Mono'!D:D,0)),IF(AND(E1669="Gaz",M1669="Hiver"),INDEX('Base de données Mono'!J:J,MATCH(B1669,'Base de données Mono'!D:D,0)),IF(AND(E1669="Gaz",M1669="Mi-saison"),INDEX('Base de données Mono'!#REF!,MATCH(B1669,'Base de données Mono'!D:D,0)),IF(AND(E1669="Gaz",M1669="Eté"),INDEX('Base de données Mono'!#REF!,MATCH(B1669,'Base de données Mono'!D:D,0)),"-"))))))</f>
        <v>45</v>
      </c>
      <c r="O1669" s="123">
        <v>45410</v>
      </c>
      <c r="P1669" s="123">
        <v>45413</v>
      </c>
      <c r="Q1669" s="34">
        <v>60</v>
      </c>
      <c r="R1669" s="33">
        <f t="shared" si="470"/>
        <v>15</v>
      </c>
      <c r="S1669" s="34">
        <v>8</v>
      </c>
      <c r="T1669" s="34">
        <f t="shared" si="471"/>
        <v>3</v>
      </c>
      <c r="U1669" s="33">
        <f t="shared" si="472"/>
        <v>360</v>
      </c>
      <c r="V1669" s="38" t="s">
        <v>827</v>
      </c>
      <c r="W1669" s="39">
        <f t="shared" si="473"/>
        <v>0.33333333333333331</v>
      </c>
      <c r="X1669" s="40" t="s">
        <v>304</v>
      </c>
      <c r="Y1669" s="40" t="s">
        <v>284</v>
      </c>
      <c r="Z1669" s="40" t="s">
        <v>305</v>
      </c>
      <c r="AA1669" s="33" t="s">
        <v>771</v>
      </c>
      <c r="AB1669" s="95"/>
      <c r="AC1669" s="95"/>
    </row>
    <row r="1670" spans="1:29" ht="14.45" hidden="1" customHeight="1" x14ac:dyDescent="0.25">
      <c r="A1670" s="36" t="str">
        <f>INDEX('Base de données Mono'!C:C,MATCH(B1670,'Base de données Mono'!D:D,0))</f>
        <v>ALESIA ALI</v>
      </c>
      <c r="B1670" t="s">
        <v>56</v>
      </c>
      <c r="C1670" s="36" t="str">
        <f>INDEX('Base de données Mono'!B:B,MATCH(B1670,'Base de données Mono'!D:D,0))</f>
        <v>SES8</v>
      </c>
      <c r="D1670" s="36" t="str">
        <f>INDEX('Base de données Mono'!A:A,MATCH(B1670,'Base de données Mono'!D:D,0))</f>
        <v>AD</v>
      </c>
      <c r="E1670" s="37" t="s">
        <v>303</v>
      </c>
      <c r="F1670" s="41">
        <f t="shared" si="468"/>
        <v>18</v>
      </c>
      <c r="G1670" s="41">
        <f t="shared" si="469"/>
        <v>4</v>
      </c>
      <c r="I1670" s="131">
        <f>INDEX('Base de données Mono'!K:K,MATCH(B1670,'Base de données Mono'!D:D,0))</f>
        <v>0.20833333333333334</v>
      </c>
      <c r="J1670" s="131">
        <f>INDEX('Base de données Mono'!L:L,MATCH(B1670,'Base de données Mono'!D:D,0))</f>
        <v>0.83333333333333337</v>
      </c>
      <c r="K1670" s="131">
        <f>INDEX('Base de données Mono'!M:M,MATCH(B1670,'Base de données Mono'!D:D,0))</f>
        <v>0.25</v>
      </c>
      <c r="L1670" s="131">
        <f>INDEX('Base de données Mono'!N:N,MATCH(B1670,'Base de données Mono'!D:D,0))</f>
        <v>0.54166666666666663</v>
      </c>
      <c r="M1670" s="33" t="s">
        <v>46</v>
      </c>
      <c r="N1670" s="33">
        <f>IF(AND(E1670="Electricité",M1670="Hiver"),INDEX('Base de données Mono'!E:E,MATCH(B1670,'Base de données Mono'!D:D,0)),IF(AND(E1670="Electricité",M1670="Mi-saison"),INDEX('Base de données Mono'!F:F,MATCH(B1670,'Base de données Mono'!D:D,0)),IF(AND(E1670="Electricité",M1670="Eté"),INDEX('Base de données Mono'!G:G,MATCH(B1670,'Base de données Mono'!D:D,0)),IF(AND(E1670="Gaz",M1670="Hiver"),INDEX('Base de données Mono'!J:J,MATCH(B1670,'Base de données Mono'!D:D,0)),IF(AND(E1670="Gaz",M1670="Mi-saison"),INDEX('Base de données Mono'!#REF!,MATCH(B1670,'Base de données Mono'!D:D,0)),IF(AND(E1670="Gaz",M1670="Eté"),INDEX('Base de données Mono'!#REF!,MATCH(B1670,'Base de données Mono'!D:D,0)),"-"))))))</f>
        <v>55</v>
      </c>
      <c r="O1670" s="123">
        <v>45410</v>
      </c>
      <c r="P1670" s="123">
        <v>45413</v>
      </c>
      <c r="Q1670" s="34">
        <v>60</v>
      </c>
      <c r="R1670" s="33">
        <f t="shared" si="470"/>
        <v>5</v>
      </c>
      <c r="S1670" s="34">
        <v>3</v>
      </c>
      <c r="T1670" s="34">
        <f t="shared" si="471"/>
        <v>3</v>
      </c>
      <c r="U1670" s="33">
        <f t="shared" si="472"/>
        <v>45</v>
      </c>
      <c r="V1670" s="38" t="s">
        <v>827</v>
      </c>
      <c r="W1670" s="39">
        <f t="shared" si="473"/>
        <v>9.0909090909090912E-2</v>
      </c>
      <c r="X1670" s="40" t="s">
        <v>304</v>
      </c>
      <c r="Y1670" s="40" t="s">
        <v>284</v>
      </c>
      <c r="Z1670" s="40" t="s">
        <v>305</v>
      </c>
      <c r="AA1670" s="33" t="s">
        <v>771</v>
      </c>
      <c r="AB1670" s="95"/>
      <c r="AC1670" s="95"/>
    </row>
    <row r="1671" spans="1:29" ht="14.45" hidden="1" customHeight="1" x14ac:dyDescent="0.25">
      <c r="A1671" s="36" t="str">
        <f>INDEX('Base de données Mono'!C:C,MATCH(B1671,'Base de données Mono'!D:D,0))</f>
        <v>ALESIA ALI</v>
      </c>
      <c r="B1671" t="s">
        <v>56</v>
      </c>
      <c r="C1671" s="36" t="str">
        <f>INDEX('Base de données Mono'!B:B,MATCH(B1671,'Base de données Mono'!D:D,0))</f>
        <v>SES8</v>
      </c>
      <c r="D1671" s="36" t="str">
        <f>INDEX('Base de données Mono'!A:A,MATCH(B1671,'Base de données Mono'!D:D,0))</f>
        <v>AD</v>
      </c>
      <c r="E1671" s="37" t="s">
        <v>303</v>
      </c>
      <c r="F1671" s="41">
        <f t="shared" si="468"/>
        <v>18</v>
      </c>
      <c r="G1671" s="41">
        <f t="shared" si="469"/>
        <v>4</v>
      </c>
      <c r="I1671" s="131">
        <f>INDEX('Base de données Mono'!K:K,MATCH(B1671,'Base de données Mono'!D:D,0))</f>
        <v>0.20833333333333334</v>
      </c>
      <c r="J1671" s="131">
        <f>INDEX('Base de données Mono'!L:L,MATCH(B1671,'Base de données Mono'!D:D,0))</f>
        <v>0.83333333333333337</v>
      </c>
      <c r="K1671" s="131">
        <f>INDEX('Base de données Mono'!M:M,MATCH(B1671,'Base de données Mono'!D:D,0))</f>
        <v>0.25</v>
      </c>
      <c r="L1671" s="131">
        <f>INDEX('Base de données Mono'!N:N,MATCH(B1671,'Base de données Mono'!D:D,0))</f>
        <v>0.54166666666666663</v>
      </c>
      <c r="M1671" s="33" t="s">
        <v>46</v>
      </c>
      <c r="N1671" s="33">
        <f>IF(AND(E1671="Electricité",M1671="Hiver"),INDEX('Base de données Mono'!E:E,MATCH(B1671,'Base de données Mono'!D:D,0)),IF(AND(E1671="Electricité",M1671="Mi-saison"),INDEX('Base de données Mono'!F:F,MATCH(B1671,'Base de données Mono'!D:D,0)),IF(AND(E1671="Electricité",M1671="Eté"),INDEX('Base de données Mono'!G:G,MATCH(B1671,'Base de données Mono'!D:D,0)),IF(AND(E1671="Gaz",M1671="Hiver"),INDEX('Base de données Mono'!J:J,MATCH(B1671,'Base de données Mono'!D:D,0)),IF(AND(E1671="Gaz",M1671="Mi-saison"),INDEX('Base de données Mono'!#REF!,MATCH(B1671,'Base de données Mono'!D:D,0)),IF(AND(E1671="Gaz",M1671="Eté"),INDEX('Base de données Mono'!#REF!,MATCH(B1671,'Base de données Mono'!D:D,0)),"-"))))))</f>
        <v>55</v>
      </c>
      <c r="O1671" s="123">
        <v>45411</v>
      </c>
      <c r="P1671" s="123">
        <v>45413</v>
      </c>
      <c r="Q1671" s="34">
        <v>80</v>
      </c>
      <c r="R1671" s="33">
        <f t="shared" si="470"/>
        <v>25</v>
      </c>
      <c r="S1671" s="34">
        <v>1.8</v>
      </c>
      <c r="T1671" s="34">
        <f t="shared" si="471"/>
        <v>2</v>
      </c>
      <c r="U1671" s="33">
        <f t="shared" si="472"/>
        <v>90</v>
      </c>
      <c r="V1671" s="38" t="s">
        <v>827</v>
      </c>
      <c r="W1671" s="39">
        <f t="shared" si="473"/>
        <v>0.45454545454545453</v>
      </c>
      <c r="X1671" s="40" t="s">
        <v>304</v>
      </c>
      <c r="Y1671" s="40" t="s">
        <v>284</v>
      </c>
      <c r="Z1671" s="40" t="s">
        <v>307</v>
      </c>
      <c r="AA1671" s="33" t="s">
        <v>313</v>
      </c>
      <c r="AB1671" s="95"/>
      <c r="AC1671" s="95"/>
    </row>
    <row r="1672" spans="1:29" ht="14.45" hidden="1" customHeight="1" x14ac:dyDescent="0.25">
      <c r="A1672" s="36" t="str">
        <f>INDEX('Base de données Mono'!C:C,MATCH(B1672,'Base de données Mono'!D:D,0))</f>
        <v>LE COURBE</v>
      </c>
      <c r="B1672" t="s">
        <v>20</v>
      </c>
      <c r="C1672" s="36" t="str">
        <f>INDEX('Base de données Mono'!B:B,MATCH(B1672,'Base de données Mono'!D:D,0))</f>
        <v>SES8</v>
      </c>
      <c r="D1672" s="36" t="str">
        <f>INDEX('Base de données Mono'!A:A,MATCH(B1672,'Base de données Mono'!D:D,0))</f>
        <v>AD</v>
      </c>
      <c r="E1672" s="37" t="s">
        <v>303</v>
      </c>
      <c r="F1672" s="41">
        <f t="shared" si="468"/>
        <v>18</v>
      </c>
      <c r="G1672" s="41">
        <f t="shared" si="469"/>
        <v>4</v>
      </c>
      <c r="I1672" s="131">
        <f>INDEX('Base de données Mono'!K:K,MATCH(B1672,'Base de données Mono'!D:D,0))</f>
        <v>0.24305555555555555</v>
      </c>
      <c r="J1672" s="131">
        <f>INDEX('Base de données Mono'!L:L,MATCH(B1672,'Base de données Mono'!D:D,0))</f>
        <v>0.875</v>
      </c>
      <c r="K1672" s="131" t="str">
        <f>INDEX('Base de données Mono'!M:M,MATCH(B1672,'Base de données Mono'!D:D,0))</f>
        <v>-</v>
      </c>
      <c r="L1672" s="131" t="str">
        <f>INDEX('Base de données Mono'!N:N,MATCH(B1672,'Base de données Mono'!D:D,0))</f>
        <v>-</v>
      </c>
      <c r="M1672" s="33" t="s">
        <v>46</v>
      </c>
      <c r="N1672" s="33">
        <f>IF(AND(E1672="Electricité",M1672="Hiver"),INDEX('Base de données Mono'!E:E,MATCH(B1672,'Base de données Mono'!D:D,0)),IF(AND(E1672="Electricité",M1672="Mi-saison"),INDEX('Base de données Mono'!F:F,MATCH(B1672,'Base de données Mono'!D:D,0)),IF(AND(E1672="Electricité",M1672="Eté"),INDEX('Base de données Mono'!G:G,MATCH(B1672,'Base de données Mono'!D:D,0)),IF(AND(E1672="Gaz",M1672="Hiver"),INDEX('Base de données Mono'!J:J,MATCH(B1672,'Base de données Mono'!D:D,0)),IF(AND(E1672="Gaz",M1672="Mi-saison"),INDEX('Base de données Mono'!#REF!,MATCH(B1672,'Base de données Mono'!D:D,0)),IF(AND(E1672="Gaz",M1672="Eté"),INDEX('Base de données Mono'!#REF!,MATCH(B1672,'Base de données Mono'!D:D,0)),"-"))))))</f>
        <v>75</v>
      </c>
      <c r="O1672" s="123">
        <v>45410</v>
      </c>
      <c r="P1672" s="123">
        <v>45412</v>
      </c>
      <c r="Q1672" s="34">
        <v>95</v>
      </c>
      <c r="R1672" s="33">
        <f t="shared" si="470"/>
        <v>20</v>
      </c>
      <c r="S1672" s="34">
        <v>0.5</v>
      </c>
      <c r="T1672" s="34">
        <f t="shared" si="471"/>
        <v>2</v>
      </c>
      <c r="U1672" s="33">
        <f>R1672*S1672*T1672</f>
        <v>20</v>
      </c>
      <c r="V1672" s="38" t="s">
        <v>827</v>
      </c>
      <c r="W1672" s="39">
        <f>IFERROR(IF(E1672="Gaz","-",R1672/N1672),"-")</f>
        <v>0.26666666666666666</v>
      </c>
      <c r="X1672" s="40" t="s">
        <v>304</v>
      </c>
      <c r="Y1672" s="40" t="s">
        <v>284</v>
      </c>
      <c r="Z1672" s="40" t="s">
        <v>307</v>
      </c>
      <c r="AA1672" s="33" t="s">
        <v>414</v>
      </c>
      <c r="AB1672" s="95"/>
      <c r="AC1672" s="95"/>
    </row>
    <row r="1673" spans="1:29" ht="14.45" hidden="1" customHeight="1" x14ac:dyDescent="0.25">
      <c r="A1673" s="36" t="str">
        <f>INDEX('Base de données Mono'!C:C,MATCH(B1673,'Base de données Mono'!D:D,0))</f>
        <v>LE COURBE</v>
      </c>
      <c r="B1673" t="s">
        <v>20</v>
      </c>
      <c r="C1673" s="36" t="str">
        <f>INDEX('Base de données Mono'!B:B,MATCH(B1673,'Base de données Mono'!D:D,0))</f>
        <v>SES8</v>
      </c>
      <c r="D1673" s="36" t="str">
        <f>INDEX('Base de données Mono'!A:A,MATCH(B1673,'Base de données Mono'!D:D,0))</f>
        <v>AD</v>
      </c>
      <c r="E1673" s="37" t="s">
        <v>303</v>
      </c>
      <c r="F1673" s="41">
        <f t="shared" ref="F1673:F1678" si="480">IF(O1673="","-",IF(AND(X1673="Nuit",WEEKDAY(O1673,2)=7,O1673&lt;&gt;P1673),WEEKNUM(O1673,2),WEEKNUM(O1673,2)-1))+1</f>
        <v>18</v>
      </c>
      <c r="G1673" s="41">
        <f t="shared" ref="G1673:G1678" si="481">IF(O1673="","-",MONTH(O1673))</f>
        <v>4</v>
      </c>
      <c r="I1673" s="131">
        <f>INDEX('Base de données Mono'!K:K,MATCH(B1673,'Base de données Mono'!D:D,0))</f>
        <v>0.24305555555555555</v>
      </c>
      <c r="J1673" s="131">
        <f>INDEX('Base de données Mono'!L:L,MATCH(B1673,'Base de données Mono'!D:D,0))</f>
        <v>0.875</v>
      </c>
      <c r="K1673" s="131" t="str">
        <f>INDEX('Base de données Mono'!M:M,MATCH(B1673,'Base de données Mono'!D:D,0))</f>
        <v>-</v>
      </c>
      <c r="L1673" s="131" t="str">
        <f>INDEX('Base de données Mono'!N:N,MATCH(B1673,'Base de données Mono'!D:D,0))</f>
        <v>-</v>
      </c>
      <c r="M1673" s="33" t="s">
        <v>46</v>
      </c>
      <c r="N1673" s="33">
        <f>IF(AND(E1673="Electricité",M1673="Hiver"),INDEX('Base de données Mono'!E:E,MATCH(B1673,'Base de données Mono'!D:D,0)),IF(AND(E1673="Electricité",M1673="Mi-saison"),INDEX('Base de données Mono'!F:F,MATCH(B1673,'Base de données Mono'!D:D,0)),IF(AND(E1673="Electricité",M1673="Eté"),INDEX('Base de données Mono'!G:G,MATCH(B1673,'Base de données Mono'!D:D,0)),IF(AND(E1673="Gaz",M1673="Hiver"),INDEX('Base de données Mono'!J:J,MATCH(B1673,'Base de données Mono'!D:D,0)),IF(AND(E1673="Gaz",M1673="Mi-saison"),INDEX('Base de données Mono'!#REF!,MATCH(B1673,'Base de données Mono'!D:D,0)),IF(AND(E1673="Gaz",M1673="Eté"),INDEX('Base de données Mono'!#REF!,MATCH(B1673,'Base de données Mono'!D:D,0)),"-"))))))</f>
        <v>75</v>
      </c>
      <c r="O1673" s="123">
        <v>45410</v>
      </c>
      <c r="P1673" s="123">
        <v>45413</v>
      </c>
      <c r="Q1673" s="34">
        <v>105</v>
      </c>
      <c r="R1673" s="33">
        <f t="shared" ref="R1673:R1678" si="482">IF(Q1673="","",Q1673-N1673)</f>
        <v>30</v>
      </c>
      <c r="S1673" s="34">
        <v>1</v>
      </c>
      <c r="T1673" s="34">
        <f t="shared" si="471"/>
        <v>3</v>
      </c>
      <c r="U1673" s="33">
        <f>R1673*S1673*T1673</f>
        <v>90</v>
      </c>
      <c r="V1673" s="38" t="s">
        <v>827</v>
      </c>
      <c r="W1673" s="39">
        <f>IFERROR(IF(E1673="Gaz","-",R1673/N1673),"-")</f>
        <v>0.4</v>
      </c>
      <c r="X1673" s="40" t="s">
        <v>304</v>
      </c>
      <c r="Y1673" s="40" t="s">
        <v>284</v>
      </c>
      <c r="Z1673" s="40" t="s">
        <v>307</v>
      </c>
      <c r="AA1673" s="33" t="s">
        <v>313</v>
      </c>
      <c r="AB1673" s="95"/>
      <c r="AC1673" s="95"/>
    </row>
    <row r="1674" spans="1:29" ht="14.45" hidden="1" customHeight="1" x14ac:dyDescent="0.25">
      <c r="A1674" s="36" t="str">
        <f>INDEX('Base de données Mono'!C:C,MATCH(B1674,'Base de données Mono'!D:D,0))</f>
        <v>AUXERRE</v>
      </c>
      <c r="B1674" t="s">
        <v>399</v>
      </c>
      <c r="C1674" s="36" t="str">
        <f>INDEX('Base de données Mono'!B:B,MATCH(B1674,'Base de données Mono'!D:D,0))</f>
        <v>SES8</v>
      </c>
      <c r="D1674" s="36" t="str">
        <f>INDEX('Base de données Mono'!A:A,MATCH(B1674,'Base de données Mono'!D:D,0))</f>
        <v>JG</v>
      </c>
      <c r="E1674" s="37" t="s">
        <v>303</v>
      </c>
      <c r="F1674" s="41">
        <f>IF(O1674="","-",IF(AND(X1674="Nuit",WEEKDAY(O1674,2)=7,O1674&lt;&gt;P1674),WEEKNUM(O1674,2),WEEKNUM(O1674,2)-1))+1</f>
        <v>18</v>
      </c>
      <c r="G1674" s="41">
        <f>IF(O1674="","-",MONTH(O1674))</f>
        <v>4</v>
      </c>
      <c r="I1674" s="131">
        <f>INDEX('Base de données Mono'!K:K,MATCH(B1674,'Base de données Mono'!D:D,0))</f>
        <v>0.1875</v>
      </c>
      <c r="J1674" s="131">
        <f>INDEX('Base de données Mono'!L:L,MATCH(B1674,'Base de données Mono'!D:D,0))</f>
        <v>0.8125</v>
      </c>
      <c r="K1674" s="131">
        <f>INDEX('Base de données Mono'!M:M,MATCH(B1674,'Base de données Mono'!D:D,0))</f>
        <v>0.25</v>
      </c>
      <c r="L1674" s="131">
        <f>INDEX('Base de données Mono'!N:N,MATCH(B1674,'Base de données Mono'!D:D,0))</f>
        <v>0.52083333333333337</v>
      </c>
      <c r="M1674" s="33" t="s">
        <v>46</v>
      </c>
      <c r="N1674" s="33">
        <f>IF(AND(E1674="Electricité",M1674="Hiver"),INDEX('Base de données Mono'!E:E,MATCH(B1674,'Base de données Mono'!D:D,0)),IF(AND(E1674="Electricité",M1674="Mi-saison"),INDEX('Base de données Mono'!F:F,MATCH(B1674,'Base de données Mono'!D:D,0)),IF(AND(E1674="Electricité",M1674="Eté"),INDEX('Base de données Mono'!G:G,MATCH(B1674,'Base de données Mono'!D:D,0)),IF(AND(E1674="Gaz",M1674="Hiver"),INDEX('Base de données Mono'!J:J,MATCH(B1674,'Base de données Mono'!D:D,0)),IF(AND(E1674="Gaz",M1674="Mi-saison"),INDEX('Base de données Mono'!#REF!,MATCH(B1674,'Base de données Mono'!D:D,0)),IF(AND(E1674="Gaz",M1674="Eté"),INDEX('Base de données Mono'!#REF!,MATCH(B1674,'Base de données Mono'!D:D,0)),"-"))))))</f>
        <v>60</v>
      </c>
      <c r="O1674" s="123">
        <v>45411</v>
      </c>
      <c r="P1674" s="123">
        <v>45413</v>
      </c>
      <c r="Q1674" s="34">
        <v>85</v>
      </c>
      <c r="R1674" s="33">
        <f>IF(Q1674="","",Q1674-N1674)</f>
        <v>25</v>
      </c>
      <c r="S1674" s="34">
        <v>0.5</v>
      </c>
      <c r="T1674" s="34">
        <f>P1674-O1674</f>
        <v>2</v>
      </c>
      <c r="U1674" s="33">
        <f t="shared" ref="U1674:U1678" si="483">R1674*S1674*T1674</f>
        <v>25</v>
      </c>
      <c r="V1674" s="38" t="s">
        <v>148</v>
      </c>
      <c r="W1674" s="39">
        <f t="shared" ref="W1674:W1678" si="484">IFERROR(IF(E1674="Gaz","-",R1674/N1674),"-")</f>
        <v>0.41666666666666669</v>
      </c>
      <c r="X1674" s="40" t="s">
        <v>304</v>
      </c>
      <c r="Y1674" s="40" t="s">
        <v>284</v>
      </c>
      <c r="Z1674" s="40" t="s">
        <v>307</v>
      </c>
      <c r="AA1674" s="33" t="s">
        <v>313</v>
      </c>
      <c r="AB1674" s="95"/>
      <c r="AC1674" s="95"/>
    </row>
    <row r="1675" spans="1:29" ht="14.45" hidden="1" customHeight="1" x14ac:dyDescent="0.25">
      <c r="A1675" s="36" t="str">
        <f>INDEX('Base de données Mono'!C:C,MATCH(B1675,'Base de données Mono'!D:D,0))</f>
        <v>AUXERRE</v>
      </c>
      <c r="B1675" t="s">
        <v>399</v>
      </c>
      <c r="C1675" s="36" t="str">
        <f>INDEX('Base de données Mono'!B:B,MATCH(B1675,'Base de données Mono'!D:D,0))</f>
        <v>SES8</v>
      </c>
      <c r="D1675" s="36" t="str">
        <f>INDEX('Base de données Mono'!A:A,MATCH(B1675,'Base de données Mono'!D:D,0))</f>
        <v>JG</v>
      </c>
      <c r="E1675" s="37" t="s">
        <v>303</v>
      </c>
      <c r="F1675" s="41">
        <f t="shared" si="480"/>
        <v>18</v>
      </c>
      <c r="G1675" s="41">
        <f t="shared" si="481"/>
        <v>4</v>
      </c>
      <c r="I1675" s="131">
        <f>INDEX('Base de données Mono'!K:K,MATCH(B1675,'Base de données Mono'!D:D,0))</f>
        <v>0.1875</v>
      </c>
      <c r="J1675" s="131">
        <f>INDEX('Base de données Mono'!L:L,MATCH(B1675,'Base de données Mono'!D:D,0))</f>
        <v>0.8125</v>
      </c>
      <c r="K1675" s="131">
        <f>INDEX('Base de données Mono'!M:M,MATCH(B1675,'Base de données Mono'!D:D,0))</f>
        <v>0.25</v>
      </c>
      <c r="L1675" s="131">
        <f>INDEX('Base de données Mono'!N:N,MATCH(B1675,'Base de données Mono'!D:D,0))</f>
        <v>0.52083333333333337</v>
      </c>
      <c r="M1675" s="33" t="s">
        <v>46</v>
      </c>
      <c r="N1675" s="33">
        <f>IF(AND(E1675="Electricité",M1675="Hiver"),INDEX('Base de données Mono'!E:E,MATCH(B1675,'Base de données Mono'!D:D,0)),IF(AND(E1675="Electricité",M1675="Mi-saison"),INDEX('Base de données Mono'!F:F,MATCH(B1675,'Base de données Mono'!D:D,0)),IF(AND(E1675="Electricité",M1675="Eté"),INDEX('Base de données Mono'!G:G,MATCH(B1675,'Base de données Mono'!D:D,0)),IF(AND(E1675="Gaz",M1675="Hiver"),INDEX('Base de données Mono'!J:J,MATCH(B1675,'Base de données Mono'!D:D,0)),IF(AND(E1675="Gaz",M1675="Mi-saison"),INDEX('Base de données Mono'!#REF!,MATCH(B1675,'Base de données Mono'!D:D,0)),IF(AND(E1675="Gaz",M1675="Eté"),INDEX('Base de données Mono'!#REF!,MATCH(B1675,'Base de données Mono'!D:D,0)),"-"))))))</f>
        <v>60</v>
      </c>
      <c r="O1675" s="123">
        <v>45412</v>
      </c>
      <c r="P1675" s="123">
        <v>45413</v>
      </c>
      <c r="Q1675" s="34">
        <v>70</v>
      </c>
      <c r="R1675" s="33">
        <f t="shared" si="482"/>
        <v>10</v>
      </c>
      <c r="S1675" s="34">
        <v>4</v>
      </c>
      <c r="T1675" s="34">
        <f t="shared" si="471"/>
        <v>1</v>
      </c>
      <c r="U1675" s="33">
        <f t="shared" si="483"/>
        <v>40</v>
      </c>
      <c r="V1675" s="38" t="s">
        <v>827</v>
      </c>
      <c r="W1675" s="39">
        <f t="shared" si="484"/>
        <v>0.16666666666666666</v>
      </c>
      <c r="X1675" s="40" t="s">
        <v>304</v>
      </c>
      <c r="Y1675" s="40" t="s">
        <v>283</v>
      </c>
      <c r="Z1675" s="40" t="s">
        <v>749</v>
      </c>
      <c r="AA1675" s="33" t="s">
        <v>749</v>
      </c>
      <c r="AB1675" s="95"/>
      <c r="AC1675" s="95"/>
    </row>
    <row r="1676" spans="1:29" ht="14.45" hidden="1" customHeight="1" x14ac:dyDescent="0.25">
      <c r="A1676" s="36" t="str">
        <f>INDEX('Base de données Mono'!C:C,MATCH(B1676,'Base de données Mono'!D:D,0))</f>
        <v>COMMERCE</v>
      </c>
      <c r="B1676" t="s">
        <v>110</v>
      </c>
      <c r="C1676" s="36" t="str">
        <f>INDEX('Base de données Mono'!B:B,MATCH(B1676,'Base de données Mono'!D:D,0))</f>
        <v>SES8</v>
      </c>
      <c r="D1676" s="36" t="str">
        <f>INDEX('Base de données Mono'!A:A,MATCH(B1676,'Base de données Mono'!D:D,0))</f>
        <v>AD</v>
      </c>
      <c r="E1676" s="37" t="s">
        <v>303</v>
      </c>
      <c r="F1676" s="41">
        <f t="shared" si="480"/>
        <v>18</v>
      </c>
      <c r="G1676" s="41">
        <f t="shared" si="481"/>
        <v>4</v>
      </c>
      <c r="I1676" s="131">
        <f>INDEX('Base de données Mono'!K:K,MATCH(B1676,'Base de données Mono'!D:D,0))</f>
        <v>0.20833333333333334</v>
      </c>
      <c r="J1676" s="131">
        <f>INDEX('Base de données Mono'!L:L,MATCH(B1676,'Base de données Mono'!D:D,0))</f>
        <v>0.89583333333333337</v>
      </c>
      <c r="K1676" s="131">
        <f>INDEX('Base de données Mono'!M:M,MATCH(B1676,'Base de données Mono'!D:D,0))</f>
        <v>0.27083333333333331</v>
      </c>
      <c r="L1676" s="131">
        <f>INDEX('Base de données Mono'!N:N,MATCH(B1676,'Base de données Mono'!D:D,0))</f>
        <v>0.55902777777777779</v>
      </c>
      <c r="M1676" s="33" t="s">
        <v>46</v>
      </c>
      <c r="N1676" s="33">
        <f>IF(AND(E1676="Electricité",M1676="Hiver"),INDEX('Base de données Mono'!E:E,MATCH(B1676,'Base de données Mono'!D:D,0)),IF(AND(E1676="Electricité",M1676="Mi-saison"),INDEX('Base de données Mono'!F:F,MATCH(B1676,'Base de données Mono'!D:D,0)),IF(AND(E1676="Electricité",M1676="Eté"),INDEX('Base de données Mono'!G:G,MATCH(B1676,'Base de données Mono'!D:D,0)),IF(AND(E1676="Gaz",M1676="Hiver"),INDEX('Base de données Mono'!J:J,MATCH(B1676,'Base de données Mono'!D:D,0)),IF(AND(E1676="Gaz",M1676="Mi-saison"),INDEX('Base de données Mono'!#REF!,MATCH(B1676,'Base de données Mono'!D:D,0)),IF(AND(E1676="Gaz",M1676="Eté"),INDEX('Base de données Mono'!#REF!,MATCH(B1676,'Base de données Mono'!D:D,0)),"-"))))))</f>
        <v>80</v>
      </c>
      <c r="O1676" s="123">
        <v>45411</v>
      </c>
      <c r="P1676" s="123">
        <v>45413</v>
      </c>
      <c r="Q1676" s="34">
        <v>125</v>
      </c>
      <c r="R1676" s="33">
        <f t="shared" si="482"/>
        <v>45</v>
      </c>
      <c r="S1676" s="34">
        <v>0.5</v>
      </c>
      <c r="T1676" s="34">
        <f t="shared" si="471"/>
        <v>2</v>
      </c>
      <c r="U1676" s="33">
        <f>R1676*S1676*T1676</f>
        <v>45</v>
      </c>
      <c r="V1676" s="38" t="s">
        <v>827</v>
      </c>
      <c r="W1676" s="39">
        <f>IFERROR(IF(E1676="Gaz","-",R1676/N1676),"-")</f>
        <v>0.5625</v>
      </c>
      <c r="X1676" s="40" t="s">
        <v>304</v>
      </c>
      <c r="Y1676" s="40" t="s">
        <v>284</v>
      </c>
      <c r="Z1676" s="40" t="s">
        <v>307</v>
      </c>
      <c r="AA1676" s="33" t="s">
        <v>313</v>
      </c>
      <c r="AB1676" s="95"/>
      <c r="AC1676" s="95"/>
    </row>
    <row r="1677" spans="1:29" ht="14.45" hidden="1" customHeight="1" x14ac:dyDescent="0.25">
      <c r="A1677" s="36" t="str">
        <f>INDEX('Base de données Mono'!C:C,MATCH(B1677,'Base de données Mono'!D:D,0))</f>
        <v>VERSAILLES</v>
      </c>
      <c r="B1677" t="s">
        <v>38</v>
      </c>
      <c r="C1677" s="36" t="str">
        <f>INDEX('Base de données Mono'!B:B,MATCH(B1677,'Base de données Mono'!D:D,0))</f>
        <v>SES8</v>
      </c>
      <c r="D1677" s="36" t="str">
        <f>INDEX('Base de données Mono'!A:A,MATCH(B1677,'Base de données Mono'!D:D,0))</f>
        <v>AD</v>
      </c>
      <c r="E1677" s="37" t="s">
        <v>303</v>
      </c>
      <c r="F1677" s="41">
        <f t="shared" si="480"/>
        <v>18</v>
      </c>
      <c r="G1677" s="41">
        <f t="shared" si="481"/>
        <v>4</v>
      </c>
      <c r="I1677" s="131">
        <f>INDEX('Base de données Mono'!K:K,MATCH(B1677,'Base de données Mono'!D:D,0))</f>
        <v>0.1875</v>
      </c>
      <c r="J1677" s="131">
        <f>INDEX('Base de données Mono'!L:L,MATCH(B1677,'Base de données Mono'!D:D,0))</f>
        <v>0.85416666666666663</v>
      </c>
      <c r="K1677" s="131" t="str">
        <f>INDEX('Base de données Mono'!M:M,MATCH(B1677,'Base de données Mono'!D:D,0))</f>
        <v>-</v>
      </c>
      <c r="L1677" s="131" t="str">
        <f>INDEX('Base de données Mono'!N:N,MATCH(B1677,'Base de données Mono'!D:D,0))</f>
        <v>-</v>
      </c>
      <c r="M1677" s="33" t="s">
        <v>46</v>
      </c>
      <c r="N1677" s="33">
        <f>IF(AND(E1677="Electricité",M1677="Hiver"),INDEX('Base de données Mono'!E:E,MATCH(B1677,'Base de données Mono'!D:D,0)),IF(AND(E1677="Electricité",M1677="Mi-saison"),INDEX('Base de données Mono'!F:F,MATCH(B1677,'Base de données Mono'!D:D,0)),IF(AND(E1677="Electricité",M1677="Eté"),INDEX('Base de données Mono'!G:G,MATCH(B1677,'Base de données Mono'!D:D,0)),IF(AND(E1677="Gaz",M1677="Hiver"),INDEX('Base de données Mono'!J:J,MATCH(B1677,'Base de données Mono'!D:D,0)),IF(AND(E1677="Gaz",M1677="Mi-saison"),INDEX('Base de données Mono'!#REF!,MATCH(B1677,'Base de données Mono'!D:D,0)),IF(AND(E1677="Gaz",M1677="Eté"),INDEX('Base de données Mono'!#REF!,MATCH(B1677,'Base de données Mono'!D:D,0)),"-"))))))</f>
        <v>75</v>
      </c>
      <c r="O1677" s="123">
        <v>45410</v>
      </c>
      <c r="P1677" s="123">
        <v>45412</v>
      </c>
      <c r="Q1677" s="34">
        <v>115</v>
      </c>
      <c r="R1677" s="33">
        <f t="shared" si="482"/>
        <v>40</v>
      </c>
      <c r="S1677" s="34">
        <v>0.5</v>
      </c>
      <c r="T1677" s="34">
        <f t="shared" si="471"/>
        <v>2</v>
      </c>
      <c r="U1677" s="33">
        <f t="shared" si="483"/>
        <v>40</v>
      </c>
      <c r="V1677" s="38" t="s">
        <v>827</v>
      </c>
      <c r="W1677" s="39">
        <f t="shared" si="484"/>
        <v>0.53333333333333333</v>
      </c>
      <c r="X1677" s="40" t="s">
        <v>304</v>
      </c>
      <c r="Y1677" s="40" t="s">
        <v>284</v>
      </c>
      <c r="Z1677" s="40" t="s">
        <v>307</v>
      </c>
      <c r="AA1677" s="33" t="s">
        <v>414</v>
      </c>
      <c r="AB1677" s="95"/>
      <c r="AC1677" s="95"/>
    </row>
    <row r="1678" spans="1:29" ht="14.45" hidden="1" customHeight="1" x14ac:dyDescent="0.25">
      <c r="A1678" s="36" t="str">
        <f>INDEX('Base de données Mono'!C:C,MATCH(B1678,'Base de données Mono'!D:D,0))</f>
        <v>VERSAILLES</v>
      </c>
      <c r="B1678" t="s">
        <v>38</v>
      </c>
      <c r="C1678" s="36" t="str">
        <f>INDEX('Base de données Mono'!B:B,MATCH(B1678,'Base de données Mono'!D:D,0))</f>
        <v>SES8</v>
      </c>
      <c r="D1678" s="36" t="str">
        <f>INDEX('Base de données Mono'!A:A,MATCH(B1678,'Base de données Mono'!D:D,0))</f>
        <v>AD</v>
      </c>
      <c r="E1678" s="37" t="s">
        <v>303</v>
      </c>
      <c r="F1678" s="41">
        <f t="shared" si="480"/>
        <v>18</v>
      </c>
      <c r="G1678" s="41">
        <f t="shared" si="481"/>
        <v>4</v>
      </c>
      <c r="I1678" s="131">
        <f>INDEX('Base de données Mono'!K:K,MATCH(B1678,'Base de données Mono'!D:D,0))</f>
        <v>0.1875</v>
      </c>
      <c r="J1678" s="131">
        <f>INDEX('Base de données Mono'!L:L,MATCH(B1678,'Base de données Mono'!D:D,0))</f>
        <v>0.85416666666666663</v>
      </c>
      <c r="K1678" s="131" t="str">
        <f>INDEX('Base de données Mono'!M:M,MATCH(B1678,'Base de données Mono'!D:D,0))</f>
        <v>-</v>
      </c>
      <c r="L1678" s="131" t="str">
        <f>INDEX('Base de données Mono'!N:N,MATCH(B1678,'Base de données Mono'!D:D,0))</f>
        <v>-</v>
      </c>
      <c r="M1678" s="33" t="s">
        <v>46</v>
      </c>
      <c r="N1678" s="33">
        <f>IF(AND(E1678="Electricité",M1678="Hiver"),INDEX('Base de données Mono'!E:E,MATCH(B1678,'Base de données Mono'!D:D,0)),IF(AND(E1678="Electricité",M1678="Mi-saison"),INDEX('Base de données Mono'!F:F,MATCH(B1678,'Base de données Mono'!D:D,0)),IF(AND(E1678="Electricité",M1678="Eté"),INDEX('Base de données Mono'!G:G,MATCH(B1678,'Base de données Mono'!D:D,0)),IF(AND(E1678="Gaz",M1678="Hiver"),INDEX('Base de données Mono'!J:J,MATCH(B1678,'Base de données Mono'!D:D,0)),IF(AND(E1678="Gaz",M1678="Mi-saison"),INDEX('Base de données Mono'!#REF!,MATCH(B1678,'Base de données Mono'!D:D,0)),IF(AND(E1678="Gaz",M1678="Eté"),INDEX('Base de données Mono'!#REF!,MATCH(B1678,'Base de données Mono'!D:D,0)),"-"))))))</f>
        <v>75</v>
      </c>
      <c r="O1678" s="123">
        <v>45411</v>
      </c>
      <c r="P1678" s="123">
        <v>45413</v>
      </c>
      <c r="Q1678" s="34">
        <v>120</v>
      </c>
      <c r="R1678" s="33">
        <f t="shared" si="482"/>
        <v>45</v>
      </c>
      <c r="S1678" s="34">
        <v>0.5</v>
      </c>
      <c r="T1678" s="34">
        <f t="shared" si="471"/>
        <v>2</v>
      </c>
      <c r="U1678" s="33">
        <f t="shared" si="483"/>
        <v>45</v>
      </c>
      <c r="V1678" s="38" t="s">
        <v>827</v>
      </c>
      <c r="W1678" s="39">
        <f t="shared" si="484"/>
        <v>0.6</v>
      </c>
      <c r="X1678" s="40" t="s">
        <v>304</v>
      </c>
      <c r="Y1678" s="40" t="s">
        <v>284</v>
      </c>
      <c r="Z1678" s="40" t="s">
        <v>307</v>
      </c>
      <c r="AA1678" s="33" t="s">
        <v>313</v>
      </c>
      <c r="AB1678" s="95"/>
      <c r="AC1678" s="95"/>
    </row>
    <row r="1681" spans="1:15" x14ac:dyDescent="0.25">
      <c r="O1681"/>
    </row>
    <row r="1685" spans="1:15" x14ac:dyDescent="0.25">
      <c r="A1685" t="s">
        <v>115</v>
      </c>
      <c r="B1685" t="s">
        <v>853</v>
      </c>
    </row>
    <row r="1686" spans="1:15" x14ac:dyDescent="0.25">
      <c r="A1686" t="s">
        <v>133</v>
      </c>
      <c r="B1686" t="s">
        <v>855</v>
      </c>
    </row>
    <row r="1687" spans="1:15" x14ac:dyDescent="0.25">
      <c r="A1687" t="s">
        <v>154</v>
      </c>
      <c r="B1687" t="s">
        <v>857</v>
      </c>
    </row>
    <row r="1688" spans="1:15" x14ac:dyDescent="0.25">
      <c r="A1688" t="s">
        <v>170</v>
      </c>
      <c r="B1688" t="s">
        <v>853</v>
      </c>
    </row>
    <row r="1689" spans="1:15" x14ac:dyDescent="0.25">
      <c r="A1689" t="s">
        <v>270</v>
      </c>
      <c r="B1689" t="s">
        <v>863</v>
      </c>
    </row>
    <row r="1690" spans="1:15" x14ac:dyDescent="0.25">
      <c r="A1690" t="s">
        <v>272</v>
      </c>
      <c r="B1690" t="s">
        <v>862</v>
      </c>
    </row>
  </sheetData>
  <autoFilter ref="A1:AC1678" xr:uid="{00000000-0009-0000-0000-000001000000}">
    <filterColumn colId="2">
      <filters>
        <filter val="SES8"/>
      </filters>
    </filterColumn>
    <filterColumn colId="5">
      <filters>
        <filter val="17"/>
      </filters>
    </filterColumn>
  </autoFilter>
  <conditionalFormatting sqref="M2:M1678">
    <cfRule type="containsText" dxfId="11" priority="4" operator="containsText" text="Hiver">
      <formula>NOT(ISERROR(SEARCH(("Hiver"),(M2))))</formula>
    </cfRule>
    <cfRule type="containsText" dxfId="10" priority="5" operator="containsText" text="Mi-saison">
      <formula>NOT(ISERROR(SEARCH(("Mi-saison"),(M2))))</formula>
    </cfRule>
    <cfRule type="containsText" dxfId="9" priority="6" operator="containsText" text="Eté">
      <formula>NOT(ISERROR(SEARCH(("Eté"),(M2))))</formula>
    </cfRule>
  </conditionalFormatting>
  <conditionalFormatting sqref="V2:W1678">
    <cfRule type="cellIs" dxfId="8" priority="1" operator="lessThan">
      <formula>0.3</formula>
    </cfRule>
    <cfRule type="cellIs" dxfId="7" priority="2" operator="between">
      <formula>0.3</formula>
      <formula>0.5</formula>
    </cfRule>
    <cfRule type="cellIs" dxfId="6" priority="3" operator="greaterThan">
      <formula>0.5</formula>
    </cfRule>
  </conditionalFormatting>
  <dataValidations count="6">
    <dataValidation type="list" allowBlank="1" showInputMessage="1" showErrorMessage="1" sqref="Y1679:Y1048576" xr:uid="{00000000-0002-0000-0100-000000000000}">
      <formula1>"A définir;Impact Client;Exploitation;Impact GY"</formula1>
    </dataValidation>
    <dataValidation type="list" allowBlank="1" showInputMessage="1" showErrorMessage="1" sqref="Y2:Y1678" xr:uid="{00000000-0002-0000-0100-000001000000}">
      <formula1>"A définir,Impact Client,Exploitation,Impact GY"</formula1>
    </dataValidation>
    <dataValidation type="list" allowBlank="1" showInputMessage="1" showErrorMessage="1" sqref="V2:V1678" xr:uid="{00000000-0002-0000-0100-000002000000}">
      <formula1>"Ponctuel,Récurrent,Permanent,-"</formula1>
    </dataValidation>
    <dataValidation type="list" allowBlank="1" showInputMessage="1" showErrorMessage="1" sqref="X2:X1678" xr:uid="{00000000-0002-0000-0100-000003000000}">
      <formula1>"Nuit,Dim,Jour,JF,Jour/Nuit"</formula1>
    </dataValidation>
    <dataValidation type="list" allowBlank="1" showErrorMessage="1" sqref="M2:M1678" xr:uid="{00000000-0002-0000-0100-000004000000}">
      <formula1>"Hiver,Mi-saison,Eté"</formula1>
    </dataValidation>
    <dataValidation type="list" allowBlank="1" showInputMessage="1" showErrorMessage="1" sqref="E2:E1678" xr:uid="{00000000-0002-0000-0100-000005000000}">
      <formula1>"Electricité,Gaz"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6000000}">
          <x14:formula1>
            <xm:f>Index!$C$2:$C$41</xm:f>
          </x14:formula1>
          <xm:sqref>AA1 AA1679:AA1048576</xm:sqref>
        </x14:dataValidation>
        <x14:dataValidation type="list" allowBlank="1" showInputMessage="1" showErrorMessage="1" xr:uid="{00000000-0002-0000-0100-000007000000}">
          <x14:formula1>
            <xm:f>Index!$B$2:$B$41</xm:f>
          </x14:formula1>
          <xm:sqref>Z1 Z1679:Z1048576</xm:sqref>
        </x14:dataValidation>
        <x14:dataValidation type="list" allowBlank="1" showInputMessage="1" showErrorMessage="1" xr:uid="{00000000-0002-0000-0100-000008000000}">
          <x14:formula1>
            <xm:f>'C:\Users\dell\Documents\[BD horaires CPE 2023 - Mono.xlsx]Index'!#REF!</xm:f>
          </x14:formula1>
          <xm:sqref>Z462:AA462 Z368:AA369 Z387:AA393 Z381:AA384 Z474:AA476 Z471:AA472 Z427:AA433 Z297:AA299 Z423:AA424 Z435:AA435 Z437:AA438 Z456:AA460 Z360:AA366 Z371:AA378 Z401:AA402 Z468:AA469 Z484:AA485 Z301:AA307 Z309:AA310 Z2:AA235 Z481:AA482 Z415:AA421 Z356:AA358 Z398:AA398</xm:sqref>
        </x14:dataValidation>
        <x14:dataValidation type="list" allowBlank="1" showInputMessage="1" showErrorMessage="1" xr:uid="{00000000-0002-0000-0100-000009000000}">
          <x14:formula1>
            <xm:f>Index!$G$2:$G$10</xm:f>
          </x14:formula1>
          <xm:sqref>Z426 Z486:Z1678</xm:sqref>
        </x14:dataValidation>
        <x14:dataValidation type="list" allowBlank="1" showInputMessage="1" showErrorMessage="1" xr:uid="{00000000-0002-0000-0100-00000A000000}">
          <x14:formula1>
            <xm:f>Index!$A$2:$A$47</xm:f>
          </x14:formula1>
          <xm:sqref>AA426 AA486:AA1678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2:F13"/>
  <sheetViews>
    <sheetView workbookViewId="0">
      <selection activeCell="F18" sqref="F18"/>
    </sheetView>
  </sheetViews>
  <sheetFormatPr baseColWidth="10" defaultRowHeight="15" x14ac:dyDescent="0.25"/>
  <cols>
    <col min="5" max="5" width="21.28515625" bestFit="1" customWidth="1"/>
    <col min="6" max="6" width="49.28515625" bestFit="1" customWidth="1"/>
  </cols>
  <sheetData>
    <row r="2" spans="5:6" x14ac:dyDescent="0.25">
      <c r="E2" t="s">
        <v>58</v>
      </c>
      <c r="F2" t="s">
        <v>831</v>
      </c>
    </row>
    <row r="3" spans="5:6" x14ac:dyDescent="0.25">
      <c r="E3" t="s">
        <v>62</v>
      </c>
      <c r="F3" t="s">
        <v>831</v>
      </c>
    </row>
    <row r="4" spans="5:6" x14ac:dyDescent="0.25">
      <c r="E4" t="s">
        <v>90</v>
      </c>
      <c r="F4" t="s">
        <v>832</v>
      </c>
    </row>
    <row r="5" spans="5:6" x14ac:dyDescent="0.25">
      <c r="E5" t="s">
        <v>108</v>
      </c>
      <c r="F5" t="s">
        <v>831</v>
      </c>
    </row>
    <row r="6" spans="5:6" x14ac:dyDescent="0.25">
      <c r="E6" t="s">
        <v>109</v>
      </c>
      <c r="F6" t="s">
        <v>831</v>
      </c>
    </row>
    <row r="7" spans="5:6" x14ac:dyDescent="0.25">
      <c r="E7" t="s">
        <v>146</v>
      </c>
      <c r="F7" t="s">
        <v>835</v>
      </c>
    </row>
    <row r="8" spans="5:6" x14ac:dyDescent="0.25">
      <c r="E8" t="s">
        <v>381</v>
      </c>
      <c r="F8" t="s">
        <v>835</v>
      </c>
    </row>
    <row r="9" spans="5:6" x14ac:dyDescent="0.25">
      <c r="E9" t="s">
        <v>178</v>
      </c>
      <c r="F9" t="s">
        <v>832</v>
      </c>
    </row>
    <row r="10" spans="5:6" x14ac:dyDescent="0.25">
      <c r="E10" t="s">
        <v>185</v>
      </c>
      <c r="F10" t="s">
        <v>841</v>
      </c>
    </row>
    <row r="11" spans="5:6" x14ac:dyDescent="0.25">
      <c r="E11" t="s">
        <v>224</v>
      </c>
      <c r="F11" t="s">
        <v>835</v>
      </c>
    </row>
    <row r="12" spans="5:6" x14ac:dyDescent="0.25">
      <c r="E12" t="s">
        <v>241</v>
      </c>
      <c r="F12" t="s">
        <v>835</v>
      </c>
    </row>
    <row r="13" spans="5:6" x14ac:dyDescent="0.25">
      <c r="E13" t="s">
        <v>276</v>
      </c>
      <c r="F13" t="s">
        <v>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994E-DC0D-43DD-A590-A2FB6554130B}">
  <dimension ref="A1:AC225"/>
  <sheetViews>
    <sheetView tabSelected="1" workbookViewId="0">
      <selection activeCell="M9" sqref="M9"/>
    </sheetView>
  </sheetViews>
  <sheetFormatPr baseColWidth="10" defaultRowHeight="15" x14ac:dyDescent="0.25"/>
  <sheetData>
    <row r="1" spans="1:29" ht="57.75" thickBot="1" x14ac:dyDescent="0.3">
      <c r="A1" s="1" t="s">
        <v>44</v>
      </c>
      <c r="B1" s="15" t="s">
        <v>1</v>
      </c>
      <c r="C1" s="1" t="s">
        <v>0</v>
      </c>
      <c r="D1" s="2" t="s">
        <v>43</v>
      </c>
      <c r="E1" s="3" t="s">
        <v>282</v>
      </c>
      <c r="F1" s="3" t="s">
        <v>287</v>
      </c>
      <c r="G1" s="3" t="s">
        <v>281</v>
      </c>
      <c r="H1" s="151" t="s">
        <v>824</v>
      </c>
      <c r="I1" s="152" t="s">
        <v>818</v>
      </c>
      <c r="J1" s="152" t="s">
        <v>819</v>
      </c>
      <c r="K1" s="152" t="s">
        <v>820</v>
      </c>
      <c r="L1" s="152" t="s">
        <v>821</v>
      </c>
      <c r="M1" s="3" t="s">
        <v>288</v>
      </c>
      <c r="N1" s="3" t="s">
        <v>289</v>
      </c>
      <c r="O1" s="19" t="s">
        <v>290</v>
      </c>
      <c r="P1" s="19" t="s">
        <v>291</v>
      </c>
      <c r="Q1" s="3" t="s">
        <v>292</v>
      </c>
      <c r="R1" s="3" t="s">
        <v>293</v>
      </c>
      <c r="S1" s="3" t="s">
        <v>294</v>
      </c>
      <c r="T1" s="3" t="s">
        <v>295</v>
      </c>
      <c r="U1" s="3" t="s">
        <v>296</v>
      </c>
      <c r="V1" s="3" t="s">
        <v>297</v>
      </c>
      <c r="W1" s="3" t="s">
        <v>298</v>
      </c>
      <c r="X1" s="3" t="s">
        <v>299</v>
      </c>
      <c r="Y1" s="3" t="s">
        <v>286</v>
      </c>
      <c r="Z1" s="3" t="s">
        <v>300</v>
      </c>
      <c r="AA1" s="119" t="s">
        <v>301</v>
      </c>
      <c r="AB1" s="120" t="s">
        <v>302</v>
      </c>
      <c r="AC1" s="125" t="s">
        <v>816</v>
      </c>
    </row>
    <row r="2" spans="1:29" x14ac:dyDescent="0.25">
      <c r="A2" s="36" t="s">
        <v>52</v>
      </c>
      <c r="B2" t="s">
        <v>3</v>
      </c>
      <c r="C2" s="36" t="s">
        <v>51</v>
      </c>
      <c r="D2" s="36" t="s">
        <v>530</v>
      </c>
      <c r="E2" s="37" t="s">
        <v>303</v>
      </c>
      <c r="F2" s="41">
        <v>17</v>
      </c>
      <c r="G2" s="41">
        <v>4</v>
      </c>
      <c r="I2" s="131">
        <v>0.1875</v>
      </c>
      <c r="J2" s="131">
        <v>0.83333333333333337</v>
      </c>
      <c r="K2" s="131">
        <v>0.25</v>
      </c>
      <c r="L2" s="131">
        <v>0.79166666666666663</v>
      </c>
      <c r="M2" s="33" t="s">
        <v>46</v>
      </c>
      <c r="N2" s="33">
        <v>60</v>
      </c>
      <c r="O2" s="123">
        <v>45404</v>
      </c>
      <c r="P2" s="123">
        <v>45410</v>
      </c>
      <c r="Q2" s="34">
        <v>90</v>
      </c>
      <c r="R2" s="33">
        <v>30</v>
      </c>
      <c r="S2" s="34">
        <v>1</v>
      </c>
      <c r="T2" s="34">
        <v>6</v>
      </c>
      <c r="U2" s="33">
        <v>180</v>
      </c>
      <c r="V2" s="38" t="s">
        <v>827</v>
      </c>
      <c r="W2" s="39">
        <v>0.5</v>
      </c>
      <c r="X2" s="40" t="s">
        <v>304</v>
      </c>
      <c r="Y2" s="40" t="s">
        <v>284</v>
      </c>
      <c r="Z2" s="40" t="s">
        <v>307</v>
      </c>
      <c r="AA2" s="33" t="s">
        <v>313</v>
      </c>
      <c r="AB2" s="95"/>
      <c r="AC2" s="95"/>
    </row>
    <row r="3" spans="1:29" x14ac:dyDescent="0.25">
      <c r="A3" s="36" t="s">
        <v>182</v>
      </c>
      <c r="B3" t="s">
        <v>27</v>
      </c>
      <c r="C3" s="36" t="s">
        <v>51</v>
      </c>
      <c r="D3" s="36" t="s">
        <v>533</v>
      </c>
      <c r="E3" s="37" t="s">
        <v>303</v>
      </c>
      <c r="F3" s="41">
        <v>17</v>
      </c>
      <c r="G3" s="41">
        <v>4</v>
      </c>
      <c r="I3" s="131">
        <v>0.23611111111111113</v>
      </c>
      <c r="J3" s="131">
        <v>0.92708333333333337</v>
      </c>
      <c r="K3" s="131">
        <v>0.23611111111111113</v>
      </c>
      <c r="L3" s="131">
        <v>0.54166666666666663</v>
      </c>
      <c r="M3" s="33" t="s">
        <v>46</v>
      </c>
      <c r="N3" s="33">
        <v>35</v>
      </c>
      <c r="O3" s="123">
        <v>45403</v>
      </c>
      <c r="P3" s="123">
        <v>45404</v>
      </c>
      <c r="Q3" s="34">
        <v>40</v>
      </c>
      <c r="R3" s="33">
        <v>5</v>
      </c>
      <c r="S3" s="34">
        <v>6</v>
      </c>
      <c r="T3" s="34">
        <v>1</v>
      </c>
      <c r="U3" s="33">
        <v>30</v>
      </c>
      <c r="V3" s="38" t="s">
        <v>827</v>
      </c>
      <c r="W3" s="39">
        <v>0.14285714285714285</v>
      </c>
      <c r="X3" s="40" t="s">
        <v>304</v>
      </c>
      <c r="Y3" s="40" t="s">
        <v>284</v>
      </c>
      <c r="Z3" s="40" t="s">
        <v>305</v>
      </c>
      <c r="AA3" s="33" t="s">
        <v>771</v>
      </c>
      <c r="AB3" s="95"/>
      <c r="AC3" s="95"/>
    </row>
    <row r="4" spans="1:29" x14ac:dyDescent="0.25">
      <c r="A4" s="36" t="s">
        <v>130</v>
      </c>
      <c r="B4" t="s">
        <v>131</v>
      </c>
      <c r="C4" s="36" t="s">
        <v>51</v>
      </c>
      <c r="D4" s="36" t="s">
        <v>530</v>
      </c>
      <c r="E4" s="37" t="s">
        <v>303</v>
      </c>
      <c r="F4" s="41">
        <v>17</v>
      </c>
      <c r="G4" s="41">
        <v>4</v>
      </c>
      <c r="I4" s="131">
        <v>0.24305555555555555</v>
      </c>
      <c r="J4" s="131">
        <v>0.89583333333333337</v>
      </c>
      <c r="K4" s="131">
        <v>0.27083333333333331</v>
      </c>
      <c r="L4" s="131">
        <v>0.5625</v>
      </c>
      <c r="M4" s="33" t="s">
        <v>46</v>
      </c>
      <c r="N4" s="33">
        <v>55</v>
      </c>
      <c r="O4" s="123">
        <v>45403</v>
      </c>
      <c r="P4" s="123">
        <v>45410</v>
      </c>
      <c r="Q4" s="34">
        <v>60</v>
      </c>
      <c r="R4" s="33">
        <v>5</v>
      </c>
      <c r="S4" s="34">
        <v>8.3000000000000007</v>
      </c>
      <c r="T4" s="34">
        <v>7</v>
      </c>
      <c r="U4" s="33">
        <v>290.5</v>
      </c>
      <c r="V4" s="38" t="s">
        <v>827</v>
      </c>
      <c r="W4" s="39">
        <v>9.0909090909090912E-2</v>
      </c>
      <c r="X4" s="40" t="s">
        <v>304</v>
      </c>
      <c r="Y4" s="40" t="s">
        <v>284</v>
      </c>
      <c r="Z4" s="40" t="s">
        <v>305</v>
      </c>
      <c r="AA4" s="33" t="s">
        <v>771</v>
      </c>
      <c r="AB4" s="95"/>
      <c r="AC4" s="95"/>
    </row>
    <row r="5" spans="1:29" x14ac:dyDescent="0.25">
      <c r="A5" s="36" t="s">
        <v>62</v>
      </c>
      <c r="B5" t="s">
        <v>63</v>
      </c>
      <c r="C5" s="36" t="s">
        <v>51</v>
      </c>
      <c r="D5" s="36" t="s">
        <v>530</v>
      </c>
      <c r="E5" s="37" t="s">
        <v>303</v>
      </c>
      <c r="F5" s="41">
        <v>17</v>
      </c>
      <c r="G5" s="41">
        <v>4</v>
      </c>
      <c r="I5" s="131">
        <v>0.1875</v>
      </c>
      <c r="J5" s="131">
        <v>0.83333333333333337</v>
      </c>
      <c r="K5" s="131">
        <v>0.24305555555555555</v>
      </c>
      <c r="L5" s="131">
        <v>0.54166666666666696</v>
      </c>
      <c r="M5" s="33" t="s">
        <v>46</v>
      </c>
      <c r="N5" s="33">
        <v>80</v>
      </c>
      <c r="O5" s="123">
        <v>45404</v>
      </c>
      <c r="P5" s="123">
        <v>45407</v>
      </c>
      <c r="Q5" s="34">
        <v>105</v>
      </c>
      <c r="R5" s="33">
        <v>25</v>
      </c>
      <c r="S5" s="34">
        <v>0.6</v>
      </c>
      <c r="T5" s="34">
        <v>3</v>
      </c>
      <c r="U5" s="33">
        <v>45</v>
      </c>
      <c r="V5" s="38" t="s">
        <v>827</v>
      </c>
      <c r="W5" s="39">
        <v>0.3125</v>
      </c>
      <c r="X5" s="40" t="s">
        <v>304</v>
      </c>
      <c r="Y5" s="40" t="s">
        <v>284</v>
      </c>
      <c r="Z5" s="40" t="s">
        <v>307</v>
      </c>
      <c r="AA5" s="33" t="s">
        <v>313</v>
      </c>
      <c r="AB5" s="95"/>
      <c r="AC5" s="95"/>
    </row>
    <row r="6" spans="1:29" x14ac:dyDescent="0.25">
      <c r="A6" s="36" t="s">
        <v>62</v>
      </c>
      <c r="B6" t="s">
        <v>63</v>
      </c>
      <c r="C6" s="36" t="s">
        <v>51</v>
      </c>
      <c r="D6" s="36" t="s">
        <v>530</v>
      </c>
      <c r="E6" s="37" t="s">
        <v>303</v>
      </c>
      <c r="F6" s="41">
        <v>17</v>
      </c>
      <c r="G6" s="41">
        <v>4</v>
      </c>
      <c r="I6" s="131">
        <v>0.1875</v>
      </c>
      <c r="J6" s="131">
        <v>0.83333333333333337</v>
      </c>
      <c r="K6" s="131">
        <v>0.24305555555555555</v>
      </c>
      <c r="L6" s="131">
        <v>0.54166666666666696</v>
      </c>
      <c r="M6" s="33" t="s">
        <v>46</v>
      </c>
      <c r="N6" s="33">
        <v>80</v>
      </c>
      <c r="O6" s="123">
        <v>45407</v>
      </c>
      <c r="P6" s="123">
        <v>45408</v>
      </c>
      <c r="Q6" s="34">
        <v>90</v>
      </c>
      <c r="R6" s="33">
        <v>10</v>
      </c>
      <c r="S6" s="34">
        <v>3</v>
      </c>
      <c r="T6" s="34">
        <v>1</v>
      </c>
      <c r="U6" s="33">
        <v>30</v>
      </c>
      <c r="V6" s="38" t="s">
        <v>827</v>
      </c>
      <c r="W6" s="39">
        <v>0.125</v>
      </c>
      <c r="X6" s="40" t="s">
        <v>304</v>
      </c>
      <c r="Y6" s="40" t="s">
        <v>284</v>
      </c>
      <c r="Z6" s="40" t="s">
        <v>305</v>
      </c>
      <c r="AA6" s="33" t="s">
        <v>771</v>
      </c>
      <c r="AB6" s="95"/>
      <c r="AC6" s="95"/>
    </row>
    <row r="7" spans="1:29" x14ac:dyDescent="0.25">
      <c r="A7" s="36" t="s">
        <v>62</v>
      </c>
      <c r="B7" t="s">
        <v>63</v>
      </c>
      <c r="C7" s="36" t="s">
        <v>51</v>
      </c>
      <c r="D7" s="36" t="s">
        <v>530</v>
      </c>
      <c r="E7" s="37" t="s">
        <v>303</v>
      </c>
      <c r="F7" s="41">
        <v>17</v>
      </c>
      <c r="G7" s="41">
        <v>4</v>
      </c>
      <c r="I7" s="131">
        <v>0.1875</v>
      </c>
      <c r="J7" s="131">
        <v>0.83333333333333337</v>
      </c>
      <c r="K7" s="131">
        <v>0.24305555555555555</v>
      </c>
      <c r="L7" s="131">
        <v>0.54166666666666696</v>
      </c>
      <c r="M7" s="33" t="s">
        <v>46</v>
      </c>
      <c r="N7" s="33">
        <v>80</v>
      </c>
      <c r="O7" s="123">
        <v>45408</v>
      </c>
      <c r="P7" s="123">
        <v>45410</v>
      </c>
      <c r="Q7" s="34">
        <v>105</v>
      </c>
      <c r="R7" s="33">
        <v>25</v>
      </c>
      <c r="S7" s="34">
        <v>0.6</v>
      </c>
      <c r="T7" s="34">
        <v>2</v>
      </c>
      <c r="U7" s="33">
        <v>30</v>
      </c>
      <c r="V7" s="38" t="s">
        <v>827</v>
      </c>
      <c r="W7" s="39">
        <v>0.3125</v>
      </c>
      <c r="X7" s="40" t="s">
        <v>304</v>
      </c>
      <c r="Y7" s="40" t="s">
        <v>284</v>
      </c>
      <c r="Z7" s="40" t="s">
        <v>307</v>
      </c>
      <c r="AA7" s="33" t="s">
        <v>313</v>
      </c>
      <c r="AB7" s="95"/>
      <c r="AC7" s="95"/>
    </row>
    <row r="8" spans="1:29" x14ac:dyDescent="0.25">
      <c r="A8" s="36" t="s">
        <v>254</v>
      </c>
      <c r="B8" t="s">
        <v>37</v>
      </c>
      <c r="C8" s="36" t="s">
        <v>51</v>
      </c>
      <c r="D8" s="36" t="s">
        <v>533</v>
      </c>
      <c r="E8" s="37" t="s">
        <v>303</v>
      </c>
      <c r="F8" s="41">
        <v>17</v>
      </c>
      <c r="G8" s="41">
        <v>4</v>
      </c>
      <c r="I8" s="131">
        <v>0.22916666666666666</v>
      </c>
      <c r="J8" s="131">
        <v>0.88541666666666663</v>
      </c>
      <c r="K8" s="131">
        <v>0.31944444444444448</v>
      </c>
      <c r="L8" s="131">
        <v>0.55208333333333337</v>
      </c>
      <c r="M8" s="33" t="s">
        <v>46</v>
      </c>
      <c r="N8" s="33">
        <v>50</v>
      </c>
      <c r="O8" s="123">
        <v>45403</v>
      </c>
      <c r="P8" s="123">
        <v>45404</v>
      </c>
      <c r="Q8" s="34">
        <v>60</v>
      </c>
      <c r="R8" s="33">
        <v>10</v>
      </c>
      <c r="S8" s="34">
        <v>7.2</v>
      </c>
      <c r="T8" s="34">
        <v>1</v>
      </c>
      <c r="U8" s="33">
        <v>72</v>
      </c>
      <c r="V8" s="38" t="s">
        <v>827</v>
      </c>
      <c r="W8" s="39">
        <v>0.2</v>
      </c>
      <c r="X8" s="40" t="s">
        <v>304</v>
      </c>
      <c r="Y8" s="40" t="s">
        <v>284</v>
      </c>
      <c r="Z8" s="40" t="s">
        <v>305</v>
      </c>
      <c r="AA8" s="33" t="s">
        <v>771</v>
      </c>
      <c r="AB8" s="95"/>
      <c r="AC8" s="95"/>
    </row>
    <row r="9" spans="1:29" x14ac:dyDescent="0.25">
      <c r="A9" s="36" t="s">
        <v>254</v>
      </c>
      <c r="B9" t="s">
        <v>37</v>
      </c>
      <c r="C9" s="36" t="s">
        <v>51</v>
      </c>
      <c r="D9" s="36" t="s">
        <v>533</v>
      </c>
      <c r="E9" s="37" t="s">
        <v>303</v>
      </c>
      <c r="F9" s="41">
        <v>17</v>
      </c>
      <c r="G9" s="41">
        <v>4</v>
      </c>
      <c r="I9" s="131">
        <v>0.22916666666666666</v>
      </c>
      <c r="J9" s="131">
        <v>0.88541666666666663</v>
      </c>
      <c r="K9" s="131">
        <v>0.31944444444444448</v>
      </c>
      <c r="L9" s="131">
        <v>0.55208333333333337</v>
      </c>
      <c r="M9" s="33" t="s">
        <v>46</v>
      </c>
      <c r="N9" s="33">
        <v>50</v>
      </c>
      <c r="O9" s="123">
        <v>45404</v>
      </c>
      <c r="P9" s="123">
        <v>45410</v>
      </c>
      <c r="Q9" s="34">
        <v>60</v>
      </c>
      <c r="R9" s="33">
        <v>10</v>
      </c>
      <c r="S9" s="34">
        <v>6.2</v>
      </c>
      <c r="T9" s="34">
        <v>6</v>
      </c>
      <c r="U9" s="33">
        <v>372</v>
      </c>
      <c r="V9" s="38" t="s">
        <v>827</v>
      </c>
      <c r="W9" s="39">
        <v>0.2</v>
      </c>
      <c r="X9" s="40" t="s">
        <v>304</v>
      </c>
      <c r="Y9" s="40" t="s">
        <v>284</v>
      </c>
      <c r="Z9" s="40" t="s">
        <v>305</v>
      </c>
      <c r="AA9" s="33" t="s">
        <v>771</v>
      </c>
      <c r="AB9" s="95"/>
      <c r="AC9" s="95"/>
    </row>
    <row r="10" spans="1:29" x14ac:dyDescent="0.25">
      <c r="A10" s="36" t="s">
        <v>254</v>
      </c>
      <c r="B10" t="s">
        <v>37</v>
      </c>
      <c r="C10" s="36" t="s">
        <v>51</v>
      </c>
      <c r="D10" s="36" t="s">
        <v>533</v>
      </c>
      <c r="E10" s="37" t="s">
        <v>303</v>
      </c>
      <c r="F10" s="41">
        <v>17</v>
      </c>
      <c r="G10" s="41">
        <v>4</v>
      </c>
      <c r="I10" s="131">
        <v>0.22916666666666666</v>
      </c>
      <c r="J10" s="131">
        <v>0.88541666666666663</v>
      </c>
      <c r="K10" s="131">
        <v>0.31944444444444448</v>
      </c>
      <c r="L10" s="131">
        <v>0.55208333333333337</v>
      </c>
      <c r="M10" s="33" t="s">
        <v>46</v>
      </c>
      <c r="N10" s="33">
        <v>50</v>
      </c>
      <c r="O10" s="123">
        <v>45404</v>
      </c>
      <c r="P10" s="123">
        <v>45410</v>
      </c>
      <c r="Q10" s="34">
        <v>75</v>
      </c>
      <c r="R10" s="33">
        <v>25</v>
      </c>
      <c r="S10" s="34">
        <v>1</v>
      </c>
      <c r="T10" s="34">
        <v>6</v>
      </c>
      <c r="U10" s="33">
        <v>150</v>
      </c>
      <c r="V10" s="38" t="s">
        <v>827</v>
      </c>
      <c r="W10" s="39">
        <v>0.5</v>
      </c>
      <c r="X10" s="40" t="s">
        <v>304</v>
      </c>
      <c r="Y10" s="40" t="s">
        <v>284</v>
      </c>
      <c r="Z10" s="40" t="s">
        <v>305</v>
      </c>
      <c r="AA10" s="33" t="s">
        <v>771</v>
      </c>
      <c r="AB10" s="95"/>
      <c r="AC10" s="95"/>
    </row>
    <row r="11" spans="1:29" x14ac:dyDescent="0.25">
      <c r="A11" s="36" t="s">
        <v>254</v>
      </c>
      <c r="B11" t="s">
        <v>37</v>
      </c>
      <c r="C11" s="36" t="s">
        <v>51</v>
      </c>
      <c r="D11" s="36" t="s">
        <v>533</v>
      </c>
      <c r="E11" s="37" t="s">
        <v>303</v>
      </c>
      <c r="F11" s="41">
        <v>17</v>
      </c>
      <c r="G11" s="41">
        <v>4</v>
      </c>
      <c r="I11" s="131">
        <v>0.22916666666666666</v>
      </c>
      <c r="J11" s="131">
        <v>0.88541666666666663</v>
      </c>
      <c r="K11" s="131">
        <v>0.31944444444444448</v>
      </c>
      <c r="L11" s="131">
        <v>0.55208333333333337</v>
      </c>
      <c r="M11" s="33" t="s">
        <v>46</v>
      </c>
      <c r="N11" s="33">
        <v>50</v>
      </c>
      <c r="O11" s="123">
        <v>45409</v>
      </c>
      <c r="P11" s="123">
        <v>45410</v>
      </c>
      <c r="Q11" s="34">
        <v>60</v>
      </c>
      <c r="R11" s="33">
        <v>10</v>
      </c>
      <c r="S11" s="34">
        <v>9</v>
      </c>
      <c r="T11" s="34">
        <v>1</v>
      </c>
      <c r="U11" s="33">
        <v>90</v>
      </c>
      <c r="V11" s="38" t="s">
        <v>827</v>
      </c>
      <c r="W11" s="39">
        <v>0.2</v>
      </c>
      <c r="X11" s="40" t="s">
        <v>304</v>
      </c>
      <c r="Y11" s="40" t="s">
        <v>284</v>
      </c>
      <c r="Z11" s="40" t="s">
        <v>305</v>
      </c>
      <c r="AA11" s="33" t="s">
        <v>771</v>
      </c>
      <c r="AB11" s="95"/>
      <c r="AC11" s="95"/>
    </row>
    <row r="12" spans="1:29" x14ac:dyDescent="0.25">
      <c r="A12" s="36" t="s">
        <v>144</v>
      </c>
      <c r="B12" t="s">
        <v>17</v>
      </c>
      <c r="C12" s="36" t="s">
        <v>51</v>
      </c>
      <c r="D12" s="36" t="s">
        <v>533</v>
      </c>
      <c r="E12" s="37" t="s">
        <v>303</v>
      </c>
      <c r="F12" s="41">
        <v>17</v>
      </c>
      <c r="G12" s="41">
        <v>4</v>
      </c>
      <c r="I12" s="131">
        <v>0.25</v>
      </c>
      <c r="J12" s="131">
        <v>0.90625</v>
      </c>
      <c r="K12" s="131">
        <v>0.3263888888888889</v>
      </c>
      <c r="L12" s="131">
        <v>0.54166666666666663</v>
      </c>
      <c r="M12" s="33" t="s">
        <v>46</v>
      </c>
      <c r="N12" s="33">
        <v>35</v>
      </c>
      <c r="O12" s="123">
        <v>45408</v>
      </c>
      <c r="P12" s="123">
        <v>45409</v>
      </c>
      <c r="Q12" s="34">
        <v>40</v>
      </c>
      <c r="R12" s="33">
        <v>5</v>
      </c>
      <c r="S12" s="34">
        <v>8.1999999999999993</v>
      </c>
      <c r="T12" s="34">
        <v>1</v>
      </c>
      <c r="U12" s="33">
        <v>41</v>
      </c>
      <c r="V12" s="38" t="s">
        <v>827</v>
      </c>
      <c r="W12" s="39">
        <v>0.14285714285714285</v>
      </c>
      <c r="X12" s="40" t="s">
        <v>304</v>
      </c>
      <c r="Y12" s="40" t="s">
        <v>284</v>
      </c>
      <c r="Z12" s="40" t="s">
        <v>305</v>
      </c>
      <c r="AA12" s="33" t="s">
        <v>771</v>
      </c>
      <c r="AB12" s="95"/>
      <c r="AC12" s="95"/>
    </row>
    <row r="13" spans="1:29" x14ac:dyDescent="0.25">
      <c r="A13" s="36" t="s">
        <v>144</v>
      </c>
      <c r="B13" t="s">
        <v>17</v>
      </c>
      <c r="C13" s="36" t="s">
        <v>51</v>
      </c>
      <c r="D13" s="36" t="s">
        <v>533</v>
      </c>
      <c r="E13" s="37" t="s">
        <v>303</v>
      </c>
      <c r="F13" s="41">
        <v>17</v>
      </c>
      <c r="G13" s="41">
        <v>4</v>
      </c>
      <c r="I13" s="131">
        <v>0.25</v>
      </c>
      <c r="J13" s="131">
        <v>0.90625</v>
      </c>
      <c r="K13" s="131">
        <v>0.3263888888888889</v>
      </c>
      <c r="L13" s="131">
        <v>0.54166666666666663</v>
      </c>
      <c r="M13" s="33" t="s">
        <v>46</v>
      </c>
      <c r="N13" s="33">
        <v>35</v>
      </c>
      <c r="O13" s="123">
        <v>45409</v>
      </c>
      <c r="P13" s="123">
        <v>45410</v>
      </c>
      <c r="Q13" s="34">
        <v>40</v>
      </c>
      <c r="R13" s="33">
        <v>5</v>
      </c>
      <c r="S13" s="34">
        <v>5.7</v>
      </c>
      <c r="T13" s="34">
        <v>1</v>
      </c>
      <c r="U13" s="33">
        <v>28.5</v>
      </c>
      <c r="V13" s="38" t="s">
        <v>827</v>
      </c>
      <c r="W13" s="39">
        <v>0.14285714285714285</v>
      </c>
      <c r="X13" s="40" t="s">
        <v>304</v>
      </c>
      <c r="Y13" s="40" t="s">
        <v>284</v>
      </c>
      <c r="Z13" s="40" t="s">
        <v>305</v>
      </c>
      <c r="AA13" s="33" t="s">
        <v>771</v>
      </c>
      <c r="AB13" s="95"/>
      <c r="AC13" s="95"/>
    </row>
    <row r="14" spans="1:29" x14ac:dyDescent="0.25">
      <c r="A14" s="36" t="s">
        <v>144</v>
      </c>
      <c r="B14" t="s">
        <v>17</v>
      </c>
      <c r="C14" s="36" t="s">
        <v>51</v>
      </c>
      <c r="D14" s="36" t="s">
        <v>533</v>
      </c>
      <c r="E14" s="37" t="s">
        <v>303</v>
      </c>
      <c r="F14" s="41">
        <v>17</v>
      </c>
      <c r="G14" s="41">
        <v>4</v>
      </c>
      <c r="I14" s="131">
        <v>0.25</v>
      </c>
      <c r="J14" s="131">
        <v>0.90625</v>
      </c>
      <c r="K14" s="131">
        <v>0.3263888888888889</v>
      </c>
      <c r="L14" s="131">
        <v>0.54166666666666663</v>
      </c>
      <c r="M14" s="33" t="s">
        <v>46</v>
      </c>
      <c r="N14" s="33">
        <v>35</v>
      </c>
      <c r="O14" s="123">
        <v>45409</v>
      </c>
      <c r="P14" s="123">
        <v>45410</v>
      </c>
      <c r="Q14" s="34">
        <v>50</v>
      </c>
      <c r="R14" s="33">
        <v>15</v>
      </c>
      <c r="S14" s="34">
        <v>2.5</v>
      </c>
      <c r="T14" s="34">
        <v>1</v>
      </c>
      <c r="U14" s="33">
        <v>37.5</v>
      </c>
      <c r="V14" s="38" t="s">
        <v>827</v>
      </c>
      <c r="W14" s="39">
        <v>0.42857142857142855</v>
      </c>
      <c r="X14" s="40" t="s">
        <v>304</v>
      </c>
      <c r="Y14" s="40" t="s">
        <v>283</v>
      </c>
      <c r="Z14" s="40" t="s">
        <v>749</v>
      </c>
      <c r="AA14" s="33" t="s">
        <v>749</v>
      </c>
      <c r="AB14" s="95"/>
      <c r="AC14" s="95" t="s">
        <v>856</v>
      </c>
    </row>
    <row r="15" spans="1:29" x14ac:dyDescent="0.25">
      <c r="A15" s="36" t="s">
        <v>57</v>
      </c>
      <c r="B15" t="s">
        <v>4</v>
      </c>
      <c r="C15" s="36" t="s">
        <v>51</v>
      </c>
      <c r="D15" s="36" t="s">
        <v>533</v>
      </c>
      <c r="E15" s="37" t="s">
        <v>303</v>
      </c>
      <c r="F15" s="41">
        <v>17</v>
      </c>
      <c r="G15" s="41">
        <v>4</v>
      </c>
      <c r="I15" s="131">
        <v>0.20833333333333334</v>
      </c>
      <c r="J15" s="131">
        <v>0.875</v>
      </c>
      <c r="K15" s="131" t="s">
        <v>148</v>
      </c>
      <c r="L15" s="131" t="s">
        <v>148</v>
      </c>
      <c r="M15" s="33" t="s">
        <v>46</v>
      </c>
      <c r="N15" s="33">
        <v>60</v>
      </c>
      <c r="O15" s="123">
        <v>45403</v>
      </c>
      <c r="P15" s="123">
        <v>45404</v>
      </c>
      <c r="Q15" s="34">
        <v>65</v>
      </c>
      <c r="R15" s="33">
        <v>5</v>
      </c>
      <c r="S15" s="34">
        <v>8</v>
      </c>
      <c r="T15" s="34">
        <v>1</v>
      </c>
      <c r="U15" s="33">
        <v>40</v>
      </c>
      <c r="V15" s="38" t="s">
        <v>827</v>
      </c>
      <c r="W15" s="39">
        <v>8.3333333333333329E-2</v>
      </c>
      <c r="X15" s="40" t="s">
        <v>304</v>
      </c>
      <c r="Y15" s="40" t="s">
        <v>284</v>
      </c>
      <c r="Z15" s="40" t="s">
        <v>305</v>
      </c>
      <c r="AA15" s="33" t="s">
        <v>771</v>
      </c>
      <c r="AB15" s="95"/>
      <c r="AC15" s="95"/>
    </row>
    <row r="16" spans="1:29" x14ac:dyDescent="0.25">
      <c r="A16" s="36" t="s">
        <v>57</v>
      </c>
      <c r="B16" t="s">
        <v>4</v>
      </c>
      <c r="C16" s="36" t="s">
        <v>51</v>
      </c>
      <c r="D16" s="36" t="s">
        <v>533</v>
      </c>
      <c r="E16" s="37" t="s">
        <v>303</v>
      </c>
      <c r="F16" s="41">
        <v>17</v>
      </c>
      <c r="G16" s="41">
        <v>4</v>
      </c>
      <c r="I16" s="131">
        <v>0.20833333333333334</v>
      </c>
      <c r="J16" s="131">
        <v>0.875</v>
      </c>
      <c r="K16" s="131" t="s">
        <v>148</v>
      </c>
      <c r="L16" s="131" t="s">
        <v>148</v>
      </c>
      <c r="M16" s="33" t="s">
        <v>46</v>
      </c>
      <c r="N16" s="33">
        <v>60</v>
      </c>
      <c r="O16" s="123">
        <v>45404</v>
      </c>
      <c r="P16" s="123">
        <v>45409</v>
      </c>
      <c r="Q16" s="34">
        <v>85</v>
      </c>
      <c r="R16" s="33">
        <v>25</v>
      </c>
      <c r="S16" s="34">
        <v>0.3</v>
      </c>
      <c r="T16" s="34">
        <v>5</v>
      </c>
      <c r="U16" s="33">
        <v>37.5</v>
      </c>
      <c r="V16" s="38" t="s">
        <v>827</v>
      </c>
      <c r="W16" s="39">
        <v>0.41666666666666669</v>
      </c>
      <c r="X16" s="40" t="s">
        <v>304</v>
      </c>
      <c r="Y16" s="40" t="s">
        <v>284</v>
      </c>
      <c r="Z16" s="40" t="s">
        <v>307</v>
      </c>
      <c r="AA16" s="33" t="s">
        <v>313</v>
      </c>
      <c r="AB16" s="95"/>
      <c r="AC16" s="95"/>
    </row>
    <row r="17" spans="1:29" x14ac:dyDescent="0.25">
      <c r="A17" s="36" t="s">
        <v>57</v>
      </c>
      <c r="B17" t="s">
        <v>4</v>
      </c>
      <c r="C17" s="36" t="s">
        <v>51</v>
      </c>
      <c r="D17" s="36" t="s">
        <v>533</v>
      </c>
      <c r="E17" s="37" t="s">
        <v>303</v>
      </c>
      <c r="F17" s="41">
        <v>17</v>
      </c>
      <c r="G17" s="41">
        <v>4</v>
      </c>
      <c r="I17" s="131">
        <v>0.20833333333333334</v>
      </c>
      <c r="J17" s="131">
        <v>0.875</v>
      </c>
      <c r="K17" s="131" t="s">
        <v>148</v>
      </c>
      <c r="L17" s="131" t="s">
        <v>148</v>
      </c>
      <c r="M17" s="33" t="s">
        <v>46</v>
      </c>
      <c r="N17" s="33">
        <v>60</v>
      </c>
      <c r="O17" s="123">
        <v>45404</v>
      </c>
      <c r="P17" s="123">
        <v>45409</v>
      </c>
      <c r="Q17" s="34">
        <v>70</v>
      </c>
      <c r="R17" s="33">
        <v>10</v>
      </c>
      <c r="S17" s="34">
        <v>7.7</v>
      </c>
      <c r="T17" s="34">
        <v>5</v>
      </c>
      <c r="U17" s="33">
        <v>385</v>
      </c>
      <c r="V17" s="38" t="s">
        <v>827</v>
      </c>
      <c r="W17" s="39">
        <v>0.16666666666666666</v>
      </c>
      <c r="X17" s="40" t="s">
        <v>304</v>
      </c>
      <c r="Y17" s="40" t="s">
        <v>284</v>
      </c>
      <c r="Z17" s="40" t="s">
        <v>305</v>
      </c>
      <c r="AA17" s="33" t="s">
        <v>771</v>
      </c>
      <c r="AB17" s="95"/>
      <c r="AC17" s="95"/>
    </row>
    <row r="18" spans="1:29" x14ac:dyDescent="0.25">
      <c r="A18" s="36" t="s">
        <v>57</v>
      </c>
      <c r="B18" t="s">
        <v>4</v>
      </c>
      <c r="C18" s="36" t="s">
        <v>51</v>
      </c>
      <c r="D18" s="36" t="s">
        <v>533</v>
      </c>
      <c r="E18" s="37" t="s">
        <v>303</v>
      </c>
      <c r="F18" s="41">
        <v>17</v>
      </c>
      <c r="G18" s="41">
        <v>4</v>
      </c>
      <c r="I18" s="131">
        <v>0.20833333333333334</v>
      </c>
      <c r="J18" s="131">
        <v>0.875</v>
      </c>
      <c r="K18" s="131" t="s">
        <v>148</v>
      </c>
      <c r="L18" s="131" t="s">
        <v>148</v>
      </c>
      <c r="M18" s="33" t="s">
        <v>46</v>
      </c>
      <c r="N18" s="33">
        <v>60</v>
      </c>
      <c r="O18" s="123">
        <v>45409</v>
      </c>
      <c r="P18" s="123">
        <v>45410</v>
      </c>
      <c r="Q18" s="34">
        <v>70</v>
      </c>
      <c r="R18" s="33">
        <v>10</v>
      </c>
      <c r="S18" s="34">
        <v>8</v>
      </c>
      <c r="T18" s="34">
        <v>1</v>
      </c>
      <c r="U18" s="33">
        <v>80</v>
      </c>
      <c r="V18" s="38" t="s">
        <v>827</v>
      </c>
      <c r="W18" s="39">
        <v>0.16666666666666666</v>
      </c>
      <c r="X18" s="40" t="s">
        <v>304</v>
      </c>
      <c r="Y18" s="40" t="s">
        <v>284</v>
      </c>
      <c r="Z18" s="40" t="s">
        <v>305</v>
      </c>
      <c r="AA18" s="33" t="s">
        <v>771</v>
      </c>
      <c r="AB18" s="95"/>
      <c r="AC18" s="95"/>
    </row>
    <row r="19" spans="1:29" x14ac:dyDescent="0.25">
      <c r="A19" s="36" t="s">
        <v>185</v>
      </c>
      <c r="B19" t="s">
        <v>186</v>
      </c>
      <c r="C19" s="36" t="s">
        <v>51</v>
      </c>
      <c r="D19" s="36" t="s">
        <v>530</v>
      </c>
      <c r="E19" s="37" t="s">
        <v>303</v>
      </c>
      <c r="F19" s="41">
        <v>17</v>
      </c>
      <c r="G19" s="41">
        <v>4</v>
      </c>
      <c r="I19" s="131">
        <v>0.23611111111111113</v>
      </c>
      <c r="J19" s="131">
        <v>0.86458333333333337</v>
      </c>
      <c r="K19" s="131" t="s">
        <v>148</v>
      </c>
      <c r="L19" s="131" t="s">
        <v>148</v>
      </c>
      <c r="M19" s="33" t="s">
        <v>46</v>
      </c>
      <c r="N19" s="33">
        <v>85</v>
      </c>
      <c r="O19" s="123">
        <v>45403</v>
      </c>
      <c r="P19" s="123">
        <v>45410</v>
      </c>
      <c r="Q19" s="34">
        <v>120</v>
      </c>
      <c r="R19" s="33">
        <v>35</v>
      </c>
      <c r="S19" s="34">
        <v>8.9</v>
      </c>
      <c r="T19" s="34">
        <v>7</v>
      </c>
      <c r="U19" s="33">
        <v>2180.5</v>
      </c>
      <c r="V19" s="38" t="s">
        <v>827</v>
      </c>
      <c r="W19" s="39">
        <v>0.41176470588235292</v>
      </c>
      <c r="X19" s="40" t="s">
        <v>304</v>
      </c>
      <c r="Y19" s="40" t="s">
        <v>283</v>
      </c>
      <c r="Z19" s="40" t="s">
        <v>749</v>
      </c>
      <c r="AA19" s="33" t="s">
        <v>749</v>
      </c>
      <c r="AB19" s="95"/>
      <c r="AC19" s="95"/>
    </row>
    <row r="20" spans="1:29" x14ac:dyDescent="0.25">
      <c r="A20" s="36" t="s">
        <v>176</v>
      </c>
      <c r="B20" t="s">
        <v>177</v>
      </c>
      <c r="C20" s="36" t="s">
        <v>51</v>
      </c>
      <c r="D20" s="36" t="s">
        <v>533</v>
      </c>
      <c r="E20" s="37" t="s">
        <v>303</v>
      </c>
      <c r="F20" s="41">
        <v>17</v>
      </c>
      <c r="G20" s="41">
        <v>4</v>
      </c>
      <c r="I20" s="131">
        <v>0.23611111111111113</v>
      </c>
      <c r="J20" s="131">
        <v>0.875</v>
      </c>
      <c r="K20" s="131">
        <v>0.25</v>
      </c>
      <c r="L20" s="131">
        <v>0.85416666666666663</v>
      </c>
      <c r="M20" s="33" t="s">
        <v>46</v>
      </c>
      <c r="N20" s="33">
        <v>130</v>
      </c>
      <c r="O20" s="123">
        <v>45403</v>
      </c>
      <c r="P20" s="123">
        <v>45410</v>
      </c>
      <c r="Q20" s="34">
        <v>190</v>
      </c>
      <c r="R20" s="33">
        <v>60</v>
      </c>
      <c r="S20" s="34">
        <v>2.6</v>
      </c>
      <c r="T20" s="34">
        <v>7</v>
      </c>
      <c r="U20" s="33">
        <v>1092</v>
      </c>
      <c r="V20" s="38" t="s">
        <v>827</v>
      </c>
      <c r="W20" s="39">
        <v>0.46153846153846156</v>
      </c>
      <c r="X20" s="40" t="s">
        <v>304</v>
      </c>
      <c r="Y20" s="40" t="s">
        <v>284</v>
      </c>
      <c r="Z20" s="40" t="s">
        <v>307</v>
      </c>
      <c r="AA20" s="33" t="s">
        <v>313</v>
      </c>
      <c r="AB20" s="95"/>
      <c r="AC20" s="95"/>
    </row>
    <row r="21" spans="1:29" x14ac:dyDescent="0.25">
      <c r="A21" s="36" t="s">
        <v>176</v>
      </c>
      <c r="B21" t="s">
        <v>177</v>
      </c>
      <c r="C21" s="36" t="s">
        <v>51</v>
      </c>
      <c r="D21" s="36" t="s">
        <v>533</v>
      </c>
      <c r="E21" s="37" t="s">
        <v>303</v>
      </c>
      <c r="F21" s="41">
        <v>17</v>
      </c>
      <c r="G21" s="41">
        <v>4</v>
      </c>
      <c r="I21" s="131">
        <v>0.23611111111111113</v>
      </c>
      <c r="J21" s="131">
        <v>0.875</v>
      </c>
      <c r="K21" s="131">
        <v>0.25</v>
      </c>
      <c r="L21" s="131">
        <v>0.85416666666666663</v>
      </c>
      <c r="M21" s="33" t="s">
        <v>46</v>
      </c>
      <c r="N21" s="33">
        <v>130</v>
      </c>
      <c r="O21" s="123">
        <v>45403</v>
      </c>
      <c r="P21" s="123">
        <v>45409</v>
      </c>
      <c r="Q21" s="34">
        <v>190</v>
      </c>
      <c r="R21" s="33">
        <v>60</v>
      </c>
      <c r="S21" s="34">
        <v>0.5</v>
      </c>
      <c r="T21" s="34">
        <v>6</v>
      </c>
      <c r="U21" s="33">
        <v>180</v>
      </c>
      <c r="V21" s="38" t="s">
        <v>827</v>
      </c>
      <c r="W21" s="39">
        <v>0.46153846153846156</v>
      </c>
      <c r="X21" s="40" t="s">
        <v>304</v>
      </c>
      <c r="Y21" s="40" t="s">
        <v>284</v>
      </c>
      <c r="Z21" s="40" t="s">
        <v>307</v>
      </c>
      <c r="AA21" s="33" t="s">
        <v>414</v>
      </c>
      <c r="AB21" s="95"/>
      <c r="AC21" s="95"/>
    </row>
    <row r="22" spans="1:29" x14ac:dyDescent="0.25">
      <c r="A22" s="36" t="s">
        <v>176</v>
      </c>
      <c r="B22" t="s">
        <v>177</v>
      </c>
      <c r="C22" s="36" t="s">
        <v>51</v>
      </c>
      <c r="D22" s="36" t="s">
        <v>533</v>
      </c>
      <c r="E22" s="37" t="s">
        <v>303</v>
      </c>
      <c r="F22" s="41">
        <v>17</v>
      </c>
      <c r="G22" s="41">
        <v>4</v>
      </c>
      <c r="I22" s="131">
        <v>0.23611111111111113</v>
      </c>
      <c r="J22" s="131">
        <v>0.875</v>
      </c>
      <c r="K22" s="131">
        <v>0.25</v>
      </c>
      <c r="L22" s="131">
        <v>0.85416666666666663</v>
      </c>
      <c r="M22" s="33" t="s">
        <v>46</v>
      </c>
      <c r="N22" s="33">
        <v>130</v>
      </c>
      <c r="O22" s="123">
        <v>45405</v>
      </c>
      <c r="P22" s="123">
        <v>45407</v>
      </c>
      <c r="Q22" s="34">
        <v>140</v>
      </c>
      <c r="R22" s="33">
        <v>10</v>
      </c>
      <c r="S22" s="34">
        <v>5.5</v>
      </c>
      <c r="T22" s="34">
        <v>2</v>
      </c>
      <c r="U22" s="33">
        <v>110</v>
      </c>
      <c r="V22" s="38" t="s">
        <v>827</v>
      </c>
      <c r="W22" s="39">
        <v>7.6923076923076927E-2</v>
      </c>
      <c r="X22" s="40" t="s">
        <v>304</v>
      </c>
      <c r="Y22" s="40" t="s">
        <v>284</v>
      </c>
      <c r="Z22" s="40" t="s">
        <v>305</v>
      </c>
      <c r="AA22" s="33" t="s">
        <v>771</v>
      </c>
      <c r="AB22" s="95"/>
      <c r="AC22" s="95"/>
    </row>
    <row r="23" spans="1:29" x14ac:dyDescent="0.25">
      <c r="A23" s="36" t="s">
        <v>176</v>
      </c>
      <c r="B23" t="s">
        <v>177</v>
      </c>
      <c r="C23" s="36" t="s">
        <v>51</v>
      </c>
      <c r="D23" s="36" t="s">
        <v>533</v>
      </c>
      <c r="E23" s="37" t="s">
        <v>303</v>
      </c>
      <c r="F23" s="41">
        <v>17</v>
      </c>
      <c r="G23" s="41">
        <v>4</v>
      </c>
      <c r="I23" s="131">
        <v>0.23611111111111113</v>
      </c>
      <c r="J23" s="131">
        <v>0.875</v>
      </c>
      <c r="K23" s="131">
        <v>0.25</v>
      </c>
      <c r="L23" s="131">
        <v>0.85416666666666663</v>
      </c>
      <c r="M23" s="33" t="s">
        <v>46</v>
      </c>
      <c r="N23" s="33">
        <v>130</v>
      </c>
      <c r="O23" s="123">
        <v>45407</v>
      </c>
      <c r="P23" s="123">
        <v>45408</v>
      </c>
      <c r="Q23" s="34">
        <v>180</v>
      </c>
      <c r="R23" s="33">
        <v>50</v>
      </c>
      <c r="S23" s="34">
        <v>4.5</v>
      </c>
      <c r="T23" s="34">
        <v>1</v>
      </c>
      <c r="U23" s="33">
        <v>225</v>
      </c>
      <c r="V23" s="38" t="s">
        <v>827</v>
      </c>
      <c r="W23" s="39">
        <v>0.38461538461538464</v>
      </c>
      <c r="X23" s="40" t="s">
        <v>304</v>
      </c>
      <c r="Y23" s="40" t="s">
        <v>283</v>
      </c>
      <c r="Z23" s="40" t="s">
        <v>749</v>
      </c>
      <c r="AA23" s="33" t="s">
        <v>749</v>
      </c>
      <c r="AB23" s="95"/>
      <c r="AC23" s="95"/>
    </row>
    <row r="24" spans="1:29" x14ac:dyDescent="0.25">
      <c r="A24" s="36" t="s">
        <v>252</v>
      </c>
      <c r="B24" t="s">
        <v>253</v>
      </c>
      <c r="C24" s="36" t="s">
        <v>51</v>
      </c>
      <c r="D24" s="36" t="s">
        <v>530</v>
      </c>
      <c r="E24" s="37" t="s">
        <v>303</v>
      </c>
      <c r="F24" s="41">
        <v>17</v>
      </c>
      <c r="G24" s="41">
        <v>4</v>
      </c>
      <c r="I24" s="131">
        <v>0.24305555555555555</v>
      </c>
      <c r="J24" s="131">
        <v>0.92708333333333337</v>
      </c>
      <c r="K24" s="131" t="s">
        <v>148</v>
      </c>
      <c r="L24" s="131" t="s">
        <v>148</v>
      </c>
      <c r="M24" s="33" t="s">
        <v>46</v>
      </c>
      <c r="N24" s="33">
        <v>55</v>
      </c>
      <c r="O24" s="123">
        <v>45403</v>
      </c>
      <c r="P24" s="123">
        <v>45404</v>
      </c>
      <c r="Q24" s="34">
        <v>80</v>
      </c>
      <c r="R24" s="33">
        <v>25</v>
      </c>
      <c r="S24" s="34">
        <v>5</v>
      </c>
      <c r="T24" s="34">
        <v>1</v>
      </c>
      <c r="U24" s="33">
        <v>125</v>
      </c>
      <c r="V24" s="38" t="s">
        <v>827</v>
      </c>
      <c r="W24" s="39">
        <v>0.45454545454545453</v>
      </c>
      <c r="X24" s="40" t="s">
        <v>304</v>
      </c>
      <c r="Y24" s="40" t="s">
        <v>284</v>
      </c>
      <c r="Z24" s="95" t="s">
        <v>311</v>
      </c>
      <c r="AA24" s="95" t="s">
        <v>775</v>
      </c>
      <c r="AB24" s="95"/>
      <c r="AC24" s="95"/>
    </row>
    <row r="25" spans="1:29" x14ac:dyDescent="0.25">
      <c r="A25" s="36" t="s">
        <v>252</v>
      </c>
      <c r="B25" t="s">
        <v>253</v>
      </c>
      <c r="C25" s="36" t="s">
        <v>51</v>
      </c>
      <c r="D25" s="36" t="s">
        <v>530</v>
      </c>
      <c r="E25" s="37" t="s">
        <v>303</v>
      </c>
      <c r="F25" s="41">
        <v>17</v>
      </c>
      <c r="G25" s="41">
        <v>4</v>
      </c>
      <c r="I25" s="131">
        <v>0.24305555555555555</v>
      </c>
      <c r="J25" s="131">
        <v>0.92708333333333337</v>
      </c>
      <c r="K25" s="131" t="s">
        <v>148</v>
      </c>
      <c r="L25" s="131" t="s">
        <v>148</v>
      </c>
      <c r="M25" s="33" t="s">
        <v>46</v>
      </c>
      <c r="N25" s="33">
        <v>55</v>
      </c>
      <c r="O25" s="123">
        <v>45403</v>
      </c>
      <c r="P25" s="123">
        <v>45404</v>
      </c>
      <c r="Q25" s="34">
        <v>60</v>
      </c>
      <c r="R25" s="33">
        <v>5</v>
      </c>
      <c r="S25" s="34">
        <v>2.5</v>
      </c>
      <c r="T25" s="34">
        <v>1</v>
      </c>
      <c r="U25" s="33">
        <v>12.5</v>
      </c>
      <c r="V25" s="38" t="s">
        <v>827</v>
      </c>
      <c r="W25" s="39">
        <v>9.0909090909090912E-2</v>
      </c>
      <c r="X25" s="40" t="s">
        <v>304</v>
      </c>
      <c r="Y25" s="40" t="s">
        <v>284</v>
      </c>
      <c r="Z25" s="40" t="s">
        <v>305</v>
      </c>
      <c r="AA25" s="33" t="s">
        <v>771</v>
      </c>
      <c r="AB25" s="95"/>
      <c r="AC25" s="95"/>
    </row>
    <row r="26" spans="1:29" x14ac:dyDescent="0.25">
      <c r="A26" s="36" t="s">
        <v>252</v>
      </c>
      <c r="B26" t="s">
        <v>253</v>
      </c>
      <c r="C26" s="36" t="s">
        <v>51</v>
      </c>
      <c r="D26" s="36" t="s">
        <v>530</v>
      </c>
      <c r="E26" s="37" t="s">
        <v>303</v>
      </c>
      <c r="F26" s="41">
        <v>17</v>
      </c>
      <c r="G26" s="41">
        <v>4</v>
      </c>
      <c r="I26" s="131">
        <v>0.24305555555555555</v>
      </c>
      <c r="J26" s="131">
        <v>0.92708333333333337</v>
      </c>
      <c r="K26" s="131" t="s">
        <v>148</v>
      </c>
      <c r="L26" s="131" t="s">
        <v>148</v>
      </c>
      <c r="M26" s="33" t="s">
        <v>46</v>
      </c>
      <c r="N26" s="33">
        <v>55</v>
      </c>
      <c r="O26" s="123">
        <v>45404</v>
      </c>
      <c r="P26" s="123">
        <v>45409</v>
      </c>
      <c r="Q26" s="34">
        <v>80</v>
      </c>
      <c r="R26" s="33">
        <v>25</v>
      </c>
      <c r="S26" s="34">
        <v>0.8</v>
      </c>
      <c r="T26" s="34">
        <v>5</v>
      </c>
      <c r="U26" s="33">
        <v>100</v>
      </c>
      <c r="V26" s="38" t="s">
        <v>827</v>
      </c>
      <c r="W26" s="39">
        <v>0.45454545454545453</v>
      </c>
      <c r="X26" s="40" t="s">
        <v>304</v>
      </c>
      <c r="Y26" s="40" t="s">
        <v>284</v>
      </c>
      <c r="Z26" s="40" t="s">
        <v>307</v>
      </c>
      <c r="AA26" s="33" t="s">
        <v>414</v>
      </c>
      <c r="AB26" s="95"/>
      <c r="AC26" s="95"/>
    </row>
    <row r="27" spans="1:29" x14ac:dyDescent="0.25">
      <c r="A27" s="36" t="s">
        <v>252</v>
      </c>
      <c r="B27" t="s">
        <v>253</v>
      </c>
      <c r="C27" s="36" t="s">
        <v>51</v>
      </c>
      <c r="D27" s="36" t="s">
        <v>530</v>
      </c>
      <c r="E27" s="37" t="s">
        <v>303</v>
      </c>
      <c r="F27" s="41">
        <v>17</v>
      </c>
      <c r="G27" s="41">
        <v>4</v>
      </c>
      <c r="I27" s="131">
        <v>0.24305555555555555</v>
      </c>
      <c r="J27" s="131">
        <v>0.92708333333333337</v>
      </c>
      <c r="K27" s="131" t="s">
        <v>148</v>
      </c>
      <c r="L27" s="131" t="s">
        <v>148</v>
      </c>
      <c r="M27" s="33" t="s">
        <v>46</v>
      </c>
      <c r="N27" s="33">
        <v>55</v>
      </c>
      <c r="O27" s="123">
        <v>45405</v>
      </c>
      <c r="P27" s="123">
        <v>45406</v>
      </c>
      <c r="Q27" s="34">
        <v>75</v>
      </c>
      <c r="R27" s="33">
        <v>20</v>
      </c>
      <c r="S27" s="34">
        <v>5</v>
      </c>
      <c r="T27" s="34">
        <v>1</v>
      </c>
      <c r="U27" s="33">
        <v>100</v>
      </c>
      <c r="V27" s="38" t="s">
        <v>827</v>
      </c>
      <c r="W27" s="39">
        <v>0.36363636363636365</v>
      </c>
      <c r="X27" s="40" t="s">
        <v>304</v>
      </c>
      <c r="Y27" s="40" t="s">
        <v>283</v>
      </c>
      <c r="Z27" s="40" t="s">
        <v>749</v>
      </c>
      <c r="AA27" s="33" t="s">
        <v>749</v>
      </c>
      <c r="AB27" s="95"/>
      <c r="AC27" s="95"/>
    </row>
    <row r="28" spans="1:29" x14ac:dyDescent="0.25">
      <c r="A28" s="36" t="s">
        <v>252</v>
      </c>
      <c r="B28" t="s">
        <v>253</v>
      </c>
      <c r="C28" s="36" t="s">
        <v>51</v>
      </c>
      <c r="D28" s="36" t="s">
        <v>530</v>
      </c>
      <c r="E28" s="37" t="s">
        <v>303</v>
      </c>
      <c r="F28" s="41">
        <v>17</v>
      </c>
      <c r="G28" s="41">
        <v>4</v>
      </c>
      <c r="I28" s="131">
        <v>0.24305555555555555</v>
      </c>
      <c r="J28" s="131">
        <v>0.92708333333333337</v>
      </c>
      <c r="K28" s="131" t="s">
        <v>148</v>
      </c>
      <c r="L28" s="131" t="s">
        <v>148</v>
      </c>
      <c r="M28" s="33" t="s">
        <v>46</v>
      </c>
      <c r="N28" s="33">
        <v>55</v>
      </c>
      <c r="O28" s="123">
        <v>45406</v>
      </c>
      <c r="P28" s="123">
        <v>45409</v>
      </c>
      <c r="Q28" s="34">
        <v>65</v>
      </c>
      <c r="R28" s="33">
        <v>10</v>
      </c>
      <c r="S28" s="34">
        <v>6.7</v>
      </c>
      <c r="T28" s="34">
        <v>3</v>
      </c>
      <c r="U28" s="33">
        <v>201</v>
      </c>
      <c r="V28" s="38" t="s">
        <v>827</v>
      </c>
      <c r="W28" s="39">
        <v>0.18181818181818182</v>
      </c>
      <c r="X28" s="40" t="s">
        <v>304</v>
      </c>
      <c r="Y28" s="40" t="s">
        <v>284</v>
      </c>
      <c r="Z28" s="40" t="s">
        <v>305</v>
      </c>
      <c r="AA28" s="33" t="s">
        <v>771</v>
      </c>
      <c r="AB28" s="95"/>
      <c r="AC28" s="95"/>
    </row>
    <row r="29" spans="1:29" x14ac:dyDescent="0.25">
      <c r="A29" s="36" t="s">
        <v>252</v>
      </c>
      <c r="B29" t="s">
        <v>253</v>
      </c>
      <c r="C29" s="36" t="s">
        <v>51</v>
      </c>
      <c r="D29" s="36" t="s">
        <v>530</v>
      </c>
      <c r="E29" s="37" t="s">
        <v>303</v>
      </c>
      <c r="F29" s="41">
        <v>17</v>
      </c>
      <c r="G29" s="41">
        <v>4</v>
      </c>
      <c r="I29" s="131">
        <v>0.24305555555555555</v>
      </c>
      <c r="J29" s="131">
        <v>0.92708333333333337</v>
      </c>
      <c r="K29" s="131" t="s">
        <v>148</v>
      </c>
      <c r="L29" s="131" t="s">
        <v>148</v>
      </c>
      <c r="M29" s="33" t="s">
        <v>46</v>
      </c>
      <c r="N29" s="33">
        <v>55</v>
      </c>
      <c r="O29" s="123">
        <v>45409</v>
      </c>
      <c r="P29" s="123">
        <v>45410</v>
      </c>
      <c r="Q29" s="34">
        <v>60</v>
      </c>
      <c r="R29" s="33">
        <v>5</v>
      </c>
      <c r="S29" s="34">
        <v>7.5</v>
      </c>
      <c r="T29" s="34">
        <v>1</v>
      </c>
      <c r="U29" s="33">
        <v>37.5</v>
      </c>
      <c r="V29" s="38" t="s">
        <v>827</v>
      </c>
      <c r="W29" s="39">
        <v>9.0909090909090912E-2</v>
      </c>
      <c r="X29" s="40" t="s">
        <v>304</v>
      </c>
      <c r="Y29" s="40" t="s">
        <v>284</v>
      </c>
      <c r="Z29" s="40" t="s">
        <v>305</v>
      </c>
      <c r="AA29" s="33" t="s">
        <v>771</v>
      </c>
      <c r="AB29" s="95"/>
      <c r="AC29" s="95"/>
    </row>
    <row r="30" spans="1:29" x14ac:dyDescent="0.25">
      <c r="A30" s="36" t="s">
        <v>80</v>
      </c>
      <c r="B30" t="s">
        <v>6</v>
      </c>
      <c r="C30" s="36" t="s">
        <v>51</v>
      </c>
      <c r="D30" s="36" t="s">
        <v>533</v>
      </c>
      <c r="E30" s="37" t="s">
        <v>303</v>
      </c>
      <c r="F30" s="41">
        <v>17</v>
      </c>
      <c r="G30" s="41">
        <v>4</v>
      </c>
      <c r="I30" s="131">
        <v>0.16666666666666666</v>
      </c>
      <c r="J30" s="131">
        <v>0.875</v>
      </c>
      <c r="K30" s="131">
        <v>0.20833333333333334</v>
      </c>
      <c r="L30" s="131">
        <v>0.54166666666666696</v>
      </c>
      <c r="M30" s="33" t="s">
        <v>46</v>
      </c>
      <c r="N30" s="33">
        <v>75</v>
      </c>
      <c r="O30" s="123">
        <v>45403</v>
      </c>
      <c r="P30" s="123">
        <v>45404</v>
      </c>
      <c r="Q30" s="34">
        <v>85</v>
      </c>
      <c r="R30" s="33">
        <v>10</v>
      </c>
      <c r="S30" s="34">
        <v>7</v>
      </c>
      <c r="T30" s="34">
        <v>1</v>
      </c>
      <c r="U30" s="33">
        <v>70</v>
      </c>
      <c r="V30" s="38" t="s">
        <v>827</v>
      </c>
      <c r="W30" s="39">
        <v>0.13333333333333333</v>
      </c>
      <c r="X30" s="40" t="s">
        <v>304</v>
      </c>
      <c r="Y30" s="40" t="s">
        <v>284</v>
      </c>
      <c r="Z30" s="40" t="s">
        <v>305</v>
      </c>
      <c r="AA30" s="33" t="s">
        <v>771</v>
      </c>
      <c r="AB30" s="95"/>
      <c r="AC30" s="95"/>
    </row>
    <row r="31" spans="1:29" x14ac:dyDescent="0.25">
      <c r="A31" s="36" t="s">
        <v>80</v>
      </c>
      <c r="B31" t="s">
        <v>6</v>
      </c>
      <c r="C31" s="36" t="s">
        <v>51</v>
      </c>
      <c r="D31" s="36" t="s">
        <v>533</v>
      </c>
      <c r="E31" s="37" t="s">
        <v>303</v>
      </c>
      <c r="F31" s="41">
        <v>17</v>
      </c>
      <c r="G31" s="41">
        <v>4</v>
      </c>
      <c r="I31" s="131">
        <v>0.16666666666666666</v>
      </c>
      <c r="J31" s="131">
        <v>0.875</v>
      </c>
      <c r="K31" s="131">
        <v>0.20833333333333334</v>
      </c>
      <c r="L31" s="131">
        <v>0.54166666666666696</v>
      </c>
      <c r="M31" s="33" t="s">
        <v>46</v>
      </c>
      <c r="N31" s="33">
        <v>75</v>
      </c>
      <c r="O31" s="123">
        <v>45404</v>
      </c>
      <c r="P31" s="123">
        <v>45408</v>
      </c>
      <c r="Q31" s="34">
        <v>110</v>
      </c>
      <c r="R31" s="33">
        <v>35</v>
      </c>
      <c r="S31" s="34">
        <v>7</v>
      </c>
      <c r="T31" s="34">
        <v>4</v>
      </c>
      <c r="U31" s="33">
        <v>980</v>
      </c>
      <c r="V31" s="38" t="s">
        <v>827</v>
      </c>
      <c r="W31" s="39">
        <v>0.46666666666666667</v>
      </c>
      <c r="X31" s="40" t="s">
        <v>304</v>
      </c>
      <c r="Y31" s="40" t="s">
        <v>283</v>
      </c>
      <c r="Z31" s="40" t="s">
        <v>749</v>
      </c>
      <c r="AA31" s="33" t="s">
        <v>749</v>
      </c>
      <c r="AB31" s="95"/>
      <c r="AC31" s="95" t="s">
        <v>842</v>
      </c>
    </row>
    <row r="32" spans="1:29" x14ac:dyDescent="0.25">
      <c r="A32" s="36" t="s">
        <v>80</v>
      </c>
      <c r="B32" t="s">
        <v>6</v>
      </c>
      <c r="C32" s="36" t="s">
        <v>51</v>
      </c>
      <c r="D32" s="36" t="s">
        <v>533</v>
      </c>
      <c r="E32" s="37" t="s">
        <v>303</v>
      </c>
      <c r="F32" s="41">
        <v>17</v>
      </c>
      <c r="G32" s="41">
        <v>4</v>
      </c>
      <c r="I32" s="131">
        <v>0.16666666666666666</v>
      </c>
      <c r="J32" s="131">
        <v>0.875</v>
      </c>
      <c r="K32" s="131">
        <v>0.20833333333333334</v>
      </c>
      <c r="L32" s="131">
        <v>0.54166666666666696</v>
      </c>
      <c r="M32" s="33" t="s">
        <v>46</v>
      </c>
      <c r="N32" s="33">
        <v>75</v>
      </c>
      <c r="O32" s="123">
        <v>45408</v>
      </c>
      <c r="P32" s="123">
        <v>45409</v>
      </c>
      <c r="Q32" s="34">
        <v>90</v>
      </c>
      <c r="R32" s="33">
        <v>15</v>
      </c>
      <c r="S32" s="34">
        <v>7</v>
      </c>
      <c r="T32" s="34">
        <v>1</v>
      </c>
      <c r="U32" s="33">
        <v>105</v>
      </c>
      <c r="V32" s="38" t="s">
        <v>827</v>
      </c>
      <c r="W32" s="39">
        <v>0.2</v>
      </c>
      <c r="X32" s="40" t="s">
        <v>304</v>
      </c>
      <c r="Y32" s="40" t="s">
        <v>284</v>
      </c>
      <c r="Z32" s="40" t="s">
        <v>305</v>
      </c>
      <c r="AA32" s="33" t="s">
        <v>771</v>
      </c>
      <c r="AB32" s="95"/>
      <c r="AC32" s="95"/>
    </row>
    <row r="33" spans="1:29" x14ac:dyDescent="0.25">
      <c r="A33" s="36" t="s">
        <v>80</v>
      </c>
      <c r="B33" t="s">
        <v>6</v>
      </c>
      <c r="C33" s="36" t="s">
        <v>51</v>
      </c>
      <c r="D33" s="36" t="s">
        <v>533</v>
      </c>
      <c r="E33" s="37" t="s">
        <v>303</v>
      </c>
      <c r="F33" s="41">
        <v>17</v>
      </c>
      <c r="G33" s="41">
        <v>4</v>
      </c>
      <c r="I33" s="131">
        <v>0.16666666666666666</v>
      </c>
      <c r="J33" s="131">
        <v>0.875</v>
      </c>
      <c r="K33" s="131">
        <v>0.20833333333333334</v>
      </c>
      <c r="L33" s="131">
        <v>0.54166666666666696</v>
      </c>
      <c r="M33" s="33" t="s">
        <v>46</v>
      </c>
      <c r="N33" s="33">
        <v>75</v>
      </c>
      <c r="O33" s="123">
        <v>45409</v>
      </c>
      <c r="P33" s="123">
        <v>45410</v>
      </c>
      <c r="Q33" s="34">
        <v>95</v>
      </c>
      <c r="R33" s="33">
        <v>20</v>
      </c>
      <c r="S33" s="34">
        <v>2.5</v>
      </c>
      <c r="T33" s="34">
        <v>1</v>
      </c>
      <c r="U33" s="33">
        <v>50</v>
      </c>
      <c r="V33" s="38" t="s">
        <v>827</v>
      </c>
      <c r="W33" s="39">
        <v>0.26666666666666666</v>
      </c>
      <c r="X33" s="40" t="s">
        <v>304</v>
      </c>
      <c r="Y33" s="40" t="s">
        <v>284</v>
      </c>
      <c r="Z33" s="40" t="s">
        <v>305</v>
      </c>
      <c r="AA33" s="33" t="s">
        <v>771</v>
      </c>
      <c r="AB33" s="95"/>
      <c r="AC33" s="95"/>
    </row>
    <row r="34" spans="1:29" x14ac:dyDescent="0.25">
      <c r="A34" s="36" t="s">
        <v>80</v>
      </c>
      <c r="B34" t="s">
        <v>6</v>
      </c>
      <c r="C34" s="36" t="s">
        <v>51</v>
      </c>
      <c r="D34" s="36" t="s">
        <v>533</v>
      </c>
      <c r="E34" s="37" t="s">
        <v>303</v>
      </c>
      <c r="F34" s="41">
        <v>17</v>
      </c>
      <c r="G34" s="41">
        <v>4</v>
      </c>
      <c r="I34" s="131">
        <v>0.16666666666666666</v>
      </c>
      <c r="J34" s="131">
        <v>0.875</v>
      </c>
      <c r="K34" s="131">
        <v>0.20833333333333334</v>
      </c>
      <c r="L34" s="131">
        <v>0.54166666666666696</v>
      </c>
      <c r="M34" s="33" t="s">
        <v>46</v>
      </c>
      <c r="N34" s="33">
        <v>75</v>
      </c>
      <c r="O34" s="123">
        <v>45409</v>
      </c>
      <c r="P34" s="123">
        <v>45410</v>
      </c>
      <c r="Q34" s="34">
        <v>110</v>
      </c>
      <c r="R34" s="33">
        <v>35</v>
      </c>
      <c r="S34" s="34">
        <v>4.5</v>
      </c>
      <c r="T34" s="34">
        <v>1</v>
      </c>
      <c r="U34" s="33">
        <v>157.5</v>
      </c>
      <c r="V34" s="38" t="s">
        <v>827</v>
      </c>
      <c r="W34" s="39">
        <v>0.46666666666666667</v>
      </c>
      <c r="X34" s="40" t="s">
        <v>304</v>
      </c>
      <c r="Y34" s="40" t="s">
        <v>283</v>
      </c>
      <c r="Z34" s="40" t="s">
        <v>749</v>
      </c>
      <c r="AA34" s="33" t="s">
        <v>749</v>
      </c>
      <c r="AB34" s="95"/>
      <c r="AC34" s="95"/>
    </row>
    <row r="35" spans="1:29" x14ac:dyDescent="0.25">
      <c r="A35" s="36" t="s">
        <v>217</v>
      </c>
      <c r="B35" t="s">
        <v>218</v>
      </c>
      <c r="C35" s="36" t="s">
        <v>51</v>
      </c>
      <c r="D35" s="36" t="s">
        <v>530</v>
      </c>
      <c r="E35" s="37" t="s">
        <v>303</v>
      </c>
      <c r="F35" s="41">
        <v>17</v>
      </c>
      <c r="G35" s="41">
        <v>4</v>
      </c>
      <c r="I35" s="131">
        <v>0.22916666666666666</v>
      </c>
      <c r="J35" s="131">
        <v>0.85416666666666663</v>
      </c>
      <c r="K35" s="131">
        <v>0.3125</v>
      </c>
      <c r="L35" s="131">
        <v>0.5625</v>
      </c>
      <c r="M35" s="33" t="s">
        <v>46</v>
      </c>
      <c r="N35" s="33">
        <v>40</v>
      </c>
      <c r="O35" s="123">
        <v>45403</v>
      </c>
      <c r="P35" s="123">
        <v>45409</v>
      </c>
      <c r="Q35" s="34">
        <v>55</v>
      </c>
      <c r="R35" s="33">
        <v>15</v>
      </c>
      <c r="S35" s="34">
        <v>0.3</v>
      </c>
      <c r="T35" s="34">
        <v>6</v>
      </c>
      <c r="U35" s="33">
        <v>27</v>
      </c>
      <c r="V35" s="38" t="s">
        <v>827</v>
      </c>
      <c r="W35" s="39">
        <v>0.375</v>
      </c>
      <c r="X35" s="40" t="s">
        <v>304</v>
      </c>
      <c r="Y35" s="40" t="s">
        <v>284</v>
      </c>
      <c r="Z35" s="40" t="s">
        <v>305</v>
      </c>
      <c r="AA35" s="33" t="s">
        <v>771</v>
      </c>
      <c r="AB35" s="95"/>
      <c r="AC35" s="95" t="s">
        <v>836</v>
      </c>
    </row>
    <row r="36" spans="1:29" x14ac:dyDescent="0.25">
      <c r="A36" s="36" t="s">
        <v>183</v>
      </c>
      <c r="B36" t="s">
        <v>184</v>
      </c>
      <c r="C36" s="36" t="s">
        <v>51</v>
      </c>
      <c r="D36" s="36" t="s">
        <v>530</v>
      </c>
      <c r="E36" s="37" t="s">
        <v>303</v>
      </c>
      <c r="F36" s="41">
        <v>17</v>
      </c>
      <c r="G36" s="41">
        <v>4</v>
      </c>
      <c r="I36" s="131">
        <v>0.24305555555555555</v>
      </c>
      <c r="J36" s="131">
        <v>0.84375</v>
      </c>
      <c r="K36" s="131" t="s">
        <v>148</v>
      </c>
      <c r="L36" s="131" t="s">
        <v>148</v>
      </c>
      <c r="M36" s="33" t="s">
        <v>46</v>
      </c>
      <c r="N36" s="33">
        <v>45</v>
      </c>
      <c r="O36" s="123">
        <v>45404</v>
      </c>
      <c r="P36" s="123">
        <v>45410</v>
      </c>
      <c r="Q36" s="34">
        <v>75</v>
      </c>
      <c r="R36" s="33">
        <v>30</v>
      </c>
      <c r="S36" s="34">
        <v>1</v>
      </c>
      <c r="T36" s="34">
        <v>6</v>
      </c>
      <c r="U36" s="33">
        <v>180</v>
      </c>
      <c r="V36" s="38" t="s">
        <v>827</v>
      </c>
      <c r="W36" s="39">
        <v>0.66666666666666663</v>
      </c>
      <c r="X36" s="40" t="s">
        <v>304</v>
      </c>
      <c r="Y36" s="40" t="s">
        <v>284</v>
      </c>
      <c r="Z36" s="40" t="s">
        <v>307</v>
      </c>
      <c r="AA36" s="33" t="s">
        <v>313</v>
      </c>
      <c r="AB36" s="95"/>
      <c r="AC36" s="95"/>
    </row>
    <row r="37" spans="1:29" x14ac:dyDescent="0.25">
      <c r="A37" s="36" t="s">
        <v>115</v>
      </c>
      <c r="B37" t="s">
        <v>116</v>
      </c>
      <c r="C37" s="36" t="s">
        <v>51</v>
      </c>
      <c r="D37" s="36" t="s">
        <v>530</v>
      </c>
      <c r="E37" s="37" t="s">
        <v>303</v>
      </c>
      <c r="F37" s="41">
        <v>17</v>
      </c>
      <c r="G37" s="41">
        <v>4</v>
      </c>
      <c r="I37" s="131">
        <v>0.20486111111111113</v>
      </c>
      <c r="J37" s="131">
        <v>0.89583333333333337</v>
      </c>
      <c r="K37" s="131">
        <v>0.29166666666666669</v>
      </c>
      <c r="L37" s="131">
        <v>0.5625</v>
      </c>
      <c r="M37" s="33" t="s">
        <v>46</v>
      </c>
      <c r="N37" s="33">
        <v>80</v>
      </c>
      <c r="O37" s="123">
        <v>45403</v>
      </c>
      <c r="P37" s="123">
        <v>45409</v>
      </c>
      <c r="Q37" s="34">
        <v>115</v>
      </c>
      <c r="R37" s="33">
        <v>35</v>
      </c>
      <c r="S37" s="34">
        <v>0.8</v>
      </c>
      <c r="T37" s="34">
        <v>6</v>
      </c>
      <c r="U37" s="33">
        <v>168</v>
      </c>
      <c r="V37" s="38" t="s">
        <v>827</v>
      </c>
      <c r="W37" s="39">
        <v>0.4375</v>
      </c>
      <c r="X37" s="40" t="s">
        <v>304</v>
      </c>
      <c r="Y37" s="40" t="s">
        <v>284</v>
      </c>
      <c r="Z37" s="40" t="s">
        <v>305</v>
      </c>
      <c r="AA37" s="33" t="s">
        <v>771</v>
      </c>
      <c r="AB37" s="95"/>
      <c r="AC37" s="95"/>
    </row>
    <row r="38" spans="1:29" x14ac:dyDescent="0.25">
      <c r="A38" s="36" t="s">
        <v>178</v>
      </c>
      <c r="B38" t="s">
        <v>179</v>
      </c>
      <c r="C38" s="36" t="s">
        <v>51</v>
      </c>
      <c r="D38" s="36" t="s">
        <v>533</v>
      </c>
      <c r="E38" s="37" t="s">
        <v>303</v>
      </c>
      <c r="F38" s="41">
        <v>17</v>
      </c>
      <c r="G38" s="41">
        <v>4</v>
      </c>
      <c r="I38" s="131">
        <v>0.1875</v>
      </c>
      <c r="J38" s="131">
        <v>0.91666666666666663</v>
      </c>
      <c r="K38" s="131">
        <v>0.29166666666666669</v>
      </c>
      <c r="L38" s="131">
        <v>0.54166666666666663</v>
      </c>
      <c r="M38" s="33" t="s">
        <v>46</v>
      </c>
      <c r="N38" s="33">
        <v>60</v>
      </c>
      <c r="O38" s="123">
        <v>45403</v>
      </c>
      <c r="P38" s="123">
        <v>45409</v>
      </c>
      <c r="Q38" s="34">
        <v>65</v>
      </c>
      <c r="R38" s="33">
        <v>5</v>
      </c>
      <c r="S38" s="34">
        <v>6.7</v>
      </c>
      <c r="T38" s="34">
        <v>6</v>
      </c>
      <c r="U38" s="33">
        <v>201</v>
      </c>
      <c r="V38" s="38" t="s">
        <v>827</v>
      </c>
      <c r="W38" s="39">
        <v>8.3333333333333329E-2</v>
      </c>
      <c r="X38" s="40" t="s">
        <v>304</v>
      </c>
      <c r="Y38" s="40" t="s">
        <v>284</v>
      </c>
      <c r="Z38" s="40" t="s">
        <v>305</v>
      </c>
      <c r="AA38" s="33" t="s">
        <v>771</v>
      </c>
      <c r="AB38" s="95"/>
      <c r="AC38" s="95"/>
    </row>
    <row r="39" spans="1:29" x14ac:dyDescent="0.25">
      <c r="A39" s="36" t="s">
        <v>178</v>
      </c>
      <c r="B39" t="s">
        <v>179</v>
      </c>
      <c r="C39" s="36" t="s">
        <v>51</v>
      </c>
      <c r="D39" s="36" t="s">
        <v>533</v>
      </c>
      <c r="E39" s="37" t="s">
        <v>303</v>
      </c>
      <c r="F39" s="41">
        <v>17</v>
      </c>
      <c r="G39" s="41">
        <v>4</v>
      </c>
      <c r="I39" s="131">
        <v>0.1875</v>
      </c>
      <c r="J39" s="131">
        <v>0.91666666666666663</v>
      </c>
      <c r="K39" s="131">
        <v>0.29166666666666669</v>
      </c>
      <c r="L39" s="131">
        <v>0.54166666666666663</v>
      </c>
      <c r="M39" s="33" t="s">
        <v>46</v>
      </c>
      <c r="N39" s="33">
        <v>60</v>
      </c>
      <c r="O39" s="123">
        <v>45409</v>
      </c>
      <c r="P39" s="123">
        <v>45410</v>
      </c>
      <c r="Q39" s="34">
        <v>70</v>
      </c>
      <c r="R39" s="33">
        <v>10</v>
      </c>
      <c r="S39" s="34">
        <v>9</v>
      </c>
      <c r="T39" s="34">
        <v>1</v>
      </c>
      <c r="U39" s="33">
        <v>90</v>
      </c>
      <c r="V39" s="38" t="s">
        <v>827</v>
      </c>
      <c r="W39" s="39">
        <v>0.16666666666666666</v>
      </c>
      <c r="X39" s="40" t="s">
        <v>304</v>
      </c>
      <c r="Y39" s="40" t="s">
        <v>284</v>
      </c>
      <c r="Z39" s="40" t="s">
        <v>305</v>
      </c>
      <c r="AA39" s="33" t="s">
        <v>771</v>
      </c>
      <c r="AB39" s="95"/>
      <c r="AC39" s="95"/>
    </row>
    <row r="40" spans="1:29" x14ac:dyDescent="0.25">
      <c r="A40" s="36" t="s">
        <v>272</v>
      </c>
      <c r="B40" t="s">
        <v>273</v>
      </c>
      <c r="C40" s="36" t="s">
        <v>51</v>
      </c>
      <c r="D40" s="36" t="s">
        <v>530</v>
      </c>
      <c r="E40" s="37" t="s">
        <v>303</v>
      </c>
      <c r="F40" s="41">
        <v>17</v>
      </c>
      <c r="G40" s="41">
        <v>4</v>
      </c>
      <c r="I40" s="131">
        <v>0.23611111111111113</v>
      </c>
      <c r="J40" s="131">
        <v>0.85416666666666663</v>
      </c>
      <c r="K40" s="131">
        <v>0.31944444444444448</v>
      </c>
      <c r="L40" s="131">
        <v>0.55208333333333337</v>
      </c>
      <c r="M40" s="33" t="s">
        <v>46</v>
      </c>
      <c r="N40" s="33">
        <v>45</v>
      </c>
      <c r="O40" s="123">
        <v>45403</v>
      </c>
      <c r="P40" s="123">
        <v>45409</v>
      </c>
      <c r="Q40" s="34">
        <v>55</v>
      </c>
      <c r="R40" s="33">
        <v>10</v>
      </c>
      <c r="S40" s="34">
        <v>0.3</v>
      </c>
      <c r="T40" s="34">
        <v>6</v>
      </c>
      <c r="U40" s="33">
        <v>18</v>
      </c>
      <c r="V40" s="38" t="s">
        <v>827</v>
      </c>
      <c r="W40" s="39">
        <v>0.22222222222222221</v>
      </c>
      <c r="X40" s="40" t="s">
        <v>304</v>
      </c>
      <c r="Y40" s="40" t="s">
        <v>284</v>
      </c>
      <c r="Z40" s="40" t="s">
        <v>305</v>
      </c>
      <c r="AA40" s="33" t="s">
        <v>771</v>
      </c>
      <c r="AB40" s="95"/>
      <c r="AC40" s="95"/>
    </row>
    <row r="41" spans="1:29" x14ac:dyDescent="0.25">
      <c r="A41" s="36" t="s">
        <v>272</v>
      </c>
      <c r="B41" t="s">
        <v>273</v>
      </c>
      <c r="C41" s="36" t="s">
        <v>51</v>
      </c>
      <c r="D41" s="36" t="s">
        <v>530</v>
      </c>
      <c r="E41" s="37" t="s">
        <v>303</v>
      </c>
      <c r="F41" s="41">
        <v>17</v>
      </c>
      <c r="G41" s="41">
        <v>4</v>
      </c>
      <c r="I41" s="131">
        <v>0.23611111111111113</v>
      </c>
      <c r="J41" s="131">
        <v>0.85416666666666663</v>
      </c>
      <c r="K41" s="131">
        <v>0.31944444444444448</v>
      </c>
      <c r="L41" s="131">
        <v>0.55208333333333337</v>
      </c>
      <c r="M41" s="33" t="s">
        <v>46</v>
      </c>
      <c r="N41" s="33">
        <v>45</v>
      </c>
      <c r="O41" s="123">
        <v>45404</v>
      </c>
      <c r="P41" s="123">
        <v>45410</v>
      </c>
      <c r="Q41" s="34">
        <v>80</v>
      </c>
      <c r="R41" s="33">
        <v>35</v>
      </c>
      <c r="S41" s="34">
        <v>0.3</v>
      </c>
      <c r="T41" s="34">
        <v>6</v>
      </c>
      <c r="U41" s="33">
        <v>63</v>
      </c>
      <c r="V41" s="38" t="s">
        <v>827</v>
      </c>
      <c r="W41" s="39">
        <v>0.77777777777777779</v>
      </c>
      <c r="X41" s="40" t="s">
        <v>304</v>
      </c>
      <c r="Y41" s="40" t="s">
        <v>284</v>
      </c>
      <c r="Z41" s="40" t="s">
        <v>307</v>
      </c>
      <c r="AA41" s="33" t="s">
        <v>313</v>
      </c>
      <c r="AB41" s="95"/>
      <c r="AC41" s="95"/>
    </row>
    <row r="42" spans="1:29" x14ac:dyDescent="0.25">
      <c r="A42" s="36" t="s">
        <v>272</v>
      </c>
      <c r="B42" t="s">
        <v>273</v>
      </c>
      <c r="C42" s="36" t="s">
        <v>51</v>
      </c>
      <c r="D42" s="36" t="s">
        <v>530</v>
      </c>
      <c r="E42" s="37" t="s">
        <v>303</v>
      </c>
      <c r="F42" s="41">
        <v>17</v>
      </c>
      <c r="G42" s="41">
        <v>4</v>
      </c>
      <c r="I42" s="131">
        <v>0.23611111111111113</v>
      </c>
      <c r="J42" s="131">
        <v>0.85416666666666663</v>
      </c>
      <c r="K42" s="131">
        <v>0.31944444444444448</v>
      </c>
      <c r="L42" s="131">
        <v>0.55208333333333337</v>
      </c>
      <c r="M42" s="33" t="s">
        <v>46</v>
      </c>
      <c r="N42" s="33">
        <v>45</v>
      </c>
      <c r="O42" s="123">
        <v>45409</v>
      </c>
      <c r="P42" s="123">
        <v>45410</v>
      </c>
      <c r="Q42" s="34">
        <v>60</v>
      </c>
      <c r="R42" s="33">
        <v>15</v>
      </c>
      <c r="S42" s="34">
        <v>2.6</v>
      </c>
      <c r="T42" s="34">
        <v>1</v>
      </c>
      <c r="U42" s="33">
        <v>39</v>
      </c>
      <c r="V42" s="38" t="s">
        <v>827</v>
      </c>
      <c r="W42" s="39">
        <v>0.33333333333333331</v>
      </c>
      <c r="X42" s="40" t="s">
        <v>304</v>
      </c>
      <c r="Y42" s="40" t="s">
        <v>284</v>
      </c>
      <c r="Z42" s="40" t="s">
        <v>305</v>
      </c>
      <c r="AA42" s="33" t="s">
        <v>771</v>
      </c>
      <c r="AB42" s="95"/>
      <c r="AC42" s="95"/>
    </row>
    <row r="43" spans="1:29" x14ac:dyDescent="0.25">
      <c r="A43" s="36" t="s">
        <v>81</v>
      </c>
      <c r="B43" t="s">
        <v>8</v>
      </c>
      <c r="C43" s="36" t="s">
        <v>51</v>
      </c>
      <c r="D43" s="36" t="s">
        <v>533</v>
      </c>
      <c r="E43" s="37" t="s">
        <v>303</v>
      </c>
      <c r="F43" s="41">
        <v>17</v>
      </c>
      <c r="G43" s="41">
        <v>4</v>
      </c>
      <c r="I43" s="131">
        <v>0.20138888888888887</v>
      </c>
      <c r="J43" s="131">
        <v>0.97916666666666663</v>
      </c>
      <c r="K43" s="131">
        <v>0.2638888888888889</v>
      </c>
      <c r="L43" s="131">
        <v>0.85416666666666663</v>
      </c>
      <c r="M43" s="33" t="s">
        <v>46</v>
      </c>
      <c r="N43" s="33">
        <v>85</v>
      </c>
      <c r="O43" s="123">
        <v>45403</v>
      </c>
      <c r="P43" s="123">
        <v>45405</v>
      </c>
      <c r="Q43" s="34">
        <v>130</v>
      </c>
      <c r="R43" s="33">
        <v>45</v>
      </c>
      <c r="S43" s="34">
        <v>0.8</v>
      </c>
      <c r="T43" s="34">
        <v>2</v>
      </c>
      <c r="U43" s="33">
        <v>72</v>
      </c>
      <c r="V43" s="38" t="s">
        <v>827</v>
      </c>
      <c r="W43" s="39">
        <v>0.52941176470588236</v>
      </c>
      <c r="X43" s="40" t="s">
        <v>304</v>
      </c>
      <c r="Y43" s="40" t="s">
        <v>284</v>
      </c>
      <c r="Z43" s="40" t="s">
        <v>307</v>
      </c>
      <c r="AA43" s="33" t="s">
        <v>414</v>
      </c>
      <c r="AB43" s="95"/>
      <c r="AC43" s="95"/>
    </row>
    <row r="44" spans="1:29" x14ac:dyDescent="0.25">
      <c r="A44" s="36" t="s">
        <v>81</v>
      </c>
      <c r="B44" t="s">
        <v>8</v>
      </c>
      <c r="C44" s="36" t="s">
        <v>51</v>
      </c>
      <c r="D44" s="36" t="s">
        <v>533</v>
      </c>
      <c r="E44" s="37" t="s">
        <v>303</v>
      </c>
      <c r="F44" s="41">
        <v>17</v>
      </c>
      <c r="G44" s="41">
        <v>4</v>
      </c>
      <c r="I44" s="131">
        <v>0.20138888888888887</v>
      </c>
      <c r="J44" s="131">
        <v>0.97916666666666663</v>
      </c>
      <c r="K44" s="131">
        <v>0.2638888888888889</v>
      </c>
      <c r="L44" s="131">
        <v>0.85416666666666663</v>
      </c>
      <c r="M44" s="33" t="s">
        <v>46</v>
      </c>
      <c r="N44" s="33">
        <v>85</v>
      </c>
      <c r="O44" s="123">
        <v>45406</v>
      </c>
      <c r="P44" s="123">
        <v>45409</v>
      </c>
      <c r="Q44" s="34">
        <v>135</v>
      </c>
      <c r="R44" s="33">
        <v>50</v>
      </c>
      <c r="S44" s="34">
        <v>0.3</v>
      </c>
      <c r="T44" s="34">
        <v>3</v>
      </c>
      <c r="U44" s="33">
        <v>45</v>
      </c>
      <c r="V44" s="38" t="s">
        <v>827</v>
      </c>
      <c r="W44" s="39">
        <v>0.58823529411764708</v>
      </c>
      <c r="X44" s="40" t="s">
        <v>304</v>
      </c>
      <c r="Y44" s="40" t="s">
        <v>284</v>
      </c>
      <c r="Z44" s="40" t="s">
        <v>307</v>
      </c>
      <c r="AA44" s="33" t="s">
        <v>414</v>
      </c>
      <c r="AB44" s="95"/>
      <c r="AC44" s="95"/>
    </row>
    <row r="45" spans="1:29" x14ac:dyDescent="0.25">
      <c r="A45" s="36" t="s">
        <v>81</v>
      </c>
      <c r="B45" t="s">
        <v>8</v>
      </c>
      <c r="C45" s="36" t="s">
        <v>51</v>
      </c>
      <c r="D45" s="36" t="s">
        <v>533</v>
      </c>
      <c r="E45" s="37" t="s">
        <v>303</v>
      </c>
      <c r="F45" s="41">
        <v>17</v>
      </c>
      <c r="G45" s="41">
        <v>4</v>
      </c>
      <c r="I45" s="131">
        <v>0.20138888888888887</v>
      </c>
      <c r="J45" s="131">
        <v>0.97916666666666663</v>
      </c>
      <c r="K45" s="131">
        <v>0.2638888888888889</v>
      </c>
      <c r="L45" s="131">
        <v>0.85416666666666663</v>
      </c>
      <c r="M45" s="33" t="s">
        <v>46</v>
      </c>
      <c r="N45" s="33">
        <v>85</v>
      </c>
      <c r="O45" s="123">
        <v>45409</v>
      </c>
      <c r="P45" s="123">
        <v>45410</v>
      </c>
      <c r="Q45" s="34">
        <v>135</v>
      </c>
      <c r="R45" s="33">
        <v>50</v>
      </c>
      <c r="S45" s="34">
        <v>1.3</v>
      </c>
      <c r="T45" s="34">
        <v>1</v>
      </c>
      <c r="U45" s="33">
        <v>65</v>
      </c>
      <c r="V45" s="38" t="s">
        <v>827</v>
      </c>
      <c r="W45" s="39">
        <v>0.58823529411764708</v>
      </c>
      <c r="X45" s="40" t="s">
        <v>304</v>
      </c>
      <c r="Y45" s="40" t="s">
        <v>284</v>
      </c>
      <c r="Z45" s="40" t="s">
        <v>307</v>
      </c>
      <c r="AA45" s="33" t="s">
        <v>414</v>
      </c>
      <c r="AB45" s="95"/>
      <c r="AC45" s="95"/>
    </row>
    <row r="46" spans="1:29" x14ac:dyDescent="0.25">
      <c r="A46" s="36" t="s">
        <v>90</v>
      </c>
      <c r="B46" t="s">
        <v>10</v>
      </c>
      <c r="C46" s="36" t="s">
        <v>51</v>
      </c>
      <c r="D46" s="36" t="s">
        <v>533</v>
      </c>
      <c r="E46" s="37" t="s">
        <v>303</v>
      </c>
      <c r="F46" s="41">
        <v>17</v>
      </c>
      <c r="G46" s="41">
        <v>4</v>
      </c>
      <c r="I46" s="131">
        <v>0.22222222222222221</v>
      </c>
      <c r="J46" s="131">
        <v>0.875</v>
      </c>
      <c r="K46" s="131">
        <v>0.29166666666666702</v>
      </c>
      <c r="L46" s="131">
        <v>0.54166666666666663</v>
      </c>
      <c r="M46" s="33" t="s">
        <v>46</v>
      </c>
      <c r="N46" s="33">
        <v>75</v>
      </c>
      <c r="O46" s="123">
        <v>45404</v>
      </c>
      <c r="P46" s="123">
        <v>45407</v>
      </c>
      <c r="Q46" s="34">
        <v>85</v>
      </c>
      <c r="R46" s="33">
        <v>10</v>
      </c>
      <c r="S46" s="34">
        <v>8</v>
      </c>
      <c r="T46" s="34">
        <v>3</v>
      </c>
      <c r="U46" s="33">
        <v>240</v>
      </c>
      <c r="V46" s="38" t="s">
        <v>827</v>
      </c>
      <c r="W46" s="39">
        <v>0.13333333333333333</v>
      </c>
      <c r="X46" s="40" t="s">
        <v>304</v>
      </c>
      <c r="Y46" s="40" t="s">
        <v>284</v>
      </c>
      <c r="Z46" s="40" t="s">
        <v>305</v>
      </c>
      <c r="AA46" s="33" t="s">
        <v>771</v>
      </c>
      <c r="AB46" s="95"/>
      <c r="AC46" s="95"/>
    </row>
    <row r="47" spans="1:29" x14ac:dyDescent="0.25">
      <c r="A47" s="36" t="s">
        <v>90</v>
      </c>
      <c r="B47" t="s">
        <v>10</v>
      </c>
      <c r="C47" s="36" t="s">
        <v>51</v>
      </c>
      <c r="D47" s="36" t="s">
        <v>533</v>
      </c>
      <c r="E47" s="37" t="s">
        <v>303</v>
      </c>
      <c r="F47" s="41">
        <v>17</v>
      </c>
      <c r="G47" s="41">
        <v>4</v>
      </c>
      <c r="I47" s="131">
        <v>0.22222222222222221</v>
      </c>
      <c r="J47" s="131">
        <v>0.875</v>
      </c>
      <c r="K47" s="131">
        <v>0.29166666666666702</v>
      </c>
      <c r="L47" s="131">
        <v>0.54166666666666663</v>
      </c>
      <c r="M47" s="33" t="s">
        <v>46</v>
      </c>
      <c r="N47" s="33">
        <v>75</v>
      </c>
      <c r="O47" s="123">
        <v>45408</v>
      </c>
      <c r="P47" s="123">
        <v>45410</v>
      </c>
      <c r="Q47" s="34">
        <v>85</v>
      </c>
      <c r="R47" s="33">
        <v>10</v>
      </c>
      <c r="S47" s="34">
        <v>3</v>
      </c>
      <c r="T47" s="34">
        <v>2</v>
      </c>
      <c r="U47" s="33">
        <v>60</v>
      </c>
      <c r="V47" s="38" t="s">
        <v>827</v>
      </c>
      <c r="W47" s="39">
        <v>0.13333333333333333</v>
      </c>
      <c r="X47" s="40" t="s">
        <v>304</v>
      </c>
      <c r="Y47" s="40" t="s">
        <v>284</v>
      </c>
      <c r="Z47" s="40" t="s">
        <v>305</v>
      </c>
      <c r="AA47" s="33" t="s">
        <v>771</v>
      </c>
      <c r="AB47" s="95"/>
      <c r="AC47" s="95"/>
    </row>
    <row r="48" spans="1:29" x14ac:dyDescent="0.25">
      <c r="A48" s="36" t="s">
        <v>151</v>
      </c>
      <c r="B48" t="s">
        <v>152</v>
      </c>
      <c r="C48" s="36" t="s">
        <v>51</v>
      </c>
      <c r="D48" s="36" t="s">
        <v>533</v>
      </c>
      <c r="E48" s="37" t="s">
        <v>303</v>
      </c>
      <c r="F48" s="41">
        <v>17</v>
      </c>
      <c r="G48" s="41">
        <v>4</v>
      </c>
      <c r="I48" s="131">
        <v>0.1875</v>
      </c>
      <c r="J48" s="131">
        <v>0.88541666666666663</v>
      </c>
      <c r="K48" s="131" t="s">
        <v>148</v>
      </c>
      <c r="L48" s="131" t="s">
        <v>148</v>
      </c>
      <c r="M48" s="33" t="s">
        <v>46</v>
      </c>
      <c r="N48" s="33">
        <v>60</v>
      </c>
      <c r="O48" s="123">
        <v>45403</v>
      </c>
      <c r="P48" s="123">
        <v>45407</v>
      </c>
      <c r="Q48" s="34">
        <v>70</v>
      </c>
      <c r="R48" s="33">
        <v>10</v>
      </c>
      <c r="S48" s="34">
        <v>2</v>
      </c>
      <c r="T48" s="34">
        <v>4</v>
      </c>
      <c r="U48" s="33">
        <v>80</v>
      </c>
      <c r="V48" s="38" t="s">
        <v>827</v>
      </c>
      <c r="W48" s="39">
        <v>0.16666666666666666</v>
      </c>
      <c r="X48" s="40" t="s">
        <v>304</v>
      </c>
      <c r="Y48" s="40" t="s">
        <v>284</v>
      </c>
      <c r="Z48" s="40" t="s">
        <v>305</v>
      </c>
      <c r="AA48" s="33" t="s">
        <v>771</v>
      </c>
      <c r="AB48" s="95"/>
      <c r="AC48" s="95"/>
    </row>
    <row r="49" spans="1:29" x14ac:dyDescent="0.25">
      <c r="A49" s="36" t="s">
        <v>151</v>
      </c>
      <c r="B49" t="s">
        <v>152</v>
      </c>
      <c r="C49" s="36" t="s">
        <v>51</v>
      </c>
      <c r="D49" s="36" t="s">
        <v>533</v>
      </c>
      <c r="E49" s="37" t="s">
        <v>303</v>
      </c>
      <c r="F49" s="41">
        <v>17</v>
      </c>
      <c r="G49" s="41">
        <v>4</v>
      </c>
      <c r="I49" s="131">
        <v>0.1875</v>
      </c>
      <c r="J49" s="131">
        <v>0.88541666666666663</v>
      </c>
      <c r="K49" s="131" t="s">
        <v>148</v>
      </c>
      <c r="L49" s="131" t="s">
        <v>148</v>
      </c>
      <c r="M49" s="33" t="s">
        <v>46</v>
      </c>
      <c r="N49" s="33">
        <v>60</v>
      </c>
      <c r="O49" s="123">
        <v>45407</v>
      </c>
      <c r="P49" s="123">
        <v>45408</v>
      </c>
      <c r="Q49" s="34">
        <v>105</v>
      </c>
      <c r="R49" s="33">
        <v>45</v>
      </c>
      <c r="S49" s="34">
        <v>1.5</v>
      </c>
      <c r="T49" s="34">
        <v>1</v>
      </c>
      <c r="U49" s="33">
        <v>67.5</v>
      </c>
      <c r="V49" s="38" t="s">
        <v>827</v>
      </c>
      <c r="W49" s="39">
        <v>0.75</v>
      </c>
      <c r="X49" s="40" t="s">
        <v>304</v>
      </c>
      <c r="Y49" s="40" t="s">
        <v>284</v>
      </c>
      <c r="Z49" s="40" t="s">
        <v>307</v>
      </c>
      <c r="AA49" s="33" t="s">
        <v>313</v>
      </c>
      <c r="AB49" s="95"/>
      <c r="AC49" s="95"/>
    </row>
    <row r="50" spans="1:29" x14ac:dyDescent="0.25">
      <c r="A50" s="36" t="s">
        <v>151</v>
      </c>
      <c r="B50" t="s">
        <v>152</v>
      </c>
      <c r="C50" s="36" t="s">
        <v>51</v>
      </c>
      <c r="D50" s="36" t="s">
        <v>533</v>
      </c>
      <c r="E50" s="37" t="s">
        <v>303</v>
      </c>
      <c r="F50" s="41">
        <v>17</v>
      </c>
      <c r="G50" s="41">
        <v>4</v>
      </c>
      <c r="I50" s="131">
        <v>0.1875</v>
      </c>
      <c r="J50" s="131">
        <v>0.88541666666666663</v>
      </c>
      <c r="K50" s="131" t="s">
        <v>148</v>
      </c>
      <c r="L50" s="131" t="s">
        <v>148</v>
      </c>
      <c r="M50" s="33" t="s">
        <v>46</v>
      </c>
      <c r="N50" s="33">
        <v>60</v>
      </c>
      <c r="O50" s="123">
        <v>45408</v>
      </c>
      <c r="P50" s="123">
        <v>45410</v>
      </c>
      <c r="Q50" s="34">
        <v>70</v>
      </c>
      <c r="R50" s="33">
        <v>10</v>
      </c>
      <c r="S50" s="34">
        <v>2.5</v>
      </c>
      <c r="T50" s="34">
        <v>2</v>
      </c>
      <c r="U50" s="33">
        <v>50</v>
      </c>
      <c r="V50" s="38" t="s">
        <v>827</v>
      </c>
      <c r="W50" s="39">
        <v>0.16666666666666666</v>
      </c>
      <c r="X50" s="40" t="s">
        <v>304</v>
      </c>
      <c r="Y50" s="40" t="s">
        <v>284</v>
      </c>
      <c r="Z50" s="40" t="s">
        <v>305</v>
      </c>
      <c r="AA50" s="33" t="s">
        <v>771</v>
      </c>
      <c r="AB50" s="95"/>
      <c r="AC50" s="95"/>
    </row>
    <row r="51" spans="1:29" x14ac:dyDescent="0.25">
      <c r="A51" s="36" t="s">
        <v>229</v>
      </c>
      <c r="B51" t="s">
        <v>32</v>
      </c>
      <c r="C51" s="36" t="s">
        <v>51</v>
      </c>
      <c r="D51" s="36" t="s">
        <v>533</v>
      </c>
      <c r="E51" s="37" t="s">
        <v>303</v>
      </c>
      <c r="F51" s="41">
        <v>17</v>
      </c>
      <c r="G51" s="41">
        <v>4</v>
      </c>
      <c r="I51" s="131">
        <v>0.23611111111111113</v>
      </c>
      <c r="J51" s="131">
        <v>0.91666666666666663</v>
      </c>
      <c r="K51" s="131">
        <v>0.25694444444444448</v>
      </c>
      <c r="L51" s="131">
        <v>0.60069444444444442</v>
      </c>
      <c r="M51" s="33" t="s">
        <v>46</v>
      </c>
      <c r="N51" s="33">
        <v>70</v>
      </c>
      <c r="O51" s="123">
        <v>45403</v>
      </c>
      <c r="P51" s="123">
        <v>45406</v>
      </c>
      <c r="Q51" s="34">
        <v>85</v>
      </c>
      <c r="R51" s="33">
        <v>15</v>
      </c>
      <c r="S51" s="34">
        <v>7.6</v>
      </c>
      <c r="T51" s="34">
        <v>3</v>
      </c>
      <c r="U51" s="33">
        <v>342</v>
      </c>
      <c r="V51" s="38" t="s">
        <v>827</v>
      </c>
      <c r="W51" s="39">
        <v>0.21428571428571427</v>
      </c>
      <c r="X51" s="40" t="s">
        <v>304</v>
      </c>
      <c r="Y51" s="40" t="s">
        <v>284</v>
      </c>
      <c r="Z51" s="40" t="s">
        <v>305</v>
      </c>
      <c r="AA51" s="33" t="s">
        <v>771</v>
      </c>
      <c r="AB51" s="95"/>
      <c r="AC51" s="95"/>
    </row>
    <row r="52" spans="1:29" x14ac:dyDescent="0.25">
      <c r="A52" s="36" t="s">
        <v>229</v>
      </c>
      <c r="B52" t="s">
        <v>32</v>
      </c>
      <c r="C52" s="36" t="s">
        <v>51</v>
      </c>
      <c r="D52" s="36" t="s">
        <v>533</v>
      </c>
      <c r="E52" s="37" t="s">
        <v>303</v>
      </c>
      <c r="F52" s="41">
        <v>17</v>
      </c>
      <c r="G52" s="41">
        <v>4</v>
      </c>
      <c r="I52" s="131">
        <v>0.23611111111111113</v>
      </c>
      <c r="J52" s="131">
        <v>0.91666666666666663</v>
      </c>
      <c r="K52" s="131">
        <v>0.25694444444444448</v>
      </c>
      <c r="L52" s="131">
        <v>0.60069444444444442</v>
      </c>
      <c r="M52" s="33" t="s">
        <v>46</v>
      </c>
      <c r="N52" s="33">
        <v>70</v>
      </c>
      <c r="O52" s="123">
        <v>45406</v>
      </c>
      <c r="P52" s="123">
        <v>45407</v>
      </c>
      <c r="Q52" s="34">
        <v>110</v>
      </c>
      <c r="R52" s="33">
        <v>40</v>
      </c>
      <c r="S52" s="34">
        <v>7.6</v>
      </c>
      <c r="T52" s="34">
        <v>1</v>
      </c>
      <c r="U52" s="33">
        <v>304</v>
      </c>
      <c r="V52" s="38" t="s">
        <v>827</v>
      </c>
      <c r="W52" s="39">
        <v>0.5714285714285714</v>
      </c>
      <c r="X52" s="40" t="s">
        <v>304</v>
      </c>
      <c r="Y52" s="40" t="s">
        <v>284</v>
      </c>
      <c r="Z52" s="40" t="s">
        <v>311</v>
      </c>
      <c r="AA52" s="33" t="s">
        <v>775</v>
      </c>
      <c r="AB52" s="95"/>
      <c r="AC52" s="95"/>
    </row>
    <row r="53" spans="1:29" x14ac:dyDescent="0.25">
      <c r="A53" s="36" t="s">
        <v>229</v>
      </c>
      <c r="B53" t="s">
        <v>32</v>
      </c>
      <c r="C53" s="36" t="s">
        <v>51</v>
      </c>
      <c r="D53" s="36" t="s">
        <v>533</v>
      </c>
      <c r="E53" s="37" t="s">
        <v>303</v>
      </c>
      <c r="F53" s="41">
        <v>17</v>
      </c>
      <c r="G53" s="41">
        <v>4</v>
      </c>
      <c r="I53" s="131">
        <v>0.23611111111111113</v>
      </c>
      <c r="J53" s="131">
        <v>0.91666666666666663</v>
      </c>
      <c r="K53" s="131">
        <v>0.25694444444444448</v>
      </c>
      <c r="L53" s="131">
        <v>0.60069444444444442</v>
      </c>
      <c r="M53" s="33" t="s">
        <v>46</v>
      </c>
      <c r="N53" s="33">
        <v>70</v>
      </c>
      <c r="O53" s="123">
        <v>45407</v>
      </c>
      <c r="P53" s="123">
        <v>45410</v>
      </c>
      <c r="Q53" s="34">
        <v>85</v>
      </c>
      <c r="R53" s="33">
        <v>15</v>
      </c>
      <c r="S53" s="34">
        <v>7.6</v>
      </c>
      <c r="T53" s="34">
        <v>3</v>
      </c>
      <c r="U53" s="33">
        <v>342</v>
      </c>
      <c r="V53" s="38" t="s">
        <v>827</v>
      </c>
      <c r="W53" s="39">
        <v>0.21428571428571427</v>
      </c>
      <c r="X53" s="40" t="s">
        <v>304</v>
      </c>
      <c r="Y53" s="40" t="s">
        <v>284</v>
      </c>
      <c r="Z53" s="40" t="s">
        <v>305</v>
      </c>
      <c r="AA53" s="33" t="s">
        <v>771</v>
      </c>
      <c r="AB53" s="95"/>
      <c r="AC53" s="95"/>
    </row>
    <row r="54" spans="1:29" x14ac:dyDescent="0.25">
      <c r="A54" s="36" t="s">
        <v>243</v>
      </c>
      <c r="B54" t="s">
        <v>36</v>
      </c>
      <c r="C54" s="36" t="s">
        <v>51</v>
      </c>
      <c r="D54" s="36" t="s">
        <v>530</v>
      </c>
      <c r="E54" s="37" t="s">
        <v>303</v>
      </c>
      <c r="F54" s="41">
        <v>17</v>
      </c>
      <c r="G54" s="41">
        <v>4</v>
      </c>
      <c r="I54" s="131">
        <v>0.20833333333333334</v>
      </c>
      <c r="J54" s="131">
        <v>0.85416666666666663</v>
      </c>
      <c r="K54" s="131">
        <v>0.3125</v>
      </c>
      <c r="L54" s="131">
        <v>0.55902777777777779</v>
      </c>
      <c r="M54" s="33" t="s">
        <v>46</v>
      </c>
      <c r="N54" s="33">
        <v>35</v>
      </c>
      <c r="O54" s="123">
        <v>45403</v>
      </c>
      <c r="P54" s="123">
        <v>45404</v>
      </c>
      <c r="Q54" s="34">
        <v>55</v>
      </c>
      <c r="R54" s="33">
        <v>20</v>
      </c>
      <c r="S54" s="34">
        <v>2.5</v>
      </c>
      <c r="T54" s="34">
        <v>1</v>
      </c>
      <c r="U54" s="33">
        <v>50</v>
      </c>
      <c r="V54" s="38" t="s">
        <v>827</v>
      </c>
      <c r="W54" s="39">
        <v>0.5714285714285714</v>
      </c>
      <c r="X54" s="40" t="s">
        <v>304</v>
      </c>
      <c r="Y54" s="40" t="s">
        <v>284</v>
      </c>
      <c r="Z54" s="40" t="s">
        <v>307</v>
      </c>
      <c r="AA54" s="33" t="s">
        <v>313</v>
      </c>
      <c r="AB54" s="95"/>
      <c r="AC54" s="95"/>
    </row>
    <row r="55" spans="1:29" x14ac:dyDescent="0.25">
      <c r="A55" s="36" t="s">
        <v>243</v>
      </c>
      <c r="B55" t="s">
        <v>36</v>
      </c>
      <c r="C55" s="36" t="s">
        <v>51</v>
      </c>
      <c r="D55" s="36" t="s">
        <v>530</v>
      </c>
      <c r="E55" s="37" t="s">
        <v>303</v>
      </c>
      <c r="F55" s="41">
        <v>17</v>
      </c>
      <c r="G55" s="41">
        <v>4</v>
      </c>
      <c r="I55" s="131">
        <v>0.20833333333333334</v>
      </c>
      <c r="J55" s="131">
        <v>0.85416666666666663</v>
      </c>
      <c r="K55" s="131">
        <v>0.3125</v>
      </c>
      <c r="L55" s="131">
        <v>0.55902777777777779</v>
      </c>
      <c r="M55" s="33" t="s">
        <v>46</v>
      </c>
      <c r="N55" s="33">
        <v>35</v>
      </c>
      <c r="O55" s="123">
        <v>45404</v>
      </c>
      <c r="P55" s="123">
        <v>45405</v>
      </c>
      <c r="Q55" s="34">
        <v>55</v>
      </c>
      <c r="R55" s="33">
        <v>20</v>
      </c>
      <c r="S55" s="34">
        <v>4.5</v>
      </c>
      <c r="T55" s="34">
        <v>1</v>
      </c>
      <c r="U55" s="33">
        <v>90</v>
      </c>
      <c r="V55" s="38" t="s">
        <v>827</v>
      </c>
      <c r="W55" s="39">
        <v>0.5714285714285714</v>
      </c>
      <c r="X55" s="40" t="s">
        <v>304</v>
      </c>
      <c r="Y55" s="40" t="s">
        <v>284</v>
      </c>
      <c r="Z55" s="40" t="s">
        <v>311</v>
      </c>
      <c r="AA55" s="33" t="s">
        <v>775</v>
      </c>
      <c r="AB55" s="95"/>
      <c r="AC55" s="95"/>
    </row>
    <row r="56" spans="1:29" x14ac:dyDescent="0.25">
      <c r="A56" s="36" t="s">
        <v>243</v>
      </c>
      <c r="B56" t="s">
        <v>36</v>
      </c>
      <c r="C56" s="36" t="s">
        <v>51</v>
      </c>
      <c r="D56" s="36" t="s">
        <v>530</v>
      </c>
      <c r="E56" s="37" t="s">
        <v>303</v>
      </c>
      <c r="F56" s="41">
        <v>17</v>
      </c>
      <c r="G56" s="41">
        <v>4</v>
      </c>
      <c r="I56" s="131">
        <v>0.20833333333333334</v>
      </c>
      <c r="J56" s="131">
        <v>0.85416666666666663</v>
      </c>
      <c r="K56" s="131">
        <v>0.3125</v>
      </c>
      <c r="L56" s="131">
        <v>0.55902777777777779</v>
      </c>
      <c r="M56" s="33" t="s">
        <v>46</v>
      </c>
      <c r="N56" s="33">
        <v>35</v>
      </c>
      <c r="O56" s="123">
        <v>45405</v>
      </c>
      <c r="P56" s="123">
        <v>45406</v>
      </c>
      <c r="Q56" s="34">
        <v>45</v>
      </c>
      <c r="R56" s="33">
        <v>10</v>
      </c>
      <c r="S56" s="34">
        <v>8.5</v>
      </c>
      <c r="T56" s="34">
        <v>1</v>
      </c>
      <c r="U56" s="33">
        <v>85</v>
      </c>
      <c r="V56" s="38" t="s">
        <v>827</v>
      </c>
      <c r="W56" s="39">
        <v>0.2857142857142857</v>
      </c>
      <c r="X56" s="40" t="s">
        <v>304</v>
      </c>
      <c r="Y56" s="40" t="s">
        <v>284</v>
      </c>
      <c r="Z56" s="40" t="s">
        <v>311</v>
      </c>
      <c r="AA56" s="33" t="s">
        <v>775</v>
      </c>
      <c r="AB56" s="95"/>
      <c r="AC56" s="95"/>
    </row>
    <row r="57" spans="1:29" x14ac:dyDescent="0.25">
      <c r="A57" s="36" t="s">
        <v>243</v>
      </c>
      <c r="B57" t="s">
        <v>36</v>
      </c>
      <c r="C57" s="36" t="s">
        <v>51</v>
      </c>
      <c r="D57" s="36" t="s">
        <v>530</v>
      </c>
      <c r="E57" s="37" t="s">
        <v>303</v>
      </c>
      <c r="F57" s="41">
        <v>17</v>
      </c>
      <c r="G57" s="41">
        <v>4</v>
      </c>
      <c r="I57" s="131">
        <v>0.20833333333333334</v>
      </c>
      <c r="J57" s="131">
        <v>0.85416666666666663</v>
      </c>
      <c r="K57" s="131">
        <v>0.3125</v>
      </c>
      <c r="L57" s="131">
        <v>0.55902777777777779</v>
      </c>
      <c r="M57" s="33" t="s">
        <v>46</v>
      </c>
      <c r="N57" s="33">
        <v>35</v>
      </c>
      <c r="O57" s="123">
        <v>45406</v>
      </c>
      <c r="P57" s="123">
        <v>45410</v>
      </c>
      <c r="Q57" s="34">
        <v>55</v>
      </c>
      <c r="R57" s="33">
        <v>20</v>
      </c>
      <c r="S57" s="34">
        <v>2.5</v>
      </c>
      <c r="T57" s="34">
        <v>4</v>
      </c>
      <c r="U57" s="33">
        <v>200</v>
      </c>
      <c r="V57" s="38" t="s">
        <v>827</v>
      </c>
      <c r="W57" s="39">
        <v>0.5714285714285714</v>
      </c>
      <c r="X57" s="40" t="s">
        <v>304</v>
      </c>
      <c r="Y57" s="40" t="s">
        <v>284</v>
      </c>
      <c r="Z57" s="40" t="s">
        <v>307</v>
      </c>
      <c r="AA57" s="33" t="s">
        <v>313</v>
      </c>
      <c r="AB57" s="95"/>
      <c r="AC57" s="95"/>
    </row>
    <row r="58" spans="1:29" x14ac:dyDescent="0.25">
      <c r="A58" s="36" t="s">
        <v>102</v>
      </c>
      <c r="B58" t="s">
        <v>12</v>
      </c>
      <c r="C58" s="36" t="s">
        <v>51</v>
      </c>
      <c r="D58" s="36" t="s">
        <v>533</v>
      </c>
      <c r="E58" s="37" t="s">
        <v>303</v>
      </c>
      <c r="F58" s="41">
        <v>17</v>
      </c>
      <c r="G58" s="41">
        <v>4</v>
      </c>
      <c r="I58" s="131">
        <v>0.25</v>
      </c>
      <c r="J58" s="131">
        <v>0.89583333333333337</v>
      </c>
      <c r="K58" s="131">
        <v>0.29166666666666702</v>
      </c>
      <c r="L58" s="131">
        <v>0.80208333333333337</v>
      </c>
      <c r="M58" s="33" t="s">
        <v>46</v>
      </c>
      <c r="N58" s="33">
        <v>80</v>
      </c>
      <c r="O58" s="123">
        <v>45403</v>
      </c>
      <c r="P58" s="123">
        <v>45404</v>
      </c>
      <c r="Q58" s="34">
        <v>110</v>
      </c>
      <c r="R58" s="33">
        <v>30</v>
      </c>
      <c r="S58" s="34">
        <v>8</v>
      </c>
      <c r="T58" s="34">
        <v>1</v>
      </c>
      <c r="U58" s="33">
        <v>240</v>
      </c>
      <c r="V58" s="38" t="s">
        <v>827</v>
      </c>
      <c r="W58" s="39">
        <v>0.375</v>
      </c>
      <c r="X58" s="40" t="s">
        <v>304</v>
      </c>
      <c r="Y58" s="40" t="s">
        <v>284</v>
      </c>
      <c r="Z58" s="40" t="s">
        <v>311</v>
      </c>
      <c r="AA58" s="33" t="s">
        <v>775</v>
      </c>
      <c r="AB58" s="95"/>
      <c r="AC58" s="95"/>
    </row>
    <row r="59" spans="1:29" x14ac:dyDescent="0.25">
      <c r="A59" s="36" t="s">
        <v>102</v>
      </c>
      <c r="B59" t="s">
        <v>12</v>
      </c>
      <c r="C59" s="36" t="s">
        <v>51</v>
      </c>
      <c r="D59" s="36" t="s">
        <v>533</v>
      </c>
      <c r="E59" s="37" t="s">
        <v>303</v>
      </c>
      <c r="F59" s="41">
        <v>17</v>
      </c>
      <c r="G59" s="41">
        <v>4</v>
      </c>
      <c r="I59" s="131">
        <v>0.25</v>
      </c>
      <c r="J59" s="131">
        <v>0.89583333333333337</v>
      </c>
      <c r="K59" s="131">
        <v>0.29166666666666702</v>
      </c>
      <c r="L59" s="131">
        <v>0.80208333333333337</v>
      </c>
      <c r="M59" s="33" t="s">
        <v>46</v>
      </c>
      <c r="N59" s="33">
        <v>80</v>
      </c>
      <c r="O59" s="123">
        <v>45403</v>
      </c>
      <c r="P59" s="123">
        <v>45404</v>
      </c>
      <c r="Q59" s="34">
        <v>130</v>
      </c>
      <c r="R59" s="33">
        <v>50</v>
      </c>
      <c r="S59" s="34">
        <v>0.5</v>
      </c>
      <c r="T59" s="34">
        <v>1</v>
      </c>
      <c r="U59" s="33">
        <v>25</v>
      </c>
      <c r="V59" s="38" t="s">
        <v>827</v>
      </c>
      <c r="W59" s="39">
        <v>0.625</v>
      </c>
      <c r="X59" s="40" t="s">
        <v>304</v>
      </c>
      <c r="Y59" s="40" t="s">
        <v>284</v>
      </c>
      <c r="Z59" s="40" t="s">
        <v>307</v>
      </c>
      <c r="AA59" s="33" t="s">
        <v>414</v>
      </c>
      <c r="AB59" s="95"/>
      <c r="AC59" s="95"/>
    </row>
    <row r="60" spans="1:29" x14ac:dyDescent="0.25">
      <c r="A60" s="36" t="s">
        <v>102</v>
      </c>
      <c r="B60" t="s">
        <v>12</v>
      </c>
      <c r="C60" s="36" t="s">
        <v>51</v>
      </c>
      <c r="D60" s="36" t="s">
        <v>533</v>
      </c>
      <c r="E60" s="37" t="s">
        <v>303</v>
      </c>
      <c r="F60" s="41">
        <v>17</v>
      </c>
      <c r="G60" s="41">
        <v>4</v>
      </c>
      <c r="I60" s="131">
        <v>0.25</v>
      </c>
      <c r="J60" s="131">
        <v>0.89583333333333337</v>
      </c>
      <c r="K60" s="131">
        <v>0.29166666666666702</v>
      </c>
      <c r="L60" s="131">
        <v>0.80208333333333337</v>
      </c>
      <c r="M60" s="33" t="s">
        <v>46</v>
      </c>
      <c r="N60" s="33">
        <v>80</v>
      </c>
      <c r="O60" s="123">
        <v>45404</v>
      </c>
      <c r="P60" s="123">
        <v>45409</v>
      </c>
      <c r="Q60" s="34">
        <v>110</v>
      </c>
      <c r="R60" s="33">
        <v>30</v>
      </c>
      <c r="S60" s="34">
        <v>0.5</v>
      </c>
      <c r="T60" s="34">
        <v>5</v>
      </c>
      <c r="U60" s="33">
        <v>75</v>
      </c>
      <c r="V60" s="38" t="s">
        <v>827</v>
      </c>
      <c r="W60" s="39">
        <v>0.375</v>
      </c>
      <c r="X60" s="40" t="s">
        <v>304</v>
      </c>
      <c r="Y60" s="40" t="s">
        <v>284</v>
      </c>
      <c r="Z60" s="40" t="s">
        <v>307</v>
      </c>
      <c r="AA60" s="33" t="s">
        <v>414</v>
      </c>
      <c r="AB60" s="95"/>
      <c r="AC60" s="95"/>
    </row>
    <row r="61" spans="1:29" x14ac:dyDescent="0.25">
      <c r="A61" s="36" t="s">
        <v>102</v>
      </c>
      <c r="B61" t="s">
        <v>12</v>
      </c>
      <c r="C61" s="36" t="s">
        <v>51</v>
      </c>
      <c r="D61" s="36" t="s">
        <v>533</v>
      </c>
      <c r="E61" s="37" t="s">
        <v>303</v>
      </c>
      <c r="F61" s="41">
        <v>17</v>
      </c>
      <c r="G61" s="41">
        <v>4</v>
      </c>
      <c r="I61" s="131">
        <v>0.25</v>
      </c>
      <c r="J61" s="131">
        <v>0.89583333333333337</v>
      </c>
      <c r="K61" s="131">
        <v>0.29166666666666702</v>
      </c>
      <c r="L61" s="131">
        <v>0.80208333333333337</v>
      </c>
      <c r="M61" s="33" t="s">
        <v>46</v>
      </c>
      <c r="N61" s="33">
        <v>80</v>
      </c>
      <c r="O61" s="123">
        <v>45408</v>
      </c>
      <c r="P61" s="123">
        <v>45410</v>
      </c>
      <c r="Q61" s="34">
        <v>120</v>
      </c>
      <c r="R61" s="33">
        <v>40</v>
      </c>
      <c r="S61" s="34">
        <v>2</v>
      </c>
      <c r="T61" s="34">
        <v>2</v>
      </c>
      <c r="U61" s="33">
        <v>160</v>
      </c>
      <c r="V61" s="38" t="s">
        <v>827</v>
      </c>
      <c r="W61" s="39">
        <v>0.5</v>
      </c>
      <c r="X61" s="40" t="s">
        <v>304</v>
      </c>
      <c r="Y61" s="40" t="s">
        <v>284</v>
      </c>
      <c r="Z61" s="40" t="s">
        <v>311</v>
      </c>
      <c r="AA61" s="33" t="s">
        <v>775</v>
      </c>
      <c r="AB61" s="95"/>
      <c r="AC61" s="95"/>
    </row>
    <row r="62" spans="1:29" x14ac:dyDescent="0.25">
      <c r="A62" s="36" t="s">
        <v>259</v>
      </c>
      <c r="B62" t="s">
        <v>260</v>
      </c>
      <c r="C62" s="36" t="s">
        <v>51</v>
      </c>
      <c r="D62" s="36" t="s">
        <v>533</v>
      </c>
      <c r="E62" s="37" t="s">
        <v>303</v>
      </c>
      <c r="F62" s="41">
        <v>17</v>
      </c>
      <c r="G62" s="41">
        <v>4</v>
      </c>
      <c r="I62" s="131">
        <v>0.24305555555555555</v>
      </c>
      <c r="J62" s="131">
        <v>0.83333333333333337</v>
      </c>
      <c r="K62" s="131">
        <v>0.34722222222222227</v>
      </c>
      <c r="L62" s="131">
        <v>0.57986111111111105</v>
      </c>
      <c r="M62" s="33" t="s">
        <v>46</v>
      </c>
      <c r="N62" s="33">
        <v>45</v>
      </c>
      <c r="O62" s="123">
        <v>45403</v>
      </c>
      <c r="P62" s="123">
        <v>45405</v>
      </c>
      <c r="Q62" s="34">
        <v>75</v>
      </c>
      <c r="R62" s="33">
        <v>30</v>
      </c>
      <c r="S62" s="34">
        <v>1</v>
      </c>
      <c r="T62" s="34">
        <v>2</v>
      </c>
      <c r="U62" s="33">
        <v>60</v>
      </c>
      <c r="V62" s="38" t="s">
        <v>827</v>
      </c>
      <c r="W62" s="39">
        <v>0.66666666666666663</v>
      </c>
      <c r="X62" s="40" t="s">
        <v>304</v>
      </c>
      <c r="Y62" s="40" t="s">
        <v>284</v>
      </c>
      <c r="Z62" s="40" t="s">
        <v>307</v>
      </c>
      <c r="AA62" s="33" t="s">
        <v>414</v>
      </c>
      <c r="AB62" s="95"/>
      <c r="AC62" s="95"/>
    </row>
    <row r="63" spans="1:29" x14ac:dyDescent="0.25">
      <c r="A63" s="36" t="s">
        <v>259</v>
      </c>
      <c r="B63" t="s">
        <v>260</v>
      </c>
      <c r="C63" s="36" t="s">
        <v>51</v>
      </c>
      <c r="D63" s="36" t="s">
        <v>533</v>
      </c>
      <c r="E63" s="37" t="s">
        <v>303</v>
      </c>
      <c r="F63" s="41">
        <v>17</v>
      </c>
      <c r="G63" s="41">
        <v>4</v>
      </c>
      <c r="I63" s="131">
        <v>0.24305555555555555</v>
      </c>
      <c r="J63" s="131">
        <v>0.83333333333333337</v>
      </c>
      <c r="K63" s="131">
        <v>0.34722222222222227</v>
      </c>
      <c r="L63" s="131">
        <v>0.57986111111111105</v>
      </c>
      <c r="M63" s="33" t="s">
        <v>46</v>
      </c>
      <c r="N63" s="33">
        <v>45</v>
      </c>
      <c r="O63" s="123">
        <v>45405</v>
      </c>
      <c r="P63" s="123">
        <v>45409</v>
      </c>
      <c r="Q63" s="34">
        <v>75</v>
      </c>
      <c r="R63" s="33">
        <v>30</v>
      </c>
      <c r="S63" s="34">
        <v>0.3</v>
      </c>
      <c r="T63" s="34">
        <v>4</v>
      </c>
      <c r="U63" s="33">
        <v>36</v>
      </c>
      <c r="V63" s="38" t="s">
        <v>827</v>
      </c>
      <c r="W63" s="39">
        <v>0.66666666666666663</v>
      </c>
      <c r="X63" s="40" t="s">
        <v>304</v>
      </c>
      <c r="Y63" s="40" t="s">
        <v>284</v>
      </c>
      <c r="Z63" s="40" t="s">
        <v>307</v>
      </c>
      <c r="AA63" s="33" t="s">
        <v>414</v>
      </c>
      <c r="AB63" s="95"/>
      <c r="AC63" s="95"/>
    </row>
    <row r="64" spans="1:29" x14ac:dyDescent="0.25">
      <c r="A64" s="36" t="s">
        <v>259</v>
      </c>
      <c r="B64" t="s">
        <v>260</v>
      </c>
      <c r="C64" s="36" t="s">
        <v>51</v>
      </c>
      <c r="D64" s="36" t="s">
        <v>533</v>
      </c>
      <c r="E64" s="37" t="s">
        <v>303</v>
      </c>
      <c r="F64" s="41">
        <v>17</v>
      </c>
      <c r="G64" s="41">
        <v>4</v>
      </c>
      <c r="I64" s="131">
        <v>0.24305555555555555</v>
      </c>
      <c r="J64" s="131">
        <v>0.83333333333333337</v>
      </c>
      <c r="K64" s="131">
        <v>0.34722222222222227</v>
      </c>
      <c r="L64" s="131">
        <v>0.57986111111111105</v>
      </c>
      <c r="M64" s="33" t="s">
        <v>46</v>
      </c>
      <c r="N64" s="33">
        <v>45</v>
      </c>
      <c r="O64" s="123">
        <v>45405</v>
      </c>
      <c r="P64" s="123">
        <v>45409</v>
      </c>
      <c r="Q64" s="34">
        <v>50</v>
      </c>
      <c r="R64" s="33">
        <v>5</v>
      </c>
      <c r="S64" s="34">
        <v>2</v>
      </c>
      <c r="T64" s="34">
        <v>4</v>
      </c>
      <c r="U64" s="33">
        <v>40</v>
      </c>
      <c r="V64" s="38" t="s">
        <v>827</v>
      </c>
      <c r="W64" s="39">
        <v>0.1111111111111111</v>
      </c>
      <c r="X64" s="40" t="s">
        <v>304</v>
      </c>
      <c r="Y64" s="40" t="s">
        <v>284</v>
      </c>
      <c r="Z64" s="40" t="s">
        <v>305</v>
      </c>
      <c r="AA64" s="33" t="s">
        <v>771</v>
      </c>
      <c r="AB64" s="95"/>
      <c r="AC64" s="95"/>
    </row>
    <row r="65" spans="1:29" x14ac:dyDescent="0.25">
      <c r="A65" s="36" t="s">
        <v>68</v>
      </c>
      <c r="B65" t="s">
        <v>5</v>
      </c>
      <c r="C65" s="36" t="s">
        <v>51</v>
      </c>
      <c r="D65" s="36" t="s">
        <v>533</v>
      </c>
      <c r="E65" s="37" t="s">
        <v>303</v>
      </c>
      <c r="F65" s="41">
        <v>17</v>
      </c>
      <c r="G65" s="41">
        <v>4</v>
      </c>
      <c r="I65" s="131">
        <v>0.20833333333333334</v>
      </c>
      <c r="J65" s="131">
        <v>0.83333333333333337</v>
      </c>
      <c r="K65" s="131">
        <v>0.25</v>
      </c>
      <c r="L65" s="131">
        <v>0.79166666666666663</v>
      </c>
      <c r="M65" s="33" t="s">
        <v>46</v>
      </c>
      <c r="N65" s="33">
        <v>45</v>
      </c>
      <c r="O65" s="123">
        <v>45404</v>
      </c>
      <c r="P65" s="123">
        <v>45410</v>
      </c>
      <c r="Q65" s="34">
        <v>80</v>
      </c>
      <c r="R65" s="33">
        <v>35</v>
      </c>
      <c r="S65" s="34">
        <v>0.8</v>
      </c>
      <c r="T65" s="34">
        <v>6</v>
      </c>
      <c r="U65" s="33">
        <v>168</v>
      </c>
      <c r="V65" s="38" t="s">
        <v>827</v>
      </c>
      <c r="W65" s="39">
        <v>0.77777777777777779</v>
      </c>
      <c r="X65" s="40" t="s">
        <v>304</v>
      </c>
      <c r="Y65" s="40" t="s">
        <v>284</v>
      </c>
      <c r="Z65" s="40" t="s">
        <v>307</v>
      </c>
      <c r="AA65" s="33" t="s">
        <v>313</v>
      </c>
      <c r="AB65" s="95"/>
      <c r="AC65" s="95"/>
    </row>
    <row r="66" spans="1:29" x14ac:dyDescent="0.25">
      <c r="A66" s="36" t="s">
        <v>278</v>
      </c>
      <c r="B66" t="s">
        <v>279</v>
      </c>
      <c r="C66" s="36" t="s">
        <v>51</v>
      </c>
      <c r="D66" s="36" t="s">
        <v>533</v>
      </c>
      <c r="E66" s="37" t="s">
        <v>303</v>
      </c>
      <c r="F66" s="41">
        <v>17</v>
      </c>
      <c r="G66" s="41">
        <v>4</v>
      </c>
      <c r="I66" s="131">
        <v>0.25</v>
      </c>
      <c r="J66" s="131">
        <v>0.91666666666666663</v>
      </c>
      <c r="K66" s="131">
        <v>0.27777777777777779</v>
      </c>
      <c r="L66" s="131">
        <v>0.5625</v>
      </c>
      <c r="M66" s="33" t="s">
        <v>46</v>
      </c>
      <c r="N66" s="33">
        <v>75</v>
      </c>
      <c r="O66" s="123">
        <v>45403</v>
      </c>
      <c r="P66" s="123">
        <v>45410</v>
      </c>
      <c r="Q66" s="34">
        <v>85</v>
      </c>
      <c r="R66" s="33">
        <v>10</v>
      </c>
      <c r="S66" s="34">
        <v>2.5</v>
      </c>
      <c r="T66" s="34">
        <v>7</v>
      </c>
      <c r="U66" s="33">
        <v>175</v>
      </c>
      <c r="V66" s="38" t="s">
        <v>827</v>
      </c>
      <c r="W66" s="39">
        <v>0.13333333333333333</v>
      </c>
      <c r="X66" s="40" t="s">
        <v>304</v>
      </c>
      <c r="Y66" s="40" t="s">
        <v>284</v>
      </c>
      <c r="Z66" s="40" t="s">
        <v>305</v>
      </c>
      <c r="AA66" s="33" t="s">
        <v>771</v>
      </c>
      <c r="AB66" s="95"/>
      <c r="AC66" s="95"/>
    </row>
    <row r="67" spans="1:29" x14ac:dyDescent="0.25">
      <c r="A67" s="36" t="s">
        <v>219</v>
      </c>
      <c r="B67" t="s">
        <v>30</v>
      </c>
      <c r="C67" s="36" t="s">
        <v>51</v>
      </c>
      <c r="D67" s="36" t="s">
        <v>533</v>
      </c>
      <c r="E67" s="37" t="s">
        <v>303</v>
      </c>
      <c r="F67" s="41">
        <v>17</v>
      </c>
      <c r="G67" s="41">
        <v>4</v>
      </c>
      <c r="I67" s="131">
        <v>0.22916666666666666</v>
      </c>
      <c r="J67" s="131">
        <v>0.86458333333333337</v>
      </c>
      <c r="K67" s="131" t="s">
        <v>148</v>
      </c>
      <c r="L67" s="131" t="s">
        <v>148</v>
      </c>
      <c r="M67" s="33" t="s">
        <v>46</v>
      </c>
      <c r="N67" s="33">
        <v>60</v>
      </c>
      <c r="O67" s="123">
        <v>45403</v>
      </c>
      <c r="P67" s="123">
        <v>45410</v>
      </c>
      <c r="Q67" s="34">
        <v>70</v>
      </c>
      <c r="R67" s="33">
        <v>10</v>
      </c>
      <c r="S67" s="34">
        <v>8</v>
      </c>
      <c r="T67" s="34">
        <v>7</v>
      </c>
      <c r="U67" s="33">
        <v>560</v>
      </c>
      <c r="V67" s="38" t="s">
        <v>827</v>
      </c>
      <c r="W67" s="39">
        <v>0.16666666666666666</v>
      </c>
      <c r="X67" s="40" t="s">
        <v>304</v>
      </c>
      <c r="Y67" s="40" t="s">
        <v>284</v>
      </c>
      <c r="Z67" s="40" t="s">
        <v>305</v>
      </c>
      <c r="AA67" s="33" t="s">
        <v>771</v>
      </c>
      <c r="AB67" s="95"/>
      <c r="AC67" s="95"/>
    </row>
    <row r="68" spans="1:29" x14ac:dyDescent="0.25">
      <c r="A68" s="36" t="s">
        <v>219</v>
      </c>
      <c r="B68" t="s">
        <v>30</v>
      </c>
      <c r="C68" s="36" t="s">
        <v>51</v>
      </c>
      <c r="D68" s="36" t="s">
        <v>533</v>
      </c>
      <c r="E68" s="37" t="s">
        <v>303</v>
      </c>
      <c r="F68" s="41">
        <v>17</v>
      </c>
      <c r="G68" s="41">
        <v>4</v>
      </c>
      <c r="I68" s="131">
        <v>0.22916666666666666</v>
      </c>
      <c r="J68" s="131">
        <v>0.86458333333333337</v>
      </c>
      <c r="K68" s="131" t="s">
        <v>148</v>
      </c>
      <c r="L68" s="131" t="s">
        <v>148</v>
      </c>
      <c r="M68" s="33" t="s">
        <v>46</v>
      </c>
      <c r="N68" s="33">
        <v>60</v>
      </c>
      <c r="O68" s="123">
        <v>45410</v>
      </c>
      <c r="P68" s="123">
        <v>45410</v>
      </c>
      <c r="Q68" s="34">
        <v>65</v>
      </c>
      <c r="R68" s="33">
        <v>5</v>
      </c>
      <c r="S68" s="34">
        <v>10</v>
      </c>
      <c r="T68" s="34">
        <v>1</v>
      </c>
      <c r="U68" s="33">
        <v>50</v>
      </c>
      <c r="V68" s="38" t="s">
        <v>827</v>
      </c>
      <c r="W68" s="39">
        <v>8.3333333333333329E-2</v>
      </c>
      <c r="X68" s="40" t="s">
        <v>730</v>
      </c>
      <c r="Y68" s="40" t="s">
        <v>284</v>
      </c>
      <c r="Z68" s="40" t="s">
        <v>305</v>
      </c>
      <c r="AA68" s="33" t="s">
        <v>771</v>
      </c>
      <c r="AB68" s="95"/>
      <c r="AC68" s="95"/>
    </row>
    <row r="69" spans="1:29" x14ac:dyDescent="0.25">
      <c r="A69" s="36" t="s">
        <v>108</v>
      </c>
      <c r="B69" t="s">
        <v>14</v>
      </c>
      <c r="C69" s="36" t="s">
        <v>51</v>
      </c>
      <c r="D69" s="36" t="s">
        <v>533</v>
      </c>
      <c r="E69" s="37" t="s">
        <v>303</v>
      </c>
      <c r="F69" s="41">
        <v>17</v>
      </c>
      <c r="G69" s="41">
        <v>4</v>
      </c>
      <c r="I69" s="131">
        <v>0.24305555555555555</v>
      </c>
      <c r="J69" s="131">
        <v>0.89583333333333337</v>
      </c>
      <c r="K69" s="131">
        <v>0.27083333333333331</v>
      </c>
      <c r="L69" s="131">
        <v>0.55902777777777779</v>
      </c>
      <c r="M69" s="33" t="s">
        <v>46</v>
      </c>
      <c r="N69" s="33">
        <v>75</v>
      </c>
      <c r="O69" s="123">
        <v>45404</v>
      </c>
      <c r="P69" s="123">
        <v>45405</v>
      </c>
      <c r="Q69" s="34">
        <v>115</v>
      </c>
      <c r="R69" s="33">
        <v>40</v>
      </c>
      <c r="S69" s="34">
        <v>0.5</v>
      </c>
      <c r="T69" s="34">
        <v>1</v>
      </c>
      <c r="U69" s="33">
        <v>20</v>
      </c>
      <c r="V69" s="38" t="s">
        <v>827</v>
      </c>
      <c r="W69" s="39">
        <v>0.53333333333333333</v>
      </c>
      <c r="X69" s="40" t="s">
        <v>304</v>
      </c>
      <c r="Y69" s="40" t="s">
        <v>284</v>
      </c>
      <c r="Z69" s="40" t="s">
        <v>307</v>
      </c>
      <c r="AA69" s="33" t="s">
        <v>313</v>
      </c>
      <c r="AB69" s="95"/>
      <c r="AC69" s="95"/>
    </row>
    <row r="70" spans="1:29" x14ac:dyDescent="0.25">
      <c r="A70" s="36" t="s">
        <v>108</v>
      </c>
      <c r="B70" t="s">
        <v>14</v>
      </c>
      <c r="C70" s="36" t="s">
        <v>51</v>
      </c>
      <c r="D70" s="36" t="s">
        <v>533</v>
      </c>
      <c r="E70" s="37" t="s">
        <v>303</v>
      </c>
      <c r="F70" s="41">
        <v>17</v>
      </c>
      <c r="G70" s="41">
        <v>4</v>
      </c>
      <c r="I70" s="131">
        <v>0.24305555555555555</v>
      </c>
      <c r="J70" s="131">
        <v>0.89583333333333337</v>
      </c>
      <c r="K70" s="131">
        <v>0.27083333333333331</v>
      </c>
      <c r="L70" s="131">
        <v>0.55902777777777779</v>
      </c>
      <c r="M70" s="33" t="s">
        <v>46</v>
      </c>
      <c r="N70" s="33">
        <v>75</v>
      </c>
      <c r="O70" s="123">
        <v>45405</v>
      </c>
      <c r="P70" s="123">
        <v>45410</v>
      </c>
      <c r="Q70" s="34">
        <v>120</v>
      </c>
      <c r="R70" s="33">
        <v>45</v>
      </c>
      <c r="S70" s="34">
        <v>8.3000000000000007</v>
      </c>
      <c r="T70" s="34">
        <v>5</v>
      </c>
      <c r="U70" s="33">
        <v>1867.5000000000002</v>
      </c>
      <c r="V70" s="38" t="s">
        <v>827</v>
      </c>
      <c r="W70" s="39">
        <v>0.6</v>
      </c>
      <c r="X70" s="40" t="s">
        <v>304</v>
      </c>
      <c r="Y70" s="40" t="s">
        <v>284</v>
      </c>
      <c r="Z70" s="40" t="s">
        <v>311</v>
      </c>
      <c r="AA70" s="33" t="s">
        <v>775</v>
      </c>
      <c r="AB70" s="95"/>
      <c r="AC70" s="95" t="s">
        <v>852</v>
      </c>
    </row>
    <row r="71" spans="1:29" x14ac:dyDescent="0.25">
      <c r="A71" s="36" t="s">
        <v>82</v>
      </c>
      <c r="B71" t="s">
        <v>7</v>
      </c>
      <c r="C71" s="36" t="s">
        <v>51</v>
      </c>
      <c r="D71" s="36" t="s">
        <v>533</v>
      </c>
      <c r="E71" s="37" t="s">
        <v>303</v>
      </c>
      <c r="F71" s="41">
        <v>17</v>
      </c>
      <c r="G71" s="41">
        <v>4</v>
      </c>
      <c r="I71" s="131">
        <v>0.20833333333333334</v>
      </c>
      <c r="J71" s="131">
        <v>0.85416666666666663</v>
      </c>
      <c r="K71" s="131" t="s">
        <v>148</v>
      </c>
      <c r="L71" s="131" t="s">
        <v>148</v>
      </c>
      <c r="M71" s="33" t="s">
        <v>46</v>
      </c>
      <c r="N71" s="33">
        <v>95</v>
      </c>
      <c r="O71" s="123">
        <v>45403</v>
      </c>
      <c r="P71" s="123">
        <v>45404</v>
      </c>
      <c r="Q71" s="34">
        <v>105</v>
      </c>
      <c r="R71" s="33">
        <v>10</v>
      </c>
      <c r="S71" s="34">
        <v>8.5</v>
      </c>
      <c r="T71" s="34">
        <v>1</v>
      </c>
      <c r="U71" s="33">
        <v>85</v>
      </c>
      <c r="V71" s="38" t="s">
        <v>827</v>
      </c>
      <c r="W71" s="39">
        <v>0.10526315789473684</v>
      </c>
      <c r="X71" s="40" t="s">
        <v>304</v>
      </c>
      <c r="Y71" s="40" t="s">
        <v>284</v>
      </c>
      <c r="Z71" s="40" t="s">
        <v>305</v>
      </c>
      <c r="AA71" s="33" t="s">
        <v>771</v>
      </c>
      <c r="AB71" s="95"/>
      <c r="AC71" s="95"/>
    </row>
    <row r="72" spans="1:29" x14ac:dyDescent="0.25">
      <c r="A72" s="36" t="s">
        <v>82</v>
      </c>
      <c r="B72" t="s">
        <v>7</v>
      </c>
      <c r="C72" s="36" t="s">
        <v>51</v>
      </c>
      <c r="D72" s="36" t="s">
        <v>533</v>
      </c>
      <c r="E72" s="37" t="s">
        <v>303</v>
      </c>
      <c r="F72" s="41">
        <v>17</v>
      </c>
      <c r="G72" s="41">
        <v>4</v>
      </c>
      <c r="I72" s="131">
        <v>0.20833333333333334</v>
      </c>
      <c r="J72" s="131">
        <v>0.85416666666666663</v>
      </c>
      <c r="K72" s="131" t="s">
        <v>148</v>
      </c>
      <c r="L72" s="131" t="s">
        <v>148</v>
      </c>
      <c r="M72" s="33" t="s">
        <v>46</v>
      </c>
      <c r="N72" s="33">
        <v>95</v>
      </c>
      <c r="O72" s="123">
        <v>45404</v>
      </c>
      <c r="P72" s="123">
        <v>45410</v>
      </c>
      <c r="Q72" s="34">
        <v>150</v>
      </c>
      <c r="R72" s="33">
        <v>55</v>
      </c>
      <c r="S72" s="34">
        <v>1</v>
      </c>
      <c r="T72" s="34">
        <v>6</v>
      </c>
      <c r="U72" s="33">
        <v>330</v>
      </c>
      <c r="V72" s="38" t="s">
        <v>827</v>
      </c>
      <c r="W72" s="39">
        <v>0.57894736842105265</v>
      </c>
      <c r="X72" s="40" t="s">
        <v>304</v>
      </c>
      <c r="Y72" s="40" t="s">
        <v>284</v>
      </c>
      <c r="Z72" s="40" t="s">
        <v>307</v>
      </c>
      <c r="AA72" s="33" t="s">
        <v>313</v>
      </c>
      <c r="AB72" s="95"/>
      <c r="AC72" s="95"/>
    </row>
    <row r="73" spans="1:29" x14ac:dyDescent="0.25">
      <c r="A73" s="36" t="s">
        <v>82</v>
      </c>
      <c r="B73" t="s">
        <v>7</v>
      </c>
      <c r="C73" s="36" t="s">
        <v>51</v>
      </c>
      <c r="D73" s="36" t="s">
        <v>533</v>
      </c>
      <c r="E73" s="37" t="s">
        <v>303</v>
      </c>
      <c r="F73" s="41">
        <v>17</v>
      </c>
      <c r="G73" s="41">
        <v>4</v>
      </c>
      <c r="I73" s="131">
        <v>0.20833333333333334</v>
      </c>
      <c r="J73" s="131">
        <v>0.85416666666666663</v>
      </c>
      <c r="K73" s="131" t="s">
        <v>148</v>
      </c>
      <c r="L73" s="131" t="s">
        <v>148</v>
      </c>
      <c r="M73" s="33" t="s">
        <v>46</v>
      </c>
      <c r="N73" s="33">
        <v>95</v>
      </c>
      <c r="O73" s="123">
        <v>45404</v>
      </c>
      <c r="P73" s="123">
        <v>45410</v>
      </c>
      <c r="Q73" s="34">
        <v>105</v>
      </c>
      <c r="R73" s="33">
        <v>10</v>
      </c>
      <c r="S73" s="34">
        <v>7.5</v>
      </c>
      <c r="T73" s="34">
        <v>6</v>
      </c>
      <c r="U73" s="33">
        <v>450</v>
      </c>
      <c r="V73" s="38" t="s">
        <v>827</v>
      </c>
      <c r="W73" s="39">
        <v>0.10526315789473684</v>
      </c>
      <c r="X73" s="40" t="s">
        <v>304</v>
      </c>
      <c r="Y73" s="40" t="s">
        <v>284</v>
      </c>
      <c r="Z73" s="40" t="s">
        <v>305</v>
      </c>
      <c r="AA73" s="33" t="s">
        <v>771</v>
      </c>
      <c r="AB73" s="95"/>
      <c r="AC73" s="95"/>
    </row>
    <row r="74" spans="1:29" x14ac:dyDescent="0.25">
      <c r="A74" s="36" t="s">
        <v>58</v>
      </c>
      <c r="B74" t="s">
        <v>59</v>
      </c>
      <c r="C74" s="36" t="s">
        <v>51</v>
      </c>
      <c r="D74" s="36" t="s">
        <v>530</v>
      </c>
      <c r="E74" s="37" t="s">
        <v>303</v>
      </c>
      <c r="F74" s="41">
        <v>17</v>
      </c>
      <c r="G74" s="41">
        <v>4</v>
      </c>
      <c r="I74" s="131">
        <v>0.20833333333333334</v>
      </c>
      <c r="J74" s="131">
        <v>0.83333333333333304</v>
      </c>
      <c r="K74" s="131" t="s">
        <v>148</v>
      </c>
      <c r="L74" s="131" t="s">
        <v>148</v>
      </c>
      <c r="M74" s="33" t="s">
        <v>46</v>
      </c>
      <c r="N74" s="33">
        <v>110</v>
      </c>
      <c r="O74" s="123">
        <v>45403</v>
      </c>
      <c r="P74" s="123">
        <v>45404</v>
      </c>
      <c r="Q74" s="34">
        <v>160</v>
      </c>
      <c r="R74" s="33">
        <v>50</v>
      </c>
      <c r="S74" s="34">
        <v>9</v>
      </c>
      <c r="T74" s="34">
        <v>1</v>
      </c>
      <c r="U74" s="33">
        <v>450</v>
      </c>
      <c r="V74" s="38" t="s">
        <v>827</v>
      </c>
      <c r="W74" s="39">
        <v>0.45454545454545453</v>
      </c>
      <c r="X74" s="40" t="s">
        <v>304</v>
      </c>
      <c r="Y74" s="40" t="s">
        <v>284</v>
      </c>
      <c r="Z74" s="40" t="s">
        <v>305</v>
      </c>
      <c r="AA74" s="33" t="s">
        <v>771</v>
      </c>
      <c r="AB74" s="95"/>
      <c r="AC74" s="95"/>
    </row>
    <row r="75" spans="1:29" x14ac:dyDescent="0.25">
      <c r="A75" s="36" t="s">
        <v>58</v>
      </c>
      <c r="B75" t="s">
        <v>59</v>
      </c>
      <c r="C75" s="36" t="s">
        <v>51</v>
      </c>
      <c r="D75" s="36" t="s">
        <v>530</v>
      </c>
      <c r="E75" s="37" t="s">
        <v>303</v>
      </c>
      <c r="F75" s="41">
        <v>17</v>
      </c>
      <c r="G75" s="41">
        <v>4</v>
      </c>
      <c r="I75" s="131">
        <v>0.20833333333333334</v>
      </c>
      <c r="J75" s="131">
        <v>0.83333333333333304</v>
      </c>
      <c r="K75" s="131" t="s">
        <v>148</v>
      </c>
      <c r="L75" s="131" t="s">
        <v>148</v>
      </c>
      <c r="M75" s="33" t="s">
        <v>46</v>
      </c>
      <c r="N75" s="33">
        <v>110</v>
      </c>
      <c r="O75" s="123">
        <v>45404</v>
      </c>
      <c r="P75" s="123">
        <v>45410</v>
      </c>
      <c r="Q75" s="34">
        <v>180</v>
      </c>
      <c r="R75" s="33">
        <v>70</v>
      </c>
      <c r="S75" s="34">
        <v>1</v>
      </c>
      <c r="T75" s="34">
        <v>6</v>
      </c>
      <c r="U75" s="33">
        <v>420</v>
      </c>
      <c r="V75" s="38" t="s">
        <v>827</v>
      </c>
      <c r="W75" s="39">
        <v>0.63636363636363635</v>
      </c>
      <c r="X75" s="40" t="s">
        <v>304</v>
      </c>
      <c r="Y75" s="40" t="s">
        <v>284</v>
      </c>
      <c r="Z75" s="95" t="s">
        <v>307</v>
      </c>
      <c r="AA75" s="95" t="s">
        <v>313</v>
      </c>
      <c r="AB75" s="95"/>
      <c r="AC75" s="95"/>
    </row>
    <row r="76" spans="1:29" x14ac:dyDescent="0.25">
      <c r="A76" s="36" t="s">
        <v>58</v>
      </c>
      <c r="B76" t="s">
        <v>59</v>
      </c>
      <c r="C76" s="36" t="s">
        <v>51</v>
      </c>
      <c r="D76" s="36" t="s">
        <v>530</v>
      </c>
      <c r="E76" s="37" t="s">
        <v>303</v>
      </c>
      <c r="F76" s="41">
        <v>17</v>
      </c>
      <c r="G76" s="41">
        <v>4</v>
      </c>
      <c r="I76" s="131">
        <v>0.20833333333333334</v>
      </c>
      <c r="J76" s="131">
        <v>0.83333333333333304</v>
      </c>
      <c r="K76" s="131" t="s">
        <v>148</v>
      </c>
      <c r="L76" s="131" t="s">
        <v>148</v>
      </c>
      <c r="M76" s="33" t="s">
        <v>46</v>
      </c>
      <c r="N76" s="33">
        <v>110</v>
      </c>
      <c r="O76" s="123">
        <v>45404</v>
      </c>
      <c r="P76" s="123">
        <v>45410</v>
      </c>
      <c r="Q76" s="34">
        <v>155</v>
      </c>
      <c r="R76" s="33">
        <v>45</v>
      </c>
      <c r="S76" s="34">
        <v>8</v>
      </c>
      <c r="T76" s="34">
        <v>6</v>
      </c>
      <c r="U76" s="33">
        <v>2160</v>
      </c>
      <c r="V76" s="38" t="s">
        <v>827</v>
      </c>
      <c r="W76" s="39">
        <v>0.40909090909090912</v>
      </c>
      <c r="X76" s="40" t="s">
        <v>304</v>
      </c>
      <c r="Y76" s="40" t="s">
        <v>284</v>
      </c>
      <c r="Z76" s="40" t="s">
        <v>305</v>
      </c>
      <c r="AA76" s="33" t="s">
        <v>771</v>
      </c>
      <c r="AB76" s="95"/>
      <c r="AC76" s="95"/>
    </row>
    <row r="77" spans="1:29" x14ac:dyDescent="0.25">
      <c r="A77" s="36" t="s">
        <v>202</v>
      </c>
      <c r="B77" t="s">
        <v>203</v>
      </c>
      <c r="C77" s="36" t="s">
        <v>51</v>
      </c>
      <c r="D77" s="36" t="s">
        <v>530</v>
      </c>
      <c r="E77" s="37" t="s">
        <v>303</v>
      </c>
      <c r="F77" s="41">
        <v>17</v>
      </c>
      <c r="G77" s="41">
        <v>4</v>
      </c>
      <c r="I77" s="131">
        <v>0.1875</v>
      </c>
      <c r="J77" s="131">
        <v>0.83333333333333337</v>
      </c>
      <c r="K77" s="131">
        <v>0.27083333333333331</v>
      </c>
      <c r="L77" s="131">
        <v>0.8125</v>
      </c>
      <c r="M77" s="33" t="s">
        <v>46</v>
      </c>
      <c r="N77" s="33">
        <v>45</v>
      </c>
      <c r="O77" s="123">
        <v>45403</v>
      </c>
      <c r="P77" s="123">
        <v>45410</v>
      </c>
      <c r="Q77" s="34">
        <v>50</v>
      </c>
      <c r="R77" s="33">
        <v>5</v>
      </c>
      <c r="S77" s="34">
        <v>8.5</v>
      </c>
      <c r="T77" s="34">
        <v>7</v>
      </c>
      <c r="U77" s="33">
        <v>297.5</v>
      </c>
      <c r="V77" s="38" t="s">
        <v>827</v>
      </c>
      <c r="W77" s="39">
        <v>0.1111111111111111</v>
      </c>
      <c r="X77" s="40" t="s">
        <v>304</v>
      </c>
      <c r="Y77" s="40" t="s">
        <v>284</v>
      </c>
      <c r="Z77" s="40" t="s">
        <v>305</v>
      </c>
      <c r="AA77" s="33" t="s">
        <v>771</v>
      </c>
      <c r="AB77" s="95"/>
      <c r="AC77" s="95"/>
    </row>
    <row r="78" spans="1:29" x14ac:dyDescent="0.25">
      <c r="A78" s="36" t="s">
        <v>211</v>
      </c>
      <c r="B78" t="s">
        <v>212</v>
      </c>
      <c r="C78" s="36" t="s">
        <v>51</v>
      </c>
      <c r="D78" s="36" t="s">
        <v>533</v>
      </c>
      <c r="E78" s="37" t="s">
        <v>303</v>
      </c>
      <c r="F78" s="41">
        <v>17</v>
      </c>
      <c r="G78" s="41">
        <v>4</v>
      </c>
      <c r="I78" s="131">
        <v>0.22916666666666666</v>
      </c>
      <c r="J78" s="131">
        <v>0.875</v>
      </c>
      <c r="K78" s="131">
        <v>0.22916666666666666</v>
      </c>
      <c r="L78" s="131">
        <v>0.54166666666666663</v>
      </c>
      <c r="M78" s="33" t="s">
        <v>46</v>
      </c>
      <c r="N78" s="33">
        <v>75</v>
      </c>
      <c r="O78" s="123">
        <v>45403</v>
      </c>
      <c r="P78" s="123">
        <v>45410</v>
      </c>
      <c r="Q78" s="34">
        <v>90</v>
      </c>
      <c r="R78" s="33">
        <v>15</v>
      </c>
      <c r="S78" s="34">
        <v>8.5</v>
      </c>
      <c r="T78" s="34">
        <v>7</v>
      </c>
      <c r="U78" s="33">
        <v>892.5</v>
      </c>
      <c r="V78" s="38" t="s">
        <v>827</v>
      </c>
      <c r="W78" s="39">
        <v>0.2</v>
      </c>
      <c r="X78" s="40" t="s">
        <v>304</v>
      </c>
      <c r="Y78" s="40" t="s">
        <v>284</v>
      </c>
      <c r="Z78" s="40" t="s">
        <v>305</v>
      </c>
      <c r="AA78" s="33" t="s">
        <v>771</v>
      </c>
      <c r="AB78" s="95"/>
      <c r="AC78" s="95"/>
    </row>
    <row r="79" spans="1:29" x14ac:dyDescent="0.25">
      <c r="A79" s="36" t="s">
        <v>180</v>
      </c>
      <c r="B79" t="s">
        <v>25</v>
      </c>
      <c r="C79" s="36" t="s">
        <v>51</v>
      </c>
      <c r="D79" s="36" t="s">
        <v>530</v>
      </c>
      <c r="E79" s="37" t="s">
        <v>303</v>
      </c>
      <c r="F79" s="41">
        <v>17</v>
      </c>
      <c r="G79" s="41">
        <v>4</v>
      </c>
      <c r="I79" s="131">
        <v>0.24305555555555555</v>
      </c>
      <c r="J79" s="131">
        <v>0.875</v>
      </c>
      <c r="K79" s="131">
        <v>0.27083333333333331</v>
      </c>
      <c r="L79" s="131">
        <v>0.55902777777777779</v>
      </c>
      <c r="M79" s="33" t="s">
        <v>46</v>
      </c>
      <c r="N79" s="33">
        <v>95</v>
      </c>
      <c r="O79" s="123">
        <v>45403</v>
      </c>
      <c r="P79" s="123">
        <v>45404</v>
      </c>
      <c r="Q79" s="34">
        <v>105</v>
      </c>
      <c r="R79" s="33">
        <v>10</v>
      </c>
      <c r="S79" s="34">
        <v>8.8000000000000007</v>
      </c>
      <c r="T79" s="34">
        <v>1</v>
      </c>
      <c r="U79" s="33">
        <v>88</v>
      </c>
      <c r="V79" s="38" t="s">
        <v>827</v>
      </c>
      <c r="W79" s="39">
        <v>0.10526315789473684</v>
      </c>
      <c r="X79" s="40" t="s">
        <v>304</v>
      </c>
      <c r="Y79" s="40" t="s">
        <v>284</v>
      </c>
      <c r="Z79" s="40" t="s">
        <v>305</v>
      </c>
      <c r="AA79" s="33" t="s">
        <v>771</v>
      </c>
      <c r="AB79" s="95"/>
      <c r="AC79" s="95"/>
    </row>
    <row r="80" spans="1:29" x14ac:dyDescent="0.25">
      <c r="A80" s="36" t="s">
        <v>180</v>
      </c>
      <c r="B80" t="s">
        <v>25</v>
      </c>
      <c r="C80" s="36" t="s">
        <v>51</v>
      </c>
      <c r="D80" s="36" t="s">
        <v>530</v>
      </c>
      <c r="E80" s="37" t="s">
        <v>303</v>
      </c>
      <c r="F80" s="41">
        <v>17</v>
      </c>
      <c r="G80" s="41">
        <v>4</v>
      </c>
      <c r="I80" s="131">
        <v>0.24305555555555555</v>
      </c>
      <c r="J80" s="131">
        <v>0.875</v>
      </c>
      <c r="K80" s="131">
        <v>0.27083333333333331</v>
      </c>
      <c r="L80" s="131">
        <v>0.55902777777777779</v>
      </c>
      <c r="M80" s="33" t="s">
        <v>46</v>
      </c>
      <c r="N80" s="33">
        <v>95</v>
      </c>
      <c r="O80" s="123">
        <v>45404</v>
      </c>
      <c r="P80" s="123">
        <v>45410</v>
      </c>
      <c r="Q80" s="34">
        <v>110</v>
      </c>
      <c r="R80" s="33">
        <v>15</v>
      </c>
      <c r="S80" s="34">
        <v>8.8000000000000007</v>
      </c>
      <c r="T80" s="34">
        <v>6</v>
      </c>
      <c r="U80" s="33">
        <v>792</v>
      </c>
      <c r="V80" s="38" t="s">
        <v>827</v>
      </c>
      <c r="W80" s="39">
        <v>0.15789473684210525</v>
      </c>
      <c r="X80" s="40" t="s">
        <v>304</v>
      </c>
      <c r="Y80" s="40" t="s">
        <v>284</v>
      </c>
      <c r="Z80" s="40" t="s">
        <v>305</v>
      </c>
      <c r="AA80" s="33" t="s">
        <v>771</v>
      </c>
      <c r="AB80" s="95"/>
      <c r="AC80" s="95"/>
    </row>
    <row r="81" spans="1:29" x14ac:dyDescent="0.25">
      <c r="A81" s="36" t="s">
        <v>209</v>
      </c>
      <c r="B81" t="s">
        <v>210</v>
      </c>
      <c r="C81" s="36" t="s">
        <v>51</v>
      </c>
      <c r="D81" s="36" t="s">
        <v>533</v>
      </c>
      <c r="E81" s="37" t="s">
        <v>303</v>
      </c>
      <c r="F81" s="41">
        <v>17</v>
      </c>
      <c r="G81" s="41">
        <v>4</v>
      </c>
      <c r="I81" s="131">
        <v>0.22916666666666666</v>
      </c>
      <c r="J81" s="131">
        <v>0.86111111111111116</v>
      </c>
      <c r="K81" s="131">
        <v>0.27777777777777779</v>
      </c>
      <c r="L81" s="131">
        <v>0.77777777777777779</v>
      </c>
      <c r="M81" s="33" t="s">
        <v>46</v>
      </c>
      <c r="N81" s="33">
        <v>85</v>
      </c>
      <c r="O81" s="123">
        <v>45403</v>
      </c>
      <c r="P81" s="123">
        <v>45409</v>
      </c>
      <c r="Q81" s="34">
        <v>115</v>
      </c>
      <c r="R81" s="33">
        <v>30</v>
      </c>
      <c r="S81" s="34">
        <v>0.5</v>
      </c>
      <c r="T81" s="34">
        <v>6</v>
      </c>
      <c r="U81" s="33">
        <v>45</v>
      </c>
      <c r="V81" s="38" t="s">
        <v>827</v>
      </c>
      <c r="W81" s="39">
        <v>0.35294117647058826</v>
      </c>
      <c r="X81" s="40" t="s">
        <v>304</v>
      </c>
      <c r="Y81" s="40" t="s">
        <v>284</v>
      </c>
      <c r="Z81" s="40" t="s">
        <v>307</v>
      </c>
      <c r="AA81" s="95" t="s">
        <v>414</v>
      </c>
      <c r="AB81" s="95"/>
      <c r="AC81" s="95"/>
    </row>
    <row r="82" spans="1:29" x14ac:dyDescent="0.25">
      <c r="A82" s="36" t="s">
        <v>209</v>
      </c>
      <c r="B82" t="s">
        <v>210</v>
      </c>
      <c r="C82" s="36" t="s">
        <v>51</v>
      </c>
      <c r="D82" s="36" t="s">
        <v>533</v>
      </c>
      <c r="E82" s="37" t="s">
        <v>303</v>
      </c>
      <c r="F82" s="41">
        <v>17</v>
      </c>
      <c r="G82" s="41">
        <v>4</v>
      </c>
      <c r="I82" s="131">
        <v>0.22916666666666666</v>
      </c>
      <c r="J82" s="131">
        <v>0.86111111111111116</v>
      </c>
      <c r="K82" s="131">
        <v>0.27777777777777779</v>
      </c>
      <c r="L82" s="131">
        <v>0.77777777777777779</v>
      </c>
      <c r="M82" s="33" t="s">
        <v>46</v>
      </c>
      <c r="N82" s="33">
        <v>85</v>
      </c>
      <c r="O82" s="123">
        <v>45404</v>
      </c>
      <c r="P82" s="123">
        <v>45410</v>
      </c>
      <c r="Q82" s="34">
        <v>120</v>
      </c>
      <c r="R82" s="33">
        <v>40</v>
      </c>
      <c r="S82" s="34">
        <v>0.3</v>
      </c>
      <c r="T82" s="34">
        <v>6</v>
      </c>
      <c r="U82" s="33">
        <v>72</v>
      </c>
      <c r="V82" s="38" t="s">
        <v>827</v>
      </c>
      <c r="W82" s="39">
        <v>0.47058823529411764</v>
      </c>
      <c r="X82" s="40" t="s">
        <v>304</v>
      </c>
      <c r="Y82" s="40" t="s">
        <v>284</v>
      </c>
      <c r="Z82" s="40" t="s">
        <v>307</v>
      </c>
      <c r="AA82" s="33" t="s">
        <v>313</v>
      </c>
      <c r="AB82" s="95"/>
      <c r="AC82" s="95"/>
    </row>
    <row r="83" spans="1:29" x14ac:dyDescent="0.25">
      <c r="A83" s="36" t="s">
        <v>155</v>
      </c>
      <c r="B83" t="s">
        <v>156</v>
      </c>
      <c r="C83" s="36" t="s">
        <v>51</v>
      </c>
      <c r="D83" s="36" t="s">
        <v>533</v>
      </c>
      <c r="E83" s="37" t="s">
        <v>303</v>
      </c>
      <c r="F83" s="41">
        <v>17</v>
      </c>
      <c r="G83" s="41">
        <v>4</v>
      </c>
      <c r="I83" s="131">
        <v>0.22916666666666666</v>
      </c>
      <c r="J83" s="131">
        <v>0.89583333333333337</v>
      </c>
      <c r="K83" s="131">
        <v>0.27777777777777779</v>
      </c>
      <c r="L83" s="131">
        <v>0.5625</v>
      </c>
      <c r="M83" s="33" t="s">
        <v>46</v>
      </c>
      <c r="N83" s="33">
        <v>65</v>
      </c>
      <c r="O83" s="123">
        <v>45403</v>
      </c>
      <c r="P83" s="123">
        <v>45404</v>
      </c>
      <c r="Q83" s="34">
        <v>70</v>
      </c>
      <c r="R83" s="33">
        <v>5</v>
      </c>
      <c r="S83" s="34">
        <v>8</v>
      </c>
      <c r="T83" s="34">
        <v>1</v>
      </c>
      <c r="U83" s="33">
        <v>40</v>
      </c>
      <c r="V83" s="38" t="s">
        <v>827</v>
      </c>
      <c r="W83" s="39">
        <v>7.6923076923076927E-2</v>
      </c>
      <c r="X83" s="40" t="s">
        <v>304</v>
      </c>
      <c r="Y83" s="40" t="s">
        <v>284</v>
      </c>
      <c r="Z83" s="40" t="s">
        <v>305</v>
      </c>
      <c r="AA83" s="33" t="s">
        <v>771</v>
      </c>
      <c r="AB83" s="95"/>
      <c r="AC83" s="95"/>
    </row>
    <row r="84" spans="1:29" x14ac:dyDescent="0.25">
      <c r="A84" s="36" t="s">
        <v>155</v>
      </c>
      <c r="B84" t="s">
        <v>156</v>
      </c>
      <c r="C84" s="36" t="s">
        <v>51</v>
      </c>
      <c r="D84" s="36" t="s">
        <v>533</v>
      </c>
      <c r="E84" s="37" t="s">
        <v>303</v>
      </c>
      <c r="F84" s="41">
        <v>17</v>
      </c>
      <c r="G84" s="41">
        <v>4</v>
      </c>
      <c r="I84" s="131">
        <v>0.22916666666666666</v>
      </c>
      <c r="J84" s="131">
        <v>0.89583333333333337</v>
      </c>
      <c r="K84" s="131">
        <v>0.27777777777777779</v>
      </c>
      <c r="L84" s="131">
        <v>0.5625</v>
      </c>
      <c r="M84" s="33" t="s">
        <v>46</v>
      </c>
      <c r="N84" s="33">
        <v>65</v>
      </c>
      <c r="O84" s="123">
        <v>45409</v>
      </c>
      <c r="P84" s="123">
        <v>45410</v>
      </c>
      <c r="Q84" s="34">
        <v>70</v>
      </c>
      <c r="R84" s="33">
        <v>5</v>
      </c>
      <c r="S84" s="34">
        <v>8</v>
      </c>
      <c r="T84" s="34">
        <v>1</v>
      </c>
      <c r="U84" s="33">
        <v>40</v>
      </c>
      <c r="V84" s="38" t="s">
        <v>827</v>
      </c>
      <c r="W84" s="39">
        <v>7.6923076923076927E-2</v>
      </c>
      <c r="X84" s="40" t="s">
        <v>304</v>
      </c>
      <c r="Y84" s="40" t="s">
        <v>284</v>
      </c>
      <c r="Z84" s="40" t="s">
        <v>305</v>
      </c>
      <c r="AA84" s="33" t="s">
        <v>771</v>
      </c>
      <c r="AB84" s="95"/>
      <c r="AC84" s="95"/>
    </row>
    <row r="85" spans="1:29" x14ac:dyDescent="0.25">
      <c r="A85" s="36" t="s">
        <v>155</v>
      </c>
      <c r="B85" t="s">
        <v>156</v>
      </c>
      <c r="C85" s="36" t="s">
        <v>51</v>
      </c>
      <c r="D85" s="36" t="s">
        <v>533</v>
      </c>
      <c r="E85" s="37" t="s">
        <v>303</v>
      </c>
      <c r="F85" s="41">
        <v>17</v>
      </c>
      <c r="G85" s="41">
        <v>4</v>
      </c>
      <c r="I85" s="131">
        <v>0.22916666666666666</v>
      </c>
      <c r="J85" s="131">
        <v>0.89583333333333337</v>
      </c>
      <c r="K85" s="131">
        <v>0.27777777777777779</v>
      </c>
      <c r="L85" s="131">
        <v>0.5625</v>
      </c>
      <c r="M85" s="33" t="s">
        <v>46</v>
      </c>
      <c r="N85" s="33">
        <v>65</v>
      </c>
      <c r="O85" s="123">
        <v>45409</v>
      </c>
      <c r="P85" s="123">
        <v>45410</v>
      </c>
      <c r="Q85" s="34">
        <v>95</v>
      </c>
      <c r="R85" s="33">
        <v>30</v>
      </c>
      <c r="S85" s="34">
        <v>1</v>
      </c>
      <c r="T85" s="34">
        <v>1</v>
      </c>
      <c r="U85" s="33">
        <v>30</v>
      </c>
      <c r="V85" s="38" t="s">
        <v>827</v>
      </c>
      <c r="W85" s="39">
        <v>0.46153846153846156</v>
      </c>
      <c r="X85" s="40" t="s">
        <v>304</v>
      </c>
      <c r="Y85" s="40" t="s">
        <v>284</v>
      </c>
      <c r="Z85" s="40" t="s">
        <v>311</v>
      </c>
      <c r="AA85" s="33" t="s">
        <v>775</v>
      </c>
      <c r="AB85" s="95"/>
      <c r="AC85" s="95"/>
    </row>
    <row r="86" spans="1:29" x14ac:dyDescent="0.25">
      <c r="A86" s="36" t="s">
        <v>224</v>
      </c>
      <c r="B86" t="s">
        <v>225</v>
      </c>
      <c r="C86" s="36" t="s">
        <v>51</v>
      </c>
      <c r="D86" s="36" t="s">
        <v>530</v>
      </c>
      <c r="E86" s="37" t="s">
        <v>303</v>
      </c>
      <c r="F86" s="41">
        <v>17</v>
      </c>
      <c r="G86" s="41">
        <v>4</v>
      </c>
      <c r="I86" s="131">
        <v>0.25</v>
      </c>
      <c r="J86" s="131">
        <v>0.91666666666666663</v>
      </c>
      <c r="K86" s="131">
        <v>0.29166666666666669</v>
      </c>
      <c r="L86" s="131">
        <v>0.55208333333333337</v>
      </c>
      <c r="M86" s="33" t="s">
        <v>46</v>
      </c>
      <c r="N86" s="33">
        <v>60</v>
      </c>
      <c r="O86" s="123">
        <v>45403</v>
      </c>
      <c r="P86" s="123">
        <v>45404</v>
      </c>
      <c r="Q86" s="34">
        <v>70</v>
      </c>
      <c r="R86" s="33">
        <v>10</v>
      </c>
      <c r="S86" s="34">
        <v>6</v>
      </c>
      <c r="T86" s="34">
        <v>1</v>
      </c>
      <c r="U86" s="33">
        <v>60</v>
      </c>
      <c r="V86" s="38" t="s">
        <v>827</v>
      </c>
      <c r="W86" s="39">
        <v>0.16666666666666666</v>
      </c>
      <c r="X86" s="40" t="s">
        <v>304</v>
      </c>
      <c r="Y86" s="40" t="s">
        <v>284</v>
      </c>
      <c r="Z86" s="40" t="s">
        <v>305</v>
      </c>
      <c r="AA86" s="33" t="s">
        <v>771</v>
      </c>
      <c r="AB86" s="95"/>
      <c r="AC86" s="95"/>
    </row>
    <row r="87" spans="1:29" x14ac:dyDescent="0.25">
      <c r="A87" s="36" t="s">
        <v>224</v>
      </c>
      <c r="B87" t="s">
        <v>225</v>
      </c>
      <c r="C87" s="36" t="s">
        <v>51</v>
      </c>
      <c r="D87" s="36" t="s">
        <v>530</v>
      </c>
      <c r="E87" s="37" t="s">
        <v>303</v>
      </c>
      <c r="F87" s="41">
        <v>17</v>
      </c>
      <c r="G87" s="41">
        <v>4</v>
      </c>
      <c r="I87" s="131">
        <v>0.25</v>
      </c>
      <c r="J87" s="131">
        <v>0.91666666666666663</v>
      </c>
      <c r="K87" s="131">
        <v>0.29166666666666669</v>
      </c>
      <c r="L87" s="131">
        <v>0.55208333333333337</v>
      </c>
      <c r="M87" s="33" t="s">
        <v>46</v>
      </c>
      <c r="N87" s="33">
        <v>60</v>
      </c>
      <c r="O87" s="123">
        <v>45403</v>
      </c>
      <c r="P87" s="123">
        <v>45407</v>
      </c>
      <c r="Q87" s="34">
        <v>110</v>
      </c>
      <c r="R87" s="33">
        <v>50</v>
      </c>
      <c r="S87" s="34">
        <v>2</v>
      </c>
      <c r="T87" s="34">
        <v>4</v>
      </c>
      <c r="U87" s="33">
        <v>400</v>
      </c>
      <c r="V87" s="38" t="s">
        <v>827</v>
      </c>
      <c r="W87" s="39">
        <v>0.83333333333333337</v>
      </c>
      <c r="X87" s="40" t="s">
        <v>304</v>
      </c>
      <c r="Y87" s="40" t="s">
        <v>283</v>
      </c>
      <c r="Z87" s="40" t="s">
        <v>749</v>
      </c>
      <c r="AA87" s="33" t="s">
        <v>749</v>
      </c>
      <c r="AB87" s="95"/>
      <c r="AC87" s="95"/>
    </row>
    <row r="88" spans="1:29" x14ac:dyDescent="0.25">
      <c r="A88" s="36" t="s">
        <v>224</v>
      </c>
      <c r="B88" t="s">
        <v>225</v>
      </c>
      <c r="C88" s="36" t="s">
        <v>51</v>
      </c>
      <c r="D88" s="36" t="s">
        <v>530</v>
      </c>
      <c r="E88" s="37" t="s">
        <v>303</v>
      </c>
      <c r="F88" s="41">
        <v>17</v>
      </c>
      <c r="G88" s="41">
        <v>4</v>
      </c>
      <c r="I88" s="131">
        <v>0.25</v>
      </c>
      <c r="J88" s="131">
        <v>0.91666666666666663</v>
      </c>
      <c r="K88" s="131">
        <v>0.29166666666666669</v>
      </c>
      <c r="L88" s="131">
        <v>0.55208333333333337</v>
      </c>
      <c r="M88" s="33" t="s">
        <v>46</v>
      </c>
      <c r="N88" s="33">
        <v>60</v>
      </c>
      <c r="O88" s="123">
        <v>45404</v>
      </c>
      <c r="P88" s="123">
        <v>45406</v>
      </c>
      <c r="Q88" s="34">
        <v>90</v>
      </c>
      <c r="R88" s="33">
        <v>30</v>
      </c>
      <c r="S88" s="34">
        <v>6</v>
      </c>
      <c r="T88" s="34">
        <v>2</v>
      </c>
      <c r="U88" s="33">
        <v>360</v>
      </c>
      <c r="V88" s="38" t="s">
        <v>827</v>
      </c>
      <c r="W88" s="39">
        <v>0.5</v>
      </c>
      <c r="X88" s="40" t="s">
        <v>304</v>
      </c>
      <c r="Y88" s="40" t="s">
        <v>283</v>
      </c>
      <c r="Z88" s="40" t="s">
        <v>749</v>
      </c>
      <c r="AA88" s="33" t="s">
        <v>749</v>
      </c>
      <c r="AB88" s="95"/>
      <c r="AC88" s="95"/>
    </row>
    <row r="89" spans="1:29" x14ac:dyDescent="0.25">
      <c r="A89" s="36" t="s">
        <v>224</v>
      </c>
      <c r="B89" t="s">
        <v>225</v>
      </c>
      <c r="C89" s="36" t="s">
        <v>51</v>
      </c>
      <c r="D89" s="36" t="s">
        <v>530</v>
      </c>
      <c r="E89" s="37" t="s">
        <v>303</v>
      </c>
      <c r="F89" s="41">
        <v>17</v>
      </c>
      <c r="G89" s="41">
        <v>4</v>
      </c>
      <c r="I89" s="131">
        <v>0.25</v>
      </c>
      <c r="J89" s="131">
        <v>0.91666666666666663</v>
      </c>
      <c r="K89" s="131">
        <v>0.29166666666666669</v>
      </c>
      <c r="L89" s="131">
        <v>0.55208333333333337</v>
      </c>
      <c r="M89" s="33" t="s">
        <v>46</v>
      </c>
      <c r="N89" s="33">
        <v>60</v>
      </c>
      <c r="O89" s="123">
        <v>45406</v>
      </c>
      <c r="P89" s="123">
        <v>45407</v>
      </c>
      <c r="Q89" s="34">
        <v>70</v>
      </c>
      <c r="R89" s="33">
        <v>10</v>
      </c>
      <c r="S89" s="34">
        <v>6</v>
      </c>
      <c r="T89" s="34">
        <v>1</v>
      </c>
      <c r="U89" s="33">
        <v>60</v>
      </c>
      <c r="V89" s="38" t="s">
        <v>827</v>
      </c>
      <c r="W89" s="39">
        <v>0.16666666666666666</v>
      </c>
      <c r="X89" s="40" t="s">
        <v>304</v>
      </c>
      <c r="Y89" s="40" t="s">
        <v>284</v>
      </c>
      <c r="Z89" s="40" t="s">
        <v>305</v>
      </c>
      <c r="AA89" s="33" t="s">
        <v>771</v>
      </c>
      <c r="AB89" s="95"/>
      <c r="AC89" s="95"/>
    </row>
    <row r="90" spans="1:29" x14ac:dyDescent="0.25">
      <c r="A90" s="36" t="s">
        <v>224</v>
      </c>
      <c r="B90" t="s">
        <v>225</v>
      </c>
      <c r="C90" s="36" t="s">
        <v>51</v>
      </c>
      <c r="D90" s="36" t="s">
        <v>530</v>
      </c>
      <c r="E90" s="37" t="s">
        <v>303</v>
      </c>
      <c r="F90" s="41">
        <v>17</v>
      </c>
      <c r="G90" s="41">
        <v>4</v>
      </c>
      <c r="I90" s="131">
        <v>0.25</v>
      </c>
      <c r="J90" s="131">
        <v>0.91666666666666663</v>
      </c>
      <c r="K90" s="131">
        <v>0.29166666666666669</v>
      </c>
      <c r="L90" s="131">
        <v>0.55208333333333337</v>
      </c>
      <c r="M90" s="33" t="s">
        <v>46</v>
      </c>
      <c r="N90" s="33">
        <v>60</v>
      </c>
      <c r="O90" s="123">
        <v>45407</v>
      </c>
      <c r="P90" s="123">
        <v>45408</v>
      </c>
      <c r="Q90" s="34">
        <v>90</v>
      </c>
      <c r="R90" s="33">
        <v>30</v>
      </c>
      <c r="S90" s="34">
        <v>8</v>
      </c>
      <c r="T90" s="34">
        <v>1</v>
      </c>
      <c r="U90" s="33">
        <v>240</v>
      </c>
      <c r="V90" s="38" t="s">
        <v>827</v>
      </c>
      <c r="W90" s="39">
        <v>0.5</v>
      </c>
      <c r="X90" s="40" t="s">
        <v>304</v>
      </c>
      <c r="Y90" s="40" t="s">
        <v>283</v>
      </c>
      <c r="Z90" s="40" t="s">
        <v>749</v>
      </c>
      <c r="AA90" s="33" t="s">
        <v>749</v>
      </c>
      <c r="AB90" s="95"/>
      <c r="AC90" s="95"/>
    </row>
    <row r="91" spans="1:29" x14ac:dyDescent="0.25">
      <c r="A91" s="36" t="s">
        <v>224</v>
      </c>
      <c r="B91" t="s">
        <v>225</v>
      </c>
      <c r="C91" s="36" t="s">
        <v>51</v>
      </c>
      <c r="D91" s="36" t="s">
        <v>530</v>
      </c>
      <c r="E91" s="37" t="s">
        <v>303</v>
      </c>
      <c r="F91" s="41">
        <v>17</v>
      </c>
      <c r="G91" s="41">
        <v>4</v>
      </c>
      <c r="I91" s="131">
        <v>0.25</v>
      </c>
      <c r="J91" s="131">
        <v>0.91666666666666663</v>
      </c>
      <c r="K91" s="131">
        <v>0.29166666666666669</v>
      </c>
      <c r="L91" s="131">
        <v>0.55208333333333337</v>
      </c>
      <c r="M91" s="33" t="s">
        <v>46</v>
      </c>
      <c r="N91" s="33">
        <v>60</v>
      </c>
      <c r="O91" s="123">
        <v>45408</v>
      </c>
      <c r="P91" s="123">
        <v>45410</v>
      </c>
      <c r="Q91" s="34">
        <v>75</v>
      </c>
      <c r="R91" s="33">
        <v>15</v>
      </c>
      <c r="S91" s="34">
        <v>8</v>
      </c>
      <c r="T91" s="34">
        <v>2</v>
      </c>
      <c r="U91" s="33">
        <v>240</v>
      </c>
      <c r="V91" s="38" t="s">
        <v>827</v>
      </c>
      <c r="W91" s="39">
        <v>0.25</v>
      </c>
      <c r="X91" s="40" t="s">
        <v>304</v>
      </c>
      <c r="Y91" s="40" t="s">
        <v>284</v>
      </c>
      <c r="Z91" s="40" t="s">
        <v>305</v>
      </c>
      <c r="AA91" s="33" t="s">
        <v>771</v>
      </c>
      <c r="AB91" s="95"/>
      <c r="AC91" s="95"/>
    </row>
    <row r="92" spans="1:29" x14ac:dyDescent="0.25">
      <c r="A92" s="36" t="s">
        <v>134</v>
      </c>
      <c r="B92" t="s">
        <v>135</v>
      </c>
      <c r="C92" s="36" t="s">
        <v>51</v>
      </c>
      <c r="D92" s="36" t="s">
        <v>530</v>
      </c>
      <c r="E92" s="37" t="s">
        <v>303</v>
      </c>
      <c r="F92" s="41">
        <v>17</v>
      </c>
      <c r="G92" s="41">
        <v>4</v>
      </c>
      <c r="I92" s="131">
        <v>0.22222222222222221</v>
      </c>
      <c r="J92" s="131">
        <v>0.89583333333333337</v>
      </c>
      <c r="K92" s="131">
        <v>0.3125</v>
      </c>
      <c r="L92" s="131">
        <v>0.55208333333333337</v>
      </c>
      <c r="M92" s="33" t="s">
        <v>46</v>
      </c>
      <c r="N92" s="33">
        <v>40</v>
      </c>
      <c r="O92" s="123">
        <v>45403</v>
      </c>
      <c r="P92" s="123">
        <v>45404</v>
      </c>
      <c r="Q92" s="34">
        <v>70</v>
      </c>
      <c r="R92" s="33">
        <v>30</v>
      </c>
      <c r="S92" s="34">
        <v>0.3</v>
      </c>
      <c r="T92" s="34">
        <v>1</v>
      </c>
      <c r="U92" s="33">
        <v>9</v>
      </c>
      <c r="V92" s="38" t="s">
        <v>827</v>
      </c>
      <c r="W92" s="39">
        <v>0.75</v>
      </c>
      <c r="X92" s="40" t="s">
        <v>304</v>
      </c>
      <c r="Y92" s="40" t="s">
        <v>284</v>
      </c>
      <c r="Z92" s="40" t="s">
        <v>307</v>
      </c>
      <c r="AA92" s="33" t="s">
        <v>414</v>
      </c>
      <c r="AB92" s="95"/>
      <c r="AC92" s="95"/>
    </row>
    <row r="93" spans="1:29" x14ac:dyDescent="0.25">
      <c r="A93" s="36" t="s">
        <v>134</v>
      </c>
      <c r="B93" t="s">
        <v>135</v>
      </c>
      <c r="C93" s="36" t="s">
        <v>51</v>
      </c>
      <c r="D93" s="36" t="s">
        <v>530</v>
      </c>
      <c r="E93" s="37" t="s">
        <v>303</v>
      </c>
      <c r="F93" s="41">
        <v>17</v>
      </c>
      <c r="G93" s="41">
        <v>4</v>
      </c>
      <c r="I93" s="131">
        <v>0.22222222222222221</v>
      </c>
      <c r="J93" s="131">
        <v>0.89583333333333337</v>
      </c>
      <c r="K93" s="131">
        <v>0.3125</v>
      </c>
      <c r="L93" s="131">
        <v>0.55208333333333337</v>
      </c>
      <c r="M93" s="33" t="s">
        <v>46</v>
      </c>
      <c r="N93" s="33">
        <v>40</v>
      </c>
      <c r="O93" s="123">
        <v>45404</v>
      </c>
      <c r="P93" s="123">
        <v>45405</v>
      </c>
      <c r="Q93" s="34">
        <v>60</v>
      </c>
      <c r="R93" s="33">
        <v>20</v>
      </c>
      <c r="S93" s="34">
        <v>7.8</v>
      </c>
      <c r="T93" s="34">
        <v>1</v>
      </c>
      <c r="U93" s="33">
        <v>156</v>
      </c>
      <c r="V93" s="38" t="s">
        <v>827</v>
      </c>
      <c r="W93" s="39">
        <v>0.5</v>
      </c>
      <c r="X93" s="40" t="s">
        <v>304</v>
      </c>
      <c r="Y93" s="40" t="s">
        <v>284</v>
      </c>
      <c r="Z93" s="40" t="s">
        <v>311</v>
      </c>
      <c r="AA93" s="33" t="s">
        <v>775</v>
      </c>
      <c r="AB93" s="95"/>
      <c r="AC93" s="95"/>
    </row>
    <row r="94" spans="1:29" x14ac:dyDescent="0.25">
      <c r="A94" s="36" t="s">
        <v>134</v>
      </c>
      <c r="B94" t="s">
        <v>135</v>
      </c>
      <c r="C94" s="36" t="s">
        <v>51</v>
      </c>
      <c r="D94" s="36" t="s">
        <v>530</v>
      </c>
      <c r="E94" s="37" t="s">
        <v>303</v>
      </c>
      <c r="F94" s="41">
        <v>17</v>
      </c>
      <c r="G94" s="41">
        <v>4</v>
      </c>
      <c r="I94" s="131">
        <v>0.22222222222222221</v>
      </c>
      <c r="J94" s="131">
        <v>0.89583333333333337</v>
      </c>
      <c r="K94" s="131">
        <v>0.3125</v>
      </c>
      <c r="L94" s="131">
        <v>0.55208333333333337</v>
      </c>
      <c r="M94" s="33" t="s">
        <v>46</v>
      </c>
      <c r="N94" s="33">
        <v>40</v>
      </c>
      <c r="O94" s="123">
        <v>45406</v>
      </c>
      <c r="P94" s="123">
        <v>45407</v>
      </c>
      <c r="Q94" s="34">
        <v>60</v>
      </c>
      <c r="R94" s="33">
        <v>20</v>
      </c>
      <c r="S94" s="34">
        <v>7.8</v>
      </c>
      <c r="T94" s="34">
        <v>1</v>
      </c>
      <c r="U94" s="33">
        <v>156</v>
      </c>
      <c r="V94" s="38" t="s">
        <v>827</v>
      </c>
      <c r="W94" s="39">
        <v>0.5</v>
      </c>
      <c r="X94" s="40" t="s">
        <v>304</v>
      </c>
      <c r="Y94" s="40" t="s">
        <v>284</v>
      </c>
      <c r="Z94" s="40" t="s">
        <v>311</v>
      </c>
      <c r="AA94" s="33" t="s">
        <v>775</v>
      </c>
      <c r="AB94" s="95"/>
      <c r="AC94" s="95"/>
    </row>
    <row r="95" spans="1:29" x14ac:dyDescent="0.25">
      <c r="A95" s="36" t="s">
        <v>250</v>
      </c>
      <c r="B95" t="s">
        <v>251</v>
      </c>
      <c r="C95" s="36" t="s">
        <v>51</v>
      </c>
      <c r="D95" s="36" t="s">
        <v>533</v>
      </c>
      <c r="E95" s="37" t="s">
        <v>303</v>
      </c>
      <c r="F95" s="41">
        <v>17</v>
      </c>
      <c r="G95" s="41">
        <v>4</v>
      </c>
      <c r="I95" s="131">
        <v>0.1875</v>
      </c>
      <c r="J95" s="131">
        <v>0.89583333333333337</v>
      </c>
      <c r="K95" s="131">
        <v>0.22916666666666666</v>
      </c>
      <c r="L95" s="131">
        <v>0.8125</v>
      </c>
      <c r="M95" s="33" t="s">
        <v>46</v>
      </c>
      <c r="N95" s="33">
        <v>80</v>
      </c>
      <c r="O95" s="123">
        <v>45403</v>
      </c>
      <c r="P95" s="123">
        <v>45407</v>
      </c>
      <c r="Q95" s="34">
        <v>105</v>
      </c>
      <c r="R95" s="33">
        <v>25</v>
      </c>
      <c r="S95" s="34">
        <v>0.5</v>
      </c>
      <c r="T95" s="34">
        <v>4</v>
      </c>
      <c r="U95" s="33">
        <v>50</v>
      </c>
      <c r="V95" s="38" t="s">
        <v>827</v>
      </c>
      <c r="W95" s="39">
        <v>0.3125</v>
      </c>
      <c r="X95" s="40" t="s">
        <v>304</v>
      </c>
      <c r="Y95" s="40" t="s">
        <v>284</v>
      </c>
      <c r="Z95" s="40" t="s">
        <v>305</v>
      </c>
      <c r="AA95" s="33" t="s">
        <v>771</v>
      </c>
      <c r="AB95" s="95"/>
      <c r="AC95" s="95"/>
    </row>
    <row r="96" spans="1:29" x14ac:dyDescent="0.25">
      <c r="A96" s="36" t="s">
        <v>250</v>
      </c>
      <c r="B96" t="s">
        <v>251</v>
      </c>
      <c r="C96" s="36" t="s">
        <v>51</v>
      </c>
      <c r="D96" s="36" t="s">
        <v>533</v>
      </c>
      <c r="E96" s="37" t="s">
        <v>303</v>
      </c>
      <c r="F96" s="41">
        <v>17</v>
      </c>
      <c r="G96" s="41">
        <v>4</v>
      </c>
      <c r="I96" s="131">
        <v>0.1875</v>
      </c>
      <c r="J96" s="131">
        <v>0.89583333333333337</v>
      </c>
      <c r="K96" s="131">
        <v>0.22916666666666666</v>
      </c>
      <c r="L96" s="131">
        <v>0.8125</v>
      </c>
      <c r="M96" s="33" t="s">
        <v>46</v>
      </c>
      <c r="N96" s="33">
        <v>80</v>
      </c>
      <c r="O96" s="123">
        <v>45407</v>
      </c>
      <c r="P96" s="123">
        <v>45409</v>
      </c>
      <c r="Q96" s="34">
        <v>110</v>
      </c>
      <c r="R96" s="33">
        <v>30</v>
      </c>
      <c r="S96" s="34">
        <v>0.5</v>
      </c>
      <c r="T96" s="34">
        <v>2</v>
      </c>
      <c r="U96" s="33">
        <v>30</v>
      </c>
      <c r="V96" s="38" t="s">
        <v>827</v>
      </c>
      <c r="W96" s="39">
        <v>0.375</v>
      </c>
      <c r="X96" s="40" t="s">
        <v>304</v>
      </c>
      <c r="Y96" s="40" t="s">
        <v>284</v>
      </c>
      <c r="Z96" s="40" t="s">
        <v>305</v>
      </c>
      <c r="AA96" s="33" t="s">
        <v>771</v>
      </c>
      <c r="AB96" s="95"/>
      <c r="AC96" s="95"/>
    </row>
    <row r="97" spans="1:29" x14ac:dyDescent="0.25">
      <c r="A97" s="36" t="s">
        <v>250</v>
      </c>
      <c r="B97" t="s">
        <v>251</v>
      </c>
      <c r="C97" s="36" t="s">
        <v>51</v>
      </c>
      <c r="D97" s="36" t="s">
        <v>533</v>
      </c>
      <c r="E97" s="37" t="s">
        <v>303</v>
      </c>
      <c r="F97" s="41">
        <v>17</v>
      </c>
      <c r="G97" s="41">
        <v>4</v>
      </c>
      <c r="I97" s="131">
        <v>0.1875</v>
      </c>
      <c r="J97" s="131">
        <v>0.89583333333333337</v>
      </c>
      <c r="K97" s="131">
        <v>0.22916666666666666</v>
      </c>
      <c r="L97" s="131">
        <v>0.8125</v>
      </c>
      <c r="M97" s="33" t="s">
        <v>46</v>
      </c>
      <c r="N97" s="33">
        <v>80</v>
      </c>
      <c r="O97" s="123">
        <v>45404</v>
      </c>
      <c r="P97" s="123">
        <v>45410</v>
      </c>
      <c r="Q97" s="34">
        <v>125</v>
      </c>
      <c r="R97" s="33">
        <v>45</v>
      </c>
      <c r="S97" s="34">
        <v>0.5</v>
      </c>
      <c r="T97" s="34">
        <v>6</v>
      </c>
      <c r="U97" s="33">
        <v>135</v>
      </c>
      <c r="V97" s="38" t="s">
        <v>827</v>
      </c>
      <c r="W97" s="39">
        <v>0.5625</v>
      </c>
      <c r="X97" s="40" t="s">
        <v>304</v>
      </c>
      <c r="Y97" s="40" t="s">
        <v>284</v>
      </c>
      <c r="Z97" s="40" t="s">
        <v>307</v>
      </c>
      <c r="AA97" s="33" t="s">
        <v>313</v>
      </c>
      <c r="AB97" s="95"/>
      <c r="AC97" s="95"/>
    </row>
    <row r="98" spans="1:29" x14ac:dyDescent="0.25">
      <c r="A98" s="36" t="s">
        <v>157</v>
      </c>
      <c r="B98" t="s">
        <v>158</v>
      </c>
      <c r="C98" s="36" t="s">
        <v>51</v>
      </c>
      <c r="D98" s="36" t="s">
        <v>533</v>
      </c>
      <c r="E98" s="37" t="s">
        <v>303</v>
      </c>
      <c r="F98" s="41">
        <v>17</v>
      </c>
      <c r="G98" s="41">
        <v>4</v>
      </c>
      <c r="I98" s="131">
        <v>0.22916666666666666</v>
      </c>
      <c r="J98" s="131">
        <v>0.875</v>
      </c>
      <c r="K98" s="131">
        <v>0.29166666666666669</v>
      </c>
      <c r="L98" s="131">
        <v>0.83333333333333337</v>
      </c>
      <c r="M98" s="33" t="s">
        <v>46</v>
      </c>
      <c r="N98" s="33">
        <v>70</v>
      </c>
      <c r="O98" s="123">
        <v>45403</v>
      </c>
      <c r="P98" s="123">
        <v>45404</v>
      </c>
      <c r="Q98" s="34">
        <v>105</v>
      </c>
      <c r="R98" s="33">
        <v>35</v>
      </c>
      <c r="S98" s="34">
        <v>8.5</v>
      </c>
      <c r="T98" s="34">
        <v>1</v>
      </c>
      <c r="U98" s="33">
        <v>297.5</v>
      </c>
      <c r="V98" s="38" t="s">
        <v>827</v>
      </c>
      <c r="W98" s="39">
        <v>0.5</v>
      </c>
      <c r="X98" s="40" t="s">
        <v>304</v>
      </c>
      <c r="Y98" s="40" t="s">
        <v>284</v>
      </c>
      <c r="Z98" s="40" t="s">
        <v>305</v>
      </c>
      <c r="AA98" s="33" t="s">
        <v>771</v>
      </c>
      <c r="AB98" s="95"/>
      <c r="AC98" s="95"/>
    </row>
    <row r="99" spans="1:29" x14ac:dyDescent="0.25">
      <c r="A99" s="36" t="s">
        <v>157</v>
      </c>
      <c r="B99" t="s">
        <v>158</v>
      </c>
      <c r="C99" s="36" t="s">
        <v>51</v>
      </c>
      <c r="D99" s="36" t="s">
        <v>533</v>
      </c>
      <c r="E99" s="37" t="s">
        <v>303</v>
      </c>
      <c r="F99" s="41">
        <v>17</v>
      </c>
      <c r="G99" s="41">
        <v>4</v>
      </c>
      <c r="I99" s="131">
        <v>0.22916666666666666</v>
      </c>
      <c r="J99" s="131">
        <v>0.875</v>
      </c>
      <c r="K99" s="131">
        <v>0.29166666666666669</v>
      </c>
      <c r="L99" s="131">
        <v>0.83333333333333337</v>
      </c>
      <c r="M99" s="33" t="s">
        <v>46</v>
      </c>
      <c r="N99" s="33">
        <v>70</v>
      </c>
      <c r="O99" s="123">
        <v>45404</v>
      </c>
      <c r="P99" s="123">
        <v>45410</v>
      </c>
      <c r="Q99" s="34">
        <v>140</v>
      </c>
      <c r="R99" s="33">
        <v>70</v>
      </c>
      <c r="S99" s="34">
        <v>0.5</v>
      </c>
      <c r="T99" s="34">
        <v>6</v>
      </c>
      <c r="U99" s="33">
        <v>210</v>
      </c>
      <c r="V99" s="38" t="s">
        <v>827</v>
      </c>
      <c r="W99" s="39">
        <v>1</v>
      </c>
      <c r="X99" s="40" t="s">
        <v>304</v>
      </c>
      <c r="Y99" s="40" t="s">
        <v>284</v>
      </c>
      <c r="Z99" s="40" t="s">
        <v>307</v>
      </c>
      <c r="AA99" s="33" t="s">
        <v>313</v>
      </c>
      <c r="AB99" s="95"/>
      <c r="AC99" s="95"/>
    </row>
    <row r="100" spans="1:29" x14ac:dyDescent="0.25">
      <c r="A100" s="36" t="s">
        <v>157</v>
      </c>
      <c r="B100" t="s">
        <v>158</v>
      </c>
      <c r="C100" s="36" t="s">
        <v>51</v>
      </c>
      <c r="D100" s="36" t="s">
        <v>533</v>
      </c>
      <c r="E100" s="37" t="s">
        <v>303</v>
      </c>
      <c r="F100" s="41">
        <v>17</v>
      </c>
      <c r="G100" s="41">
        <v>4</v>
      </c>
      <c r="I100" s="131">
        <v>0.22916666666666666</v>
      </c>
      <c r="J100" s="131">
        <v>0.875</v>
      </c>
      <c r="K100" s="131">
        <v>0.29166666666666669</v>
      </c>
      <c r="L100" s="131">
        <v>0.83333333333333337</v>
      </c>
      <c r="M100" s="33" t="s">
        <v>46</v>
      </c>
      <c r="N100" s="33">
        <v>70</v>
      </c>
      <c r="O100" s="123">
        <v>45404</v>
      </c>
      <c r="P100" s="123">
        <v>45409</v>
      </c>
      <c r="Q100" s="34">
        <v>95</v>
      </c>
      <c r="R100" s="33">
        <v>25</v>
      </c>
      <c r="S100" s="34">
        <v>8</v>
      </c>
      <c r="T100" s="34">
        <v>5</v>
      </c>
      <c r="U100" s="33">
        <v>1000</v>
      </c>
      <c r="V100" s="38" t="s">
        <v>827</v>
      </c>
      <c r="W100" s="39">
        <v>0.35714285714285715</v>
      </c>
      <c r="X100" s="40" t="s">
        <v>304</v>
      </c>
      <c r="Y100" s="40" t="s">
        <v>284</v>
      </c>
      <c r="Z100" s="40" t="s">
        <v>305</v>
      </c>
      <c r="AA100" s="33" t="s">
        <v>771</v>
      </c>
      <c r="AB100" s="95"/>
      <c r="AC100" s="95"/>
    </row>
    <row r="101" spans="1:29" x14ac:dyDescent="0.25">
      <c r="A101" s="36" t="s">
        <v>157</v>
      </c>
      <c r="B101" t="s">
        <v>158</v>
      </c>
      <c r="C101" s="36" t="s">
        <v>51</v>
      </c>
      <c r="D101" s="36" t="s">
        <v>533</v>
      </c>
      <c r="E101" s="37" t="s">
        <v>303</v>
      </c>
      <c r="F101" s="41">
        <v>17</v>
      </c>
      <c r="G101" s="41">
        <v>4</v>
      </c>
      <c r="I101" s="131">
        <v>0.22916666666666666</v>
      </c>
      <c r="J101" s="131">
        <v>0.875</v>
      </c>
      <c r="K101" s="131">
        <v>0.29166666666666669</v>
      </c>
      <c r="L101" s="131">
        <v>0.83333333333333337</v>
      </c>
      <c r="M101" s="33" t="s">
        <v>46</v>
      </c>
      <c r="N101" s="33">
        <v>70</v>
      </c>
      <c r="O101" s="123">
        <v>45409</v>
      </c>
      <c r="P101" s="123">
        <v>45410</v>
      </c>
      <c r="Q101" s="34">
        <v>95</v>
      </c>
      <c r="R101" s="33">
        <v>25</v>
      </c>
      <c r="S101" s="34">
        <v>9.5</v>
      </c>
      <c r="T101" s="34">
        <v>1</v>
      </c>
      <c r="U101" s="33">
        <v>237.5</v>
      </c>
      <c r="V101" s="38" t="s">
        <v>827</v>
      </c>
      <c r="W101" s="39">
        <v>0.35714285714285715</v>
      </c>
      <c r="X101" s="40" t="s">
        <v>304</v>
      </c>
      <c r="Y101" s="40" t="s">
        <v>284</v>
      </c>
      <c r="Z101" s="40" t="s">
        <v>305</v>
      </c>
      <c r="AA101" s="33" t="s">
        <v>771</v>
      </c>
      <c r="AB101" s="95"/>
      <c r="AC101" s="95" t="s">
        <v>858</v>
      </c>
    </row>
    <row r="102" spans="1:29" x14ac:dyDescent="0.25">
      <c r="A102" s="36" t="s">
        <v>146</v>
      </c>
      <c r="B102" t="s">
        <v>147</v>
      </c>
      <c r="C102" s="36" t="s">
        <v>51</v>
      </c>
      <c r="D102" s="36" t="s">
        <v>530</v>
      </c>
      <c r="E102" s="37" t="s">
        <v>303</v>
      </c>
      <c r="F102" s="41">
        <v>17</v>
      </c>
      <c r="G102" s="41">
        <v>4</v>
      </c>
      <c r="I102" s="131">
        <v>0.24305555555555555</v>
      </c>
      <c r="J102" s="131">
        <v>0.9375</v>
      </c>
      <c r="K102" s="131" t="s">
        <v>148</v>
      </c>
      <c r="L102" s="131" t="s">
        <v>148</v>
      </c>
      <c r="M102" s="33" t="s">
        <v>46</v>
      </c>
      <c r="N102" s="33">
        <v>110</v>
      </c>
      <c r="O102" s="123">
        <v>45403</v>
      </c>
      <c r="P102" s="123">
        <v>45405</v>
      </c>
      <c r="Q102" s="34">
        <v>125</v>
      </c>
      <c r="R102" s="33">
        <v>15</v>
      </c>
      <c r="S102" s="34">
        <v>7</v>
      </c>
      <c r="T102" s="34">
        <v>2</v>
      </c>
      <c r="U102" s="33">
        <v>210</v>
      </c>
      <c r="V102" s="38" t="s">
        <v>827</v>
      </c>
      <c r="W102" s="39">
        <v>0.13636363636363635</v>
      </c>
      <c r="X102" s="40" t="s">
        <v>304</v>
      </c>
      <c r="Y102" s="40" t="s">
        <v>284</v>
      </c>
      <c r="Z102" s="40" t="s">
        <v>305</v>
      </c>
      <c r="AA102" s="33" t="s">
        <v>771</v>
      </c>
      <c r="AB102" s="95"/>
      <c r="AC102" s="95"/>
    </row>
    <row r="103" spans="1:29" x14ac:dyDescent="0.25">
      <c r="A103" s="36" t="s">
        <v>261</v>
      </c>
      <c r="B103" t="s">
        <v>262</v>
      </c>
      <c r="C103" s="36" t="s">
        <v>51</v>
      </c>
      <c r="D103" s="36" t="s">
        <v>533</v>
      </c>
      <c r="E103" s="37" t="s">
        <v>303</v>
      </c>
      <c r="F103" s="41">
        <v>17</v>
      </c>
      <c r="G103" s="41">
        <v>4</v>
      </c>
      <c r="I103" s="131">
        <v>0.20138888888888887</v>
      </c>
      <c r="J103" s="131">
        <v>0.92708333333333337</v>
      </c>
      <c r="K103" s="131">
        <v>0.2638888888888889</v>
      </c>
      <c r="L103" s="131">
        <v>0.5625</v>
      </c>
      <c r="M103" s="33" t="s">
        <v>46</v>
      </c>
      <c r="N103" s="33">
        <v>80</v>
      </c>
      <c r="O103" s="123">
        <v>45403</v>
      </c>
      <c r="P103" s="123">
        <v>45409</v>
      </c>
      <c r="Q103" s="34">
        <v>165</v>
      </c>
      <c r="R103" s="33">
        <v>85</v>
      </c>
      <c r="S103" s="34">
        <v>0.6</v>
      </c>
      <c r="T103" s="34">
        <v>6</v>
      </c>
      <c r="U103" s="33">
        <v>306</v>
      </c>
      <c r="V103" s="38" t="s">
        <v>827</v>
      </c>
      <c r="W103" s="39">
        <v>1.0625</v>
      </c>
      <c r="X103" s="40" t="s">
        <v>304</v>
      </c>
      <c r="Y103" s="40" t="s">
        <v>284</v>
      </c>
      <c r="Z103" s="40" t="s">
        <v>311</v>
      </c>
      <c r="AA103" s="33" t="s">
        <v>775</v>
      </c>
      <c r="AB103" s="95"/>
      <c r="AC103" s="95"/>
    </row>
    <row r="104" spans="1:29" x14ac:dyDescent="0.25">
      <c r="A104" s="36" t="s">
        <v>261</v>
      </c>
      <c r="B104" t="s">
        <v>262</v>
      </c>
      <c r="C104" s="36" t="s">
        <v>51</v>
      </c>
      <c r="D104" s="36" t="s">
        <v>533</v>
      </c>
      <c r="E104" s="37" t="s">
        <v>303</v>
      </c>
      <c r="F104" s="41">
        <v>17</v>
      </c>
      <c r="G104" s="41">
        <v>4</v>
      </c>
      <c r="I104" s="131">
        <v>0.20138888888888887</v>
      </c>
      <c r="J104" s="131">
        <v>0.92708333333333337</v>
      </c>
      <c r="K104" s="131">
        <v>0.2638888888888889</v>
      </c>
      <c r="L104" s="131">
        <v>0.5625</v>
      </c>
      <c r="M104" s="33" t="s">
        <v>46</v>
      </c>
      <c r="N104" s="33">
        <v>80</v>
      </c>
      <c r="O104" s="123">
        <v>45409</v>
      </c>
      <c r="P104" s="123">
        <v>45410</v>
      </c>
      <c r="Q104" s="34">
        <v>165</v>
      </c>
      <c r="R104" s="33">
        <v>85</v>
      </c>
      <c r="S104" s="34">
        <v>6</v>
      </c>
      <c r="T104" s="34">
        <v>1</v>
      </c>
      <c r="U104" s="33">
        <v>510</v>
      </c>
      <c r="V104" s="38" t="s">
        <v>827</v>
      </c>
      <c r="W104" s="39">
        <v>1.0625</v>
      </c>
      <c r="X104" s="40" t="s">
        <v>304</v>
      </c>
      <c r="Y104" s="40" t="s">
        <v>284</v>
      </c>
      <c r="Z104" s="40" t="s">
        <v>311</v>
      </c>
      <c r="AA104" s="33" t="s">
        <v>775</v>
      </c>
      <c r="AB104" s="95"/>
      <c r="AC104" s="95"/>
    </row>
    <row r="105" spans="1:29" x14ac:dyDescent="0.25">
      <c r="A105" s="36" t="s">
        <v>234</v>
      </c>
      <c r="B105" t="s">
        <v>235</v>
      </c>
      <c r="C105" s="36" t="s">
        <v>51</v>
      </c>
      <c r="D105" s="36" t="s">
        <v>530</v>
      </c>
      <c r="E105" s="37" t="s">
        <v>303</v>
      </c>
      <c r="F105" s="41">
        <v>17</v>
      </c>
      <c r="G105" s="41">
        <v>4</v>
      </c>
      <c r="I105" s="131">
        <v>0.24305555555555555</v>
      </c>
      <c r="J105" s="131">
        <v>0.875</v>
      </c>
      <c r="K105" s="131">
        <v>0.28472222222222221</v>
      </c>
      <c r="L105" s="131">
        <v>0.55208333333333337</v>
      </c>
      <c r="M105" s="33" t="s">
        <v>46</v>
      </c>
      <c r="N105" s="33">
        <v>50</v>
      </c>
      <c r="O105" s="123">
        <v>45403</v>
      </c>
      <c r="P105" s="123">
        <v>45409</v>
      </c>
      <c r="Q105" s="34">
        <v>60</v>
      </c>
      <c r="R105" s="33">
        <v>10</v>
      </c>
      <c r="S105" s="34">
        <v>8.3000000000000007</v>
      </c>
      <c r="T105" s="34">
        <v>6</v>
      </c>
      <c r="U105" s="33">
        <v>498</v>
      </c>
      <c r="V105" s="38" t="s">
        <v>827</v>
      </c>
      <c r="W105" s="39">
        <v>0.2</v>
      </c>
      <c r="X105" s="40" t="s">
        <v>304</v>
      </c>
      <c r="Y105" s="40" t="s">
        <v>284</v>
      </c>
      <c r="Z105" s="40" t="s">
        <v>305</v>
      </c>
      <c r="AA105" s="33" t="s">
        <v>771</v>
      </c>
      <c r="AB105" s="95"/>
      <c r="AC105" s="95"/>
    </row>
    <row r="106" spans="1:29" x14ac:dyDescent="0.25">
      <c r="A106" s="36" t="s">
        <v>234</v>
      </c>
      <c r="B106" t="s">
        <v>235</v>
      </c>
      <c r="C106" s="36" t="s">
        <v>51</v>
      </c>
      <c r="D106" s="36" t="s">
        <v>530</v>
      </c>
      <c r="E106" s="37" t="s">
        <v>303</v>
      </c>
      <c r="F106" s="41">
        <v>17</v>
      </c>
      <c r="G106" s="41">
        <v>4</v>
      </c>
      <c r="I106" s="131">
        <v>0.24305555555555555</v>
      </c>
      <c r="J106" s="131">
        <v>0.875</v>
      </c>
      <c r="K106" s="131">
        <v>0.28472222222222221</v>
      </c>
      <c r="L106" s="131">
        <v>0.55208333333333337</v>
      </c>
      <c r="M106" s="33" t="s">
        <v>46</v>
      </c>
      <c r="N106" s="33">
        <v>50</v>
      </c>
      <c r="O106" s="123">
        <v>45403</v>
      </c>
      <c r="P106" s="123">
        <v>45409</v>
      </c>
      <c r="Q106" s="34">
        <v>80</v>
      </c>
      <c r="R106" s="33">
        <v>30</v>
      </c>
      <c r="S106" s="34">
        <v>0.5</v>
      </c>
      <c r="T106" s="34">
        <v>6</v>
      </c>
      <c r="U106" s="33">
        <v>90</v>
      </c>
      <c r="V106" s="38" t="s">
        <v>827</v>
      </c>
      <c r="W106" s="39">
        <v>0.6</v>
      </c>
      <c r="X106" s="40" t="s">
        <v>304</v>
      </c>
      <c r="Y106" s="40" t="s">
        <v>284</v>
      </c>
      <c r="Z106" s="40" t="s">
        <v>307</v>
      </c>
      <c r="AA106" s="33" t="s">
        <v>414</v>
      </c>
      <c r="AB106" s="95"/>
      <c r="AC106" s="95"/>
    </row>
    <row r="107" spans="1:29" x14ac:dyDescent="0.25">
      <c r="A107" s="36" t="s">
        <v>234</v>
      </c>
      <c r="B107" t="s">
        <v>235</v>
      </c>
      <c r="C107" s="36" t="s">
        <v>51</v>
      </c>
      <c r="D107" s="36" t="s">
        <v>530</v>
      </c>
      <c r="E107" s="37" t="s">
        <v>303</v>
      </c>
      <c r="F107" s="41">
        <v>17</v>
      </c>
      <c r="G107" s="41">
        <v>4</v>
      </c>
      <c r="I107" s="131">
        <v>0.24305555555555555</v>
      </c>
      <c r="J107" s="131">
        <v>0.875</v>
      </c>
      <c r="K107" s="131">
        <v>0.28472222222222221</v>
      </c>
      <c r="L107" s="131">
        <v>0.55208333333333337</v>
      </c>
      <c r="M107" s="33" t="s">
        <v>46</v>
      </c>
      <c r="N107" s="33">
        <v>50</v>
      </c>
      <c r="O107" s="123">
        <v>45409</v>
      </c>
      <c r="P107" s="123">
        <v>45410</v>
      </c>
      <c r="Q107" s="34">
        <v>55</v>
      </c>
      <c r="R107" s="33">
        <v>5</v>
      </c>
      <c r="S107" s="34">
        <v>9.8000000000000007</v>
      </c>
      <c r="T107" s="34">
        <v>1</v>
      </c>
      <c r="U107" s="33">
        <v>49</v>
      </c>
      <c r="V107" s="38" t="s">
        <v>827</v>
      </c>
      <c r="W107" s="39">
        <v>0.1</v>
      </c>
      <c r="X107" s="40" t="s">
        <v>304</v>
      </c>
      <c r="Y107" s="40" t="s">
        <v>284</v>
      </c>
      <c r="Z107" s="40" t="s">
        <v>305</v>
      </c>
      <c r="AA107" s="33" t="s">
        <v>771</v>
      </c>
      <c r="AB107" s="95"/>
      <c r="AC107" s="95"/>
    </row>
    <row r="108" spans="1:29" x14ac:dyDescent="0.25">
      <c r="A108" s="36" t="s">
        <v>228</v>
      </c>
      <c r="B108" t="s">
        <v>31</v>
      </c>
      <c r="C108" s="36" t="s">
        <v>51</v>
      </c>
      <c r="D108" s="36" t="s">
        <v>533</v>
      </c>
      <c r="E108" s="37" t="s">
        <v>303</v>
      </c>
      <c r="F108" s="41">
        <v>17</v>
      </c>
      <c r="G108" s="41">
        <v>4</v>
      </c>
      <c r="I108" s="131">
        <v>0.26041666666666669</v>
      </c>
      <c r="J108" s="131">
        <v>0.92708333333333337</v>
      </c>
      <c r="K108" s="131">
        <v>0.27777777777777779</v>
      </c>
      <c r="L108" s="131">
        <v>0.59375</v>
      </c>
      <c r="M108" s="33" t="s">
        <v>46</v>
      </c>
      <c r="N108" s="33">
        <v>65</v>
      </c>
      <c r="O108" s="123">
        <v>45403</v>
      </c>
      <c r="P108" s="123">
        <v>45404</v>
      </c>
      <c r="Q108" s="34">
        <v>100</v>
      </c>
      <c r="R108" s="33">
        <v>35</v>
      </c>
      <c r="S108" s="34">
        <v>6</v>
      </c>
      <c r="T108" s="34">
        <v>1</v>
      </c>
      <c r="U108" s="33">
        <v>210</v>
      </c>
      <c r="V108" s="38" t="s">
        <v>827</v>
      </c>
      <c r="W108" s="39">
        <v>0.53846153846153844</v>
      </c>
      <c r="X108" s="40" t="s">
        <v>304</v>
      </c>
      <c r="Y108" s="40" t="s">
        <v>284</v>
      </c>
      <c r="Z108" s="40" t="s">
        <v>305</v>
      </c>
      <c r="AA108" s="33" t="s">
        <v>771</v>
      </c>
      <c r="AB108" s="95"/>
      <c r="AC108" s="95"/>
    </row>
    <row r="109" spans="1:29" x14ac:dyDescent="0.25">
      <c r="A109" s="36" t="s">
        <v>228</v>
      </c>
      <c r="B109" t="s">
        <v>31</v>
      </c>
      <c r="C109" s="36" t="s">
        <v>51</v>
      </c>
      <c r="D109" s="36" t="s">
        <v>533</v>
      </c>
      <c r="E109" s="37" t="s">
        <v>303</v>
      </c>
      <c r="F109" s="41">
        <v>17</v>
      </c>
      <c r="G109" s="41">
        <v>4</v>
      </c>
      <c r="I109" s="131">
        <v>0.26041666666666669</v>
      </c>
      <c r="J109" s="131">
        <v>0.92708333333333337</v>
      </c>
      <c r="K109" s="131">
        <v>0.27777777777777779</v>
      </c>
      <c r="L109" s="131">
        <v>0.59375</v>
      </c>
      <c r="M109" s="33" t="s">
        <v>46</v>
      </c>
      <c r="N109" s="33">
        <v>65</v>
      </c>
      <c r="O109" s="123">
        <v>45404</v>
      </c>
      <c r="P109" s="123">
        <v>45408</v>
      </c>
      <c r="Q109" s="34">
        <v>75</v>
      </c>
      <c r="R109" s="33">
        <v>10</v>
      </c>
      <c r="S109" s="34">
        <v>0.3</v>
      </c>
      <c r="T109" s="34">
        <v>4</v>
      </c>
      <c r="U109" s="33">
        <v>12</v>
      </c>
      <c r="V109" s="38" t="s">
        <v>827</v>
      </c>
      <c r="W109" s="39">
        <v>0.15384615384615385</v>
      </c>
      <c r="X109" s="40" t="s">
        <v>304</v>
      </c>
      <c r="Y109" s="40" t="s">
        <v>284</v>
      </c>
      <c r="Z109" s="40" t="s">
        <v>305</v>
      </c>
      <c r="AA109" s="33" t="s">
        <v>771</v>
      </c>
      <c r="AB109" s="95"/>
      <c r="AC109" s="95"/>
    </row>
    <row r="110" spans="1:29" x14ac:dyDescent="0.25">
      <c r="A110" s="36" t="s">
        <v>228</v>
      </c>
      <c r="B110" t="s">
        <v>31</v>
      </c>
      <c r="C110" s="36" t="s">
        <v>51</v>
      </c>
      <c r="D110" s="36" t="s">
        <v>533</v>
      </c>
      <c r="E110" s="37" t="s">
        <v>303</v>
      </c>
      <c r="F110" s="41">
        <v>17</v>
      </c>
      <c r="G110" s="41">
        <v>4</v>
      </c>
      <c r="I110" s="131">
        <v>0.26041666666666669</v>
      </c>
      <c r="J110" s="131">
        <v>0.92708333333333337</v>
      </c>
      <c r="K110" s="131">
        <v>0.27777777777777779</v>
      </c>
      <c r="L110" s="131">
        <v>0.59375</v>
      </c>
      <c r="M110" s="33" t="s">
        <v>46</v>
      </c>
      <c r="N110" s="33">
        <v>65</v>
      </c>
      <c r="O110" s="123">
        <v>45409</v>
      </c>
      <c r="P110" s="123">
        <v>45410</v>
      </c>
      <c r="Q110" s="34">
        <v>100</v>
      </c>
      <c r="R110" s="33">
        <v>35</v>
      </c>
      <c r="S110" s="34">
        <v>0.5</v>
      </c>
      <c r="T110" s="34">
        <v>1</v>
      </c>
      <c r="U110" s="33">
        <v>17.5</v>
      </c>
      <c r="V110" s="38" t="s">
        <v>827</v>
      </c>
      <c r="W110" s="39">
        <v>0.53846153846153844</v>
      </c>
      <c r="X110" s="40" t="s">
        <v>304</v>
      </c>
      <c r="Y110" s="40" t="s">
        <v>284</v>
      </c>
      <c r="Z110" s="40" t="s">
        <v>305</v>
      </c>
      <c r="AA110" s="33" t="s">
        <v>771</v>
      </c>
      <c r="AB110" s="95"/>
      <c r="AC110" s="95"/>
    </row>
    <row r="111" spans="1:29" x14ac:dyDescent="0.25">
      <c r="A111" s="36" t="s">
        <v>181</v>
      </c>
      <c r="B111" t="s">
        <v>26</v>
      </c>
      <c r="C111" s="36" t="s">
        <v>51</v>
      </c>
      <c r="D111" s="36" t="s">
        <v>533</v>
      </c>
      <c r="E111" s="37" t="s">
        <v>303</v>
      </c>
      <c r="F111" s="41">
        <v>17</v>
      </c>
      <c r="G111" s="41">
        <v>4</v>
      </c>
      <c r="I111" s="131">
        <v>0.20138888888888887</v>
      </c>
      <c r="J111" s="131">
        <v>0.85416666666666663</v>
      </c>
      <c r="K111" s="131">
        <v>0.20833333333333334</v>
      </c>
      <c r="L111" s="131">
        <v>0.54166666666666663</v>
      </c>
      <c r="M111" s="33" t="s">
        <v>46</v>
      </c>
      <c r="N111" s="33">
        <v>35</v>
      </c>
      <c r="O111" s="123">
        <v>45407</v>
      </c>
      <c r="P111" s="123">
        <v>45408</v>
      </c>
      <c r="Q111" s="34">
        <v>45</v>
      </c>
      <c r="R111" s="33">
        <v>10</v>
      </c>
      <c r="S111" s="34">
        <v>8</v>
      </c>
      <c r="T111" s="34">
        <v>1</v>
      </c>
      <c r="U111" s="33">
        <v>80</v>
      </c>
      <c r="V111" s="38" t="s">
        <v>827</v>
      </c>
      <c r="W111" s="39">
        <v>0.2857142857142857</v>
      </c>
      <c r="X111" s="40" t="s">
        <v>304</v>
      </c>
      <c r="Y111" s="40" t="s">
        <v>283</v>
      </c>
      <c r="Z111" s="40" t="s">
        <v>749</v>
      </c>
      <c r="AA111" s="33" t="s">
        <v>749</v>
      </c>
      <c r="AB111" s="95"/>
      <c r="AC111" s="95"/>
    </row>
    <row r="112" spans="1:29" x14ac:dyDescent="0.25">
      <c r="A112" s="36" t="s">
        <v>181</v>
      </c>
      <c r="B112" t="s">
        <v>26</v>
      </c>
      <c r="C112" s="36" t="s">
        <v>51</v>
      </c>
      <c r="D112" s="36" t="s">
        <v>533</v>
      </c>
      <c r="E112" s="37" t="s">
        <v>303</v>
      </c>
      <c r="F112" s="41">
        <v>17</v>
      </c>
      <c r="G112" s="41">
        <v>4</v>
      </c>
      <c r="I112" s="131">
        <v>0.20138888888888887</v>
      </c>
      <c r="J112" s="131">
        <v>0.85416666666666663</v>
      </c>
      <c r="K112" s="131">
        <v>0.20833333333333334</v>
      </c>
      <c r="L112" s="131">
        <v>0.54166666666666663</v>
      </c>
      <c r="M112" s="33" t="s">
        <v>46</v>
      </c>
      <c r="N112" s="33">
        <v>35</v>
      </c>
      <c r="O112" s="123">
        <v>45409</v>
      </c>
      <c r="P112" s="123">
        <v>45410</v>
      </c>
      <c r="Q112" s="34">
        <v>45</v>
      </c>
      <c r="R112" s="33">
        <v>10</v>
      </c>
      <c r="S112" s="34">
        <v>3</v>
      </c>
      <c r="T112" s="34">
        <v>1</v>
      </c>
      <c r="U112" s="33">
        <v>30</v>
      </c>
      <c r="V112" s="38" t="s">
        <v>827</v>
      </c>
      <c r="W112" s="39">
        <v>0.2857142857142857</v>
      </c>
      <c r="X112" s="40" t="s">
        <v>304</v>
      </c>
      <c r="Y112" s="40" t="s">
        <v>283</v>
      </c>
      <c r="Z112" s="40" t="s">
        <v>749</v>
      </c>
      <c r="AA112" s="33" t="s">
        <v>749</v>
      </c>
      <c r="AB112" s="95"/>
      <c r="AC112" s="95"/>
    </row>
    <row r="113" spans="1:29" x14ac:dyDescent="0.25">
      <c r="A113" s="36" t="s">
        <v>170</v>
      </c>
      <c r="B113" t="s">
        <v>23</v>
      </c>
      <c r="C113" s="36" t="s">
        <v>51</v>
      </c>
      <c r="D113" s="36" t="s">
        <v>533</v>
      </c>
      <c r="E113" s="37" t="s">
        <v>303</v>
      </c>
      <c r="F113" s="41">
        <v>17</v>
      </c>
      <c r="G113" s="41">
        <v>4</v>
      </c>
      <c r="I113" s="131">
        <v>0.20138888888888887</v>
      </c>
      <c r="J113" s="131">
        <v>0.875</v>
      </c>
      <c r="K113" s="131">
        <v>0.24305555555555555</v>
      </c>
      <c r="L113" s="131">
        <v>0.83333333333333337</v>
      </c>
      <c r="M113" s="33" t="s">
        <v>46</v>
      </c>
      <c r="N113" s="33">
        <v>35</v>
      </c>
      <c r="O113" s="123">
        <v>45406</v>
      </c>
      <c r="P113" s="123">
        <v>45408</v>
      </c>
      <c r="Q113" s="34">
        <v>60</v>
      </c>
      <c r="R113" s="33">
        <v>25</v>
      </c>
      <c r="S113" s="34">
        <v>3</v>
      </c>
      <c r="T113" s="34">
        <v>2</v>
      </c>
      <c r="U113" s="33">
        <v>150</v>
      </c>
      <c r="V113" s="38" t="s">
        <v>827</v>
      </c>
      <c r="W113" s="39">
        <v>0.7142857142857143</v>
      </c>
      <c r="X113" s="40" t="s">
        <v>304</v>
      </c>
      <c r="Y113" s="40" t="s">
        <v>283</v>
      </c>
      <c r="Z113" s="40" t="s">
        <v>749</v>
      </c>
      <c r="AA113" s="33" t="s">
        <v>749</v>
      </c>
      <c r="AB113" s="95"/>
      <c r="AC113" s="95" t="s">
        <v>859</v>
      </c>
    </row>
    <row r="114" spans="1:29" x14ac:dyDescent="0.25">
      <c r="A114" s="36" t="s">
        <v>170</v>
      </c>
      <c r="B114" t="s">
        <v>23</v>
      </c>
      <c r="C114" s="36" t="s">
        <v>51</v>
      </c>
      <c r="D114" s="36" t="s">
        <v>533</v>
      </c>
      <c r="E114" s="37" t="s">
        <v>303</v>
      </c>
      <c r="F114" s="41">
        <v>17</v>
      </c>
      <c r="G114" s="41">
        <v>4</v>
      </c>
      <c r="I114" s="131">
        <v>0.20138888888888887</v>
      </c>
      <c r="J114" s="131">
        <v>0.875</v>
      </c>
      <c r="K114" s="131">
        <v>0.24305555555555555</v>
      </c>
      <c r="L114" s="131">
        <v>0.83333333333333337</v>
      </c>
      <c r="M114" s="33" t="s">
        <v>46</v>
      </c>
      <c r="N114" s="33">
        <v>35</v>
      </c>
      <c r="O114" s="123">
        <v>45408</v>
      </c>
      <c r="P114" s="123">
        <v>45410</v>
      </c>
      <c r="Q114" s="34">
        <v>40</v>
      </c>
      <c r="R114" s="33">
        <v>5</v>
      </c>
      <c r="S114" s="34">
        <v>2</v>
      </c>
      <c r="T114" s="34">
        <v>2</v>
      </c>
      <c r="U114" s="33">
        <v>20</v>
      </c>
      <c r="V114" s="38" t="s">
        <v>827</v>
      </c>
      <c r="W114" s="39">
        <v>0.14285714285714285</v>
      </c>
      <c r="X114" s="40" t="s">
        <v>304</v>
      </c>
      <c r="Y114" s="40" t="s">
        <v>283</v>
      </c>
      <c r="Z114" s="40" t="s">
        <v>749</v>
      </c>
      <c r="AA114" s="33" t="s">
        <v>749</v>
      </c>
      <c r="AB114" s="95"/>
      <c r="AC114" s="95"/>
    </row>
    <row r="115" spans="1:29" x14ac:dyDescent="0.25">
      <c r="A115" s="36" t="s">
        <v>168</v>
      </c>
      <c r="B115" t="s">
        <v>21</v>
      </c>
      <c r="C115" s="36" t="s">
        <v>51</v>
      </c>
      <c r="D115" s="36" t="s">
        <v>530</v>
      </c>
      <c r="E115" s="37" t="s">
        <v>303</v>
      </c>
      <c r="F115" s="41">
        <v>17</v>
      </c>
      <c r="G115" s="41">
        <v>4</v>
      </c>
      <c r="I115" s="131">
        <v>0.1875</v>
      </c>
      <c r="J115" s="131">
        <v>0.83333333333333337</v>
      </c>
      <c r="K115" s="131">
        <v>0.25</v>
      </c>
      <c r="L115" s="131">
        <v>0.5</v>
      </c>
      <c r="M115" s="33" t="s">
        <v>46</v>
      </c>
      <c r="N115" s="33">
        <v>45</v>
      </c>
      <c r="O115" s="123">
        <v>45404</v>
      </c>
      <c r="P115" s="123">
        <v>45405</v>
      </c>
      <c r="Q115" s="34">
        <v>55</v>
      </c>
      <c r="R115" s="33">
        <v>10</v>
      </c>
      <c r="S115" s="34">
        <v>5.6</v>
      </c>
      <c r="T115" s="34">
        <v>1</v>
      </c>
      <c r="U115" s="33">
        <v>56</v>
      </c>
      <c r="V115" s="38" t="s">
        <v>827</v>
      </c>
      <c r="W115" s="39">
        <v>0.22222222222222221</v>
      </c>
      <c r="X115" s="40" t="s">
        <v>304</v>
      </c>
      <c r="Y115" s="40" t="s">
        <v>284</v>
      </c>
      <c r="Z115" s="40" t="s">
        <v>305</v>
      </c>
      <c r="AA115" s="33" t="s">
        <v>771</v>
      </c>
      <c r="AB115" s="95"/>
      <c r="AC115" s="95"/>
    </row>
    <row r="116" spans="1:29" x14ac:dyDescent="0.25">
      <c r="A116" s="36" t="s">
        <v>168</v>
      </c>
      <c r="B116" t="s">
        <v>21</v>
      </c>
      <c r="C116" s="36" t="s">
        <v>51</v>
      </c>
      <c r="D116" s="36" t="s">
        <v>530</v>
      </c>
      <c r="E116" s="37" t="s">
        <v>303</v>
      </c>
      <c r="F116" s="41">
        <v>17</v>
      </c>
      <c r="G116" s="41">
        <v>4</v>
      </c>
      <c r="I116" s="131">
        <v>0.1875</v>
      </c>
      <c r="J116" s="131">
        <v>0.83333333333333337</v>
      </c>
      <c r="K116" s="131">
        <v>0.25</v>
      </c>
      <c r="L116" s="131">
        <v>0.5</v>
      </c>
      <c r="M116" s="33" t="s">
        <v>46</v>
      </c>
      <c r="N116" s="33">
        <v>45</v>
      </c>
      <c r="O116" s="123">
        <v>45404</v>
      </c>
      <c r="P116" s="123">
        <v>45410</v>
      </c>
      <c r="Q116" s="34">
        <v>115</v>
      </c>
      <c r="R116" s="33">
        <v>70</v>
      </c>
      <c r="S116" s="34">
        <v>0.8</v>
      </c>
      <c r="T116" s="34">
        <v>6</v>
      </c>
      <c r="U116" s="33">
        <v>336</v>
      </c>
      <c r="V116" s="38" t="s">
        <v>827</v>
      </c>
      <c r="W116" s="39">
        <v>1.5555555555555556</v>
      </c>
      <c r="X116" s="40" t="s">
        <v>304</v>
      </c>
      <c r="Y116" s="40" t="s">
        <v>284</v>
      </c>
      <c r="Z116" s="40" t="s">
        <v>307</v>
      </c>
      <c r="AA116" s="33" t="s">
        <v>313</v>
      </c>
      <c r="AB116" s="95"/>
      <c r="AC116" s="95"/>
    </row>
    <row r="117" spans="1:29" x14ac:dyDescent="0.25">
      <c r="A117" s="36" t="s">
        <v>168</v>
      </c>
      <c r="B117" t="s">
        <v>21</v>
      </c>
      <c r="C117" s="36" t="s">
        <v>51</v>
      </c>
      <c r="D117" s="36" t="s">
        <v>530</v>
      </c>
      <c r="E117" s="37" t="s">
        <v>303</v>
      </c>
      <c r="F117" s="41">
        <v>17</v>
      </c>
      <c r="G117" s="41">
        <v>4</v>
      </c>
      <c r="I117" s="131">
        <v>0.1875</v>
      </c>
      <c r="J117" s="131">
        <v>0.83333333333333337</v>
      </c>
      <c r="K117" s="131">
        <v>0.25</v>
      </c>
      <c r="L117" s="131">
        <v>0.5</v>
      </c>
      <c r="M117" s="33" t="s">
        <v>46</v>
      </c>
      <c r="N117" s="33">
        <v>45</v>
      </c>
      <c r="O117" s="123">
        <v>45405</v>
      </c>
      <c r="P117" s="123">
        <v>45410</v>
      </c>
      <c r="Q117" s="34">
        <v>55</v>
      </c>
      <c r="R117" s="33">
        <v>10</v>
      </c>
      <c r="S117" s="34">
        <v>7.7</v>
      </c>
      <c r="T117" s="34">
        <v>5</v>
      </c>
      <c r="U117" s="33">
        <v>385</v>
      </c>
      <c r="V117" s="38" t="s">
        <v>827</v>
      </c>
      <c r="W117" s="39">
        <v>0.22222222222222221</v>
      </c>
      <c r="X117" s="40" t="s">
        <v>304</v>
      </c>
      <c r="Y117" s="40" t="s">
        <v>284</v>
      </c>
      <c r="Z117" s="40" t="s">
        <v>305</v>
      </c>
      <c r="AA117" s="33" t="s">
        <v>771</v>
      </c>
      <c r="AB117" s="95"/>
      <c r="AC117" s="95"/>
    </row>
    <row r="118" spans="1:29" x14ac:dyDescent="0.25">
      <c r="A118" s="36" t="s">
        <v>99</v>
      </c>
      <c r="B118" t="s">
        <v>11</v>
      </c>
      <c r="C118" s="36" t="s">
        <v>51</v>
      </c>
      <c r="D118" s="36" t="s">
        <v>530</v>
      </c>
      <c r="E118" s="37" t="s">
        <v>303</v>
      </c>
      <c r="F118" s="41">
        <v>17</v>
      </c>
      <c r="G118" s="41">
        <v>4</v>
      </c>
      <c r="I118" s="131">
        <v>0.20833333333333334</v>
      </c>
      <c r="J118" s="131">
        <v>0.86458333333333337</v>
      </c>
      <c r="K118" s="131">
        <v>0.29166666666666669</v>
      </c>
      <c r="L118" s="131">
        <v>0.53125</v>
      </c>
      <c r="M118" s="33" t="s">
        <v>46</v>
      </c>
      <c r="N118" s="33">
        <v>40</v>
      </c>
      <c r="O118" s="123">
        <v>45403</v>
      </c>
      <c r="P118" s="123">
        <v>45404</v>
      </c>
      <c r="Q118" s="34">
        <v>70</v>
      </c>
      <c r="R118" s="33">
        <v>30</v>
      </c>
      <c r="S118" s="34">
        <v>8.1999999999999993</v>
      </c>
      <c r="T118" s="34">
        <v>1</v>
      </c>
      <c r="U118" s="33">
        <v>245.99999999999997</v>
      </c>
      <c r="V118" s="38" t="s">
        <v>827</v>
      </c>
      <c r="W118" s="39">
        <v>0.75</v>
      </c>
      <c r="X118" s="40" t="s">
        <v>304</v>
      </c>
      <c r="Y118" s="40" t="s">
        <v>284</v>
      </c>
      <c r="Z118" s="40" t="s">
        <v>311</v>
      </c>
      <c r="AA118" s="33" t="s">
        <v>775</v>
      </c>
      <c r="AB118" s="95"/>
      <c r="AC118" s="95"/>
    </row>
    <row r="119" spans="1:29" x14ac:dyDescent="0.25">
      <c r="A119" s="36" t="s">
        <v>99</v>
      </c>
      <c r="B119" t="s">
        <v>11</v>
      </c>
      <c r="C119" s="36" t="s">
        <v>51</v>
      </c>
      <c r="D119" s="36" t="s">
        <v>530</v>
      </c>
      <c r="E119" s="37" t="s">
        <v>303</v>
      </c>
      <c r="F119" s="41">
        <v>17</v>
      </c>
      <c r="G119" s="41">
        <v>4</v>
      </c>
      <c r="I119" s="131">
        <v>0.20833333333333334</v>
      </c>
      <c r="J119" s="131">
        <v>0.86458333333333337</v>
      </c>
      <c r="K119" s="131">
        <v>0.29166666666666669</v>
      </c>
      <c r="L119" s="131">
        <v>0.53125</v>
      </c>
      <c r="M119" s="33" t="s">
        <v>46</v>
      </c>
      <c r="N119" s="33">
        <v>40</v>
      </c>
      <c r="O119" s="123">
        <v>45404</v>
      </c>
      <c r="P119" s="123">
        <v>45407</v>
      </c>
      <c r="Q119" s="34">
        <v>45</v>
      </c>
      <c r="R119" s="33">
        <v>5</v>
      </c>
      <c r="S119" s="34">
        <v>8.1999999999999993</v>
      </c>
      <c r="T119" s="34">
        <v>3</v>
      </c>
      <c r="U119" s="33">
        <v>123</v>
      </c>
      <c r="V119" s="38" t="s">
        <v>827</v>
      </c>
      <c r="W119" s="39">
        <v>0.125</v>
      </c>
      <c r="X119" s="40" t="s">
        <v>304</v>
      </c>
      <c r="Y119" s="40" t="s">
        <v>284</v>
      </c>
      <c r="Z119" s="40" t="s">
        <v>305</v>
      </c>
      <c r="AA119" s="33" t="s">
        <v>771</v>
      </c>
      <c r="AB119" s="95"/>
      <c r="AC119" s="95"/>
    </row>
    <row r="120" spans="1:29" x14ac:dyDescent="0.25">
      <c r="A120" s="36" t="s">
        <v>197</v>
      </c>
      <c r="B120" t="s">
        <v>28</v>
      </c>
      <c r="C120" s="36" t="s">
        <v>51</v>
      </c>
      <c r="D120" s="36" t="s">
        <v>530</v>
      </c>
      <c r="E120" s="37" t="s">
        <v>303</v>
      </c>
      <c r="F120" s="41">
        <v>17</v>
      </c>
      <c r="G120" s="41">
        <v>4</v>
      </c>
      <c r="I120" s="131">
        <v>0.20138888888888887</v>
      </c>
      <c r="J120" s="131">
        <v>0.89583333333333337</v>
      </c>
      <c r="K120" s="131">
        <v>0.28472222222222221</v>
      </c>
      <c r="L120" s="131">
        <v>0.85416666666666663</v>
      </c>
      <c r="M120" s="33" t="s">
        <v>46</v>
      </c>
      <c r="N120" s="33">
        <v>110</v>
      </c>
      <c r="O120" s="123">
        <v>45403</v>
      </c>
      <c r="P120" s="123">
        <v>45409</v>
      </c>
      <c r="Q120" s="34">
        <v>170</v>
      </c>
      <c r="R120" s="33">
        <v>60</v>
      </c>
      <c r="S120" s="34">
        <v>1</v>
      </c>
      <c r="T120" s="34">
        <v>6</v>
      </c>
      <c r="U120" s="33">
        <v>360</v>
      </c>
      <c r="V120" s="38" t="s">
        <v>827</v>
      </c>
      <c r="W120" s="39">
        <v>0.54545454545454541</v>
      </c>
      <c r="X120" s="40" t="s">
        <v>304</v>
      </c>
      <c r="Y120" s="40" t="s">
        <v>284</v>
      </c>
      <c r="Z120" s="40" t="s">
        <v>307</v>
      </c>
      <c r="AA120" s="33" t="s">
        <v>414</v>
      </c>
      <c r="AB120" s="95"/>
      <c r="AC120" s="95"/>
    </row>
    <row r="121" spans="1:29" x14ac:dyDescent="0.25">
      <c r="A121" s="36" t="s">
        <v>197</v>
      </c>
      <c r="B121" t="s">
        <v>28</v>
      </c>
      <c r="C121" s="36" t="s">
        <v>51</v>
      </c>
      <c r="D121" s="36" t="s">
        <v>530</v>
      </c>
      <c r="E121" s="37" t="s">
        <v>303</v>
      </c>
      <c r="F121" s="41">
        <v>17</v>
      </c>
      <c r="G121" s="41">
        <v>4</v>
      </c>
      <c r="I121" s="131">
        <v>0.20138888888888887</v>
      </c>
      <c r="J121" s="131">
        <v>0.89583333333333337</v>
      </c>
      <c r="K121" s="131">
        <v>0.28472222222222221</v>
      </c>
      <c r="L121" s="131">
        <v>0.85416666666666663</v>
      </c>
      <c r="M121" s="33" t="s">
        <v>46</v>
      </c>
      <c r="N121" s="33">
        <v>110</v>
      </c>
      <c r="O121" s="123">
        <v>45405</v>
      </c>
      <c r="P121" s="123">
        <v>45406</v>
      </c>
      <c r="Q121" s="34">
        <v>150</v>
      </c>
      <c r="R121" s="33">
        <v>40</v>
      </c>
      <c r="S121" s="34">
        <v>6.3</v>
      </c>
      <c r="T121" s="34">
        <v>1</v>
      </c>
      <c r="U121" s="33">
        <v>252</v>
      </c>
      <c r="V121" s="38" t="s">
        <v>827</v>
      </c>
      <c r="W121" s="39">
        <v>0.36363636363636365</v>
      </c>
      <c r="X121" s="40" t="s">
        <v>304</v>
      </c>
      <c r="Y121" s="40" t="s">
        <v>284</v>
      </c>
      <c r="Z121" s="40" t="s">
        <v>311</v>
      </c>
      <c r="AA121" s="33" t="s">
        <v>775</v>
      </c>
      <c r="AB121" s="95"/>
      <c r="AC121" s="95"/>
    </row>
    <row r="122" spans="1:29" x14ac:dyDescent="0.25">
      <c r="A122" s="36" t="s">
        <v>197</v>
      </c>
      <c r="B122" t="s">
        <v>28</v>
      </c>
      <c r="C122" s="36" t="s">
        <v>51</v>
      </c>
      <c r="D122" s="36" t="s">
        <v>530</v>
      </c>
      <c r="E122" s="37" t="s">
        <v>303</v>
      </c>
      <c r="F122" s="41">
        <v>17</v>
      </c>
      <c r="G122" s="41">
        <v>4</v>
      </c>
      <c r="I122" s="131">
        <v>0.20138888888888887</v>
      </c>
      <c r="J122" s="131">
        <v>0.89583333333333337</v>
      </c>
      <c r="K122" s="131">
        <v>0.28472222222222221</v>
      </c>
      <c r="L122" s="131">
        <v>0.85416666666666663</v>
      </c>
      <c r="M122" s="33" t="s">
        <v>46</v>
      </c>
      <c r="N122" s="33">
        <v>110</v>
      </c>
      <c r="O122" s="123">
        <v>45407</v>
      </c>
      <c r="P122" s="123">
        <v>45408</v>
      </c>
      <c r="Q122" s="34">
        <v>155</v>
      </c>
      <c r="R122" s="33">
        <v>45</v>
      </c>
      <c r="S122" s="34">
        <v>1</v>
      </c>
      <c r="T122" s="34">
        <v>1</v>
      </c>
      <c r="U122" s="33">
        <v>45</v>
      </c>
      <c r="V122" s="38" t="s">
        <v>827</v>
      </c>
      <c r="W122" s="39">
        <v>0.40909090909090912</v>
      </c>
      <c r="X122" s="40" t="s">
        <v>304</v>
      </c>
      <c r="Y122" s="40" t="s">
        <v>283</v>
      </c>
      <c r="Z122" s="40" t="s">
        <v>749</v>
      </c>
      <c r="AA122" s="33" t="s">
        <v>749</v>
      </c>
      <c r="AB122" s="95"/>
      <c r="AC122" s="163">
        <v>7.6388888888888895E-2</v>
      </c>
    </row>
    <row r="123" spans="1:29" x14ac:dyDescent="0.25">
      <c r="A123" s="36" t="s">
        <v>111</v>
      </c>
      <c r="B123" t="s">
        <v>112</v>
      </c>
      <c r="C123" s="36" t="s">
        <v>51</v>
      </c>
      <c r="D123" s="36" t="s">
        <v>533</v>
      </c>
      <c r="E123" s="37" t="s">
        <v>303</v>
      </c>
      <c r="F123" s="41">
        <v>17</v>
      </c>
      <c r="G123" s="41">
        <v>4</v>
      </c>
      <c r="I123" s="131">
        <v>0.25</v>
      </c>
      <c r="J123" s="131">
        <v>0.86458333333333337</v>
      </c>
      <c r="K123" s="131" t="s">
        <v>148</v>
      </c>
      <c r="L123" s="131" t="s">
        <v>148</v>
      </c>
      <c r="M123" s="33" t="s">
        <v>46</v>
      </c>
      <c r="N123" s="33">
        <v>45</v>
      </c>
      <c r="O123" s="123">
        <v>45403</v>
      </c>
      <c r="P123" s="123">
        <v>45409</v>
      </c>
      <c r="Q123" s="34">
        <v>60</v>
      </c>
      <c r="R123" s="33">
        <v>15</v>
      </c>
      <c r="S123" s="34">
        <v>0.5</v>
      </c>
      <c r="T123" s="34">
        <v>6</v>
      </c>
      <c r="U123" s="33">
        <v>45</v>
      </c>
      <c r="V123" s="38" t="s">
        <v>827</v>
      </c>
      <c r="W123" s="39">
        <v>0.33333333333333331</v>
      </c>
      <c r="X123" s="40" t="s">
        <v>304</v>
      </c>
      <c r="Y123" s="40" t="s">
        <v>284</v>
      </c>
      <c r="Z123" s="40" t="s">
        <v>307</v>
      </c>
      <c r="AA123" s="33" t="s">
        <v>414</v>
      </c>
      <c r="AB123" s="95"/>
      <c r="AC123" s="95"/>
    </row>
    <row r="124" spans="1:29" x14ac:dyDescent="0.25">
      <c r="A124" s="36" t="s">
        <v>111</v>
      </c>
      <c r="B124" t="s">
        <v>112</v>
      </c>
      <c r="C124" s="36" t="s">
        <v>51</v>
      </c>
      <c r="D124" s="36" t="s">
        <v>533</v>
      </c>
      <c r="E124" s="37" t="s">
        <v>303</v>
      </c>
      <c r="F124" s="41">
        <v>17</v>
      </c>
      <c r="G124" s="41">
        <v>4</v>
      </c>
      <c r="I124" s="131">
        <v>0.25</v>
      </c>
      <c r="J124" s="131">
        <v>0.86458333333333337</v>
      </c>
      <c r="K124" s="131" t="s">
        <v>148</v>
      </c>
      <c r="L124" s="131" t="s">
        <v>148</v>
      </c>
      <c r="M124" s="33" t="s">
        <v>46</v>
      </c>
      <c r="N124" s="33">
        <v>45</v>
      </c>
      <c r="O124" s="123">
        <v>45404</v>
      </c>
      <c r="P124" s="123">
        <v>45410</v>
      </c>
      <c r="Q124" s="34">
        <v>75</v>
      </c>
      <c r="R124" s="33">
        <v>30</v>
      </c>
      <c r="S124" s="34">
        <v>1.2</v>
      </c>
      <c r="T124" s="34">
        <v>6</v>
      </c>
      <c r="U124" s="33">
        <v>216</v>
      </c>
      <c r="V124" s="38" t="s">
        <v>827</v>
      </c>
      <c r="W124" s="39">
        <v>0.66666666666666663</v>
      </c>
      <c r="X124" s="40" t="s">
        <v>304</v>
      </c>
      <c r="Y124" s="40" t="s">
        <v>284</v>
      </c>
      <c r="Z124" s="40" t="s">
        <v>307</v>
      </c>
      <c r="AA124" s="33" t="s">
        <v>313</v>
      </c>
      <c r="AB124" s="95"/>
      <c r="AC124" s="95"/>
    </row>
    <row r="125" spans="1:29" x14ac:dyDescent="0.25">
      <c r="A125" s="36" t="s">
        <v>193</v>
      </c>
      <c r="B125" t="s">
        <v>194</v>
      </c>
      <c r="C125" s="36" t="s">
        <v>51</v>
      </c>
      <c r="D125" s="36" t="s">
        <v>530</v>
      </c>
      <c r="E125" s="37" t="s">
        <v>303</v>
      </c>
      <c r="F125" s="41">
        <v>17</v>
      </c>
      <c r="G125" s="41">
        <v>4</v>
      </c>
      <c r="I125" s="131">
        <v>0.23611111111111113</v>
      </c>
      <c r="J125" s="131">
        <v>0.875</v>
      </c>
      <c r="K125" s="131">
        <v>0.28472222222222221</v>
      </c>
      <c r="L125" s="131">
        <v>0.54166666666666663</v>
      </c>
      <c r="M125" s="33" t="s">
        <v>46</v>
      </c>
      <c r="N125" s="33">
        <v>85</v>
      </c>
      <c r="O125" s="123">
        <v>45403</v>
      </c>
      <c r="P125" s="123">
        <v>45409</v>
      </c>
      <c r="Q125" s="34">
        <v>95</v>
      </c>
      <c r="R125" s="33">
        <v>10</v>
      </c>
      <c r="S125" s="34">
        <v>4</v>
      </c>
      <c r="T125" s="34">
        <v>6</v>
      </c>
      <c r="U125" s="33">
        <v>240</v>
      </c>
      <c r="V125" s="38" t="s">
        <v>827</v>
      </c>
      <c r="W125" s="39">
        <v>0.11764705882352941</v>
      </c>
      <c r="X125" s="40" t="s">
        <v>304</v>
      </c>
      <c r="Y125" s="40" t="s">
        <v>284</v>
      </c>
      <c r="Z125" s="40" t="s">
        <v>305</v>
      </c>
      <c r="AA125" s="33" t="s">
        <v>771</v>
      </c>
      <c r="AB125" s="95"/>
      <c r="AC125" s="95"/>
    </row>
    <row r="126" spans="1:29" x14ac:dyDescent="0.25">
      <c r="A126" s="36" t="s">
        <v>193</v>
      </c>
      <c r="B126" t="s">
        <v>194</v>
      </c>
      <c r="C126" s="36" t="s">
        <v>51</v>
      </c>
      <c r="D126" s="36" t="s">
        <v>530</v>
      </c>
      <c r="E126" s="37" t="s">
        <v>303</v>
      </c>
      <c r="F126" s="41">
        <v>17</v>
      </c>
      <c r="G126" s="41">
        <v>4</v>
      </c>
      <c r="I126" s="131">
        <v>0.23611111111111113</v>
      </c>
      <c r="J126" s="131">
        <v>0.875</v>
      </c>
      <c r="K126" s="131">
        <v>0.28472222222222221</v>
      </c>
      <c r="L126" s="131">
        <v>0.54166666666666663</v>
      </c>
      <c r="M126" s="33" t="s">
        <v>46</v>
      </c>
      <c r="N126" s="33">
        <v>85</v>
      </c>
      <c r="O126" s="123">
        <v>45403</v>
      </c>
      <c r="P126" s="123">
        <v>45409</v>
      </c>
      <c r="Q126" s="34">
        <v>125</v>
      </c>
      <c r="R126" s="33">
        <v>40</v>
      </c>
      <c r="S126" s="34">
        <v>0.6</v>
      </c>
      <c r="T126" s="34">
        <v>6</v>
      </c>
      <c r="U126" s="33">
        <v>144</v>
      </c>
      <c r="V126" s="38" t="s">
        <v>827</v>
      </c>
      <c r="W126" s="39">
        <v>0.47058823529411764</v>
      </c>
      <c r="X126" s="40" t="s">
        <v>304</v>
      </c>
      <c r="Y126" s="40" t="s">
        <v>284</v>
      </c>
      <c r="Z126" s="40" t="s">
        <v>307</v>
      </c>
      <c r="AA126" s="33" t="s">
        <v>414</v>
      </c>
      <c r="AB126" s="95"/>
      <c r="AC126" s="95"/>
    </row>
    <row r="127" spans="1:29" x14ac:dyDescent="0.25">
      <c r="A127" s="36" t="s">
        <v>193</v>
      </c>
      <c r="B127" t="s">
        <v>194</v>
      </c>
      <c r="C127" s="36" t="s">
        <v>51</v>
      </c>
      <c r="D127" s="36" t="s">
        <v>530</v>
      </c>
      <c r="E127" s="37" t="s">
        <v>303</v>
      </c>
      <c r="F127" s="41">
        <v>17</v>
      </c>
      <c r="G127" s="41">
        <v>4</v>
      </c>
      <c r="I127" s="131">
        <v>0.23611111111111113</v>
      </c>
      <c r="J127" s="131">
        <v>0.875</v>
      </c>
      <c r="K127" s="131">
        <v>0.28472222222222221</v>
      </c>
      <c r="L127" s="131">
        <v>0.54166666666666663</v>
      </c>
      <c r="M127" s="33" t="s">
        <v>46</v>
      </c>
      <c r="N127" s="33">
        <v>85</v>
      </c>
      <c r="O127" s="123">
        <v>45409</v>
      </c>
      <c r="P127" s="123">
        <v>45410</v>
      </c>
      <c r="Q127" s="34">
        <v>95</v>
      </c>
      <c r="R127" s="33">
        <v>10</v>
      </c>
      <c r="S127" s="34">
        <v>9.6</v>
      </c>
      <c r="T127" s="34">
        <v>1</v>
      </c>
      <c r="U127" s="33">
        <v>96</v>
      </c>
      <c r="V127" s="38" t="s">
        <v>827</v>
      </c>
      <c r="W127" s="39">
        <v>0.11764705882352941</v>
      </c>
      <c r="X127" s="40" t="s">
        <v>304</v>
      </c>
      <c r="Y127" s="40" t="s">
        <v>284</v>
      </c>
      <c r="Z127" s="40" t="s">
        <v>305</v>
      </c>
      <c r="AA127" s="33" t="s">
        <v>771</v>
      </c>
      <c r="AB127" s="95"/>
      <c r="AC127" s="95"/>
    </row>
    <row r="128" spans="1:29" x14ac:dyDescent="0.25">
      <c r="A128" s="36" t="s">
        <v>97</v>
      </c>
      <c r="B128" t="s">
        <v>98</v>
      </c>
      <c r="C128" s="36" t="s">
        <v>51</v>
      </c>
      <c r="D128" s="36" t="s">
        <v>530</v>
      </c>
      <c r="E128" s="37" t="s">
        <v>303</v>
      </c>
      <c r="F128" s="41">
        <v>17</v>
      </c>
      <c r="G128" s="41">
        <v>4</v>
      </c>
      <c r="I128" s="131">
        <v>0.25</v>
      </c>
      <c r="J128" s="131">
        <v>0.83333333333333304</v>
      </c>
      <c r="K128" s="131" t="s">
        <v>148</v>
      </c>
      <c r="L128" s="131" t="s">
        <v>148</v>
      </c>
      <c r="M128" s="33" t="s">
        <v>46</v>
      </c>
      <c r="N128" s="33">
        <v>45</v>
      </c>
      <c r="O128" s="123">
        <v>45403</v>
      </c>
      <c r="P128" s="123">
        <v>45409</v>
      </c>
      <c r="Q128" s="34">
        <v>55</v>
      </c>
      <c r="R128" s="33">
        <v>10</v>
      </c>
      <c r="S128" s="34">
        <v>2</v>
      </c>
      <c r="T128" s="34">
        <v>6</v>
      </c>
      <c r="U128" s="33">
        <v>120</v>
      </c>
      <c r="V128" s="38" t="s">
        <v>827</v>
      </c>
      <c r="W128" s="39">
        <v>0.22222222222222221</v>
      </c>
      <c r="X128" s="40" t="s">
        <v>304</v>
      </c>
      <c r="Y128" s="40" t="s">
        <v>284</v>
      </c>
      <c r="Z128" s="40" t="s">
        <v>305</v>
      </c>
      <c r="AA128" s="33" t="s">
        <v>771</v>
      </c>
      <c r="AB128" s="95"/>
      <c r="AC128" s="95"/>
    </row>
    <row r="129" spans="1:29" x14ac:dyDescent="0.25">
      <c r="A129" s="36" t="s">
        <v>118</v>
      </c>
      <c r="B129" t="s">
        <v>119</v>
      </c>
      <c r="C129" s="36" t="s">
        <v>51</v>
      </c>
      <c r="D129" s="36" t="s">
        <v>530</v>
      </c>
      <c r="E129" s="37" t="s">
        <v>303</v>
      </c>
      <c r="F129" s="41">
        <v>17</v>
      </c>
      <c r="G129" s="41">
        <v>4</v>
      </c>
      <c r="I129" s="131">
        <v>0.24305555555555555</v>
      </c>
      <c r="J129" s="131">
        <v>0.875</v>
      </c>
      <c r="K129" s="131">
        <v>0.3125</v>
      </c>
      <c r="L129" s="131">
        <v>0.54166666666666663</v>
      </c>
      <c r="M129" s="33" t="s">
        <v>46</v>
      </c>
      <c r="N129" s="33">
        <v>55</v>
      </c>
      <c r="O129" s="123">
        <v>45403</v>
      </c>
      <c r="P129" s="123">
        <v>45409</v>
      </c>
      <c r="Q129" s="34">
        <v>70</v>
      </c>
      <c r="R129" s="33">
        <v>15</v>
      </c>
      <c r="S129" s="34">
        <v>8.8000000000000007</v>
      </c>
      <c r="T129" s="34">
        <v>6</v>
      </c>
      <c r="U129" s="33">
        <v>792</v>
      </c>
      <c r="V129" s="38" t="s">
        <v>827</v>
      </c>
      <c r="W129" s="39">
        <v>0.27272727272727271</v>
      </c>
      <c r="X129" s="40" t="s">
        <v>304</v>
      </c>
      <c r="Y129" s="40" t="s">
        <v>284</v>
      </c>
      <c r="Z129" s="40" t="s">
        <v>305</v>
      </c>
      <c r="AA129" s="33" t="s">
        <v>771</v>
      </c>
      <c r="AB129" s="95"/>
      <c r="AC129" s="95"/>
    </row>
    <row r="130" spans="1:29" x14ac:dyDescent="0.25">
      <c r="A130" s="36" t="s">
        <v>118</v>
      </c>
      <c r="B130" t="s">
        <v>119</v>
      </c>
      <c r="C130" s="36" t="s">
        <v>51</v>
      </c>
      <c r="D130" s="36" t="s">
        <v>530</v>
      </c>
      <c r="E130" s="37" t="s">
        <v>303</v>
      </c>
      <c r="F130" s="41">
        <v>17</v>
      </c>
      <c r="G130" s="41">
        <v>4</v>
      </c>
      <c r="I130" s="131">
        <v>0.24305555555555555</v>
      </c>
      <c r="J130" s="131">
        <v>0.875</v>
      </c>
      <c r="K130" s="131">
        <v>0.3125</v>
      </c>
      <c r="L130" s="131">
        <v>0.54166666666666663</v>
      </c>
      <c r="M130" s="33" t="s">
        <v>46</v>
      </c>
      <c r="N130" s="33">
        <v>55</v>
      </c>
      <c r="O130" s="123">
        <v>45409</v>
      </c>
      <c r="P130" s="123">
        <v>45410</v>
      </c>
      <c r="Q130" s="34">
        <v>85</v>
      </c>
      <c r="R130" s="33">
        <v>30</v>
      </c>
      <c r="S130" s="34">
        <v>8</v>
      </c>
      <c r="T130" s="34">
        <v>1</v>
      </c>
      <c r="U130" s="33">
        <v>240</v>
      </c>
      <c r="V130" s="38" t="s">
        <v>827</v>
      </c>
      <c r="W130" s="39">
        <v>0.54545454545454541</v>
      </c>
      <c r="X130" s="40" t="s">
        <v>304</v>
      </c>
      <c r="Y130" s="40" t="s">
        <v>283</v>
      </c>
      <c r="Z130" s="40" t="s">
        <v>749</v>
      </c>
      <c r="AA130" s="33" t="s">
        <v>749</v>
      </c>
      <c r="AB130" s="95"/>
      <c r="AC130" s="95"/>
    </row>
    <row r="131" spans="1:29" x14ac:dyDescent="0.25">
      <c r="A131" s="36" t="s">
        <v>118</v>
      </c>
      <c r="B131" t="s">
        <v>119</v>
      </c>
      <c r="C131" s="36" t="s">
        <v>51</v>
      </c>
      <c r="D131" s="36" t="s">
        <v>530</v>
      </c>
      <c r="E131" s="37" t="s">
        <v>303</v>
      </c>
      <c r="F131" s="41">
        <v>17</v>
      </c>
      <c r="G131" s="41">
        <v>4</v>
      </c>
      <c r="I131" s="131">
        <v>0.24305555555555555</v>
      </c>
      <c r="J131" s="131">
        <v>0.875</v>
      </c>
      <c r="K131" s="131">
        <v>0.3125</v>
      </c>
      <c r="L131" s="131">
        <v>0.54166666666666663</v>
      </c>
      <c r="M131" s="33" t="s">
        <v>46</v>
      </c>
      <c r="N131" s="33">
        <v>55</v>
      </c>
      <c r="O131" s="123">
        <v>45409</v>
      </c>
      <c r="P131" s="123">
        <v>45410</v>
      </c>
      <c r="Q131" s="34">
        <v>70</v>
      </c>
      <c r="R131" s="33">
        <v>15</v>
      </c>
      <c r="S131" s="34">
        <v>0.8</v>
      </c>
      <c r="T131" s="34">
        <v>1</v>
      </c>
      <c r="U131" s="33">
        <v>12</v>
      </c>
      <c r="V131" s="38" t="s">
        <v>827</v>
      </c>
      <c r="W131" s="39">
        <v>0.27272727272727271</v>
      </c>
      <c r="X131" s="40" t="s">
        <v>304</v>
      </c>
      <c r="Y131" s="40" t="s">
        <v>284</v>
      </c>
      <c r="Z131" s="40" t="s">
        <v>305</v>
      </c>
      <c r="AA131" s="33" t="s">
        <v>771</v>
      </c>
      <c r="AB131" s="95"/>
      <c r="AC131" s="95"/>
    </row>
    <row r="132" spans="1:29" x14ac:dyDescent="0.25">
      <c r="A132" s="36" t="s">
        <v>169</v>
      </c>
      <c r="B132" t="s">
        <v>22</v>
      </c>
      <c r="C132" s="36" t="s">
        <v>51</v>
      </c>
      <c r="D132" s="36" t="s">
        <v>530</v>
      </c>
      <c r="E132" s="37" t="s">
        <v>303</v>
      </c>
      <c r="F132" s="41">
        <v>17</v>
      </c>
      <c r="G132" s="41">
        <v>4</v>
      </c>
      <c r="I132" s="131">
        <v>0.20833333333333334</v>
      </c>
      <c r="J132" s="131">
        <v>0.88541666666666663</v>
      </c>
      <c r="K132" s="131">
        <v>0.31944444444444448</v>
      </c>
      <c r="L132" s="131">
        <v>0.55208333333333337</v>
      </c>
      <c r="M132" s="33" t="s">
        <v>46</v>
      </c>
      <c r="N132" s="33">
        <v>50</v>
      </c>
      <c r="O132" s="123">
        <v>45403</v>
      </c>
      <c r="P132" s="123">
        <v>45409</v>
      </c>
      <c r="Q132" s="34">
        <v>55</v>
      </c>
      <c r="R132" s="33">
        <v>5</v>
      </c>
      <c r="S132" s="34">
        <v>7.7</v>
      </c>
      <c r="T132" s="34">
        <v>6</v>
      </c>
      <c r="U132" s="33">
        <v>231</v>
      </c>
      <c r="V132" s="38" t="s">
        <v>827</v>
      </c>
      <c r="W132" s="39">
        <v>0.1</v>
      </c>
      <c r="X132" s="40" t="s">
        <v>304</v>
      </c>
      <c r="Y132" s="40" t="s">
        <v>284</v>
      </c>
      <c r="Z132" s="40" t="s">
        <v>305</v>
      </c>
      <c r="AA132" s="33" t="s">
        <v>771</v>
      </c>
      <c r="AB132" s="95"/>
      <c r="AC132" s="95"/>
    </row>
    <row r="133" spans="1:29" x14ac:dyDescent="0.25">
      <c r="A133" s="36" t="s">
        <v>169</v>
      </c>
      <c r="B133" t="s">
        <v>22</v>
      </c>
      <c r="C133" s="36" t="s">
        <v>51</v>
      </c>
      <c r="D133" s="36" t="s">
        <v>530</v>
      </c>
      <c r="E133" s="37" t="s">
        <v>303</v>
      </c>
      <c r="F133" s="41">
        <v>17</v>
      </c>
      <c r="G133" s="41">
        <v>4</v>
      </c>
      <c r="I133" s="131">
        <v>0.20833333333333334</v>
      </c>
      <c r="J133" s="131">
        <v>0.88541666666666663</v>
      </c>
      <c r="K133" s="131">
        <v>0.31944444444444448</v>
      </c>
      <c r="L133" s="131">
        <v>0.55208333333333337</v>
      </c>
      <c r="M133" s="33" t="s">
        <v>46</v>
      </c>
      <c r="N133" s="33">
        <v>50</v>
      </c>
      <c r="O133" s="123">
        <v>45409</v>
      </c>
      <c r="P133" s="123">
        <v>45410</v>
      </c>
      <c r="Q133" s="34">
        <v>55</v>
      </c>
      <c r="R133" s="33">
        <v>5</v>
      </c>
      <c r="S133" s="34">
        <v>9</v>
      </c>
      <c r="T133" s="34">
        <v>1</v>
      </c>
      <c r="U133" s="33">
        <v>45</v>
      </c>
      <c r="V133" s="38" t="s">
        <v>827</v>
      </c>
      <c r="W133" s="39">
        <v>0.1</v>
      </c>
      <c r="X133" s="40" t="s">
        <v>304</v>
      </c>
      <c r="Y133" s="40" t="s">
        <v>284</v>
      </c>
      <c r="Z133" s="40" t="s">
        <v>305</v>
      </c>
      <c r="AA133" s="33" t="s">
        <v>771</v>
      </c>
      <c r="AB133" s="95"/>
      <c r="AC133" s="95"/>
    </row>
    <row r="134" spans="1:29" x14ac:dyDescent="0.25">
      <c r="A134" s="36" t="s">
        <v>166</v>
      </c>
      <c r="B134" t="s">
        <v>167</v>
      </c>
      <c r="C134" s="36" t="s">
        <v>51</v>
      </c>
      <c r="D134" s="36" t="s">
        <v>530</v>
      </c>
      <c r="E134" s="37" t="s">
        <v>303</v>
      </c>
      <c r="F134" s="41">
        <v>17</v>
      </c>
      <c r="G134" s="41">
        <v>4</v>
      </c>
      <c r="I134" s="131">
        <v>0.19791666666666666</v>
      </c>
      <c r="J134" s="131">
        <v>0.89583333333333337</v>
      </c>
      <c r="K134" s="131">
        <v>0.27083333333333331</v>
      </c>
      <c r="L134" s="131">
        <v>0.54166666666666663</v>
      </c>
      <c r="M134" s="33" t="s">
        <v>46</v>
      </c>
      <c r="N134" s="33">
        <v>120</v>
      </c>
      <c r="O134" s="123">
        <v>45403</v>
      </c>
      <c r="P134" s="123">
        <v>45404</v>
      </c>
      <c r="Q134" s="34">
        <v>155</v>
      </c>
      <c r="R134" s="33">
        <v>35</v>
      </c>
      <c r="S134" s="34">
        <v>2.5</v>
      </c>
      <c r="T134" s="34">
        <v>1</v>
      </c>
      <c r="U134" s="33">
        <v>87.5</v>
      </c>
      <c r="V134" s="38" t="s">
        <v>827</v>
      </c>
      <c r="W134" s="39">
        <v>0.29166666666666669</v>
      </c>
      <c r="X134" s="40" t="s">
        <v>304</v>
      </c>
      <c r="Y134" s="40" t="s">
        <v>284</v>
      </c>
      <c r="Z134" s="40" t="s">
        <v>305</v>
      </c>
      <c r="AA134" s="33" t="s">
        <v>771</v>
      </c>
      <c r="AB134" s="95"/>
      <c r="AC134" s="95"/>
    </row>
    <row r="135" spans="1:29" x14ac:dyDescent="0.25">
      <c r="A135" s="36" t="s">
        <v>166</v>
      </c>
      <c r="B135" t="s">
        <v>167</v>
      </c>
      <c r="C135" s="36" t="s">
        <v>51</v>
      </c>
      <c r="D135" s="36" t="s">
        <v>530</v>
      </c>
      <c r="E135" s="37" t="s">
        <v>303</v>
      </c>
      <c r="F135" s="41">
        <v>17</v>
      </c>
      <c r="G135" s="41">
        <v>4</v>
      </c>
      <c r="I135" s="131">
        <v>0.19791666666666666</v>
      </c>
      <c r="J135" s="131">
        <v>0.89583333333333337</v>
      </c>
      <c r="K135" s="131">
        <v>0.27083333333333331</v>
      </c>
      <c r="L135" s="131">
        <v>0.54166666666666663</v>
      </c>
      <c r="M135" s="33" t="s">
        <v>46</v>
      </c>
      <c r="N135" s="33">
        <v>120</v>
      </c>
      <c r="O135" s="123">
        <v>45403</v>
      </c>
      <c r="P135" s="123">
        <v>45404</v>
      </c>
      <c r="Q135" s="34">
        <v>200</v>
      </c>
      <c r="R135" s="33">
        <v>80</v>
      </c>
      <c r="S135" s="34">
        <v>4.7</v>
      </c>
      <c r="T135" s="34">
        <v>1</v>
      </c>
      <c r="U135" s="33">
        <v>376</v>
      </c>
      <c r="V135" s="38" t="s">
        <v>827</v>
      </c>
      <c r="W135" s="39">
        <v>0.66666666666666663</v>
      </c>
      <c r="X135" s="40" t="s">
        <v>304</v>
      </c>
      <c r="Y135" s="40" t="s">
        <v>283</v>
      </c>
      <c r="Z135" s="40" t="s">
        <v>749</v>
      </c>
      <c r="AA135" s="33" t="s">
        <v>749</v>
      </c>
      <c r="AB135" s="95"/>
      <c r="AC135" s="95" t="s">
        <v>840</v>
      </c>
    </row>
    <row r="136" spans="1:29" x14ac:dyDescent="0.25">
      <c r="A136" s="36" t="s">
        <v>166</v>
      </c>
      <c r="B136" t="s">
        <v>167</v>
      </c>
      <c r="C136" s="36" t="s">
        <v>51</v>
      </c>
      <c r="D136" s="36" t="s">
        <v>530</v>
      </c>
      <c r="E136" s="37" t="s">
        <v>303</v>
      </c>
      <c r="F136" s="41">
        <v>17</v>
      </c>
      <c r="G136" s="41">
        <v>4</v>
      </c>
      <c r="I136" s="131">
        <v>0.19791666666666666</v>
      </c>
      <c r="J136" s="131">
        <v>0.89583333333333337</v>
      </c>
      <c r="K136" s="131">
        <v>0.27083333333333331</v>
      </c>
      <c r="L136" s="131">
        <v>0.54166666666666663</v>
      </c>
      <c r="M136" s="33" t="s">
        <v>46</v>
      </c>
      <c r="N136" s="33">
        <v>120</v>
      </c>
      <c r="O136" s="123">
        <v>45404</v>
      </c>
      <c r="P136" s="123">
        <v>45407</v>
      </c>
      <c r="Q136" s="34">
        <v>200</v>
      </c>
      <c r="R136" s="33">
        <v>80</v>
      </c>
      <c r="S136" s="34">
        <v>7.2</v>
      </c>
      <c r="T136" s="34">
        <v>3</v>
      </c>
      <c r="U136" s="33">
        <v>1728</v>
      </c>
      <c r="V136" s="38" t="s">
        <v>827</v>
      </c>
      <c r="W136" s="39">
        <v>0.66666666666666663</v>
      </c>
      <c r="X136" s="40" t="s">
        <v>304</v>
      </c>
      <c r="Y136" s="40" t="s">
        <v>283</v>
      </c>
      <c r="Z136" s="40" t="s">
        <v>749</v>
      </c>
      <c r="AA136" s="33" t="s">
        <v>749</v>
      </c>
      <c r="AB136" s="95"/>
      <c r="AC136" s="95"/>
    </row>
    <row r="137" spans="1:29" x14ac:dyDescent="0.25">
      <c r="A137" s="36" t="s">
        <v>166</v>
      </c>
      <c r="B137" t="s">
        <v>167</v>
      </c>
      <c r="C137" s="36" t="s">
        <v>51</v>
      </c>
      <c r="D137" s="36" t="s">
        <v>530</v>
      </c>
      <c r="E137" s="37" t="s">
        <v>303</v>
      </c>
      <c r="F137" s="41">
        <v>17</v>
      </c>
      <c r="G137" s="41">
        <v>4</v>
      </c>
      <c r="I137" s="131">
        <v>0.19791666666666666</v>
      </c>
      <c r="J137" s="131">
        <v>0.89583333333333337</v>
      </c>
      <c r="K137" s="131">
        <v>0.27083333333333331</v>
      </c>
      <c r="L137" s="131">
        <v>0.54166666666666663</v>
      </c>
      <c r="M137" s="33" t="s">
        <v>46</v>
      </c>
      <c r="N137" s="33">
        <v>120</v>
      </c>
      <c r="O137" s="123">
        <v>45407</v>
      </c>
      <c r="P137" s="123">
        <v>45409</v>
      </c>
      <c r="Q137" s="34">
        <v>185</v>
      </c>
      <c r="R137" s="33">
        <v>65</v>
      </c>
      <c r="S137" s="34">
        <v>7.2</v>
      </c>
      <c r="T137" s="34">
        <v>2</v>
      </c>
      <c r="U137" s="33">
        <v>936</v>
      </c>
      <c r="V137" s="38" t="s">
        <v>827</v>
      </c>
      <c r="W137" s="39">
        <v>0.54166666666666663</v>
      </c>
      <c r="X137" s="40" t="s">
        <v>304</v>
      </c>
      <c r="Y137" s="40" t="s">
        <v>283</v>
      </c>
      <c r="Z137" s="40" t="s">
        <v>749</v>
      </c>
      <c r="AA137" s="33" t="s">
        <v>749</v>
      </c>
      <c r="AB137" s="95"/>
      <c r="AC137" s="95"/>
    </row>
    <row r="138" spans="1:29" x14ac:dyDescent="0.25">
      <c r="A138" s="36" t="s">
        <v>159</v>
      </c>
      <c r="B138" t="s">
        <v>160</v>
      </c>
      <c r="C138" s="36" t="s">
        <v>51</v>
      </c>
      <c r="D138" s="36" t="s">
        <v>530</v>
      </c>
      <c r="E138" s="37" t="s">
        <v>303</v>
      </c>
      <c r="F138" s="41">
        <v>17</v>
      </c>
      <c r="G138" s="41">
        <v>4</v>
      </c>
      <c r="I138" s="131">
        <v>0.16666666666666666</v>
      </c>
      <c r="J138" s="131">
        <v>0.83333333333333337</v>
      </c>
      <c r="K138" s="131">
        <v>0.29166666666666669</v>
      </c>
      <c r="L138" s="131">
        <v>0.79166666666666663</v>
      </c>
      <c r="M138" s="33" t="s">
        <v>46</v>
      </c>
      <c r="N138" s="33">
        <v>50</v>
      </c>
      <c r="O138" s="123">
        <v>45404</v>
      </c>
      <c r="P138" s="123">
        <v>45408</v>
      </c>
      <c r="Q138" s="34">
        <v>100</v>
      </c>
      <c r="R138" s="33">
        <v>50</v>
      </c>
      <c r="S138" s="34">
        <v>1</v>
      </c>
      <c r="T138" s="34">
        <v>4</v>
      </c>
      <c r="U138" s="33">
        <v>200</v>
      </c>
      <c r="V138" s="38" t="s">
        <v>827</v>
      </c>
      <c r="W138" s="39">
        <v>1</v>
      </c>
      <c r="X138" s="40" t="s">
        <v>304</v>
      </c>
      <c r="Y138" s="40" t="s">
        <v>284</v>
      </c>
      <c r="Z138" s="40" t="s">
        <v>307</v>
      </c>
      <c r="AA138" s="33" t="s">
        <v>313</v>
      </c>
      <c r="AB138" s="95"/>
      <c r="AC138" s="95"/>
    </row>
    <row r="139" spans="1:29" x14ac:dyDescent="0.25">
      <c r="A139" s="36" t="s">
        <v>159</v>
      </c>
      <c r="B139" t="s">
        <v>160</v>
      </c>
      <c r="C139" s="36" t="s">
        <v>51</v>
      </c>
      <c r="D139" s="36" t="s">
        <v>530</v>
      </c>
      <c r="E139" s="37" t="s">
        <v>303</v>
      </c>
      <c r="F139" s="41">
        <v>17</v>
      </c>
      <c r="G139" s="41">
        <v>4</v>
      </c>
      <c r="I139" s="131">
        <v>0.16666666666666666</v>
      </c>
      <c r="J139" s="131">
        <v>0.83333333333333337</v>
      </c>
      <c r="K139" s="131">
        <v>0.29166666666666669</v>
      </c>
      <c r="L139" s="131">
        <v>0.79166666666666663</v>
      </c>
      <c r="M139" s="33" t="s">
        <v>46</v>
      </c>
      <c r="N139" s="33">
        <v>50</v>
      </c>
      <c r="O139" s="123">
        <v>45404</v>
      </c>
      <c r="P139" s="123">
        <v>45408</v>
      </c>
      <c r="Q139" s="34">
        <v>55</v>
      </c>
      <c r="R139" s="33">
        <v>5</v>
      </c>
      <c r="S139" s="34">
        <v>2</v>
      </c>
      <c r="T139" s="34">
        <v>4</v>
      </c>
      <c r="U139" s="33">
        <v>40</v>
      </c>
      <c r="V139" s="38" t="s">
        <v>827</v>
      </c>
      <c r="W139" s="39">
        <v>0.1</v>
      </c>
      <c r="X139" s="40" t="s">
        <v>304</v>
      </c>
      <c r="Y139" s="40" t="s">
        <v>284</v>
      </c>
      <c r="Z139" s="40" t="s">
        <v>305</v>
      </c>
      <c r="AA139" s="33" t="s">
        <v>771</v>
      </c>
      <c r="AB139" s="95"/>
      <c r="AC139" s="95"/>
    </row>
    <row r="140" spans="1:29" x14ac:dyDescent="0.25">
      <c r="A140" s="36" t="s">
        <v>159</v>
      </c>
      <c r="B140" t="s">
        <v>160</v>
      </c>
      <c r="C140" s="36" t="s">
        <v>51</v>
      </c>
      <c r="D140" s="36" t="s">
        <v>530</v>
      </c>
      <c r="E140" s="37" t="s">
        <v>303</v>
      </c>
      <c r="F140" s="41">
        <v>17</v>
      </c>
      <c r="G140" s="41">
        <v>4</v>
      </c>
      <c r="I140" s="131">
        <v>0.16666666666666666</v>
      </c>
      <c r="J140" s="131">
        <v>0.83333333333333337</v>
      </c>
      <c r="K140" s="131">
        <v>0.29166666666666669</v>
      </c>
      <c r="L140" s="131">
        <v>0.79166666666666663</v>
      </c>
      <c r="M140" s="33" t="s">
        <v>46</v>
      </c>
      <c r="N140" s="33">
        <v>50</v>
      </c>
      <c r="O140" s="123">
        <v>45408</v>
      </c>
      <c r="P140" s="123">
        <v>45410</v>
      </c>
      <c r="Q140" s="34">
        <v>90</v>
      </c>
      <c r="R140" s="33">
        <v>40</v>
      </c>
      <c r="S140" s="34">
        <v>4.5</v>
      </c>
      <c r="T140" s="34">
        <v>2</v>
      </c>
      <c r="U140" s="33">
        <v>360</v>
      </c>
      <c r="V140" s="38" t="s">
        <v>827</v>
      </c>
      <c r="W140" s="39">
        <v>0.8</v>
      </c>
      <c r="X140" s="40" t="s">
        <v>304</v>
      </c>
      <c r="Y140" s="40" t="s">
        <v>284</v>
      </c>
      <c r="Z140" s="40" t="s">
        <v>311</v>
      </c>
      <c r="AA140" s="33" t="s">
        <v>775</v>
      </c>
      <c r="AB140" s="95"/>
      <c r="AC140" s="95"/>
    </row>
    <row r="141" spans="1:29" x14ac:dyDescent="0.25">
      <c r="A141" s="36" t="s">
        <v>117</v>
      </c>
      <c r="B141" t="s">
        <v>15</v>
      </c>
      <c r="C141" s="36" t="s">
        <v>51</v>
      </c>
      <c r="D141" s="36" t="s">
        <v>530</v>
      </c>
      <c r="E141" s="37" t="s">
        <v>303</v>
      </c>
      <c r="F141" s="41">
        <v>17</v>
      </c>
      <c r="G141" s="41">
        <v>4</v>
      </c>
      <c r="I141" s="131">
        <v>0.24305555555555555</v>
      </c>
      <c r="J141" s="131">
        <v>0.92013888888888884</v>
      </c>
      <c r="K141" s="131">
        <v>0.28472222222222221</v>
      </c>
      <c r="L141" s="131">
        <v>0.54166666666666663</v>
      </c>
      <c r="M141" s="33" t="s">
        <v>46</v>
      </c>
      <c r="N141" s="33">
        <v>15</v>
      </c>
      <c r="O141" s="123">
        <v>45403</v>
      </c>
      <c r="P141" s="123">
        <v>45407</v>
      </c>
      <c r="Q141" s="34">
        <v>55</v>
      </c>
      <c r="R141" s="33">
        <v>40</v>
      </c>
      <c r="S141" s="34">
        <v>2.5</v>
      </c>
      <c r="T141" s="34">
        <v>4</v>
      </c>
      <c r="U141" s="33">
        <v>400</v>
      </c>
      <c r="V141" s="38" t="s">
        <v>827</v>
      </c>
      <c r="W141" s="39">
        <v>2.6666666666666665</v>
      </c>
      <c r="X141" s="40" t="s">
        <v>304</v>
      </c>
      <c r="Y141" s="40" t="s">
        <v>284</v>
      </c>
      <c r="Z141" s="40" t="s">
        <v>305</v>
      </c>
      <c r="AA141" s="33" t="s">
        <v>771</v>
      </c>
      <c r="AB141" s="95"/>
      <c r="AC141" s="95"/>
    </row>
    <row r="142" spans="1:29" x14ac:dyDescent="0.25">
      <c r="A142" s="36" t="s">
        <v>117</v>
      </c>
      <c r="B142" t="s">
        <v>15</v>
      </c>
      <c r="C142" s="36" t="s">
        <v>51</v>
      </c>
      <c r="D142" s="36" t="s">
        <v>530</v>
      </c>
      <c r="E142" s="37" t="s">
        <v>303</v>
      </c>
      <c r="F142" s="41">
        <v>17</v>
      </c>
      <c r="G142" s="41">
        <v>4</v>
      </c>
      <c r="I142" s="131">
        <v>0.24305555555555555</v>
      </c>
      <c r="J142" s="131">
        <v>0.92013888888888884</v>
      </c>
      <c r="K142" s="131">
        <v>0.28472222222222221</v>
      </c>
      <c r="L142" s="131">
        <v>0.54166666666666663</v>
      </c>
      <c r="M142" s="33" t="s">
        <v>46</v>
      </c>
      <c r="N142" s="33">
        <v>15</v>
      </c>
      <c r="O142" s="123">
        <v>45403</v>
      </c>
      <c r="P142" s="123">
        <v>45407</v>
      </c>
      <c r="Q142" s="34">
        <v>85</v>
      </c>
      <c r="R142" s="33">
        <v>70</v>
      </c>
      <c r="S142" s="34">
        <v>5.2</v>
      </c>
      <c r="T142" s="34">
        <v>4</v>
      </c>
      <c r="U142" s="33">
        <v>1456</v>
      </c>
      <c r="V142" s="38" t="s">
        <v>827</v>
      </c>
      <c r="W142" s="39">
        <v>4.666666666666667</v>
      </c>
      <c r="X142" s="40" t="s">
        <v>304</v>
      </c>
      <c r="Y142" s="40" t="s">
        <v>283</v>
      </c>
      <c r="Z142" s="40" t="s">
        <v>749</v>
      </c>
      <c r="AA142" s="33" t="s">
        <v>749</v>
      </c>
      <c r="AB142" s="95"/>
      <c r="AC142" s="95"/>
    </row>
    <row r="143" spans="1:29" x14ac:dyDescent="0.25">
      <c r="A143" s="36" t="s">
        <v>117</v>
      </c>
      <c r="B143" t="s">
        <v>15</v>
      </c>
      <c r="C143" s="36" t="s">
        <v>51</v>
      </c>
      <c r="D143" s="36" t="s">
        <v>530</v>
      </c>
      <c r="E143" s="37" t="s">
        <v>303</v>
      </c>
      <c r="F143" s="41">
        <v>17</v>
      </c>
      <c r="G143" s="41">
        <v>4</v>
      </c>
      <c r="I143" s="131">
        <v>0.24305555555555555</v>
      </c>
      <c r="J143" s="131">
        <v>0.92013888888888884</v>
      </c>
      <c r="K143" s="131">
        <v>0.28472222222222221</v>
      </c>
      <c r="L143" s="131">
        <v>0.54166666666666663</v>
      </c>
      <c r="M143" s="33" t="s">
        <v>46</v>
      </c>
      <c r="N143" s="33">
        <v>15</v>
      </c>
      <c r="O143" s="123">
        <v>45407</v>
      </c>
      <c r="P143" s="123">
        <v>45408</v>
      </c>
      <c r="Q143" s="34">
        <v>80</v>
      </c>
      <c r="R143" s="33">
        <v>65</v>
      </c>
      <c r="S143" s="34">
        <v>2</v>
      </c>
      <c r="T143" s="34">
        <v>1</v>
      </c>
      <c r="U143" s="33">
        <v>130</v>
      </c>
      <c r="V143" s="38" t="s">
        <v>827</v>
      </c>
      <c r="W143" s="39">
        <v>4.333333333333333</v>
      </c>
      <c r="X143" s="40" t="s">
        <v>304</v>
      </c>
      <c r="Y143" s="40" t="s">
        <v>283</v>
      </c>
      <c r="Z143" s="40" t="s">
        <v>749</v>
      </c>
      <c r="AA143" s="33" t="s">
        <v>749</v>
      </c>
      <c r="AB143" s="95"/>
      <c r="AC143" s="95"/>
    </row>
    <row r="144" spans="1:29" x14ac:dyDescent="0.25">
      <c r="A144" s="36" t="s">
        <v>117</v>
      </c>
      <c r="B144" t="s">
        <v>15</v>
      </c>
      <c r="C144" s="36" t="s">
        <v>51</v>
      </c>
      <c r="D144" s="36" t="s">
        <v>530</v>
      </c>
      <c r="E144" s="37" t="s">
        <v>303</v>
      </c>
      <c r="F144" s="41">
        <v>17</v>
      </c>
      <c r="G144" s="41">
        <v>4</v>
      </c>
      <c r="I144" s="131">
        <v>0.24305555555555555</v>
      </c>
      <c r="J144" s="131">
        <v>0.92013888888888884</v>
      </c>
      <c r="K144" s="131">
        <v>0.28472222222222221</v>
      </c>
      <c r="L144" s="131">
        <v>0.54166666666666663</v>
      </c>
      <c r="M144" s="33" t="s">
        <v>46</v>
      </c>
      <c r="N144" s="33">
        <v>15</v>
      </c>
      <c r="O144" s="123">
        <v>45407</v>
      </c>
      <c r="P144" s="123">
        <v>45408</v>
      </c>
      <c r="Q144" s="34">
        <v>50</v>
      </c>
      <c r="R144" s="33">
        <v>35</v>
      </c>
      <c r="S144" s="34">
        <v>5.7</v>
      </c>
      <c r="T144" s="34">
        <v>1</v>
      </c>
      <c r="U144" s="33">
        <v>199.5</v>
      </c>
      <c r="V144" s="38" t="s">
        <v>827</v>
      </c>
      <c r="W144" s="39">
        <v>2.3333333333333335</v>
      </c>
      <c r="X144" s="40" t="s">
        <v>304</v>
      </c>
      <c r="Y144" s="40" t="s">
        <v>284</v>
      </c>
      <c r="Z144" s="40" t="s">
        <v>305</v>
      </c>
      <c r="AA144" s="33" t="s">
        <v>771</v>
      </c>
      <c r="AB144" s="95"/>
      <c r="AC144" s="95"/>
    </row>
    <row r="145" spans="1:29" x14ac:dyDescent="0.25">
      <c r="A145" s="36" t="s">
        <v>117</v>
      </c>
      <c r="B145" t="s">
        <v>15</v>
      </c>
      <c r="C145" s="36" t="s">
        <v>51</v>
      </c>
      <c r="D145" s="36" t="s">
        <v>530</v>
      </c>
      <c r="E145" s="37" t="s">
        <v>303</v>
      </c>
      <c r="F145" s="41">
        <v>17</v>
      </c>
      <c r="G145" s="41">
        <v>4</v>
      </c>
      <c r="I145" s="131">
        <v>0.24305555555555555</v>
      </c>
      <c r="J145" s="131">
        <v>0.92013888888888884</v>
      </c>
      <c r="K145" s="131">
        <v>0.28472222222222221</v>
      </c>
      <c r="L145" s="131">
        <v>0.54166666666666663</v>
      </c>
      <c r="M145" s="33" t="s">
        <v>46</v>
      </c>
      <c r="N145" s="33">
        <v>15</v>
      </c>
      <c r="O145" s="123">
        <v>45408</v>
      </c>
      <c r="P145" s="123">
        <v>45410</v>
      </c>
      <c r="Q145" s="34">
        <v>55</v>
      </c>
      <c r="R145" s="33">
        <v>40</v>
      </c>
      <c r="S145" s="34">
        <v>8</v>
      </c>
      <c r="T145" s="34">
        <v>2</v>
      </c>
      <c r="U145" s="33">
        <v>640</v>
      </c>
      <c r="V145" s="38" t="s">
        <v>827</v>
      </c>
      <c r="W145" s="39">
        <v>2.6666666666666665</v>
      </c>
      <c r="X145" s="40" t="s">
        <v>304</v>
      </c>
      <c r="Y145" s="40" t="s">
        <v>284</v>
      </c>
      <c r="Z145" s="40" t="s">
        <v>305</v>
      </c>
      <c r="AA145" s="33" t="s">
        <v>771</v>
      </c>
      <c r="AB145" s="95"/>
      <c r="AC145" s="95"/>
    </row>
    <row r="146" spans="1:29" x14ac:dyDescent="0.25">
      <c r="A146" s="36" t="s">
        <v>238</v>
      </c>
      <c r="B146" t="s">
        <v>34</v>
      </c>
      <c r="C146" s="36" t="s">
        <v>51</v>
      </c>
      <c r="D146" s="36" t="s">
        <v>533</v>
      </c>
      <c r="E146" s="37" t="s">
        <v>303</v>
      </c>
      <c r="F146" s="41">
        <v>17</v>
      </c>
      <c r="G146" s="41">
        <v>4</v>
      </c>
      <c r="I146" s="131">
        <v>0.23611111111111113</v>
      </c>
      <c r="J146" s="131">
        <v>0.85416666666666663</v>
      </c>
      <c r="K146" s="131">
        <v>0.29166666666666669</v>
      </c>
      <c r="L146" s="131">
        <v>0.54166666666666663</v>
      </c>
      <c r="M146" s="33" t="s">
        <v>46</v>
      </c>
      <c r="N146" s="33">
        <v>45</v>
      </c>
      <c r="O146" s="123">
        <v>45409</v>
      </c>
      <c r="P146" s="123">
        <v>45410</v>
      </c>
      <c r="Q146" s="34">
        <v>60</v>
      </c>
      <c r="R146" s="33">
        <v>15</v>
      </c>
      <c r="S146" s="34">
        <v>1.5</v>
      </c>
      <c r="T146" s="34">
        <v>1</v>
      </c>
      <c r="U146" s="33">
        <v>22.5</v>
      </c>
      <c r="V146" s="38" t="s">
        <v>827</v>
      </c>
      <c r="W146" s="39">
        <v>0.33333333333333331</v>
      </c>
      <c r="X146" s="40" t="s">
        <v>304</v>
      </c>
      <c r="Y146" s="40" t="s">
        <v>284</v>
      </c>
      <c r="Z146" s="40" t="s">
        <v>305</v>
      </c>
      <c r="AA146" s="33" t="s">
        <v>771</v>
      </c>
      <c r="AB146" s="95"/>
      <c r="AC146" s="95"/>
    </row>
    <row r="147" spans="1:29" x14ac:dyDescent="0.25">
      <c r="A147" s="36" t="s">
        <v>276</v>
      </c>
      <c r="B147" t="s">
        <v>277</v>
      </c>
      <c r="C147" s="36" t="s">
        <v>51</v>
      </c>
      <c r="D147" s="36" t="s">
        <v>530</v>
      </c>
      <c r="E147" s="37" t="s">
        <v>303</v>
      </c>
      <c r="F147" s="41">
        <v>17</v>
      </c>
      <c r="G147" s="41">
        <v>4</v>
      </c>
      <c r="I147" s="131">
        <v>0.24305555555555555</v>
      </c>
      <c r="J147" s="131">
        <v>0.91666666666666663</v>
      </c>
      <c r="K147" s="131">
        <v>0.28472222222222221</v>
      </c>
      <c r="L147" s="131">
        <v>0.56944444444444442</v>
      </c>
      <c r="M147" s="33" t="s">
        <v>46</v>
      </c>
      <c r="N147" s="33">
        <v>45</v>
      </c>
      <c r="O147" s="123">
        <v>45404</v>
      </c>
      <c r="P147" s="123">
        <v>45410</v>
      </c>
      <c r="Q147" s="34">
        <v>70</v>
      </c>
      <c r="R147" s="33">
        <v>25</v>
      </c>
      <c r="S147" s="34">
        <v>1.6</v>
      </c>
      <c r="T147" s="34">
        <v>6</v>
      </c>
      <c r="U147" s="33">
        <v>240</v>
      </c>
      <c r="V147" s="38" t="s">
        <v>827</v>
      </c>
      <c r="W147" s="39">
        <v>0.55555555555555558</v>
      </c>
      <c r="X147" s="40" t="s">
        <v>304</v>
      </c>
      <c r="Y147" s="40" t="s">
        <v>284</v>
      </c>
      <c r="Z147" s="40" t="s">
        <v>307</v>
      </c>
      <c r="AA147" s="33" t="s">
        <v>313</v>
      </c>
      <c r="AB147" s="95"/>
      <c r="AC147" s="95"/>
    </row>
    <row r="148" spans="1:29" x14ac:dyDescent="0.25">
      <c r="A148" s="36" t="s">
        <v>276</v>
      </c>
      <c r="B148" t="s">
        <v>277</v>
      </c>
      <c r="C148" s="36" t="s">
        <v>51</v>
      </c>
      <c r="D148" s="36" t="s">
        <v>530</v>
      </c>
      <c r="E148" s="37" t="s">
        <v>303</v>
      </c>
      <c r="F148" s="41">
        <v>17</v>
      </c>
      <c r="G148" s="41">
        <v>4</v>
      </c>
      <c r="I148" s="131">
        <v>0.24305555555555555</v>
      </c>
      <c r="J148" s="131">
        <v>0.91666666666666663</v>
      </c>
      <c r="K148" s="131">
        <v>0.28472222222222221</v>
      </c>
      <c r="L148" s="131">
        <v>0.56944444444444442</v>
      </c>
      <c r="M148" s="33" t="s">
        <v>46</v>
      </c>
      <c r="N148" s="33">
        <v>45</v>
      </c>
      <c r="O148" s="123">
        <v>45403</v>
      </c>
      <c r="P148" s="123">
        <v>45409</v>
      </c>
      <c r="Q148" s="34">
        <v>50</v>
      </c>
      <c r="R148" s="33">
        <v>5</v>
      </c>
      <c r="S148" s="34">
        <v>0.5</v>
      </c>
      <c r="T148" s="34">
        <v>6</v>
      </c>
      <c r="U148" s="33">
        <v>15</v>
      </c>
      <c r="V148" s="38" t="s">
        <v>827</v>
      </c>
      <c r="W148" s="39">
        <v>0.1111111111111111</v>
      </c>
      <c r="X148" s="40" t="s">
        <v>304</v>
      </c>
      <c r="Y148" s="40" t="s">
        <v>284</v>
      </c>
      <c r="Z148" s="40" t="s">
        <v>305</v>
      </c>
      <c r="AA148" s="33" t="s">
        <v>771</v>
      </c>
      <c r="AB148" s="95"/>
      <c r="AC148" s="95"/>
    </row>
    <row r="149" spans="1:29" x14ac:dyDescent="0.25">
      <c r="A149" s="36" t="s">
        <v>153</v>
      </c>
      <c r="B149" t="s">
        <v>19</v>
      </c>
      <c r="C149" s="36" t="s">
        <v>51</v>
      </c>
      <c r="D149" s="36" t="s">
        <v>533</v>
      </c>
      <c r="E149" s="37" t="s">
        <v>303</v>
      </c>
      <c r="F149" s="41">
        <v>17</v>
      </c>
      <c r="G149" s="41">
        <v>4</v>
      </c>
      <c r="I149" s="131">
        <v>0.24305555555555555</v>
      </c>
      <c r="J149" s="131">
        <v>0.89583333333333337</v>
      </c>
      <c r="K149" s="131">
        <v>0.29166666666666669</v>
      </c>
      <c r="L149" s="131">
        <v>0.5625</v>
      </c>
      <c r="M149" s="33" t="s">
        <v>46</v>
      </c>
      <c r="N149" s="33">
        <v>45</v>
      </c>
      <c r="O149" s="123">
        <v>45403</v>
      </c>
      <c r="P149" s="123">
        <v>45409</v>
      </c>
      <c r="Q149" s="34">
        <v>90</v>
      </c>
      <c r="R149" s="33">
        <v>45</v>
      </c>
      <c r="S149" s="34">
        <v>0.3</v>
      </c>
      <c r="T149" s="34">
        <v>6</v>
      </c>
      <c r="U149" s="33">
        <v>81</v>
      </c>
      <c r="V149" s="38" t="s">
        <v>827</v>
      </c>
      <c r="W149" s="39">
        <v>1</v>
      </c>
      <c r="X149" s="40" t="s">
        <v>304</v>
      </c>
      <c r="Y149" s="40" t="s">
        <v>284</v>
      </c>
      <c r="Z149" s="40" t="s">
        <v>307</v>
      </c>
      <c r="AA149" s="33" t="s">
        <v>414</v>
      </c>
      <c r="AB149" s="95"/>
      <c r="AC149" s="95"/>
    </row>
    <row r="150" spans="1:29" x14ac:dyDescent="0.25">
      <c r="A150" s="36" t="s">
        <v>153</v>
      </c>
      <c r="B150" t="s">
        <v>19</v>
      </c>
      <c r="C150" s="36" t="s">
        <v>51</v>
      </c>
      <c r="D150" s="36" t="s">
        <v>533</v>
      </c>
      <c r="E150" s="37" t="s">
        <v>303</v>
      </c>
      <c r="F150" s="41">
        <v>17</v>
      </c>
      <c r="G150" s="41">
        <v>4</v>
      </c>
      <c r="I150" s="131">
        <v>0.24305555555555555</v>
      </c>
      <c r="J150" s="131">
        <v>0.89583333333333337</v>
      </c>
      <c r="K150" s="131">
        <v>0.29166666666666669</v>
      </c>
      <c r="L150" s="131">
        <v>0.5625</v>
      </c>
      <c r="M150" s="33" t="s">
        <v>46</v>
      </c>
      <c r="N150" s="33">
        <v>45</v>
      </c>
      <c r="O150" s="123">
        <v>45403</v>
      </c>
      <c r="P150" s="123">
        <v>45404</v>
      </c>
      <c r="Q150" s="34">
        <v>50</v>
      </c>
      <c r="R150" s="33">
        <v>5</v>
      </c>
      <c r="S150" s="34">
        <v>8</v>
      </c>
      <c r="T150" s="34">
        <v>1</v>
      </c>
      <c r="U150" s="33">
        <v>40</v>
      </c>
      <c r="V150" s="38" t="s">
        <v>827</v>
      </c>
      <c r="W150" s="39">
        <v>0.1111111111111111</v>
      </c>
      <c r="X150" s="40" t="s">
        <v>304</v>
      </c>
      <c r="Y150" s="40" t="s">
        <v>284</v>
      </c>
      <c r="Z150" s="40" t="s">
        <v>305</v>
      </c>
      <c r="AA150" s="33" t="s">
        <v>771</v>
      </c>
      <c r="AB150" s="95"/>
      <c r="AC150" s="95"/>
    </row>
    <row r="151" spans="1:29" x14ac:dyDescent="0.25">
      <c r="A151" s="36" t="s">
        <v>153</v>
      </c>
      <c r="B151" t="s">
        <v>19</v>
      </c>
      <c r="C151" s="36" t="s">
        <v>51</v>
      </c>
      <c r="D151" s="36" t="s">
        <v>533</v>
      </c>
      <c r="E151" s="37" t="s">
        <v>303</v>
      </c>
      <c r="F151" s="41">
        <v>17</v>
      </c>
      <c r="G151" s="41">
        <v>4</v>
      </c>
      <c r="I151" s="131">
        <v>0.24305555555555555</v>
      </c>
      <c r="J151" s="131">
        <v>0.89583333333333337</v>
      </c>
      <c r="K151" s="131">
        <v>0.29166666666666669</v>
      </c>
      <c r="L151" s="131">
        <v>0.5625</v>
      </c>
      <c r="M151" s="33" t="s">
        <v>46</v>
      </c>
      <c r="N151" s="33">
        <v>45</v>
      </c>
      <c r="O151" s="123">
        <v>45404</v>
      </c>
      <c r="P151" s="123">
        <v>45405</v>
      </c>
      <c r="Q151" s="34">
        <v>85</v>
      </c>
      <c r="R151" s="33">
        <v>40</v>
      </c>
      <c r="S151" s="34">
        <v>8</v>
      </c>
      <c r="T151" s="34">
        <v>1</v>
      </c>
      <c r="U151" s="33">
        <v>320</v>
      </c>
      <c r="V151" s="38" t="s">
        <v>827</v>
      </c>
      <c r="W151" s="39">
        <v>0.88888888888888884</v>
      </c>
      <c r="X151" s="40" t="s">
        <v>304</v>
      </c>
      <c r="Y151" s="40" t="s">
        <v>284</v>
      </c>
      <c r="Z151" s="40" t="s">
        <v>311</v>
      </c>
      <c r="AA151" s="33" t="s">
        <v>775</v>
      </c>
      <c r="AB151" s="95"/>
      <c r="AC151" s="95"/>
    </row>
    <row r="152" spans="1:29" x14ac:dyDescent="0.25">
      <c r="A152" s="36" t="s">
        <v>153</v>
      </c>
      <c r="B152" t="s">
        <v>19</v>
      </c>
      <c r="C152" s="36" t="s">
        <v>51</v>
      </c>
      <c r="D152" s="36" t="s">
        <v>533</v>
      </c>
      <c r="E152" s="37" t="s">
        <v>303</v>
      </c>
      <c r="F152" s="41">
        <v>17</v>
      </c>
      <c r="G152" s="41">
        <v>4</v>
      </c>
      <c r="I152" s="131">
        <v>0.24305555555555555</v>
      </c>
      <c r="J152" s="131">
        <v>0.89583333333333337</v>
      </c>
      <c r="K152" s="131">
        <v>0.29166666666666669</v>
      </c>
      <c r="L152" s="131">
        <v>0.5625</v>
      </c>
      <c r="M152" s="33" t="s">
        <v>46</v>
      </c>
      <c r="N152" s="33">
        <v>45</v>
      </c>
      <c r="O152" s="123">
        <v>45405</v>
      </c>
      <c r="P152" s="123">
        <v>45407</v>
      </c>
      <c r="Q152" s="34">
        <v>70</v>
      </c>
      <c r="R152" s="33">
        <v>25</v>
      </c>
      <c r="S152" s="34">
        <v>8</v>
      </c>
      <c r="T152" s="34">
        <v>2</v>
      </c>
      <c r="U152" s="33">
        <v>400</v>
      </c>
      <c r="V152" s="38" t="s">
        <v>827</v>
      </c>
      <c r="W152" s="39">
        <v>0.55555555555555558</v>
      </c>
      <c r="X152" s="40" t="s">
        <v>304</v>
      </c>
      <c r="Y152" s="40" t="s">
        <v>283</v>
      </c>
      <c r="Z152" s="40" t="s">
        <v>749</v>
      </c>
      <c r="AA152" s="33" t="s">
        <v>749</v>
      </c>
      <c r="AB152" s="95"/>
      <c r="AC152" s="95"/>
    </row>
    <row r="153" spans="1:29" x14ac:dyDescent="0.25">
      <c r="A153" s="36" t="s">
        <v>153</v>
      </c>
      <c r="B153" t="s">
        <v>19</v>
      </c>
      <c r="C153" s="36" t="s">
        <v>51</v>
      </c>
      <c r="D153" s="36" t="s">
        <v>533</v>
      </c>
      <c r="E153" s="37" t="s">
        <v>303</v>
      </c>
      <c r="F153" s="41">
        <v>17</v>
      </c>
      <c r="G153" s="41">
        <v>4</v>
      </c>
      <c r="I153" s="131">
        <v>0.24305555555555555</v>
      </c>
      <c r="J153" s="131">
        <v>0.89583333333333337</v>
      </c>
      <c r="K153" s="131">
        <v>0.29166666666666669</v>
      </c>
      <c r="L153" s="131">
        <v>0.5625</v>
      </c>
      <c r="M153" s="33" t="s">
        <v>46</v>
      </c>
      <c r="N153" s="33">
        <v>45</v>
      </c>
      <c r="O153" s="123">
        <v>45407</v>
      </c>
      <c r="P153" s="123">
        <v>45410</v>
      </c>
      <c r="Q153" s="34">
        <v>55</v>
      </c>
      <c r="R153" s="33">
        <v>10</v>
      </c>
      <c r="S153" s="34">
        <v>8</v>
      </c>
      <c r="T153" s="34">
        <v>3</v>
      </c>
      <c r="U153" s="33">
        <v>240</v>
      </c>
      <c r="V153" s="38" t="s">
        <v>827</v>
      </c>
      <c r="W153" s="39">
        <v>0.22222222222222221</v>
      </c>
      <c r="X153" s="40" t="s">
        <v>304</v>
      </c>
      <c r="Y153" s="40" t="s">
        <v>284</v>
      </c>
      <c r="Z153" s="40" t="s">
        <v>305</v>
      </c>
      <c r="AA153" s="33" t="s">
        <v>771</v>
      </c>
      <c r="AB153" s="95"/>
      <c r="AC153" s="95"/>
    </row>
    <row r="154" spans="1:29" x14ac:dyDescent="0.25">
      <c r="A154" s="36" t="s">
        <v>55</v>
      </c>
      <c r="B154" t="s">
        <v>56</v>
      </c>
      <c r="C154" s="36" t="s">
        <v>51</v>
      </c>
      <c r="D154" s="36" t="s">
        <v>533</v>
      </c>
      <c r="E154" s="37" t="s">
        <v>303</v>
      </c>
      <c r="F154" s="41">
        <v>17</v>
      </c>
      <c r="G154" s="41">
        <v>4</v>
      </c>
      <c r="I154" s="131">
        <v>0.20833333333333334</v>
      </c>
      <c r="J154" s="131">
        <v>0.83333333333333337</v>
      </c>
      <c r="K154" s="131">
        <v>0.25</v>
      </c>
      <c r="L154" s="131">
        <v>0.54166666666666663</v>
      </c>
      <c r="M154" s="33" t="s">
        <v>46</v>
      </c>
      <c r="N154" s="33">
        <v>55</v>
      </c>
      <c r="O154" s="123">
        <v>45403</v>
      </c>
      <c r="P154" s="123">
        <v>45404</v>
      </c>
      <c r="Q154" s="34">
        <v>60</v>
      </c>
      <c r="R154" s="33">
        <v>5</v>
      </c>
      <c r="S154" s="34">
        <v>9</v>
      </c>
      <c r="T154" s="34">
        <v>1</v>
      </c>
      <c r="U154" s="33">
        <v>45</v>
      </c>
      <c r="V154" s="38" t="s">
        <v>827</v>
      </c>
      <c r="W154" s="39">
        <v>9.0909090909090912E-2</v>
      </c>
      <c r="X154" s="40" t="s">
        <v>304</v>
      </c>
      <c r="Y154" s="40" t="s">
        <v>284</v>
      </c>
      <c r="Z154" s="40" t="s">
        <v>305</v>
      </c>
      <c r="AA154" s="33" t="s">
        <v>771</v>
      </c>
      <c r="AB154" s="95"/>
      <c r="AC154" s="95"/>
    </row>
    <row r="155" spans="1:29" x14ac:dyDescent="0.25">
      <c r="A155" s="36" t="s">
        <v>55</v>
      </c>
      <c r="B155" t="s">
        <v>56</v>
      </c>
      <c r="C155" s="36" t="s">
        <v>51</v>
      </c>
      <c r="D155" s="36" t="s">
        <v>533</v>
      </c>
      <c r="E155" s="37" t="s">
        <v>303</v>
      </c>
      <c r="F155" s="41">
        <v>17</v>
      </c>
      <c r="G155" s="41">
        <v>4</v>
      </c>
      <c r="I155" s="131">
        <v>0.20833333333333334</v>
      </c>
      <c r="J155" s="131">
        <v>0.83333333333333337</v>
      </c>
      <c r="K155" s="131">
        <v>0.25</v>
      </c>
      <c r="L155" s="131">
        <v>0.54166666666666663</v>
      </c>
      <c r="M155" s="33" t="s">
        <v>46</v>
      </c>
      <c r="N155" s="33">
        <v>55</v>
      </c>
      <c r="O155" s="123">
        <v>45404</v>
      </c>
      <c r="P155" s="123">
        <v>45410</v>
      </c>
      <c r="Q155" s="34">
        <v>75</v>
      </c>
      <c r="R155" s="33">
        <v>20</v>
      </c>
      <c r="S155" s="34">
        <v>1.8</v>
      </c>
      <c r="T155" s="34">
        <v>6</v>
      </c>
      <c r="U155" s="33">
        <v>216</v>
      </c>
      <c r="V155" s="38" t="s">
        <v>827</v>
      </c>
      <c r="W155" s="39">
        <v>0.36363636363636365</v>
      </c>
      <c r="X155" s="40" t="s">
        <v>304</v>
      </c>
      <c r="Y155" s="40" t="s">
        <v>284</v>
      </c>
      <c r="Z155" s="40" t="s">
        <v>307</v>
      </c>
      <c r="AA155" s="33" t="s">
        <v>313</v>
      </c>
      <c r="AB155" s="95"/>
      <c r="AC155" s="95"/>
    </row>
    <row r="156" spans="1:29" x14ac:dyDescent="0.25">
      <c r="A156" s="36" t="s">
        <v>55</v>
      </c>
      <c r="B156" t="s">
        <v>56</v>
      </c>
      <c r="C156" s="36" t="s">
        <v>51</v>
      </c>
      <c r="D156" s="36" t="s">
        <v>533</v>
      </c>
      <c r="E156" s="37" t="s">
        <v>303</v>
      </c>
      <c r="F156" s="41">
        <v>17</v>
      </c>
      <c r="G156" s="41">
        <v>4</v>
      </c>
      <c r="I156" s="131">
        <v>0.20833333333333334</v>
      </c>
      <c r="J156" s="131">
        <v>0.83333333333333337</v>
      </c>
      <c r="K156" s="131">
        <v>0.25</v>
      </c>
      <c r="L156" s="131">
        <v>0.54166666666666663</v>
      </c>
      <c r="M156" s="33" t="s">
        <v>46</v>
      </c>
      <c r="N156" s="33">
        <v>55</v>
      </c>
      <c r="O156" s="123">
        <v>45404</v>
      </c>
      <c r="P156" s="123">
        <v>45410</v>
      </c>
      <c r="Q156" s="34">
        <v>60</v>
      </c>
      <c r="R156" s="33">
        <v>5</v>
      </c>
      <c r="S156" s="34">
        <v>2</v>
      </c>
      <c r="T156" s="34">
        <v>6</v>
      </c>
      <c r="U156" s="33">
        <v>60</v>
      </c>
      <c r="V156" s="38" t="s">
        <v>827</v>
      </c>
      <c r="W156" s="39">
        <v>9.0909090909090912E-2</v>
      </c>
      <c r="X156" s="40" t="s">
        <v>304</v>
      </c>
      <c r="Y156" s="40" t="s">
        <v>284</v>
      </c>
      <c r="Z156" s="40" t="s">
        <v>305</v>
      </c>
      <c r="AA156" s="33" t="s">
        <v>771</v>
      </c>
      <c r="AB156" s="95"/>
      <c r="AC156" s="95"/>
    </row>
    <row r="157" spans="1:29" x14ac:dyDescent="0.25">
      <c r="A157" s="36" t="s">
        <v>154</v>
      </c>
      <c r="B157" t="s">
        <v>20</v>
      </c>
      <c r="C157" s="36" t="s">
        <v>51</v>
      </c>
      <c r="D157" s="36" t="s">
        <v>533</v>
      </c>
      <c r="E157" s="37" t="s">
        <v>303</v>
      </c>
      <c r="F157" s="41">
        <v>17</v>
      </c>
      <c r="G157" s="41">
        <v>4</v>
      </c>
      <c r="I157" s="131">
        <v>0.24305555555555555</v>
      </c>
      <c r="J157" s="131">
        <v>0.875</v>
      </c>
      <c r="K157" s="131" t="s">
        <v>148</v>
      </c>
      <c r="L157" s="131" t="s">
        <v>148</v>
      </c>
      <c r="M157" s="33" t="s">
        <v>46</v>
      </c>
      <c r="N157" s="33">
        <v>75</v>
      </c>
      <c r="O157" s="123">
        <v>45403</v>
      </c>
      <c r="P157" s="123">
        <v>45405</v>
      </c>
      <c r="Q157" s="34">
        <v>90</v>
      </c>
      <c r="R157" s="33">
        <v>15</v>
      </c>
      <c r="S157" s="34">
        <v>0.5</v>
      </c>
      <c r="T157" s="34">
        <v>2</v>
      </c>
      <c r="U157" s="33">
        <v>15</v>
      </c>
      <c r="V157" s="38" t="s">
        <v>827</v>
      </c>
      <c r="W157" s="39">
        <v>0.2</v>
      </c>
      <c r="X157" s="40" t="s">
        <v>304</v>
      </c>
      <c r="Y157" s="40" t="s">
        <v>284</v>
      </c>
      <c r="Z157" s="40" t="s">
        <v>307</v>
      </c>
      <c r="AA157" s="33" t="s">
        <v>414</v>
      </c>
      <c r="AB157" s="95"/>
      <c r="AC157" s="95"/>
    </row>
    <row r="158" spans="1:29" x14ac:dyDescent="0.25">
      <c r="A158" s="36" t="s">
        <v>154</v>
      </c>
      <c r="B158" t="s">
        <v>20</v>
      </c>
      <c r="C158" s="36" t="s">
        <v>51</v>
      </c>
      <c r="D158" s="36" t="s">
        <v>533</v>
      </c>
      <c r="E158" s="37" t="s">
        <v>303</v>
      </c>
      <c r="F158" s="41">
        <v>17</v>
      </c>
      <c r="G158" s="41">
        <v>4</v>
      </c>
      <c r="I158" s="131">
        <v>0.24305555555555555</v>
      </c>
      <c r="J158" s="131">
        <v>0.875</v>
      </c>
      <c r="K158" s="131" t="s">
        <v>148</v>
      </c>
      <c r="L158" s="131" t="s">
        <v>148</v>
      </c>
      <c r="M158" s="33" t="s">
        <v>46</v>
      </c>
      <c r="N158" s="33">
        <v>75</v>
      </c>
      <c r="O158" s="123">
        <v>45404</v>
      </c>
      <c r="P158" s="123">
        <v>45410</v>
      </c>
      <c r="Q158" s="34">
        <v>100</v>
      </c>
      <c r="R158" s="33">
        <v>25</v>
      </c>
      <c r="S158" s="34">
        <v>1</v>
      </c>
      <c r="T158" s="34">
        <v>6</v>
      </c>
      <c r="U158" s="33">
        <v>150</v>
      </c>
      <c r="V158" s="38" t="s">
        <v>827</v>
      </c>
      <c r="W158" s="39">
        <v>0.33333333333333331</v>
      </c>
      <c r="X158" s="40" t="s">
        <v>304</v>
      </c>
      <c r="Y158" s="40" t="s">
        <v>284</v>
      </c>
      <c r="Z158" s="40" t="s">
        <v>307</v>
      </c>
      <c r="AA158" s="33" t="s">
        <v>313</v>
      </c>
      <c r="AB158" s="95"/>
      <c r="AC158" s="95"/>
    </row>
    <row r="159" spans="1:29" x14ac:dyDescent="0.25">
      <c r="A159" s="36" t="s">
        <v>154</v>
      </c>
      <c r="B159" t="s">
        <v>20</v>
      </c>
      <c r="C159" s="36" t="s">
        <v>51</v>
      </c>
      <c r="D159" s="36" t="s">
        <v>533</v>
      </c>
      <c r="E159" s="37" t="s">
        <v>303</v>
      </c>
      <c r="F159" s="41">
        <v>17</v>
      </c>
      <c r="G159" s="41">
        <v>4</v>
      </c>
      <c r="I159" s="131">
        <v>0.24305555555555555</v>
      </c>
      <c r="J159" s="131">
        <v>0.875</v>
      </c>
      <c r="K159" s="131" t="s">
        <v>148</v>
      </c>
      <c r="L159" s="131" t="s">
        <v>148</v>
      </c>
      <c r="M159" s="33" t="s">
        <v>46</v>
      </c>
      <c r="N159" s="33">
        <v>75</v>
      </c>
      <c r="O159" s="123">
        <v>45406</v>
      </c>
      <c r="P159" s="123">
        <v>45409</v>
      </c>
      <c r="Q159" s="34">
        <v>90</v>
      </c>
      <c r="R159" s="33">
        <v>15</v>
      </c>
      <c r="S159" s="34">
        <v>0.5</v>
      </c>
      <c r="T159" s="34">
        <v>3</v>
      </c>
      <c r="U159" s="33">
        <v>22.5</v>
      </c>
      <c r="V159" s="38" t="s">
        <v>827</v>
      </c>
      <c r="W159" s="39">
        <v>0.2</v>
      </c>
      <c r="X159" s="40" t="s">
        <v>304</v>
      </c>
      <c r="Y159" s="40" t="s">
        <v>284</v>
      </c>
      <c r="Z159" s="40" t="s">
        <v>307</v>
      </c>
      <c r="AA159" s="33" t="s">
        <v>414</v>
      </c>
      <c r="AB159" s="95"/>
      <c r="AC159" s="95"/>
    </row>
    <row r="160" spans="1:29" x14ac:dyDescent="0.25">
      <c r="A160" s="36" t="s">
        <v>71</v>
      </c>
      <c r="B160" t="s">
        <v>399</v>
      </c>
      <c r="C160" s="36" t="s">
        <v>51</v>
      </c>
      <c r="D160" s="36" t="s">
        <v>530</v>
      </c>
      <c r="E160" s="37" t="s">
        <v>303</v>
      </c>
      <c r="F160" s="41">
        <v>17</v>
      </c>
      <c r="G160" s="41">
        <v>4</v>
      </c>
      <c r="I160" s="131">
        <v>0.1875</v>
      </c>
      <c r="J160" s="131">
        <v>0.8125</v>
      </c>
      <c r="K160" s="131">
        <v>0.25</v>
      </c>
      <c r="L160" s="131">
        <v>0.52083333333333337</v>
      </c>
      <c r="M160" s="33" t="s">
        <v>46</v>
      </c>
      <c r="N160" s="33">
        <v>60</v>
      </c>
      <c r="O160" s="123">
        <v>45404</v>
      </c>
      <c r="P160" s="123">
        <v>45410</v>
      </c>
      <c r="Q160" s="34">
        <v>85</v>
      </c>
      <c r="R160" s="33">
        <v>25</v>
      </c>
      <c r="S160" s="34">
        <v>0.5</v>
      </c>
      <c r="T160" s="34">
        <v>6</v>
      </c>
      <c r="U160" s="33">
        <v>75</v>
      </c>
      <c r="V160" s="38" t="s">
        <v>148</v>
      </c>
      <c r="W160" s="39">
        <v>0.41666666666666669</v>
      </c>
      <c r="X160" s="40" t="s">
        <v>304</v>
      </c>
      <c r="Y160" s="40" t="s">
        <v>284</v>
      </c>
      <c r="Z160" s="40" t="s">
        <v>307</v>
      </c>
      <c r="AA160" s="33" t="s">
        <v>313</v>
      </c>
      <c r="AB160" s="95"/>
      <c r="AC160" s="95"/>
    </row>
    <row r="161" spans="1:29" x14ac:dyDescent="0.25">
      <c r="A161" s="36" t="s">
        <v>109</v>
      </c>
      <c r="B161" t="s">
        <v>110</v>
      </c>
      <c r="C161" s="36" t="s">
        <v>51</v>
      </c>
      <c r="D161" s="36" t="s">
        <v>533</v>
      </c>
      <c r="E161" s="37" t="s">
        <v>303</v>
      </c>
      <c r="F161" s="41">
        <v>17</v>
      </c>
      <c r="G161" s="41">
        <v>4</v>
      </c>
      <c r="I161" s="131">
        <v>0.20833333333333334</v>
      </c>
      <c r="J161" s="131">
        <v>0.89583333333333337</v>
      </c>
      <c r="K161" s="131">
        <v>0.27083333333333331</v>
      </c>
      <c r="L161" s="131">
        <v>0.55902777777777779</v>
      </c>
      <c r="M161" s="33" t="s">
        <v>46</v>
      </c>
      <c r="N161" s="33">
        <v>80</v>
      </c>
      <c r="O161" s="123">
        <v>45404</v>
      </c>
      <c r="P161" s="123">
        <v>45410</v>
      </c>
      <c r="Q161" s="34">
        <v>115</v>
      </c>
      <c r="R161" s="33">
        <v>35</v>
      </c>
      <c r="S161" s="34">
        <v>0.5</v>
      </c>
      <c r="T161" s="34">
        <v>6</v>
      </c>
      <c r="U161" s="33">
        <v>105</v>
      </c>
      <c r="V161" s="38" t="s">
        <v>827</v>
      </c>
      <c r="W161" s="39">
        <v>0.4375</v>
      </c>
      <c r="X161" s="40" t="s">
        <v>304</v>
      </c>
      <c r="Y161" s="40" t="s">
        <v>284</v>
      </c>
      <c r="Z161" s="40" t="s">
        <v>307</v>
      </c>
      <c r="AA161" s="33" t="s">
        <v>313</v>
      </c>
      <c r="AB161" s="95"/>
      <c r="AC161" s="95"/>
    </row>
    <row r="162" spans="1:29" x14ac:dyDescent="0.25">
      <c r="A162" s="36" t="s">
        <v>265</v>
      </c>
      <c r="B162" t="s">
        <v>38</v>
      </c>
      <c r="C162" s="36" t="s">
        <v>51</v>
      </c>
      <c r="D162" s="36" t="s">
        <v>533</v>
      </c>
      <c r="E162" s="37" t="s">
        <v>303</v>
      </c>
      <c r="F162" s="41">
        <v>17</v>
      </c>
      <c r="G162" s="41">
        <v>4</v>
      </c>
      <c r="I162" s="131">
        <v>0.1875</v>
      </c>
      <c r="J162" s="131">
        <v>0.85416666666666663</v>
      </c>
      <c r="K162" s="131" t="s">
        <v>148</v>
      </c>
      <c r="L162" s="131" t="s">
        <v>148</v>
      </c>
      <c r="M162" s="33" t="s">
        <v>46</v>
      </c>
      <c r="N162" s="33">
        <v>75</v>
      </c>
      <c r="O162" s="123">
        <v>45404</v>
      </c>
      <c r="P162" s="123">
        <v>45410</v>
      </c>
      <c r="Q162" s="34">
        <v>125</v>
      </c>
      <c r="R162" s="33">
        <v>50</v>
      </c>
      <c r="S162" s="34">
        <v>0.5</v>
      </c>
      <c r="T162" s="34">
        <v>6</v>
      </c>
      <c r="U162" s="33">
        <v>150</v>
      </c>
      <c r="V162" s="38" t="s">
        <v>827</v>
      </c>
      <c r="W162" s="39">
        <v>0.66666666666666663</v>
      </c>
      <c r="X162" s="40" t="s">
        <v>304</v>
      </c>
      <c r="Y162" s="40" t="s">
        <v>284</v>
      </c>
      <c r="Z162" s="40" t="s">
        <v>307</v>
      </c>
      <c r="AA162" s="33" t="s">
        <v>313</v>
      </c>
      <c r="AB162" s="95"/>
      <c r="AC162" s="95"/>
    </row>
    <row r="163" spans="1:29" x14ac:dyDescent="0.25">
      <c r="A163" s="36" t="s">
        <v>182</v>
      </c>
      <c r="B163" t="s">
        <v>27</v>
      </c>
      <c r="C163" s="36" t="s">
        <v>51</v>
      </c>
      <c r="D163" s="36" t="s">
        <v>533</v>
      </c>
      <c r="E163" s="37" t="s">
        <v>303</v>
      </c>
      <c r="F163" s="41">
        <v>17</v>
      </c>
      <c r="G163" s="41">
        <v>4</v>
      </c>
      <c r="I163" s="131">
        <v>0.23611111111111113</v>
      </c>
      <c r="J163" s="131">
        <v>0.92708333333333337</v>
      </c>
      <c r="K163" s="131">
        <v>0.23611111111111113</v>
      </c>
      <c r="L163" s="131">
        <v>0.54166666666666663</v>
      </c>
      <c r="M163" s="33" t="s">
        <v>46</v>
      </c>
      <c r="N163" s="33">
        <v>35</v>
      </c>
      <c r="O163" s="123">
        <v>45410</v>
      </c>
      <c r="P163" s="123">
        <v>45410</v>
      </c>
      <c r="Q163" s="34">
        <v>70</v>
      </c>
      <c r="R163" s="33">
        <v>35</v>
      </c>
      <c r="S163" s="34">
        <v>7</v>
      </c>
      <c r="T163" s="34">
        <v>1</v>
      </c>
      <c r="U163" s="33">
        <v>245</v>
      </c>
      <c r="V163" s="38" t="s">
        <v>827</v>
      </c>
      <c r="W163" s="39">
        <v>1</v>
      </c>
      <c r="X163" s="40" t="s">
        <v>730</v>
      </c>
      <c r="Y163" s="40" t="s">
        <v>284</v>
      </c>
      <c r="Z163" s="40" t="s">
        <v>307</v>
      </c>
      <c r="AA163" s="33" t="s">
        <v>308</v>
      </c>
      <c r="AB163" s="95"/>
      <c r="AC163" s="95"/>
    </row>
    <row r="164" spans="1:29" x14ac:dyDescent="0.25">
      <c r="A164" s="36" t="s">
        <v>130</v>
      </c>
      <c r="B164" t="s">
        <v>131</v>
      </c>
      <c r="C164" s="36" t="s">
        <v>51</v>
      </c>
      <c r="D164" s="36" t="s">
        <v>530</v>
      </c>
      <c r="E164" s="37" t="s">
        <v>303</v>
      </c>
      <c r="F164" s="41">
        <v>17</v>
      </c>
      <c r="G164" s="41">
        <v>4</v>
      </c>
      <c r="I164" s="131">
        <v>0.24305555555555555</v>
      </c>
      <c r="J164" s="131">
        <v>0.89583333333333337</v>
      </c>
      <c r="K164" s="131">
        <v>0.27083333333333331</v>
      </c>
      <c r="L164" s="131">
        <v>0.5625</v>
      </c>
      <c r="M164" s="33" t="s">
        <v>46</v>
      </c>
      <c r="N164" s="33">
        <v>55</v>
      </c>
      <c r="O164" s="123">
        <v>45410</v>
      </c>
      <c r="P164" s="123">
        <v>45410</v>
      </c>
      <c r="Q164" s="34">
        <v>105</v>
      </c>
      <c r="R164" s="33">
        <v>50</v>
      </c>
      <c r="S164" s="34">
        <v>6</v>
      </c>
      <c r="T164" s="34">
        <v>1</v>
      </c>
      <c r="U164" s="33">
        <v>300</v>
      </c>
      <c r="V164" s="38" t="s">
        <v>827</v>
      </c>
      <c r="W164" s="39">
        <v>0.90909090909090906</v>
      </c>
      <c r="X164" s="40" t="s">
        <v>730</v>
      </c>
      <c r="Y164" s="40" t="s">
        <v>284</v>
      </c>
      <c r="Z164" s="40" t="s">
        <v>307</v>
      </c>
      <c r="AA164" s="33" t="s">
        <v>308</v>
      </c>
      <c r="AB164" s="95"/>
      <c r="AC164" s="95"/>
    </row>
    <row r="165" spans="1:29" x14ac:dyDescent="0.25">
      <c r="A165" s="36" t="s">
        <v>133</v>
      </c>
      <c r="B165" t="s">
        <v>16</v>
      </c>
      <c r="C165" s="36" t="s">
        <v>51</v>
      </c>
      <c r="D165" s="36" t="s">
        <v>530</v>
      </c>
      <c r="E165" s="37" t="s">
        <v>303</v>
      </c>
      <c r="F165" s="41">
        <v>17</v>
      </c>
      <c r="G165" s="41">
        <v>4</v>
      </c>
      <c r="I165" s="131">
        <v>0.20833333333333334</v>
      </c>
      <c r="J165" s="131">
        <v>0.83333333333333337</v>
      </c>
      <c r="K165" s="131" t="s">
        <v>148</v>
      </c>
      <c r="L165" s="131" t="s">
        <v>148</v>
      </c>
      <c r="M165" s="33" t="s">
        <v>46</v>
      </c>
      <c r="N165" s="33">
        <v>55</v>
      </c>
      <c r="O165" s="123">
        <v>45410</v>
      </c>
      <c r="P165" s="123">
        <v>45410</v>
      </c>
      <c r="Q165" s="34">
        <v>85</v>
      </c>
      <c r="R165" s="33">
        <v>30</v>
      </c>
      <c r="S165" s="34">
        <v>7.5</v>
      </c>
      <c r="T165" s="34">
        <v>1</v>
      </c>
      <c r="U165" s="33">
        <v>225</v>
      </c>
      <c r="V165" s="38" t="s">
        <v>827</v>
      </c>
      <c r="W165" s="39">
        <v>0.54545454545454541</v>
      </c>
      <c r="X165" s="40" t="s">
        <v>730</v>
      </c>
      <c r="Y165" s="40" t="s">
        <v>284</v>
      </c>
      <c r="Z165" s="40" t="s">
        <v>307</v>
      </c>
      <c r="AA165" s="33" t="s">
        <v>308</v>
      </c>
      <c r="AB165" s="95"/>
      <c r="AC165" s="95"/>
    </row>
    <row r="166" spans="1:29" x14ac:dyDescent="0.25">
      <c r="A166" s="36" t="s">
        <v>254</v>
      </c>
      <c r="B166" t="s">
        <v>37</v>
      </c>
      <c r="C166" s="36" t="s">
        <v>51</v>
      </c>
      <c r="D166" s="36" t="s">
        <v>533</v>
      </c>
      <c r="E166" s="37" t="s">
        <v>303</v>
      </c>
      <c r="F166" s="41">
        <v>17</v>
      </c>
      <c r="G166" s="41">
        <v>4</v>
      </c>
      <c r="I166" s="131">
        <v>0.22916666666666666</v>
      </c>
      <c r="J166" s="131">
        <v>0.88541666666666663</v>
      </c>
      <c r="K166" s="131">
        <v>0.31944444444444448</v>
      </c>
      <c r="L166" s="131">
        <v>0.55208333333333337</v>
      </c>
      <c r="M166" s="33" t="s">
        <v>46</v>
      </c>
      <c r="N166" s="33">
        <v>50</v>
      </c>
      <c r="O166" s="123">
        <v>45410</v>
      </c>
      <c r="P166" s="123">
        <v>45410</v>
      </c>
      <c r="Q166" s="34">
        <v>95</v>
      </c>
      <c r="R166" s="33">
        <v>45</v>
      </c>
      <c r="S166" s="34">
        <v>5.5</v>
      </c>
      <c r="T166" s="34">
        <v>1</v>
      </c>
      <c r="U166" s="33">
        <v>247.5</v>
      </c>
      <c r="V166" s="38" t="s">
        <v>827</v>
      </c>
      <c r="W166" s="39">
        <v>0.9</v>
      </c>
      <c r="X166" s="40" t="s">
        <v>730</v>
      </c>
      <c r="Y166" s="40" t="s">
        <v>284</v>
      </c>
      <c r="Z166" s="40" t="s">
        <v>307</v>
      </c>
      <c r="AA166" s="33" t="s">
        <v>308</v>
      </c>
      <c r="AB166" s="95"/>
      <c r="AC166" s="95"/>
    </row>
    <row r="167" spans="1:29" x14ac:dyDescent="0.25">
      <c r="A167" s="36" t="s">
        <v>254</v>
      </c>
      <c r="B167" t="s">
        <v>37</v>
      </c>
      <c r="C167" s="36" t="s">
        <v>51</v>
      </c>
      <c r="D167" s="36" t="s">
        <v>533</v>
      </c>
      <c r="E167" s="37" t="s">
        <v>303</v>
      </c>
      <c r="F167" s="41">
        <v>17</v>
      </c>
      <c r="G167" s="41">
        <v>4</v>
      </c>
      <c r="I167" s="131">
        <v>0.22916666666666666</v>
      </c>
      <c r="J167" s="131">
        <v>0.88541666666666663</v>
      </c>
      <c r="K167" s="131">
        <v>0.31944444444444448</v>
      </c>
      <c r="L167" s="131">
        <v>0.55208333333333337</v>
      </c>
      <c r="M167" s="33" t="s">
        <v>46</v>
      </c>
      <c r="N167" s="33">
        <v>50</v>
      </c>
      <c r="O167" s="123">
        <v>45410</v>
      </c>
      <c r="P167" s="123">
        <v>45410</v>
      </c>
      <c r="Q167" s="34">
        <v>60</v>
      </c>
      <c r="R167" s="33">
        <v>10</v>
      </c>
      <c r="S167" s="34">
        <v>2.5</v>
      </c>
      <c r="T167" s="34">
        <v>1</v>
      </c>
      <c r="U167" s="33">
        <v>25</v>
      </c>
      <c r="V167" s="38" t="s">
        <v>827</v>
      </c>
      <c r="W167" s="39">
        <v>0.2</v>
      </c>
      <c r="X167" s="40" t="s">
        <v>730</v>
      </c>
      <c r="Y167" s="40" t="s">
        <v>284</v>
      </c>
      <c r="Z167" s="40" t="s">
        <v>305</v>
      </c>
      <c r="AA167" s="33" t="s">
        <v>771</v>
      </c>
      <c r="AB167" s="95"/>
      <c r="AC167" s="95"/>
    </row>
    <row r="168" spans="1:29" x14ac:dyDescent="0.25">
      <c r="A168" s="36" t="s">
        <v>144</v>
      </c>
      <c r="B168" t="s">
        <v>17</v>
      </c>
      <c r="C168" s="36" t="s">
        <v>51</v>
      </c>
      <c r="D168" s="36" t="s">
        <v>533</v>
      </c>
      <c r="E168" s="37" t="s">
        <v>303</v>
      </c>
      <c r="F168" s="41">
        <v>17</v>
      </c>
      <c r="G168" s="41">
        <v>4</v>
      </c>
      <c r="I168" s="131">
        <v>0.25</v>
      </c>
      <c r="J168" s="131">
        <v>0.90625</v>
      </c>
      <c r="K168" s="131">
        <v>0.3263888888888889</v>
      </c>
      <c r="L168" s="131">
        <v>0.54166666666666663</v>
      </c>
      <c r="M168" s="33" t="s">
        <v>46</v>
      </c>
      <c r="N168" s="33">
        <v>35</v>
      </c>
      <c r="O168" s="123">
        <v>45410</v>
      </c>
      <c r="P168" s="123">
        <v>45410</v>
      </c>
      <c r="Q168" s="34">
        <v>50</v>
      </c>
      <c r="R168" s="33">
        <v>15</v>
      </c>
      <c r="S168" s="34">
        <v>7</v>
      </c>
      <c r="T168" s="34">
        <v>1</v>
      </c>
      <c r="U168" s="33">
        <v>105</v>
      </c>
      <c r="V168" s="38" t="s">
        <v>827</v>
      </c>
      <c r="W168" s="39">
        <v>0.42857142857142855</v>
      </c>
      <c r="X168" s="40" t="s">
        <v>730</v>
      </c>
      <c r="Y168" s="40" t="s">
        <v>284</v>
      </c>
      <c r="Z168" s="40" t="s">
        <v>307</v>
      </c>
      <c r="AA168" s="33" t="s">
        <v>308</v>
      </c>
      <c r="AB168" s="95"/>
      <c r="AC168" s="95"/>
    </row>
    <row r="169" spans="1:29" x14ac:dyDescent="0.25">
      <c r="A169" s="36" t="s">
        <v>57</v>
      </c>
      <c r="B169" t="s">
        <v>4</v>
      </c>
      <c r="C169" s="36" t="s">
        <v>51</v>
      </c>
      <c r="D169" s="36" t="s">
        <v>533</v>
      </c>
      <c r="E169" s="37" t="s">
        <v>303</v>
      </c>
      <c r="F169" s="41">
        <v>17</v>
      </c>
      <c r="G169" s="41">
        <v>4</v>
      </c>
      <c r="I169" s="131">
        <v>0.20833333333333334</v>
      </c>
      <c r="J169" s="131">
        <v>0.875</v>
      </c>
      <c r="K169" s="131" t="s">
        <v>148</v>
      </c>
      <c r="L169" s="131" t="s">
        <v>148</v>
      </c>
      <c r="M169" s="33" t="s">
        <v>46</v>
      </c>
      <c r="N169" s="33">
        <v>60</v>
      </c>
      <c r="O169" s="123">
        <v>45410</v>
      </c>
      <c r="P169" s="123">
        <v>45410</v>
      </c>
      <c r="Q169" s="34">
        <v>105</v>
      </c>
      <c r="R169" s="33">
        <v>45</v>
      </c>
      <c r="S169" s="34">
        <v>6</v>
      </c>
      <c r="T169" s="34">
        <v>1</v>
      </c>
      <c r="U169" s="33">
        <v>270</v>
      </c>
      <c r="V169" s="38" t="s">
        <v>827</v>
      </c>
      <c r="W169" s="39">
        <v>0.75</v>
      </c>
      <c r="X169" s="40" t="s">
        <v>730</v>
      </c>
      <c r="Y169" s="40" t="s">
        <v>284</v>
      </c>
      <c r="Z169" s="40" t="s">
        <v>307</v>
      </c>
      <c r="AA169" s="33" t="s">
        <v>308</v>
      </c>
      <c r="AB169" s="95"/>
      <c r="AC169" s="95"/>
    </row>
    <row r="170" spans="1:29" x14ac:dyDescent="0.25">
      <c r="A170" s="36" t="s">
        <v>57</v>
      </c>
      <c r="B170" t="s">
        <v>4</v>
      </c>
      <c r="C170" s="36" t="s">
        <v>51</v>
      </c>
      <c r="D170" s="36" t="s">
        <v>533</v>
      </c>
      <c r="E170" s="37" t="s">
        <v>303</v>
      </c>
      <c r="F170" s="41">
        <v>17</v>
      </c>
      <c r="G170" s="41">
        <v>4</v>
      </c>
      <c r="I170" s="131">
        <v>0.20833333333333334</v>
      </c>
      <c r="J170" s="131">
        <v>0.875</v>
      </c>
      <c r="K170" s="131" t="s">
        <v>148</v>
      </c>
      <c r="L170" s="131" t="s">
        <v>148</v>
      </c>
      <c r="M170" s="33" t="s">
        <v>46</v>
      </c>
      <c r="N170" s="33">
        <v>60</v>
      </c>
      <c r="O170" s="123">
        <v>45410</v>
      </c>
      <c r="P170" s="123">
        <v>45410</v>
      </c>
      <c r="Q170" s="34">
        <v>70</v>
      </c>
      <c r="R170" s="33">
        <v>10</v>
      </c>
      <c r="S170" s="34">
        <v>10</v>
      </c>
      <c r="T170" s="34">
        <v>1</v>
      </c>
      <c r="U170" s="33">
        <v>100</v>
      </c>
      <c r="V170" s="38" t="s">
        <v>827</v>
      </c>
      <c r="W170" s="39">
        <v>0.16666666666666666</v>
      </c>
      <c r="X170" s="40" t="s">
        <v>730</v>
      </c>
      <c r="Y170" s="40" t="s">
        <v>284</v>
      </c>
      <c r="Z170" s="40" t="s">
        <v>305</v>
      </c>
      <c r="AA170" s="33" t="s">
        <v>771</v>
      </c>
      <c r="AB170" s="95"/>
      <c r="AC170" s="95"/>
    </row>
    <row r="171" spans="1:29" x14ac:dyDescent="0.25">
      <c r="A171" s="36" t="s">
        <v>185</v>
      </c>
      <c r="B171" t="s">
        <v>186</v>
      </c>
      <c r="C171" s="36" t="s">
        <v>51</v>
      </c>
      <c r="D171" s="36" t="s">
        <v>530</v>
      </c>
      <c r="E171" s="37" t="s">
        <v>303</v>
      </c>
      <c r="F171" s="41">
        <v>17</v>
      </c>
      <c r="G171" s="41">
        <v>4</v>
      </c>
      <c r="I171" s="131">
        <v>0.23611111111111113</v>
      </c>
      <c r="J171" s="131">
        <v>0.86458333333333337</v>
      </c>
      <c r="K171" s="131" t="s">
        <v>148</v>
      </c>
      <c r="L171" s="131" t="s">
        <v>148</v>
      </c>
      <c r="M171" s="33" t="s">
        <v>46</v>
      </c>
      <c r="N171" s="33">
        <v>85</v>
      </c>
      <c r="O171" s="123">
        <v>45410</v>
      </c>
      <c r="P171" s="123">
        <v>45410</v>
      </c>
      <c r="Q171" s="34">
        <v>125</v>
      </c>
      <c r="R171" s="33">
        <v>40</v>
      </c>
      <c r="S171" s="34">
        <v>15</v>
      </c>
      <c r="T171" s="34">
        <v>1</v>
      </c>
      <c r="U171" s="33">
        <v>600</v>
      </c>
      <c r="V171" s="38" t="s">
        <v>827</v>
      </c>
      <c r="W171" s="39">
        <v>0.47058823529411764</v>
      </c>
      <c r="X171" s="40" t="s">
        <v>730</v>
      </c>
      <c r="Y171" s="40" t="s">
        <v>284</v>
      </c>
      <c r="Z171" s="40" t="s">
        <v>307</v>
      </c>
      <c r="AA171" s="33" t="s">
        <v>308</v>
      </c>
      <c r="AB171" s="95"/>
      <c r="AC171" s="95"/>
    </row>
    <row r="172" spans="1:29" x14ac:dyDescent="0.25">
      <c r="A172" s="36" t="s">
        <v>252</v>
      </c>
      <c r="B172" t="s">
        <v>253</v>
      </c>
      <c r="C172" s="36" t="s">
        <v>51</v>
      </c>
      <c r="D172" s="36" t="s">
        <v>530</v>
      </c>
      <c r="E172" s="37" t="s">
        <v>303</v>
      </c>
      <c r="F172" s="41">
        <v>17</v>
      </c>
      <c r="G172" s="41">
        <v>4</v>
      </c>
      <c r="I172" s="131">
        <v>0.24305555555555555</v>
      </c>
      <c r="J172" s="131">
        <v>0.92708333333333337</v>
      </c>
      <c r="K172" s="131" t="s">
        <v>148</v>
      </c>
      <c r="L172" s="131" t="s">
        <v>148</v>
      </c>
      <c r="M172" s="33" t="s">
        <v>46</v>
      </c>
      <c r="N172" s="33">
        <v>55</v>
      </c>
      <c r="O172" s="123">
        <v>45410</v>
      </c>
      <c r="P172" s="123">
        <v>45410</v>
      </c>
      <c r="Q172" s="34">
        <v>70</v>
      </c>
      <c r="R172" s="33">
        <v>15</v>
      </c>
      <c r="S172" s="34">
        <v>2</v>
      </c>
      <c r="T172" s="34">
        <v>1</v>
      </c>
      <c r="U172" s="33">
        <v>30</v>
      </c>
      <c r="V172" s="38" t="s">
        <v>827</v>
      </c>
      <c r="W172" s="39">
        <v>0.27272727272727271</v>
      </c>
      <c r="X172" s="40" t="s">
        <v>730</v>
      </c>
      <c r="Y172" s="40" t="s">
        <v>284</v>
      </c>
      <c r="Z172" s="40" t="s">
        <v>305</v>
      </c>
      <c r="AA172" s="33" t="s">
        <v>771</v>
      </c>
      <c r="AB172" s="95"/>
      <c r="AC172" s="95"/>
    </row>
    <row r="173" spans="1:29" x14ac:dyDescent="0.25">
      <c r="A173" s="36" t="s">
        <v>252</v>
      </c>
      <c r="B173" t="s">
        <v>253</v>
      </c>
      <c r="C173" s="36" t="s">
        <v>51</v>
      </c>
      <c r="D173" s="36" t="s">
        <v>530</v>
      </c>
      <c r="E173" s="37" t="s">
        <v>303</v>
      </c>
      <c r="F173" s="41">
        <v>17</v>
      </c>
      <c r="G173" s="41">
        <v>4</v>
      </c>
      <c r="I173" s="131">
        <v>0.24305555555555555</v>
      </c>
      <c r="J173" s="131">
        <v>0.92708333333333337</v>
      </c>
      <c r="K173" s="131" t="s">
        <v>148</v>
      </c>
      <c r="L173" s="131" t="s">
        <v>148</v>
      </c>
      <c r="M173" s="33" t="s">
        <v>46</v>
      </c>
      <c r="N173" s="33">
        <v>55</v>
      </c>
      <c r="O173" s="123">
        <v>45410</v>
      </c>
      <c r="P173" s="123">
        <v>45410</v>
      </c>
      <c r="Q173" s="34">
        <v>95</v>
      </c>
      <c r="R173" s="33">
        <v>40</v>
      </c>
      <c r="S173" s="34">
        <v>14</v>
      </c>
      <c r="T173" s="34">
        <v>1</v>
      </c>
      <c r="U173" s="33">
        <v>560</v>
      </c>
      <c r="V173" s="38" t="s">
        <v>827</v>
      </c>
      <c r="W173" s="39">
        <v>0.72727272727272729</v>
      </c>
      <c r="X173" s="40" t="s">
        <v>730</v>
      </c>
      <c r="Y173" s="40" t="s">
        <v>284</v>
      </c>
      <c r="Z173" s="40" t="s">
        <v>307</v>
      </c>
      <c r="AA173" s="33" t="s">
        <v>308</v>
      </c>
      <c r="AB173" s="95"/>
      <c r="AC173" s="95"/>
    </row>
    <row r="174" spans="1:29" x14ac:dyDescent="0.25">
      <c r="A174" s="36" t="s">
        <v>252</v>
      </c>
      <c r="B174" t="s">
        <v>253</v>
      </c>
      <c r="C174" s="36" t="s">
        <v>51</v>
      </c>
      <c r="D174" s="36" t="s">
        <v>530</v>
      </c>
      <c r="E174" s="37" t="s">
        <v>303</v>
      </c>
      <c r="F174" s="41">
        <v>17</v>
      </c>
      <c r="G174" s="41">
        <v>4</v>
      </c>
      <c r="I174" s="131">
        <v>0.24305555555555555</v>
      </c>
      <c r="J174" s="131">
        <v>0.92708333333333337</v>
      </c>
      <c r="K174" s="131" t="s">
        <v>148</v>
      </c>
      <c r="L174" s="131" t="s">
        <v>148</v>
      </c>
      <c r="M174" s="33" t="s">
        <v>46</v>
      </c>
      <c r="N174" s="33">
        <v>55</v>
      </c>
      <c r="O174" s="123">
        <v>45410</v>
      </c>
      <c r="P174" s="123">
        <v>45410</v>
      </c>
      <c r="Q174" s="34">
        <v>67.5</v>
      </c>
      <c r="R174" s="33">
        <v>12.5</v>
      </c>
      <c r="S174" s="34">
        <v>2</v>
      </c>
      <c r="T174" s="34">
        <v>1</v>
      </c>
      <c r="U174" s="33">
        <v>25</v>
      </c>
      <c r="V174" s="38" t="s">
        <v>827</v>
      </c>
      <c r="W174" s="39">
        <v>0.22727272727272727</v>
      </c>
      <c r="X174" s="40" t="s">
        <v>730</v>
      </c>
      <c r="Y174" s="40" t="s">
        <v>284</v>
      </c>
      <c r="Z174" s="40" t="s">
        <v>305</v>
      </c>
      <c r="AA174" s="33" t="s">
        <v>771</v>
      </c>
      <c r="AB174" s="95"/>
      <c r="AC174" s="95"/>
    </row>
    <row r="175" spans="1:29" x14ac:dyDescent="0.25">
      <c r="A175" s="36" t="s">
        <v>80</v>
      </c>
      <c r="B175" t="s">
        <v>6</v>
      </c>
      <c r="C175" s="36" t="s">
        <v>51</v>
      </c>
      <c r="D175" s="36" t="s">
        <v>533</v>
      </c>
      <c r="E175" s="37" t="s">
        <v>303</v>
      </c>
      <c r="F175" s="41">
        <v>17</v>
      </c>
      <c r="G175" s="41">
        <v>4</v>
      </c>
      <c r="I175" s="131">
        <v>0.16666666666666666</v>
      </c>
      <c r="J175" s="131">
        <v>0.875</v>
      </c>
      <c r="K175" s="131">
        <v>0.20833333333333334</v>
      </c>
      <c r="L175" s="131">
        <v>0.54166666666666696</v>
      </c>
      <c r="M175" s="33" t="s">
        <v>46</v>
      </c>
      <c r="N175" s="33">
        <v>75</v>
      </c>
      <c r="O175" s="123">
        <v>45410</v>
      </c>
      <c r="P175" s="123">
        <v>45410</v>
      </c>
      <c r="Q175" s="34">
        <v>130</v>
      </c>
      <c r="R175" s="33">
        <v>55</v>
      </c>
      <c r="S175" s="34">
        <v>7</v>
      </c>
      <c r="T175" s="34">
        <v>1</v>
      </c>
      <c r="U175" s="33">
        <v>385</v>
      </c>
      <c r="V175" s="38" t="s">
        <v>827</v>
      </c>
      <c r="W175" s="39">
        <v>0.73333333333333328</v>
      </c>
      <c r="X175" s="40" t="s">
        <v>730</v>
      </c>
      <c r="Y175" s="40" t="s">
        <v>284</v>
      </c>
      <c r="Z175" s="40" t="s">
        <v>307</v>
      </c>
      <c r="AA175" s="33" t="s">
        <v>308</v>
      </c>
      <c r="AB175" s="95"/>
      <c r="AC175" s="95"/>
    </row>
    <row r="176" spans="1:29" x14ac:dyDescent="0.25">
      <c r="A176" s="36" t="s">
        <v>80</v>
      </c>
      <c r="B176" t="s">
        <v>6</v>
      </c>
      <c r="C176" s="36" t="s">
        <v>51</v>
      </c>
      <c r="D176" s="36" t="s">
        <v>533</v>
      </c>
      <c r="E176" s="37" t="s">
        <v>303</v>
      </c>
      <c r="F176" s="41">
        <v>17</v>
      </c>
      <c r="G176" s="41">
        <v>4</v>
      </c>
      <c r="I176" s="131">
        <v>0.16666666666666666</v>
      </c>
      <c r="J176" s="131">
        <v>0.875</v>
      </c>
      <c r="K176" s="131">
        <v>0.20833333333333334</v>
      </c>
      <c r="L176" s="131">
        <v>0.54166666666666696</v>
      </c>
      <c r="M176" s="33" t="s">
        <v>46</v>
      </c>
      <c r="N176" s="33">
        <v>75</v>
      </c>
      <c r="O176" s="123">
        <v>45410</v>
      </c>
      <c r="P176" s="123">
        <v>45410</v>
      </c>
      <c r="Q176" s="34">
        <v>95</v>
      </c>
      <c r="R176" s="33">
        <v>20</v>
      </c>
      <c r="S176" s="34">
        <v>1</v>
      </c>
      <c r="T176" s="34">
        <v>1</v>
      </c>
      <c r="U176" s="33">
        <v>20</v>
      </c>
      <c r="V176" s="38" t="s">
        <v>827</v>
      </c>
      <c r="W176" s="39">
        <v>0.26666666666666666</v>
      </c>
      <c r="X176" s="40" t="s">
        <v>730</v>
      </c>
      <c r="Y176" s="40" t="s">
        <v>284</v>
      </c>
      <c r="Z176" s="40" t="s">
        <v>305</v>
      </c>
      <c r="AA176" s="33" t="s">
        <v>771</v>
      </c>
      <c r="AB176" s="95"/>
      <c r="AC176" s="95"/>
    </row>
    <row r="177" spans="1:29" x14ac:dyDescent="0.25">
      <c r="A177" s="36" t="s">
        <v>217</v>
      </c>
      <c r="B177" t="s">
        <v>218</v>
      </c>
      <c r="C177" s="36" t="s">
        <v>51</v>
      </c>
      <c r="D177" s="36" t="s">
        <v>530</v>
      </c>
      <c r="E177" s="37" t="s">
        <v>303</v>
      </c>
      <c r="F177" s="41">
        <v>17</v>
      </c>
      <c r="G177" s="41">
        <v>4</v>
      </c>
      <c r="I177" s="131">
        <v>0.22916666666666666</v>
      </c>
      <c r="J177" s="131">
        <v>0.85416666666666663</v>
      </c>
      <c r="K177" s="131">
        <v>0.3125</v>
      </c>
      <c r="L177" s="131">
        <v>0.5625</v>
      </c>
      <c r="M177" s="33" t="s">
        <v>46</v>
      </c>
      <c r="N177" s="33">
        <v>40</v>
      </c>
      <c r="O177" s="123">
        <v>45410</v>
      </c>
      <c r="P177" s="123">
        <v>45410</v>
      </c>
      <c r="Q177" s="34">
        <v>100</v>
      </c>
      <c r="R177" s="33">
        <v>60</v>
      </c>
      <c r="S177" s="34">
        <v>5.8</v>
      </c>
      <c r="T177" s="34">
        <v>1</v>
      </c>
      <c r="U177" s="33">
        <v>348</v>
      </c>
      <c r="V177" s="38" t="s">
        <v>827</v>
      </c>
      <c r="W177" s="39">
        <v>1.5</v>
      </c>
      <c r="X177" s="40" t="s">
        <v>730</v>
      </c>
      <c r="Y177" s="40" t="s">
        <v>284</v>
      </c>
      <c r="Z177" s="40" t="s">
        <v>307</v>
      </c>
      <c r="AA177" s="33" t="s">
        <v>308</v>
      </c>
      <c r="AB177" s="95"/>
      <c r="AC177" s="95"/>
    </row>
    <row r="178" spans="1:29" x14ac:dyDescent="0.25">
      <c r="A178" s="36" t="s">
        <v>220</v>
      </c>
      <c r="B178" t="s">
        <v>221</v>
      </c>
      <c r="C178" s="36" t="s">
        <v>51</v>
      </c>
      <c r="D178" s="36" t="s">
        <v>530</v>
      </c>
      <c r="E178" s="37" t="s">
        <v>303</v>
      </c>
      <c r="F178" s="41">
        <v>17</v>
      </c>
      <c r="G178" s="41">
        <v>4</v>
      </c>
      <c r="I178" s="131">
        <v>0.24305555555555555</v>
      </c>
      <c r="J178" s="131">
        <v>0.94791666666666663</v>
      </c>
      <c r="K178" s="131">
        <v>0.25</v>
      </c>
      <c r="L178" s="131">
        <v>0.54166666666666663</v>
      </c>
      <c r="M178" s="33" t="s">
        <v>46</v>
      </c>
      <c r="N178" s="33">
        <v>75</v>
      </c>
      <c r="O178" s="123">
        <v>45410</v>
      </c>
      <c r="P178" s="123">
        <v>45410</v>
      </c>
      <c r="Q178" s="34">
        <v>125</v>
      </c>
      <c r="R178" s="33">
        <v>50</v>
      </c>
      <c r="S178" s="34">
        <v>6.8</v>
      </c>
      <c r="T178" s="34">
        <v>1</v>
      </c>
      <c r="U178" s="33">
        <v>340</v>
      </c>
      <c r="V178" s="38" t="s">
        <v>827</v>
      </c>
      <c r="W178" s="39">
        <v>0.66666666666666663</v>
      </c>
      <c r="X178" s="40" t="s">
        <v>730</v>
      </c>
      <c r="Y178" s="40" t="s">
        <v>284</v>
      </c>
      <c r="Z178" s="40" t="s">
        <v>307</v>
      </c>
      <c r="AA178" s="33" t="s">
        <v>308</v>
      </c>
      <c r="AB178" s="95"/>
      <c r="AC178" s="95"/>
    </row>
    <row r="179" spans="1:29" x14ac:dyDescent="0.25">
      <c r="A179" s="36" t="s">
        <v>241</v>
      </c>
      <c r="B179" t="s">
        <v>35</v>
      </c>
      <c r="C179" s="36" t="s">
        <v>51</v>
      </c>
      <c r="D179" s="36" t="s">
        <v>533</v>
      </c>
      <c r="E179" s="37" t="s">
        <v>303</v>
      </c>
      <c r="F179" s="41">
        <v>17</v>
      </c>
      <c r="G179" s="41">
        <v>4</v>
      </c>
      <c r="I179" s="131">
        <v>0.24305555555555555</v>
      </c>
      <c r="J179" s="131">
        <v>0.90625</v>
      </c>
      <c r="K179" s="131">
        <v>0.28125</v>
      </c>
      <c r="L179" s="131">
        <v>0.5625</v>
      </c>
      <c r="M179" s="33" t="s">
        <v>46</v>
      </c>
      <c r="N179" s="33">
        <v>115</v>
      </c>
      <c r="O179" s="123">
        <v>45410</v>
      </c>
      <c r="P179" s="123">
        <v>45410</v>
      </c>
      <c r="Q179" s="34">
        <v>165</v>
      </c>
      <c r="R179" s="33">
        <v>50</v>
      </c>
      <c r="S179" s="34">
        <v>6.5</v>
      </c>
      <c r="T179" s="34">
        <v>1</v>
      </c>
      <c r="U179" s="33">
        <v>325</v>
      </c>
      <c r="V179" s="38" t="s">
        <v>827</v>
      </c>
      <c r="W179" s="39">
        <v>0.43478260869565216</v>
      </c>
      <c r="X179" s="40" t="s">
        <v>730</v>
      </c>
      <c r="Y179" s="40" t="s">
        <v>284</v>
      </c>
      <c r="Z179" s="40" t="s">
        <v>307</v>
      </c>
      <c r="AA179" s="33" t="s">
        <v>308</v>
      </c>
      <c r="AB179" s="95"/>
      <c r="AC179" s="95"/>
    </row>
    <row r="180" spans="1:29" x14ac:dyDescent="0.25">
      <c r="A180" s="36" t="s">
        <v>183</v>
      </c>
      <c r="B180" t="s">
        <v>184</v>
      </c>
      <c r="C180" s="36" t="s">
        <v>51</v>
      </c>
      <c r="D180" s="36" t="s">
        <v>530</v>
      </c>
      <c r="E180" s="37" t="s">
        <v>303</v>
      </c>
      <c r="F180" s="41">
        <v>17</v>
      </c>
      <c r="G180" s="41">
        <v>4</v>
      </c>
      <c r="I180" s="131">
        <v>0.24305555555555555</v>
      </c>
      <c r="J180" s="131">
        <v>0.84375</v>
      </c>
      <c r="K180" s="131" t="s">
        <v>148</v>
      </c>
      <c r="L180" s="131" t="s">
        <v>148</v>
      </c>
      <c r="M180" s="33" t="s">
        <v>46</v>
      </c>
      <c r="N180" s="33">
        <v>45</v>
      </c>
      <c r="O180" s="123">
        <v>45410</v>
      </c>
      <c r="P180" s="123">
        <v>45410</v>
      </c>
      <c r="Q180" s="34">
        <v>70</v>
      </c>
      <c r="R180" s="33">
        <v>25</v>
      </c>
      <c r="S180" s="34">
        <v>10</v>
      </c>
      <c r="T180" s="34">
        <v>1</v>
      </c>
      <c r="U180" s="33">
        <v>250</v>
      </c>
      <c r="V180" s="38" t="s">
        <v>827</v>
      </c>
      <c r="W180" s="39">
        <v>0.55555555555555558</v>
      </c>
      <c r="X180" s="40" t="s">
        <v>730</v>
      </c>
      <c r="Y180" s="40" t="s">
        <v>284</v>
      </c>
      <c r="Z180" s="40" t="s">
        <v>307</v>
      </c>
      <c r="AA180" s="33" t="s">
        <v>308</v>
      </c>
      <c r="AB180" s="95"/>
      <c r="AC180" s="95"/>
    </row>
    <row r="181" spans="1:29" x14ac:dyDescent="0.25">
      <c r="A181" s="36" t="s">
        <v>183</v>
      </c>
      <c r="B181" t="s">
        <v>184</v>
      </c>
      <c r="C181" s="36" t="s">
        <v>51</v>
      </c>
      <c r="D181" s="36" t="s">
        <v>530</v>
      </c>
      <c r="E181" s="37" t="s">
        <v>303</v>
      </c>
      <c r="F181" s="41">
        <v>17</v>
      </c>
      <c r="G181" s="41">
        <v>4</v>
      </c>
      <c r="I181" s="131">
        <v>0.24305555555555555</v>
      </c>
      <c r="J181" s="131">
        <v>0.84375</v>
      </c>
      <c r="K181" s="131" t="s">
        <v>148</v>
      </c>
      <c r="L181" s="131" t="s">
        <v>148</v>
      </c>
      <c r="M181" s="33" t="s">
        <v>46</v>
      </c>
      <c r="N181" s="33">
        <v>45</v>
      </c>
      <c r="O181" s="123">
        <v>45410</v>
      </c>
      <c r="P181" s="123">
        <v>45410</v>
      </c>
      <c r="Q181" s="34">
        <v>55</v>
      </c>
      <c r="R181" s="33">
        <v>10</v>
      </c>
      <c r="S181" s="34">
        <v>4.3</v>
      </c>
      <c r="T181" s="34">
        <v>1</v>
      </c>
      <c r="U181" s="33">
        <v>43</v>
      </c>
      <c r="V181" s="38" t="s">
        <v>827</v>
      </c>
      <c r="W181" s="39">
        <v>0.22222222222222221</v>
      </c>
      <c r="X181" s="40" t="s">
        <v>730</v>
      </c>
      <c r="Y181" s="40" t="s">
        <v>284</v>
      </c>
      <c r="Z181" s="40" t="s">
        <v>305</v>
      </c>
      <c r="AA181" s="33" t="s">
        <v>771</v>
      </c>
      <c r="AB181" s="95"/>
      <c r="AC181" s="95"/>
    </row>
    <row r="182" spans="1:29" x14ac:dyDescent="0.25">
      <c r="A182" s="36" t="s">
        <v>115</v>
      </c>
      <c r="B182" t="s">
        <v>116</v>
      </c>
      <c r="C182" s="36" t="s">
        <v>51</v>
      </c>
      <c r="D182" s="36" t="s">
        <v>530</v>
      </c>
      <c r="E182" s="37" t="s">
        <v>303</v>
      </c>
      <c r="F182" s="41">
        <v>17</v>
      </c>
      <c r="G182" s="41">
        <v>4</v>
      </c>
      <c r="I182" s="131">
        <v>0.20486111111111113</v>
      </c>
      <c r="J182" s="131">
        <v>0.89583333333333337</v>
      </c>
      <c r="K182" s="131">
        <v>0.29166666666666669</v>
      </c>
      <c r="L182" s="131">
        <v>0.5625</v>
      </c>
      <c r="M182" s="33" t="s">
        <v>46</v>
      </c>
      <c r="N182" s="33">
        <v>80</v>
      </c>
      <c r="O182" s="123">
        <v>45410</v>
      </c>
      <c r="P182" s="123">
        <v>45410</v>
      </c>
      <c r="Q182" s="34">
        <v>145</v>
      </c>
      <c r="R182" s="33">
        <v>65</v>
      </c>
      <c r="S182" s="34">
        <v>7</v>
      </c>
      <c r="T182" s="34">
        <v>1</v>
      </c>
      <c r="U182" s="33">
        <v>455</v>
      </c>
      <c r="V182" s="38" t="s">
        <v>827</v>
      </c>
      <c r="W182" s="39">
        <v>0.8125</v>
      </c>
      <c r="X182" s="40" t="s">
        <v>730</v>
      </c>
      <c r="Y182" s="40" t="s">
        <v>284</v>
      </c>
      <c r="Z182" s="40" t="s">
        <v>307</v>
      </c>
      <c r="AA182" s="33" t="s">
        <v>308</v>
      </c>
      <c r="AB182" s="95"/>
      <c r="AC182" s="95"/>
    </row>
    <row r="183" spans="1:29" x14ac:dyDescent="0.25">
      <c r="A183" s="36" t="s">
        <v>178</v>
      </c>
      <c r="B183" t="s">
        <v>179</v>
      </c>
      <c r="C183" s="36" t="s">
        <v>51</v>
      </c>
      <c r="D183" s="36" t="s">
        <v>533</v>
      </c>
      <c r="E183" s="37" t="s">
        <v>303</v>
      </c>
      <c r="F183" s="41">
        <v>17</v>
      </c>
      <c r="G183" s="41">
        <v>4</v>
      </c>
      <c r="I183" s="131">
        <v>0.1875</v>
      </c>
      <c r="J183" s="131">
        <v>0.91666666666666663</v>
      </c>
      <c r="K183" s="131">
        <v>0.29166666666666669</v>
      </c>
      <c r="L183" s="131">
        <v>0.54166666666666663</v>
      </c>
      <c r="M183" s="33" t="s">
        <v>46</v>
      </c>
      <c r="N183" s="33">
        <v>60</v>
      </c>
      <c r="O183" s="123">
        <v>45410</v>
      </c>
      <c r="P183" s="123">
        <v>45410</v>
      </c>
      <c r="Q183" s="34">
        <v>110</v>
      </c>
      <c r="R183" s="33">
        <v>50</v>
      </c>
      <c r="S183" s="34">
        <v>7.5</v>
      </c>
      <c r="T183" s="34">
        <v>1</v>
      </c>
      <c r="U183" s="33">
        <v>375</v>
      </c>
      <c r="V183" s="38" t="s">
        <v>827</v>
      </c>
      <c r="W183" s="39">
        <v>0.83333333333333337</v>
      </c>
      <c r="X183" s="40" t="s">
        <v>730</v>
      </c>
      <c r="Y183" s="40" t="s">
        <v>284</v>
      </c>
      <c r="Z183" s="40" t="s">
        <v>307</v>
      </c>
      <c r="AA183" s="33" t="s">
        <v>308</v>
      </c>
      <c r="AB183" s="95"/>
      <c r="AC183" s="95"/>
    </row>
    <row r="184" spans="1:29" x14ac:dyDescent="0.25">
      <c r="A184" s="36" t="s">
        <v>178</v>
      </c>
      <c r="B184" t="s">
        <v>179</v>
      </c>
      <c r="C184" s="36" t="s">
        <v>51</v>
      </c>
      <c r="D184" s="36" t="s">
        <v>533</v>
      </c>
      <c r="E184" s="37" t="s">
        <v>303</v>
      </c>
      <c r="F184" s="41">
        <v>17</v>
      </c>
      <c r="G184" s="41">
        <v>4</v>
      </c>
      <c r="I184" s="131">
        <v>0.1875</v>
      </c>
      <c r="J184" s="131">
        <v>0.91666666666666663</v>
      </c>
      <c r="K184" s="131">
        <v>0.29166666666666669</v>
      </c>
      <c r="L184" s="131">
        <v>0.54166666666666663</v>
      </c>
      <c r="M184" s="33" t="s">
        <v>46</v>
      </c>
      <c r="N184" s="33">
        <v>60</v>
      </c>
      <c r="O184" s="123">
        <v>45410</v>
      </c>
      <c r="P184" s="123">
        <v>45410</v>
      </c>
      <c r="Q184" s="34">
        <v>65</v>
      </c>
      <c r="R184" s="33">
        <v>5</v>
      </c>
      <c r="S184" s="34">
        <v>1.5</v>
      </c>
      <c r="T184" s="34">
        <v>1</v>
      </c>
      <c r="U184" s="33">
        <v>7.5</v>
      </c>
      <c r="V184" s="38" t="s">
        <v>827</v>
      </c>
      <c r="W184" s="39">
        <v>8.3333333333333329E-2</v>
      </c>
      <c r="X184" s="40" t="s">
        <v>730</v>
      </c>
      <c r="Y184" s="40" t="s">
        <v>284</v>
      </c>
      <c r="Z184" s="40" t="s">
        <v>305</v>
      </c>
      <c r="AA184" s="33" t="s">
        <v>771</v>
      </c>
      <c r="AB184" s="95"/>
      <c r="AC184" s="95"/>
    </row>
    <row r="185" spans="1:29" x14ac:dyDescent="0.25">
      <c r="A185" s="36" t="s">
        <v>272</v>
      </c>
      <c r="B185" t="s">
        <v>273</v>
      </c>
      <c r="C185" s="36" t="s">
        <v>51</v>
      </c>
      <c r="D185" s="36" t="s">
        <v>530</v>
      </c>
      <c r="E185" s="37" t="s">
        <v>303</v>
      </c>
      <c r="F185" s="41">
        <v>17</v>
      </c>
      <c r="G185" s="41">
        <v>4</v>
      </c>
      <c r="I185" s="131">
        <v>0.23611111111111113</v>
      </c>
      <c r="J185" s="131">
        <v>0.85416666666666663</v>
      </c>
      <c r="K185" s="131">
        <v>0.31944444444444448</v>
      </c>
      <c r="L185" s="131">
        <v>0.55208333333333337</v>
      </c>
      <c r="M185" s="33" t="s">
        <v>46</v>
      </c>
      <c r="N185" s="33">
        <v>45</v>
      </c>
      <c r="O185" s="123">
        <v>45410</v>
      </c>
      <c r="P185" s="123">
        <v>45410</v>
      </c>
      <c r="Q185" s="34">
        <v>80</v>
      </c>
      <c r="R185" s="33">
        <v>35</v>
      </c>
      <c r="S185" s="34">
        <v>6.5</v>
      </c>
      <c r="T185" s="34">
        <v>1</v>
      </c>
      <c r="U185" s="33">
        <v>227.5</v>
      </c>
      <c r="V185" s="38" t="s">
        <v>827</v>
      </c>
      <c r="W185" s="39">
        <v>0.77777777777777779</v>
      </c>
      <c r="X185" s="40" t="s">
        <v>730</v>
      </c>
      <c r="Y185" s="40" t="s">
        <v>284</v>
      </c>
      <c r="Z185" s="40" t="s">
        <v>307</v>
      </c>
      <c r="AA185" s="33" t="s">
        <v>308</v>
      </c>
      <c r="AB185" s="95"/>
      <c r="AC185" s="95"/>
    </row>
    <row r="186" spans="1:29" x14ac:dyDescent="0.25">
      <c r="A186" s="36" t="s">
        <v>151</v>
      </c>
      <c r="B186" t="s">
        <v>152</v>
      </c>
      <c r="C186" s="36" t="s">
        <v>51</v>
      </c>
      <c r="D186" s="36" t="s">
        <v>533</v>
      </c>
      <c r="E186" s="37" t="s">
        <v>303</v>
      </c>
      <c r="F186" s="41">
        <v>17</v>
      </c>
      <c r="G186" s="41">
        <v>4</v>
      </c>
      <c r="I186" s="131">
        <v>0.1875</v>
      </c>
      <c r="J186" s="131">
        <v>0.88541666666666663</v>
      </c>
      <c r="K186" s="131" t="s">
        <v>148</v>
      </c>
      <c r="L186" s="131" t="s">
        <v>148</v>
      </c>
      <c r="M186" s="33" t="s">
        <v>46</v>
      </c>
      <c r="N186" s="33">
        <v>60</v>
      </c>
      <c r="O186" s="123">
        <v>45410</v>
      </c>
      <c r="P186" s="123">
        <v>45410</v>
      </c>
      <c r="Q186" s="34">
        <v>65</v>
      </c>
      <c r="R186" s="33">
        <v>5</v>
      </c>
      <c r="S186" s="34">
        <v>16</v>
      </c>
      <c r="T186" s="34">
        <v>1</v>
      </c>
      <c r="U186" s="33">
        <v>80</v>
      </c>
      <c r="V186" s="38" t="s">
        <v>827</v>
      </c>
      <c r="W186" s="39">
        <v>8.3333333333333329E-2</v>
      </c>
      <c r="X186" s="40" t="s">
        <v>730</v>
      </c>
      <c r="Y186" s="40" t="s">
        <v>284</v>
      </c>
      <c r="Z186" s="40" t="s">
        <v>305</v>
      </c>
      <c r="AA186" s="33" t="s">
        <v>771</v>
      </c>
      <c r="AB186" s="95"/>
      <c r="AC186" s="95"/>
    </row>
    <row r="187" spans="1:29" x14ac:dyDescent="0.25">
      <c r="A187" s="36" t="s">
        <v>229</v>
      </c>
      <c r="B187" t="s">
        <v>32</v>
      </c>
      <c r="C187" s="36" t="s">
        <v>51</v>
      </c>
      <c r="D187" s="36" t="s">
        <v>533</v>
      </c>
      <c r="E187" s="37" t="s">
        <v>303</v>
      </c>
      <c r="F187" s="41">
        <v>17</v>
      </c>
      <c r="G187" s="41">
        <v>4</v>
      </c>
      <c r="I187" s="131">
        <v>0.23611111111111113</v>
      </c>
      <c r="J187" s="131">
        <v>0.91666666666666663</v>
      </c>
      <c r="K187" s="131">
        <v>0.25694444444444448</v>
      </c>
      <c r="L187" s="131">
        <v>0.60069444444444442</v>
      </c>
      <c r="M187" s="33" t="s">
        <v>46</v>
      </c>
      <c r="N187" s="33">
        <v>70</v>
      </c>
      <c r="O187" s="123">
        <v>45410</v>
      </c>
      <c r="P187" s="123">
        <v>45410</v>
      </c>
      <c r="Q187" s="34">
        <v>145</v>
      </c>
      <c r="R187" s="33">
        <v>75</v>
      </c>
      <c r="S187" s="34">
        <v>5.5</v>
      </c>
      <c r="T187" s="34">
        <v>1</v>
      </c>
      <c r="U187" s="33">
        <v>412.5</v>
      </c>
      <c r="V187" s="38" t="s">
        <v>827</v>
      </c>
      <c r="W187" s="39">
        <v>1.0714285714285714</v>
      </c>
      <c r="X187" s="40" t="s">
        <v>730</v>
      </c>
      <c r="Y187" s="40" t="s">
        <v>284</v>
      </c>
      <c r="Z187" s="40" t="s">
        <v>307</v>
      </c>
      <c r="AA187" s="33" t="s">
        <v>308</v>
      </c>
      <c r="AB187" s="95"/>
      <c r="AC187" s="95"/>
    </row>
    <row r="188" spans="1:29" x14ac:dyDescent="0.25">
      <c r="A188" s="36" t="s">
        <v>229</v>
      </c>
      <c r="B188" t="s">
        <v>32</v>
      </c>
      <c r="C188" s="36" t="s">
        <v>51</v>
      </c>
      <c r="D188" s="36" t="s">
        <v>533</v>
      </c>
      <c r="E188" s="37" t="s">
        <v>303</v>
      </c>
      <c r="F188" s="41">
        <v>17</v>
      </c>
      <c r="G188" s="41">
        <v>4</v>
      </c>
      <c r="I188" s="131">
        <v>0.23611111111111113</v>
      </c>
      <c r="J188" s="131">
        <v>0.91666666666666663</v>
      </c>
      <c r="K188" s="131">
        <v>0.25694444444444448</v>
      </c>
      <c r="L188" s="131">
        <v>0.60069444444444442</v>
      </c>
      <c r="M188" s="33" t="s">
        <v>46</v>
      </c>
      <c r="N188" s="33">
        <v>70</v>
      </c>
      <c r="O188" s="123">
        <v>45410</v>
      </c>
      <c r="P188" s="123">
        <v>45410</v>
      </c>
      <c r="Q188" s="34">
        <v>95</v>
      </c>
      <c r="R188" s="33">
        <v>25</v>
      </c>
      <c r="S188" s="34">
        <v>2</v>
      </c>
      <c r="T188" s="34">
        <v>1</v>
      </c>
      <c r="U188" s="33">
        <v>50</v>
      </c>
      <c r="V188" s="38" t="s">
        <v>827</v>
      </c>
      <c r="W188" s="39">
        <v>0.35714285714285715</v>
      </c>
      <c r="X188" s="40" t="s">
        <v>730</v>
      </c>
      <c r="Y188" s="40" t="s">
        <v>284</v>
      </c>
      <c r="Z188" s="40" t="s">
        <v>305</v>
      </c>
      <c r="AA188" s="33" t="s">
        <v>771</v>
      </c>
      <c r="AB188" s="95"/>
      <c r="AC188" s="95"/>
    </row>
    <row r="189" spans="1:29" x14ac:dyDescent="0.25">
      <c r="A189" s="36" t="s">
        <v>243</v>
      </c>
      <c r="B189" t="s">
        <v>36</v>
      </c>
      <c r="C189" s="36" t="s">
        <v>51</v>
      </c>
      <c r="D189" s="36" t="s">
        <v>530</v>
      </c>
      <c r="E189" s="37" t="s">
        <v>303</v>
      </c>
      <c r="F189" s="41">
        <v>17</v>
      </c>
      <c r="G189" s="41">
        <v>4</v>
      </c>
      <c r="I189" s="131">
        <v>0.20833333333333334</v>
      </c>
      <c r="J189" s="131">
        <v>0.85416666666666663</v>
      </c>
      <c r="K189" s="131">
        <v>0.3125</v>
      </c>
      <c r="L189" s="131">
        <v>0.55902777777777779</v>
      </c>
      <c r="M189" s="33" t="s">
        <v>46</v>
      </c>
      <c r="N189" s="33">
        <v>35</v>
      </c>
      <c r="O189" s="123">
        <v>45410</v>
      </c>
      <c r="P189" s="123">
        <v>45410</v>
      </c>
      <c r="Q189" s="34">
        <v>60</v>
      </c>
      <c r="R189" s="33">
        <v>25</v>
      </c>
      <c r="S189" s="34">
        <v>7</v>
      </c>
      <c r="T189" s="34">
        <v>1</v>
      </c>
      <c r="U189" s="33">
        <v>175</v>
      </c>
      <c r="V189" s="38" t="s">
        <v>827</v>
      </c>
      <c r="W189" s="39">
        <v>0.7142857142857143</v>
      </c>
      <c r="X189" s="40" t="s">
        <v>730</v>
      </c>
      <c r="Y189" s="40" t="s">
        <v>284</v>
      </c>
      <c r="Z189" s="40" t="s">
        <v>307</v>
      </c>
      <c r="AA189" s="33" t="s">
        <v>308</v>
      </c>
      <c r="AB189" s="95"/>
      <c r="AC189" s="95"/>
    </row>
    <row r="190" spans="1:29" x14ac:dyDescent="0.25">
      <c r="A190" s="36" t="s">
        <v>278</v>
      </c>
      <c r="B190" t="s">
        <v>279</v>
      </c>
      <c r="C190" s="36" t="s">
        <v>51</v>
      </c>
      <c r="D190" s="36" t="s">
        <v>533</v>
      </c>
      <c r="E190" s="37" t="s">
        <v>303</v>
      </c>
      <c r="F190" s="41">
        <v>17</v>
      </c>
      <c r="G190" s="41">
        <v>4</v>
      </c>
      <c r="I190" s="131">
        <v>0.25</v>
      </c>
      <c r="J190" s="131">
        <v>0.91666666666666663</v>
      </c>
      <c r="K190" s="131">
        <v>0.27777777777777779</v>
      </c>
      <c r="L190" s="131">
        <v>0.5625</v>
      </c>
      <c r="M190" s="33" t="s">
        <v>46</v>
      </c>
      <c r="N190" s="33">
        <v>75</v>
      </c>
      <c r="O190" s="123">
        <v>45410</v>
      </c>
      <c r="P190" s="123">
        <v>45410</v>
      </c>
      <c r="Q190" s="34">
        <v>115</v>
      </c>
      <c r="R190" s="33">
        <v>40</v>
      </c>
      <c r="S190" s="34">
        <v>7</v>
      </c>
      <c r="T190" s="34">
        <v>1</v>
      </c>
      <c r="U190" s="33">
        <v>280</v>
      </c>
      <c r="V190" s="38" t="s">
        <v>827</v>
      </c>
      <c r="W190" s="39">
        <v>0.53333333333333333</v>
      </c>
      <c r="X190" s="40" t="s">
        <v>730</v>
      </c>
      <c r="Y190" s="40" t="s">
        <v>284</v>
      </c>
      <c r="Z190" s="40" t="s">
        <v>307</v>
      </c>
      <c r="AA190" s="33" t="s">
        <v>308</v>
      </c>
      <c r="AB190" s="95"/>
      <c r="AC190" s="95"/>
    </row>
    <row r="191" spans="1:29" x14ac:dyDescent="0.25">
      <c r="A191" s="36" t="s">
        <v>108</v>
      </c>
      <c r="B191" t="s">
        <v>14</v>
      </c>
      <c r="C191" s="36" t="s">
        <v>51</v>
      </c>
      <c r="D191" s="36" t="s">
        <v>533</v>
      </c>
      <c r="E191" s="37" t="s">
        <v>303</v>
      </c>
      <c r="F191" s="41">
        <v>17</v>
      </c>
      <c r="G191" s="41">
        <v>4</v>
      </c>
      <c r="I191" s="131">
        <v>0.24305555555555555</v>
      </c>
      <c r="J191" s="131">
        <v>0.89583333333333337</v>
      </c>
      <c r="K191" s="131">
        <v>0.27083333333333331</v>
      </c>
      <c r="L191" s="131">
        <v>0.55902777777777779</v>
      </c>
      <c r="M191" s="33" t="s">
        <v>46</v>
      </c>
      <c r="N191" s="33">
        <v>75</v>
      </c>
      <c r="O191" s="123">
        <v>45410</v>
      </c>
      <c r="P191" s="123">
        <v>45410</v>
      </c>
      <c r="Q191" s="34">
        <v>120</v>
      </c>
      <c r="R191" s="33">
        <v>45</v>
      </c>
      <c r="S191" s="34">
        <v>8</v>
      </c>
      <c r="T191" s="34">
        <v>1</v>
      </c>
      <c r="U191" s="33">
        <v>360</v>
      </c>
      <c r="V191" s="38" t="s">
        <v>827</v>
      </c>
      <c r="W191" s="39">
        <v>0.6</v>
      </c>
      <c r="X191" s="40" t="s">
        <v>730</v>
      </c>
      <c r="Y191" s="40" t="s">
        <v>284</v>
      </c>
      <c r="Z191" s="40" t="s">
        <v>311</v>
      </c>
      <c r="AA191" s="33" t="s">
        <v>775</v>
      </c>
      <c r="AB191" s="95"/>
      <c r="AC191" s="95"/>
    </row>
    <row r="192" spans="1:29" x14ac:dyDescent="0.25">
      <c r="A192" s="36" t="s">
        <v>82</v>
      </c>
      <c r="B192" t="s">
        <v>7</v>
      </c>
      <c r="C192" s="36" t="s">
        <v>51</v>
      </c>
      <c r="D192" s="36" t="s">
        <v>533</v>
      </c>
      <c r="E192" s="37" t="s">
        <v>303</v>
      </c>
      <c r="F192" s="41">
        <v>17</v>
      </c>
      <c r="G192" s="41">
        <v>4</v>
      </c>
      <c r="I192" s="131">
        <v>0.20833333333333334</v>
      </c>
      <c r="J192" s="131">
        <v>0.85416666666666663</v>
      </c>
      <c r="K192" s="131" t="s">
        <v>148</v>
      </c>
      <c r="L192" s="131" t="s">
        <v>148</v>
      </c>
      <c r="M192" s="33" t="s">
        <v>46</v>
      </c>
      <c r="N192" s="33">
        <v>95</v>
      </c>
      <c r="O192" s="123">
        <v>45410</v>
      </c>
      <c r="P192" s="123">
        <v>45410</v>
      </c>
      <c r="Q192" s="34">
        <v>145</v>
      </c>
      <c r="R192" s="33">
        <v>50</v>
      </c>
      <c r="S192" s="34">
        <v>6</v>
      </c>
      <c r="T192" s="34">
        <v>1</v>
      </c>
      <c r="U192" s="33">
        <v>300</v>
      </c>
      <c r="V192" s="38" t="s">
        <v>827</v>
      </c>
      <c r="W192" s="39">
        <v>0.52631578947368418</v>
      </c>
      <c r="X192" s="40" t="s">
        <v>730</v>
      </c>
      <c r="Y192" s="40" t="s">
        <v>284</v>
      </c>
      <c r="Z192" s="40" t="s">
        <v>307</v>
      </c>
      <c r="AA192" s="33" t="s">
        <v>308</v>
      </c>
      <c r="AB192" s="95"/>
      <c r="AC192" s="95"/>
    </row>
    <row r="193" spans="1:29" x14ac:dyDescent="0.25">
      <c r="A193" s="36" t="s">
        <v>58</v>
      </c>
      <c r="B193" t="s">
        <v>59</v>
      </c>
      <c r="C193" s="36" t="s">
        <v>51</v>
      </c>
      <c r="D193" s="36" t="s">
        <v>530</v>
      </c>
      <c r="E193" s="37" t="s">
        <v>303</v>
      </c>
      <c r="F193" s="41">
        <v>17</v>
      </c>
      <c r="G193" s="41">
        <v>4</v>
      </c>
      <c r="I193" s="131">
        <v>0.20833333333333334</v>
      </c>
      <c r="J193" s="131">
        <v>0.83333333333333304</v>
      </c>
      <c r="K193" s="131" t="s">
        <v>148</v>
      </c>
      <c r="L193" s="131" t="s">
        <v>148</v>
      </c>
      <c r="M193" s="33" t="s">
        <v>46</v>
      </c>
      <c r="N193" s="33">
        <v>110</v>
      </c>
      <c r="O193" s="123">
        <v>45410</v>
      </c>
      <c r="P193" s="123">
        <v>45410</v>
      </c>
      <c r="Q193" s="34">
        <v>155</v>
      </c>
      <c r="R193" s="33">
        <v>45</v>
      </c>
      <c r="S193" s="34">
        <v>15</v>
      </c>
      <c r="T193" s="34">
        <v>1</v>
      </c>
      <c r="U193" s="33">
        <v>675</v>
      </c>
      <c r="V193" s="38" t="s">
        <v>827</v>
      </c>
      <c r="W193" s="39">
        <v>0.40909090909090912</v>
      </c>
      <c r="X193" s="40" t="s">
        <v>730</v>
      </c>
      <c r="Y193" s="40" t="s">
        <v>284</v>
      </c>
      <c r="Z193" s="40" t="s">
        <v>305</v>
      </c>
      <c r="AA193" s="33" t="s">
        <v>771</v>
      </c>
      <c r="AB193" s="95"/>
      <c r="AC193" s="95"/>
    </row>
    <row r="194" spans="1:29" x14ac:dyDescent="0.25">
      <c r="A194" s="36" t="s">
        <v>173</v>
      </c>
      <c r="B194" t="s">
        <v>24</v>
      </c>
      <c r="C194" s="36" t="s">
        <v>51</v>
      </c>
      <c r="D194" s="36" t="s">
        <v>530</v>
      </c>
      <c r="E194" s="37" t="s">
        <v>303</v>
      </c>
      <c r="F194" s="41">
        <v>17</v>
      </c>
      <c r="G194" s="41">
        <v>4</v>
      </c>
      <c r="I194" s="131">
        <v>0.14583333333333334</v>
      </c>
      <c r="J194" s="131">
        <v>0.875</v>
      </c>
      <c r="K194" s="131">
        <v>0.28472222222222221</v>
      </c>
      <c r="L194" s="131">
        <v>0.54166666666666663</v>
      </c>
      <c r="M194" s="33" t="s">
        <v>46</v>
      </c>
      <c r="N194" s="33">
        <v>100</v>
      </c>
      <c r="O194" s="123">
        <v>45410</v>
      </c>
      <c r="P194" s="123">
        <v>45410</v>
      </c>
      <c r="Q194" s="34">
        <v>145</v>
      </c>
      <c r="R194" s="33">
        <v>45</v>
      </c>
      <c r="S194" s="34">
        <v>6</v>
      </c>
      <c r="T194" s="34">
        <v>1</v>
      </c>
      <c r="U194" s="33">
        <v>270</v>
      </c>
      <c r="V194" s="38" t="s">
        <v>827</v>
      </c>
      <c r="W194" s="39">
        <v>0.45</v>
      </c>
      <c r="X194" s="40" t="s">
        <v>730</v>
      </c>
      <c r="Y194" s="40" t="s">
        <v>283</v>
      </c>
      <c r="Z194" s="40" t="s">
        <v>749</v>
      </c>
      <c r="AA194" s="33" t="s">
        <v>749</v>
      </c>
      <c r="AB194" s="95"/>
      <c r="AC194" s="95"/>
    </row>
    <row r="195" spans="1:29" x14ac:dyDescent="0.25">
      <c r="A195" s="36" t="s">
        <v>211</v>
      </c>
      <c r="B195" t="s">
        <v>212</v>
      </c>
      <c r="C195" s="36" t="s">
        <v>51</v>
      </c>
      <c r="D195" s="36" t="s">
        <v>533</v>
      </c>
      <c r="E195" s="37" t="s">
        <v>303</v>
      </c>
      <c r="F195" s="41">
        <v>17</v>
      </c>
      <c r="G195" s="41">
        <v>4</v>
      </c>
      <c r="I195" s="131">
        <v>0.22916666666666666</v>
      </c>
      <c r="J195" s="131">
        <v>0.875</v>
      </c>
      <c r="K195" s="131">
        <v>0.22916666666666666</v>
      </c>
      <c r="L195" s="131">
        <v>0.54166666666666663</v>
      </c>
      <c r="M195" s="33" t="s">
        <v>46</v>
      </c>
      <c r="N195" s="33">
        <v>75</v>
      </c>
      <c r="O195" s="123">
        <v>45410</v>
      </c>
      <c r="P195" s="123">
        <v>45410</v>
      </c>
      <c r="Q195" s="34">
        <v>90</v>
      </c>
      <c r="R195" s="33">
        <v>15</v>
      </c>
      <c r="S195" s="34">
        <v>8</v>
      </c>
      <c r="T195" s="34">
        <v>1</v>
      </c>
      <c r="U195" s="33">
        <v>120</v>
      </c>
      <c r="V195" s="38" t="s">
        <v>827</v>
      </c>
      <c r="W195" s="39">
        <v>0.2</v>
      </c>
      <c r="X195" s="40" t="s">
        <v>730</v>
      </c>
      <c r="Y195" s="40" t="s">
        <v>284</v>
      </c>
      <c r="Z195" s="40" t="s">
        <v>305</v>
      </c>
      <c r="AA195" s="33" t="s">
        <v>771</v>
      </c>
      <c r="AB195" s="95"/>
      <c r="AC195" s="95"/>
    </row>
    <row r="196" spans="1:29" x14ac:dyDescent="0.25">
      <c r="A196" s="36" t="s">
        <v>180</v>
      </c>
      <c r="B196" t="s">
        <v>25</v>
      </c>
      <c r="C196" s="36" t="s">
        <v>51</v>
      </c>
      <c r="D196" s="36" t="s">
        <v>530</v>
      </c>
      <c r="E196" s="37" t="s">
        <v>303</v>
      </c>
      <c r="F196" s="41">
        <v>17</v>
      </c>
      <c r="G196" s="41">
        <v>4</v>
      </c>
      <c r="I196" s="131">
        <v>0.24305555555555555</v>
      </c>
      <c r="J196" s="131">
        <v>0.875</v>
      </c>
      <c r="K196" s="131">
        <v>0.27083333333333331</v>
      </c>
      <c r="L196" s="131">
        <v>0.55902777777777779</v>
      </c>
      <c r="M196" s="33" t="s">
        <v>46</v>
      </c>
      <c r="N196" s="33">
        <v>95</v>
      </c>
      <c r="O196" s="123">
        <v>45410</v>
      </c>
      <c r="P196" s="123">
        <v>45410</v>
      </c>
      <c r="Q196" s="34">
        <v>140</v>
      </c>
      <c r="R196" s="33">
        <v>45</v>
      </c>
      <c r="S196" s="34">
        <v>6.5</v>
      </c>
      <c r="T196" s="34">
        <v>1</v>
      </c>
      <c r="U196" s="33">
        <v>292.5</v>
      </c>
      <c r="V196" s="38" t="s">
        <v>827</v>
      </c>
      <c r="W196" s="39">
        <v>0.47368421052631576</v>
      </c>
      <c r="X196" s="40" t="s">
        <v>730</v>
      </c>
      <c r="Y196" s="40" t="s">
        <v>284</v>
      </c>
      <c r="Z196" s="40" t="s">
        <v>307</v>
      </c>
      <c r="AA196" s="33" t="s">
        <v>308</v>
      </c>
      <c r="AB196" s="95"/>
      <c r="AC196" s="95"/>
    </row>
    <row r="197" spans="1:29" x14ac:dyDescent="0.25">
      <c r="A197" s="36" t="s">
        <v>180</v>
      </c>
      <c r="B197" t="s">
        <v>25</v>
      </c>
      <c r="C197" s="36" t="s">
        <v>51</v>
      </c>
      <c r="D197" s="36" t="s">
        <v>530</v>
      </c>
      <c r="E197" s="37" t="s">
        <v>303</v>
      </c>
      <c r="F197" s="41">
        <v>17</v>
      </c>
      <c r="G197" s="41">
        <v>4</v>
      </c>
      <c r="I197" s="131">
        <v>0.24305555555555555</v>
      </c>
      <c r="J197" s="131">
        <v>0.875</v>
      </c>
      <c r="K197" s="131">
        <v>0.27083333333333331</v>
      </c>
      <c r="L197" s="131">
        <v>0.55902777777777779</v>
      </c>
      <c r="M197" s="33" t="s">
        <v>46</v>
      </c>
      <c r="N197" s="33">
        <v>95</v>
      </c>
      <c r="O197" s="123">
        <v>45410</v>
      </c>
      <c r="P197" s="123">
        <v>45410</v>
      </c>
      <c r="Q197" s="34">
        <v>110</v>
      </c>
      <c r="R197" s="33">
        <v>15</v>
      </c>
      <c r="S197" s="34">
        <v>1</v>
      </c>
      <c r="T197" s="34">
        <v>1</v>
      </c>
      <c r="U197" s="33">
        <v>15</v>
      </c>
      <c r="V197" s="38" t="s">
        <v>827</v>
      </c>
      <c r="W197" s="39">
        <v>0.15789473684210525</v>
      </c>
      <c r="X197" s="40" t="s">
        <v>730</v>
      </c>
      <c r="Y197" s="40" t="s">
        <v>284</v>
      </c>
      <c r="Z197" s="40" t="s">
        <v>305</v>
      </c>
      <c r="AA197" s="33" t="s">
        <v>771</v>
      </c>
      <c r="AB197" s="95"/>
      <c r="AC197" s="95"/>
    </row>
    <row r="198" spans="1:29" x14ac:dyDescent="0.25">
      <c r="A198" s="36" t="s">
        <v>155</v>
      </c>
      <c r="B198" t="s">
        <v>156</v>
      </c>
      <c r="C198" s="36" t="s">
        <v>51</v>
      </c>
      <c r="D198" s="36" t="s">
        <v>533</v>
      </c>
      <c r="E198" s="37" t="s">
        <v>303</v>
      </c>
      <c r="F198" s="41">
        <v>17</v>
      </c>
      <c r="G198" s="41">
        <v>4</v>
      </c>
      <c r="I198" s="131">
        <v>0.22916666666666666</v>
      </c>
      <c r="J198" s="131">
        <v>0.89583333333333337</v>
      </c>
      <c r="K198" s="131">
        <v>0.27777777777777779</v>
      </c>
      <c r="L198" s="131">
        <v>0.5625</v>
      </c>
      <c r="M198" s="33" t="s">
        <v>46</v>
      </c>
      <c r="N198" s="33">
        <v>65</v>
      </c>
      <c r="O198" s="123">
        <v>45410</v>
      </c>
      <c r="P198" s="123">
        <v>45410</v>
      </c>
      <c r="Q198" s="34">
        <v>130</v>
      </c>
      <c r="R198" s="33">
        <v>65</v>
      </c>
      <c r="S198" s="34">
        <v>7.5</v>
      </c>
      <c r="T198" s="34">
        <v>1</v>
      </c>
      <c r="U198" s="33">
        <v>487.5</v>
      </c>
      <c r="V198" s="38" t="s">
        <v>827</v>
      </c>
      <c r="W198" s="39">
        <v>1</v>
      </c>
      <c r="X198" s="40" t="s">
        <v>730</v>
      </c>
      <c r="Y198" s="40" t="s">
        <v>284</v>
      </c>
      <c r="Z198" s="40" t="s">
        <v>307</v>
      </c>
      <c r="AA198" s="33" t="s">
        <v>308</v>
      </c>
      <c r="AB198" s="95"/>
      <c r="AC198" s="95"/>
    </row>
    <row r="199" spans="1:29" x14ac:dyDescent="0.25">
      <c r="A199" s="36" t="s">
        <v>224</v>
      </c>
      <c r="B199" t="s">
        <v>225</v>
      </c>
      <c r="C199" s="36" t="s">
        <v>51</v>
      </c>
      <c r="D199" s="36" t="s">
        <v>530</v>
      </c>
      <c r="E199" s="37" t="s">
        <v>303</v>
      </c>
      <c r="F199" s="41">
        <v>17</v>
      </c>
      <c r="G199" s="41">
        <v>4</v>
      </c>
      <c r="I199" s="131">
        <v>0.25</v>
      </c>
      <c r="J199" s="131">
        <v>0.91666666666666663</v>
      </c>
      <c r="K199" s="131">
        <v>0.29166666666666669</v>
      </c>
      <c r="L199" s="131">
        <v>0.55208333333333337</v>
      </c>
      <c r="M199" s="33" t="s">
        <v>46</v>
      </c>
      <c r="N199" s="33">
        <v>60</v>
      </c>
      <c r="O199" s="123">
        <v>45410</v>
      </c>
      <c r="P199" s="123">
        <v>45410</v>
      </c>
      <c r="Q199" s="34">
        <v>85</v>
      </c>
      <c r="R199" s="33">
        <v>25</v>
      </c>
      <c r="S199" s="34">
        <v>7.7</v>
      </c>
      <c r="T199" s="34">
        <v>1</v>
      </c>
      <c r="U199" s="33">
        <v>192.5</v>
      </c>
      <c r="V199" s="38" t="s">
        <v>827</v>
      </c>
      <c r="W199" s="39">
        <v>0.41666666666666669</v>
      </c>
      <c r="X199" s="40" t="s">
        <v>730</v>
      </c>
      <c r="Y199" s="40" t="s">
        <v>284</v>
      </c>
      <c r="Z199" s="40" t="s">
        <v>305</v>
      </c>
      <c r="AA199" s="33" t="s">
        <v>771</v>
      </c>
      <c r="AB199" s="95"/>
      <c r="AC199" s="95"/>
    </row>
    <row r="200" spans="1:29" x14ac:dyDescent="0.25">
      <c r="A200" s="36" t="s">
        <v>257</v>
      </c>
      <c r="B200" t="s">
        <v>258</v>
      </c>
      <c r="C200" s="36" t="s">
        <v>51</v>
      </c>
      <c r="D200" s="36" t="s">
        <v>530</v>
      </c>
      <c r="E200" s="37" t="s">
        <v>303</v>
      </c>
      <c r="F200" s="41">
        <v>17</v>
      </c>
      <c r="G200" s="41">
        <v>4</v>
      </c>
      <c r="I200" s="131">
        <v>0.20138888888888887</v>
      </c>
      <c r="J200" s="131">
        <v>0.92013888888888884</v>
      </c>
      <c r="K200" s="131">
        <v>0.27777777777777779</v>
      </c>
      <c r="L200" s="131">
        <v>0.55208333333333337</v>
      </c>
      <c r="M200" s="33" t="s">
        <v>46</v>
      </c>
      <c r="N200" s="33">
        <v>65</v>
      </c>
      <c r="O200" s="123">
        <v>45410</v>
      </c>
      <c r="P200" s="123">
        <v>45410</v>
      </c>
      <c r="Q200" s="34">
        <v>95</v>
      </c>
      <c r="R200" s="33">
        <v>30</v>
      </c>
      <c r="S200" s="34">
        <v>6.5</v>
      </c>
      <c r="T200" s="34">
        <v>1</v>
      </c>
      <c r="U200" s="33">
        <v>195</v>
      </c>
      <c r="V200" s="38" t="s">
        <v>827</v>
      </c>
      <c r="W200" s="39">
        <v>0.46153846153846156</v>
      </c>
      <c r="X200" s="40" t="s">
        <v>730</v>
      </c>
      <c r="Y200" s="40" t="s">
        <v>284</v>
      </c>
      <c r="Z200" s="40" t="s">
        <v>307</v>
      </c>
      <c r="AA200" s="33" t="s">
        <v>308</v>
      </c>
      <c r="AB200" s="95"/>
      <c r="AC200" s="95"/>
    </row>
    <row r="201" spans="1:29" x14ac:dyDescent="0.25">
      <c r="A201" s="36" t="s">
        <v>134</v>
      </c>
      <c r="B201" t="s">
        <v>135</v>
      </c>
      <c r="C201" s="36" t="s">
        <v>51</v>
      </c>
      <c r="D201" s="36" t="s">
        <v>530</v>
      </c>
      <c r="E201" s="37" t="s">
        <v>303</v>
      </c>
      <c r="F201" s="41">
        <v>17</v>
      </c>
      <c r="G201" s="41">
        <v>4</v>
      </c>
      <c r="I201" s="131">
        <v>0.22222222222222221</v>
      </c>
      <c r="J201" s="131">
        <v>0.89583333333333337</v>
      </c>
      <c r="K201" s="131">
        <v>0.3125</v>
      </c>
      <c r="L201" s="131">
        <v>0.55208333333333337</v>
      </c>
      <c r="M201" s="33" t="s">
        <v>46</v>
      </c>
      <c r="N201" s="33">
        <v>40</v>
      </c>
      <c r="O201" s="123">
        <v>45410</v>
      </c>
      <c r="P201" s="123">
        <v>45410</v>
      </c>
      <c r="Q201" s="34">
        <v>75</v>
      </c>
      <c r="R201" s="33">
        <v>35</v>
      </c>
      <c r="S201" s="34">
        <v>6.5</v>
      </c>
      <c r="T201" s="34">
        <v>1</v>
      </c>
      <c r="U201" s="33">
        <v>227.5</v>
      </c>
      <c r="V201" s="38" t="s">
        <v>827</v>
      </c>
      <c r="W201" s="39">
        <v>0.875</v>
      </c>
      <c r="X201" s="40" t="s">
        <v>730</v>
      </c>
      <c r="Y201" s="40" t="s">
        <v>284</v>
      </c>
      <c r="Z201" s="40" t="s">
        <v>307</v>
      </c>
      <c r="AA201" s="33" t="s">
        <v>308</v>
      </c>
      <c r="AB201" s="95"/>
      <c r="AC201" s="95"/>
    </row>
    <row r="202" spans="1:29" x14ac:dyDescent="0.25">
      <c r="A202" s="36" t="s">
        <v>146</v>
      </c>
      <c r="B202" t="s">
        <v>147</v>
      </c>
      <c r="C202" s="36" t="s">
        <v>51</v>
      </c>
      <c r="D202" s="36" t="s">
        <v>530</v>
      </c>
      <c r="E202" s="37" t="s">
        <v>303</v>
      </c>
      <c r="F202" s="41">
        <v>17</v>
      </c>
      <c r="G202" s="41">
        <v>4</v>
      </c>
      <c r="I202" s="131">
        <v>0.24305555555555555</v>
      </c>
      <c r="J202" s="131">
        <v>0.9375</v>
      </c>
      <c r="K202" s="131" t="s">
        <v>148</v>
      </c>
      <c r="L202" s="131" t="s">
        <v>148</v>
      </c>
      <c r="M202" s="33" t="s">
        <v>46</v>
      </c>
      <c r="N202" s="33">
        <v>110</v>
      </c>
      <c r="O202" s="123">
        <v>45410</v>
      </c>
      <c r="P202" s="123">
        <v>45410</v>
      </c>
      <c r="Q202" s="34">
        <v>140</v>
      </c>
      <c r="R202" s="33">
        <v>30</v>
      </c>
      <c r="S202" s="34">
        <v>11.8</v>
      </c>
      <c r="T202" s="34">
        <v>1</v>
      </c>
      <c r="U202" s="33">
        <v>354</v>
      </c>
      <c r="V202" s="38" t="s">
        <v>827</v>
      </c>
      <c r="W202" s="39">
        <v>0.27272727272727271</v>
      </c>
      <c r="X202" s="40" t="s">
        <v>730</v>
      </c>
      <c r="Y202" s="40" t="s">
        <v>284</v>
      </c>
      <c r="Z202" s="40" t="s">
        <v>307</v>
      </c>
      <c r="AA202" s="33" t="s">
        <v>308</v>
      </c>
      <c r="AB202" s="95"/>
      <c r="AC202" s="95"/>
    </row>
    <row r="203" spans="1:29" x14ac:dyDescent="0.25">
      <c r="A203" s="36" t="s">
        <v>261</v>
      </c>
      <c r="B203" t="s">
        <v>262</v>
      </c>
      <c r="C203" s="36" t="s">
        <v>51</v>
      </c>
      <c r="D203" s="36" t="s">
        <v>533</v>
      </c>
      <c r="E203" s="37" t="s">
        <v>303</v>
      </c>
      <c r="F203" s="41">
        <v>17</v>
      </c>
      <c r="G203" s="41">
        <v>4</v>
      </c>
      <c r="I203" s="131">
        <v>0.20138888888888887</v>
      </c>
      <c r="J203" s="131">
        <v>0.92708333333333337</v>
      </c>
      <c r="K203" s="131">
        <v>0.2638888888888889</v>
      </c>
      <c r="L203" s="131">
        <v>0.5625</v>
      </c>
      <c r="M203" s="33" t="s">
        <v>46</v>
      </c>
      <c r="N203" s="33">
        <v>80</v>
      </c>
      <c r="O203" s="123">
        <v>45410</v>
      </c>
      <c r="P203" s="123">
        <v>45410</v>
      </c>
      <c r="Q203" s="34">
        <v>200</v>
      </c>
      <c r="R203" s="33">
        <v>120</v>
      </c>
      <c r="S203" s="34">
        <v>7</v>
      </c>
      <c r="T203" s="34">
        <v>1</v>
      </c>
      <c r="U203" s="33">
        <v>840</v>
      </c>
      <c r="V203" s="38" t="s">
        <v>827</v>
      </c>
      <c r="W203" s="39">
        <v>1.5</v>
      </c>
      <c r="X203" s="40" t="s">
        <v>730</v>
      </c>
      <c r="Y203" s="40" t="s">
        <v>284</v>
      </c>
      <c r="Z203" s="40" t="s">
        <v>307</v>
      </c>
      <c r="AA203" s="33" t="s">
        <v>308</v>
      </c>
      <c r="AB203" s="95"/>
      <c r="AC203" s="95"/>
    </row>
    <row r="204" spans="1:29" x14ac:dyDescent="0.25">
      <c r="A204" s="36" t="s">
        <v>261</v>
      </c>
      <c r="B204" t="s">
        <v>262</v>
      </c>
      <c r="C204" s="36" t="s">
        <v>51</v>
      </c>
      <c r="D204" s="36" t="s">
        <v>533</v>
      </c>
      <c r="E204" s="37" t="s">
        <v>303</v>
      </c>
      <c r="F204" s="41">
        <v>17</v>
      </c>
      <c r="G204" s="41">
        <v>4</v>
      </c>
      <c r="I204" s="131">
        <v>0.20138888888888887</v>
      </c>
      <c r="J204" s="131">
        <v>0.92708333333333337</v>
      </c>
      <c r="K204" s="131">
        <v>0.2638888888888889</v>
      </c>
      <c r="L204" s="131">
        <v>0.5625</v>
      </c>
      <c r="M204" s="33" t="s">
        <v>46</v>
      </c>
      <c r="N204" s="33">
        <v>80</v>
      </c>
      <c r="O204" s="123">
        <v>45410</v>
      </c>
      <c r="P204" s="123">
        <v>45410</v>
      </c>
      <c r="Q204" s="34">
        <v>110</v>
      </c>
      <c r="R204" s="33">
        <v>30</v>
      </c>
      <c r="S204" s="34">
        <v>2</v>
      </c>
      <c r="T204" s="34">
        <v>1</v>
      </c>
      <c r="U204" s="33">
        <v>60</v>
      </c>
      <c r="V204" s="38" t="s">
        <v>827</v>
      </c>
      <c r="W204" s="39">
        <v>0.375</v>
      </c>
      <c r="X204" s="40" t="s">
        <v>730</v>
      </c>
      <c r="Y204" s="40" t="s">
        <v>284</v>
      </c>
      <c r="Z204" s="40" t="s">
        <v>305</v>
      </c>
      <c r="AA204" s="33" t="s">
        <v>771</v>
      </c>
      <c r="AB204" s="95"/>
      <c r="AC204" s="95"/>
    </row>
    <row r="205" spans="1:29" x14ac:dyDescent="0.25">
      <c r="A205" s="36" t="s">
        <v>234</v>
      </c>
      <c r="B205" t="s">
        <v>235</v>
      </c>
      <c r="C205" s="36" t="s">
        <v>51</v>
      </c>
      <c r="D205" s="36" t="s">
        <v>530</v>
      </c>
      <c r="E205" s="37" t="s">
        <v>303</v>
      </c>
      <c r="F205" s="41">
        <v>17</v>
      </c>
      <c r="G205" s="41">
        <v>4</v>
      </c>
      <c r="I205" s="131">
        <v>0.24305555555555555</v>
      </c>
      <c r="J205" s="131">
        <v>0.875</v>
      </c>
      <c r="K205" s="131">
        <v>0.28472222222222221</v>
      </c>
      <c r="L205" s="131">
        <v>0.55208333333333337</v>
      </c>
      <c r="M205" s="33" t="s">
        <v>46</v>
      </c>
      <c r="N205" s="33">
        <v>50</v>
      </c>
      <c r="O205" s="123">
        <v>45410</v>
      </c>
      <c r="P205" s="123">
        <v>45410</v>
      </c>
      <c r="Q205" s="34">
        <v>95</v>
      </c>
      <c r="R205" s="33">
        <v>45</v>
      </c>
      <c r="S205" s="34">
        <v>5.5</v>
      </c>
      <c r="T205" s="34">
        <v>1</v>
      </c>
      <c r="U205" s="33">
        <v>247.5</v>
      </c>
      <c r="V205" s="38" t="s">
        <v>827</v>
      </c>
      <c r="W205" s="39">
        <v>0.9</v>
      </c>
      <c r="X205" s="40" t="s">
        <v>730</v>
      </c>
      <c r="Y205" s="40" t="s">
        <v>284</v>
      </c>
      <c r="Z205" s="40" t="s">
        <v>307</v>
      </c>
      <c r="AA205" s="33" t="s">
        <v>308</v>
      </c>
      <c r="AB205" s="95"/>
      <c r="AC205" s="95"/>
    </row>
    <row r="206" spans="1:29" x14ac:dyDescent="0.25">
      <c r="A206" s="36" t="s">
        <v>234</v>
      </c>
      <c r="B206" t="s">
        <v>235</v>
      </c>
      <c r="C206" s="36" t="s">
        <v>51</v>
      </c>
      <c r="D206" s="36" t="s">
        <v>530</v>
      </c>
      <c r="E206" s="37" t="s">
        <v>303</v>
      </c>
      <c r="F206" s="41">
        <v>17</v>
      </c>
      <c r="G206" s="41">
        <v>4</v>
      </c>
      <c r="I206" s="131">
        <v>0.24305555555555555</v>
      </c>
      <c r="J206" s="131">
        <v>0.875</v>
      </c>
      <c r="K206" s="131">
        <v>0.28472222222222221</v>
      </c>
      <c r="L206" s="131">
        <v>0.55208333333333337</v>
      </c>
      <c r="M206" s="33" t="s">
        <v>46</v>
      </c>
      <c r="N206" s="33">
        <v>50</v>
      </c>
      <c r="O206" s="123">
        <v>45410</v>
      </c>
      <c r="P206" s="123">
        <v>45410</v>
      </c>
      <c r="Q206" s="34">
        <v>55</v>
      </c>
      <c r="R206" s="33">
        <v>5</v>
      </c>
      <c r="S206" s="34">
        <v>3</v>
      </c>
      <c r="T206" s="34">
        <v>1</v>
      </c>
      <c r="U206" s="33">
        <v>15</v>
      </c>
      <c r="V206" s="38" t="s">
        <v>827</v>
      </c>
      <c r="W206" s="39">
        <v>0.1</v>
      </c>
      <c r="X206" s="40" t="s">
        <v>730</v>
      </c>
      <c r="Y206" s="40" t="s">
        <v>284</v>
      </c>
      <c r="Z206" s="40" t="s">
        <v>305</v>
      </c>
      <c r="AA206" s="33" t="s">
        <v>771</v>
      </c>
      <c r="AB206" s="95"/>
      <c r="AC206" s="95"/>
    </row>
    <row r="207" spans="1:29" x14ac:dyDescent="0.25">
      <c r="A207" s="36" t="s">
        <v>228</v>
      </c>
      <c r="B207" t="s">
        <v>31</v>
      </c>
      <c r="C207" s="36" t="s">
        <v>51</v>
      </c>
      <c r="D207" s="36" t="s">
        <v>533</v>
      </c>
      <c r="E207" s="37" t="s">
        <v>303</v>
      </c>
      <c r="F207" s="41">
        <v>17</v>
      </c>
      <c r="G207" s="41">
        <v>4</v>
      </c>
      <c r="I207" s="131">
        <v>0.26041666666666669</v>
      </c>
      <c r="J207" s="131">
        <v>0.92708333333333337</v>
      </c>
      <c r="K207" s="131">
        <v>0.27777777777777779</v>
      </c>
      <c r="L207" s="131">
        <v>0.59375</v>
      </c>
      <c r="M207" s="33" t="s">
        <v>46</v>
      </c>
      <c r="N207" s="33">
        <v>65</v>
      </c>
      <c r="O207" s="123">
        <v>45410</v>
      </c>
      <c r="P207" s="123">
        <v>45410</v>
      </c>
      <c r="Q207" s="34">
        <v>95</v>
      </c>
      <c r="R207" s="33">
        <v>30</v>
      </c>
      <c r="S207" s="34">
        <v>6</v>
      </c>
      <c r="T207" s="34">
        <v>1</v>
      </c>
      <c r="U207" s="33">
        <v>180</v>
      </c>
      <c r="V207" s="38" t="s">
        <v>827</v>
      </c>
      <c r="W207" s="39">
        <v>0.46153846153846156</v>
      </c>
      <c r="X207" s="40" t="s">
        <v>730</v>
      </c>
      <c r="Y207" s="40" t="s">
        <v>284</v>
      </c>
      <c r="Z207" s="40" t="s">
        <v>305</v>
      </c>
      <c r="AA207" s="33" t="s">
        <v>771</v>
      </c>
      <c r="AB207" s="95"/>
      <c r="AC207" s="95"/>
    </row>
    <row r="208" spans="1:29" x14ac:dyDescent="0.25">
      <c r="A208" s="36" t="s">
        <v>181</v>
      </c>
      <c r="B208" t="s">
        <v>26</v>
      </c>
      <c r="C208" s="36" t="s">
        <v>51</v>
      </c>
      <c r="D208" s="36" t="s">
        <v>533</v>
      </c>
      <c r="E208" s="37" t="s">
        <v>303</v>
      </c>
      <c r="F208" s="41">
        <v>17</v>
      </c>
      <c r="G208" s="41">
        <v>4</v>
      </c>
      <c r="I208" s="131">
        <v>0.20138888888888887</v>
      </c>
      <c r="J208" s="131">
        <v>0.85416666666666663</v>
      </c>
      <c r="K208" s="131">
        <v>0.20833333333333334</v>
      </c>
      <c r="L208" s="131">
        <v>0.54166666666666663</v>
      </c>
      <c r="M208" s="33" t="s">
        <v>46</v>
      </c>
      <c r="N208" s="33">
        <v>35</v>
      </c>
      <c r="O208" s="123">
        <v>45410</v>
      </c>
      <c r="P208" s="123">
        <v>45410</v>
      </c>
      <c r="Q208" s="34">
        <v>50</v>
      </c>
      <c r="R208" s="33">
        <v>15</v>
      </c>
      <c r="S208" s="34">
        <v>3</v>
      </c>
      <c r="T208" s="34">
        <v>1</v>
      </c>
      <c r="U208" s="33">
        <v>45</v>
      </c>
      <c r="V208" s="38" t="s">
        <v>827</v>
      </c>
      <c r="W208" s="39">
        <v>0.42857142857142855</v>
      </c>
      <c r="X208" s="40" t="s">
        <v>730</v>
      </c>
      <c r="Y208" s="40" t="s">
        <v>283</v>
      </c>
      <c r="Z208" s="40" t="s">
        <v>749</v>
      </c>
      <c r="AA208" s="33" t="s">
        <v>749</v>
      </c>
      <c r="AB208" s="95"/>
      <c r="AC208" s="95"/>
    </row>
    <row r="209" spans="1:29" x14ac:dyDescent="0.25">
      <c r="A209" s="36" t="s">
        <v>99</v>
      </c>
      <c r="B209" t="s">
        <v>11</v>
      </c>
      <c r="C209" s="36" t="s">
        <v>51</v>
      </c>
      <c r="D209" s="36" t="s">
        <v>530</v>
      </c>
      <c r="E209" s="37" t="s">
        <v>303</v>
      </c>
      <c r="F209" s="41">
        <v>17</v>
      </c>
      <c r="G209" s="41">
        <v>4</v>
      </c>
      <c r="I209" s="131">
        <v>0.20833333333333334</v>
      </c>
      <c r="J209" s="131">
        <v>0.86458333333333337</v>
      </c>
      <c r="K209" s="131">
        <v>0.29166666666666669</v>
      </c>
      <c r="L209" s="131">
        <v>0.53125</v>
      </c>
      <c r="M209" s="33" t="s">
        <v>46</v>
      </c>
      <c r="N209" s="33">
        <v>40</v>
      </c>
      <c r="O209" s="123">
        <v>45410</v>
      </c>
      <c r="P209" s="123">
        <v>45410</v>
      </c>
      <c r="Q209" s="34">
        <v>90</v>
      </c>
      <c r="R209" s="33">
        <v>50</v>
      </c>
      <c r="S209" s="34">
        <v>6</v>
      </c>
      <c r="T209" s="34">
        <v>1</v>
      </c>
      <c r="U209" s="33">
        <v>300</v>
      </c>
      <c r="V209" s="38" t="s">
        <v>827</v>
      </c>
      <c r="W209" s="39">
        <v>1.25</v>
      </c>
      <c r="X209" s="40" t="s">
        <v>730</v>
      </c>
      <c r="Y209" s="40" t="s">
        <v>284</v>
      </c>
      <c r="Z209" s="40" t="s">
        <v>307</v>
      </c>
      <c r="AA209" s="33" t="s">
        <v>308</v>
      </c>
      <c r="AB209" s="95"/>
      <c r="AC209" s="95"/>
    </row>
    <row r="210" spans="1:29" x14ac:dyDescent="0.25">
      <c r="A210" s="36" t="s">
        <v>111</v>
      </c>
      <c r="B210" t="s">
        <v>112</v>
      </c>
      <c r="C210" s="36" t="s">
        <v>51</v>
      </c>
      <c r="D210" s="36" t="s">
        <v>533</v>
      </c>
      <c r="E210" s="37" t="s">
        <v>303</v>
      </c>
      <c r="F210" s="41">
        <v>17</v>
      </c>
      <c r="G210" s="41">
        <v>4</v>
      </c>
      <c r="I210" s="131">
        <v>0.25</v>
      </c>
      <c r="J210" s="131">
        <v>0.86458333333333337</v>
      </c>
      <c r="K210" s="131" t="s">
        <v>148</v>
      </c>
      <c r="L210" s="131" t="s">
        <v>148</v>
      </c>
      <c r="M210" s="33" t="s">
        <v>46</v>
      </c>
      <c r="N210" s="33">
        <v>45</v>
      </c>
      <c r="O210" s="123">
        <v>45410</v>
      </c>
      <c r="P210" s="123">
        <v>45410</v>
      </c>
      <c r="Q210" s="34">
        <v>75</v>
      </c>
      <c r="R210" s="33">
        <v>30</v>
      </c>
      <c r="S210" s="34">
        <v>13</v>
      </c>
      <c r="T210" s="34">
        <v>1</v>
      </c>
      <c r="U210" s="33">
        <v>390</v>
      </c>
      <c r="V210" s="38" t="s">
        <v>827</v>
      </c>
      <c r="W210" s="39">
        <v>0.66666666666666663</v>
      </c>
      <c r="X210" s="40" t="s">
        <v>730</v>
      </c>
      <c r="Y210" s="40" t="s">
        <v>284</v>
      </c>
      <c r="Z210" s="40" t="s">
        <v>307</v>
      </c>
      <c r="AA210" s="33" t="s">
        <v>308</v>
      </c>
      <c r="AB210" s="95"/>
      <c r="AC210" s="95"/>
    </row>
    <row r="211" spans="1:29" x14ac:dyDescent="0.25">
      <c r="A211" s="36" t="s">
        <v>195</v>
      </c>
      <c r="B211" t="s">
        <v>196</v>
      </c>
      <c r="C211" s="36" t="s">
        <v>51</v>
      </c>
      <c r="D211" s="36" t="s">
        <v>530</v>
      </c>
      <c r="E211" s="37" t="s">
        <v>303</v>
      </c>
      <c r="F211" s="41">
        <v>17</v>
      </c>
      <c r="G211" s="41">
        <v>4</v>
      </c>
      <c r="I211" s="131">
        <v>0.20138888888888887</v>
      </c>
      <c r="J211" s="131">
        <v>0.89583333333333337</v>
      </c>
      <c r="K211" s="131">
        <v>0.27777777777777779</v>
      </c>
      <c r="L211" s="131">
        <v>0.55208333333333337</v>
      </c>
      <c r="M211" s="33" t="s">
        <v>46</v>
      </c>
      <c r="N211" s="33">
        <v>20</v>
      </c>
      <c r="O211" s="123">
        <v>45410</v>
      </c>
      <c r="P211" s="123">
        <v>45410</v>
      </c>
      <c r="Q211" s="34">
        <v>60</v>
      </c>
      <c r="R211" s="33">
        <v>40</v>
      </c>
      <c r="S211" s="34">
        <v>7.5</v>
      </c>
      <c r="T211" s="34">
        <v>1</v>
      </c>
      <c r="U211" s="33">
        <v>300</v>
      </c>
      <c r="V211" s="38" t="s">
        <v>827</v>
      </c>
      <c r="W211" s="39">
        <v>2</v>
      </c>
      <c r="X211" s="40" t="s">
        <v>730</v>
      </c>
      <c r="Y211" s="40" t="s">
        <v>284</v>
      </c>
      <c r="Z211" s="40" t="s">
        <v>307</v>
      </c>
      <c r="AA211" s="33" t="s">
        <v>308</v>
      </c>
      <c r="AB211" s="95"/>
      <c r="AC211" s="95"/>
    </row>
    <row r="212" spans="1:29" x14ac:dyDescent="0.25">
      <c r="A212" s="36" t="s">
        <v>193</v>
      </c>
      <c r="B212" t="s">
        <v>194</v>
      </c>
      <c r="C212" s="36" t="s">
        <v>51</v>
      </c>
      <c r="D212" s="36" t="s">
        <v>530</v>
      </c>
      <c r="E212" s="37" t="s">
        <v>303</v>
      </c>
      <c r="F212" s="41">
        <v>17</v>
      </c>
      <c r="G212" s="41">
        <v>4</v>
      </c>
      <c r="I212" s="131">
        <v>0.23611111111111113</v>
      </c>
      <c r="J212" s="131">
        <v>0.875</v>
      </c>
      <c r="K212" s="131">
        <v>0.28472222222222221</v>
      </c>
      <c r="L212" s="131">
        <v>0.54166666666666663</v>
      </c>
      <c r="M212" s="33" t="s">
        <v>46</v>
      </c>
      <c r="N212" s="33">
        <v>85</v>
      </c>
      <c r="O212" s="123">
        <v>45410</v>
      </c>
      <c r="P212" s="123">
        <v>45410</v>
      </c>
      <c r="Q212" s="34">
        <v>130</v>
      </c>
      <c r="R212" s="33">
        <v>45</v>
      </c>
      <c r="S212" s="34">
        <v>8</v>
      </c>
      <c r="T212" s="34">
        <v>1</v>
      </c>
      <c r="U212" s="33">
        <v>360</v>
      </c>
      <c r="V212" s="38" t="s">
        <v>827</v>
      </c>
      <c r="W212" s="39">
        <v>0.52941176470588236</v>
      </c>
      <c r="X212" s="40" t="s">
        <v>730</v>
      </c>
      <c r="Y212" s="40" t="s">
        <v>284</v>
      </c>
      <c r="Z212" s="40" t="s">
        <v>307</v>
      </c>
      <c r="AA212" s="33" t="s">
        <v>308</v>
      </c>
      <c r="AB212" s="95"/>
      <c r="AC212" s="95"/>
    </row>
    <row r="213" spans="1:29" x14ac:dyDescent="0.25">
      <c r="A213" s="36" t="s">
        <v>118</v>
      </c>
      <c r="B213" t="s">
        <v>119</v>
      </c>
      <c r="C213" s="36" t="s">
        <v>51</v>
      </c>
      <c r="D213" s="36" t="s">
        <v>530</v>
      </c>
      <c r="E213" s="37" t="s">
        <v>303</v>
      </c>
      <c r="F213" s="41">
        <v>17</v>
      </c>
      <c r="G213" s="41">
        <v>4</v>
      </c>
      <c r="I213" s="131">
        <v>0.24305555555555555</v>
      </c>
      <c r="J213" s="131">
        <v>0.875</v>
      </c>
      <c r="K213" s="131">
        <v>0.3125</v>
      </c>
      <c r="L213" s="131">
        <v>0.54166666666666663</v>
      </c>
      <c r="M213" s="33" t="s">
        <v>46</v>
      </c>
      <c r="N213" s="33">
        <v>55</v>
      </c>
      <c r="O213" s="123">
        <v>45410</v>
      </c>
      <c r="P213" s="123">
        <v>45410</v>
      </c>
      <c r="Q213" s="34">
        <v>105</v>
      </c>
      <c r="R213" s="33">
        <v>50</v>
      </c>
      <c r="S213" s="34">
        <v>7</v>
      </c>
      <c r="T213" s="34">
        <v>1</v>
      </c>
      <c r="U213" s="33">
        <v>350</v>
      </c>
      <c r="V213" s="38" t="s">
        <v>827</v>
      </c>
      <c r="W213" s="39">
        <v>0.90909090909090906</v>
      </c>
      <c r="X213" s="40" t="s">
        <v>730</v>
      </c>
      <c r="Y213" s="40" t="s">
        <v>284</v>
      </c>
      <c r="Z213" s="40" t="s">
        <v>307</v>
      </c>
      <c r="AA213" s="33" t="s">
        <v>308</v>
      </c>
      <c r="AB213" s="95"/>
      <c r="AC213" s="95"/>
    </row>
    <row r="214" spans="1:29" x14ac:dyDescent="0.25">
      <c r="A214" s="36" t="s">
        <v>169</v>
      </c>
      <c r="B214" t="s">
        <v>22</v>
      </c>
      <c r="C214" s="36" t="s">
        <v>51</v>
      </c>
      <c r="D214" s="36" t="s">
        <v>530</v>
      </c>
      <c r="E214" s="37" t="s">
        <v>303</v>
      </c>
      <c r="F214" s="41">
        <v>17</v>
      </c>
      <c r="G214" s="41">
        <v>4</v>
      </c>
      <c r="I214" s="131">
        <v>0.20833333333333334</v>
      </c>
      <c r="J214" s="131">
        <v>0.88541666666666663</v>
      </c>
      <c r="K214" s="131">
        <v>0.31944444444444448</v>
      </c>
      <c r="L214" s="131">
        <v>0.55208333333333337</v>
      </c>
      <c r="M214" s="33" t="s">
        <v>46</v>
      </c>
      <c r="N214" s="33">
        <v>50</v>
      </c>
      <c r="O214" s="123">
        <v>45410</v>
      </c>
      <c r="P214" s="123">
        <v>45410</v>
      </c>
      <c r="Q214" s="34">
        <v>90</v>
      </c>
      <c r="R214" s="33">
        <v>40</v>
      </c>
      <c r="S214" s="34">
        <v>6.2</v>
      </c>
      <c r="T214" s="34">
        <v>1</v>
      </c>
      <c r="U214" s="33">
        <v>248</v>
      </c>
      <c r="V214" s="38" t="s">
        <v>827</v>
      </c>
      <c r="W214" s="39">
        <v>0.8</v>
      </c>
      <c r="X214" s="40" t="s">
        <v>730</v>
      </c>
      <c r="Y214" s="40" t="s">
        <v>284</v>
      </c>
      <c r="Z214" s="40" t="s">
        <v>307</v>
      </c>
      <c r="AA214" s="33" t="s">
        <v>308</v>
      </c>
      <c r="AB214" s="95"/>
      <c r="AC214" s="95"/>
    </row>
    <row r="215" spans="1:29" x14ac:dyDescent="0.25">
      <c r="A215" s="36" t="s">
        <v>169</v>
      </c>
      <c r="B215" t="s">
        <v>22</v>
      </c>
      <c r="C215" s="36" t="s">
        <v>51</v>
      </c>
      <c r="D215" s="36" t="s">
        <v>530</v>
      </c>
      <c r="E215" s="37" t="s">
        <v>303</v>
      </c>
      <c r="F215" s="41">
        <v>17</v>
      </c>
      <c r="G215" s="41">
        <v>4</v>
      </c>
      <c r="I215" s="131">
        <v>0.20833333333333334</v>
      </c>
      <c r="J215" s="131">
        <v>0.88541666666666663</v>
      </c>
      <c r="K215" s="131">
        <v>0.31944444444444448</v>
      </c>
      <c r="L215" s="131">
        <v>0.55208333333333337</v>
      </c>
      <c r="M215" s="33" t="s">
        <v>46</v>
      </c>
      <c r="N215" s="33">
        <v>50</v>
      </c>
      <c r="O215" s="123">
        <v>45410</v>
      </c>
      <c r="P215" s="123">
        <v>45410</v>
      </c>
      <c r="Q215" s="34">
        <v>65</v>
      </c>
      <c r="R215" s="33">
        <v>15</v>
      </c>
      <c r="S215" s="34">
        <v>2</v>
      </c>
      <c r="T215" s="34">
        <v>1</v>
      </c>
      <c r="U215" s="33">
        <v>30</v>
      </c>
      <c r="V215" s="38" t="s">
        <v>827</v>
      </c>
      <c r="W215" s="39">
        <v>0.3</v>
      </c>
      <c r="X215" s="40" t="s">
        <v>730</v>
      </c>
      <c r="Y215" s="40" t="s">
        <v>284</v>
      </c>
      <c r="Z215" s="40" t="s">
        <v>305</v>
      </c>
      <c r="AA215" s="33" t="s">
        <v>771</v>
      </c>
      <c r="AB215" s="95"/>
      <c r="AC215" s="95"/>
    </row>
    <row r="216" spans="1:29" x14ac:dyDescent="0.25">
      <c r="A216" s="36" t="s">
        <v>166</v>
      </c>
      <c r="B216" t="s">
        <v>167</v>
      </c>
      <c r="C216" s="36" t="s">
        <v>51</v>
      </c>
      <c r="D216" s="36" t="s">
        <v>530</v>
      </c>
      <c r="E216" s="37" t="s">
        <v>303</v>
      </c>
      <c r="F216" s="41">
        <v>17</v>
      </c>
      <c r="G216" s="41">
        <v>4</v>
      </c>
      <c r="I216" s="131">
        <v>0.19791666666666666</v>
      </c>
      <c r="J216" s="131">
        <v>0.89583333333333337</v>
      </c>
      <c r="K216" s="131">
        <v>0.27083333333333331</v>
      </c>
      <c r="L216" s="131">
        <v>0.54166666666666663</v>
      </c>
      <c r="M216" s="33" t="s">
        <v>46</v>
      </c>
      <c r="N216" s="33">
        <v>120</v>
      </c>
      <c r="O216" s="123">
        <v>45410</v>
      </c>
      <c r="P216" s="123">
        <v>45410</v>
      </c>
      <c r="Q216" s="34">
        <v>145</v>
      </c>
      <c r="R216" s="33">
        <v>25</v>
      </c>
      <c r="S216" s="34">
        <v>8</v>
      </c>
      <c r="T216" s="34">
        <v>1</v>
      </c>
      <c r="U216" s="33">
        <v>200</v>
      </c>
      <c r="V216" s="38" t="s">
        <v>827</v>
      </c>
      <c r="W216" s="39">
        <v>0.20833333333333334</v>
      </c>
      <c r="X216" s="40" t="s">
        <v>730</v>
      </c>
      <c r="Y216" s="40" t="s">
        <v>284</v>
      </c>
      <c r="Z216" s="40" t="s">
        <v>305</v>
      </c>
      <c r="AA216" s="33" t="s">
        <v>771</v>
      </c>
      <c r="AB216" s="95"/>
      <c r="AC216" s="95"/>
    </row>
    <row r="217" spans="1:29" x14ac:dyDescent="0.25">
      <c r="A217" s="36" t="s">
        <v>117</v>
      </c>
      <c r="B217" t="s">
        <v>15</v>
      </c>
      <c r="C217" s="36" t="s">
        <v>51</v>
      </c>
      <c r="D217" s="36" t="s">
        <v>530</v>
      </c>
      <c r="E217" s="37" t="s">
        <v>303</v>
      </c>
      <c r="F217" s="41">
        <v>17</v>
      </c>
      <c r="G217" s="41">
        <v>4</v>
      </c>
      <c r="I217" s="131">
        <v>0.24305555555555555</v>
      </c>
      <c r="J217" s="131">
        <v>0.92013888888888884</v>
      </c>
      <c r="K217" s="131">
        <v>0.28472222222222221</v>
      </c>
      <c r="L217" s="131">
        <v>0.54166666666666663</v>
      </c>
      <c r="M217" s="33" t="s">
        <v>46</v>
      </c>
      <c r="N217" s="33">
        <v>15</v>
      </c>
      <c r="O217" s="123">
        <v>45410</v>
      </c>
      <c r="P217" s="123">
        <v>45410</v>
      </c>
      <c r="Q217" s="34">
        <v>105</v>
      </c>
      <c r="R217" s="33">
        <v>90</v>
      </c>
      <c r="S217" s="34">
        <v>7</v>
      </c>
      <c r="T217" s="34">
        <v>1</v>
      </c>
      <c r="U217" s="33">
        <v>630</v>
      </c>
      <c r="V217" s="38" t="s">
        <v>827</v>
      </c>
      <c r="W217" s="39">
        <v>6</v>
      </c>
      <c r="X217" s="40" t="s">
        <v>730</v>
      </c>
      <c r="Y217" s="40" t="s">
        <v>284</v>
      </c>
      <c r="Z217" s="40" t="s">
        <v>307</v>
      </c>
      <c r="AA217" s="33" t="s">
        <v>308</v>
      </c>
      <c r="AB217" s="95"/>
      <c r="AC217" s="95"/>
    </row>
    <row r="218" spans="1:29" x14ac:dyDescent="0.25">
      <c r="A218" s="36" t="s">
        <v>238</v>
      </c>
      <c r="B218" t="s">
        <v>34</v>
      </c>
      <c r="C218" s="36" t="s">
        <v>51</v>
      </c>
      <c r="D218" s="36" t="s">
        <v>533</v>
      </c>
      <c r="E218" s="37" t="s">
        <v>303</v>
      </c>
      <c r="F218" s="41">
        <v>17</v>
      </c>
      <c r="G218" s="41">
        <v>4</v>
      </c>
      <c r="I218" s="131">
        <v>0.23611111111111113</v>
      </c>
      <c r="J218" s="131">
        <v>0.85416666666666663</v>
      </c>
      <c r="K218" s="131">
        <v>0.29166666666666669</v>
      </c>
      <c r="L218" s="131">
        <v>0.54166666666666663</v>
      </c>
      <c r="M218" s="33" t="s">
        <v>46</v>
      </c>
      <c r="N218" s="33">
        <v>45</v>
      </c>
      <c r="O218" s="123">
        <v>45410</v>
      </c>
      <c r="P218" s="123">
        <v>45410</v>
      </c>
      <c r="Q218" s="34">
        <v>85</v>
      </c>
      <c r="R218" s="33">
        <v>40</v>
      </c>
      <c r="S218" s="34">
        <v>6</v>
      </c>
      <c r="T218" s="34">
        <v>1</v>
      </c>
      <c r="U218" s="33">
        <v>240</v>
      </c>
      <c r="V218" s="38" t="s">
        <v>827</v>
      </c>
      <c r="W218" s="39">
        <v>0.88888888888888884</v>
      </c>
      <c r="X218" s="40" t="s">
        <v>730</v>
      </c>
      <c r="Y218" s="40" t="s">
        <v>284</v>
      </c>
      <c r="Z218" s="40" t="s">
        <v>307</v>
      </c>
      <c r="AA218" s="33" t="s">
        <v>308</v>
      </c>
      <c r="AB218" s="95"/>
      <c r="AC218" s="95"/>
    </row>
    <row r="219" spans="1:29" x14ac:dyDescent="0.25">
      <c r="A219" s="36" t="s">
        <v>276</v>
      </c>
      <c r="B219" t="s">
        <v>277</v>
      </c>
      <c r="C219" s="36" t="s">
        <v>51</v>
      </c>
      <c r="D219" s="36" t="s">
        <v>530</v>
      </c>
      <c r="E219" s="37" t="s">
        <v>303</v>
      </c>
      <c r="F219" s="41">
        <v>17</v>
      </c>
      <c r="G219" s="41">
        <v>4</v>
      </c>
      <c r="I219" s="131">
        <v>0.24305555555555555</v>
      </c>
      <c r="J219" s="131">
        <v>0.91666666666666663</v>
      </c>
      <c r="K219" s="131">
        <v>0.28472222222222221</v>
      </c>
      <c r="L219" s="131">
        <v>0.56944444444444442</v>
      </c>
      <c r="M219" s="33" t="s">
        <v>46</v>
      </c>
      <c r="N219" s="33">
        <v>45</v>
      </c>
      <c r="O219" s="123">
        <v>45410</v>
      </c>
      <c r="P219" s="123">
        <v>45410</v>
      </c>
      <c r="Q219" s="34">
        <v>70</v>
      </c>
      <c r="R219" s="33">
        <v>25</v>
      </c>
      <c r="S219" s="34">
        <v>8.3000000000000007</v>
      </c>
      <c r="T219" s="34">
        <v>1</v>
      </c>
      <c r="U219" s="33">
        <v>207.50000000000003</v>
      </c>
      <c r="V219" s="38" t="s">
        <v>827</v>
      </c>
      <c r="W219" s="39">
        <v>0.55555555555555558</v>
      </c>
      <c r="X219" s="40" t="s">
        <v>730</v>
      </c>
      <c r="Y219" s="40" t="s">
        <v>284</v>
      </c>
      <c r="Z219" s="40" t="s">
        <v>307</v>
      </c>
      <c r="AA219" s="33" t="s">
        <v>308</v>
      </c>
      <c r="AB219" s="95"/>
      <c r="AC219" s="95"/>
    </row>
    <row r="220" spans="1:29" x14ac:dyDescent="0.25">
      <c r="A220" s="36" t="s">
        <v>153</v>
      </c>
      <c r="B220" t="s">
        <v>19</v>
      </c>
      <c r="C220" s="36" t="s">
        <v>51</v>
      </c>
      <c r="D220" s="36" t="s">
        <v>533</v>
      </c>
      <c r="E220" s="37" t="s">
        <v>303</v>
      </c>
      <c r="F220" s="41">
        <v>17</v>
      </c>
      <c r="G220" s="41">
        <v>4</v>
      </c>
      <c r="I220" s="131">
        <v>0.24305555555555555</v>
      </c>
      <c r="J220" s="131">
        <v>0.89583333333333337</v>
      </c>
      <c r="K220" s="131">
        <v>0.29166666666666669</v>
      </c>
      <c r="L220" s="131">
        <v>0.5625</v>
      </c>
      <c r="M220" s="33" t="s">
        <v>46</v>
      </c>
      <c r="N220" s="33">
        <v>45</v>
      </c>
      <c r="O220" s="123">
        <v>45410</v>
      </c>
      <c r="P220" s="123">
        <v>45410</v>
      </c>
      <c r="Q220" s="34">
        <v>90</v>
      </c>
      <c r="R220" s="33">
        <v>45</v>
      </c>
      <c r="S220" s="34">
        <v>6.3</v>
      </c>
      <c r="T220" s="34">
        <v>1</v>
      </c>
      <c r="U220" s="33">
        <v>283.5</v>
      </c>
      <c r="V220" s="38" t="s">
        <v>827</v>
      </c>
      <c r="W220" s="39">
        <v>1</v>
      </c>
      <c r="X220" s="40" t="s">
        <v>730</v>
      </c>
      <c r="Y220" s="40" t="s">
        <v>284</v>
      </c>
      <c r="Z220" s="40" t="s">
        <v>307</v>
      </c>
      <c r="AA220" s="33" t="s">
        <v>308</v>
      </c>
      <c r="AB220" s="95"/>
      <c r="AC220" s="95"/>
    </row>
    <row r="221" spans="1:29" x14ac:dyDescent="0.25">
      <c r="A221" s="36" t="s">
        <v>153</v>
      </c>
      <c r="B221" t="s">
        <v>19</v>
      </c>
      <c r="C221" s="36" t="s">
        <v>51</v>
      </c>
      <c r="D221" s="36" t="s">
        <v>533</v>
      </c>
      <c r="E221" s="37" t="s">
        <v>303</v>
      </c>
      <c r="F221" s="41">
        <v>17</v>
      </c>
      <c r="G221" s="41">
        <v>4</v>
      </c>
      <c r="I221" s="131">
        <v>0.24305555555555555</v>
      </c>
      <c r="J221" s="131">
        <v>0.89583333333333337</v>
      </c>
      <c r="K221" s="131">
        <v>0.29166666666666669</v>
      </c>
      <c r="L221" s="131">
        <v>0.5625</v>
      </c>
      <c r="M221" s="33" t="s">
        <v>46</v>
      </c>
      <c r="N221" s="33">
        <v>45</v>
      </c>
      <c r="O221" s="123">
        <v>45410</v>
      </c>
      <c r="P221" s="123">
        <v>45410</v>
      </c>
      <c r="Q221" s="34">
        <v>55</v>
      </c>
      <c r="R221" s="33">
        <v>10</v>
      </c>
      <c r="S221" s="34">
        <v>1.7</v>
      </c>
      <c r="T221" s="34">
        <v>1</v>
      </c>
      <c r="U221" s="33">
        <v>17</v>
      </c>
      <c r="V221" s="38" t="s">
        <v>827</v>
      </c>
      <c r="W221" s="39">
        <v>0.22222222222222221</v>
      </c>
      <c r="X221" s="40" t="s">
        <v>730</v>
      </c>
      <c r="Y221" s="40" t="s">
        <v>284</v>
      </c>
      <c r="Z221" s="40" t="s">
        <v>305</v>
      </c>
      <c r="AA221" s="33" t="s">
        <v>771</v>
      </c>
      <c r="AB221" s="95"/>
      <c r="AC221" s="95"/>
    </row>
    <row r="222" spans="1:29" x14ac:dyDescent="0.25">
      <c r="A222" s="36" t="s">
        <v>55</v>
      </c>
      <c r="B222" t="s">
        <v>56</v>
      </c>
      <c r="C222" s="36" t="s">
        <v>51</v>
      </c>
      <c r="D222" s="36" t="s">
        <v>533</v>
      </c>
      <c r="E222" s="37" t="s">
        <v>303</v>
      </c>
      <c r="F222" s="41">
        <v>17</v>
      </c>
      <c r="G222" s="41">
        <v>4</v>
      </c>
      <c r="I222" s="131">
        <v>0.20833333333333334</v>
      </c>
      <c r="J222" s="131">
        <v>0.83333333333333337</v>
      </c>
      <c r="K222" s="131">
        <v>0.25</v>
      </c>
      <c r="L222" s="131">
        <v>0.54166666666666663</v>
      </c>
      <c r="M222" s="33" t="s">
        <v>46</v>
      </c>
      <c r="N222" s="33">
        <v>55</v>
      </c>
      <c r="O222" s="123">
        <v>45410</v>
      </c>
      <c r="P222" s="123">
        <v>45410</v>
      </c>
      <c r="Q222" s="34">
        <v>80</v>
      </c>
      <c r="R222" s="33">
        <v>25</v>
      </c>
      <c r="S222" s="34">
        <v>7</v>
      </c>
      <c r="T222" s="34">
        <v>1</v>
      </c>
      <c r="U222" s="33">
        <v>175</v>
      </c>
      <c r="V222" s="38" t="s">
        <v>827</v>
      </c>
      <c r="W222" s="39">
        <v>0.45454545454545453</v>
      </c>
      <c r="X222" s="40" t="s">
        <v>730</v>
      </c>
      <c r="Y222" s="40" t="s">
        <v>284</v>
      </c>
      <c r="Z222" s="40" t="s">
        <v>307</v>
      </c>
      <c r="AA222" s="33" t="s">
        <v>308</v>
      </c>
      <c r="AB222" s="95"/>
      <c r="AC222" s="95"/>
    </row>
    <row r="223" spans="1:29" x14ac:dyDescent="0.25">
      <c r="A223" s="36" t="s">
        <v>154</v>
      </c>
      <c r="B223" t="s">
        <v>20</v>
      </c>
      <c r="C223" s="36" t="s">
        <v>51</v>
      </c>
      <c r="D223" s="36" t="s">
        <v>533</v>
      </c>
      <c r="E223" s="37" t="s">
        <v>303</v>
      </c>
      <c r="F223" s="41">
        <v>17</v>
      </c>
      <c r="G223" s="41">
        <v>4</v>
      </c>
      <c r="I223" s="131">
        <v>0.24305555555555555</v>
      </c>
      <c r="J223" s="131">
        <v>0.875</v>
      </c>
      <c r="K223" s="131" t="s">
        <v>148</v>
      </c>
      <c r="L223" s="131" t="s">
        <v>148</v>
      </c>
      <c r="M223" s="33" t="s">
        <v>46</v>
      </c>
      <c r="N223" s="33">
        <v>75</v>
      </c>
      <c r="O223" s="123">
        <v>45410</v>
      </c>
      <c r="P223" s="123">
        <v>45410</v>
      </c>
      <c r="Q223" s="34">
        <v>105</v>
      </c>
      <c r="R223" s="33">
        <v>30</v>
      </c>
      <c r="S223" s="34">
        <v>13</v>
      </c>
      <c r="T223" s="34">
        <v>1</v>
      </c>
      <c r="U223" s="33">
        <v>390</v>
      </c>
      <c r="V223" s="38" t="s">
        <v>827</v>
      </c>
      <c r="W223" s="39">
        <v>0.4</v>
      </c>
      <c r="X223" s="40" t="s">
        <v>730</v>
      </c>
      <c r="Y223" s="40" t="s">
        <v>284</v>
      </c>
      <c r="Z223" s="40" t="s">
        <v>307</v>
      </c>
      <c r="AA223" s="33" t="s">
        <v>308</v>
      </c>
      <c r="AB223" s="95"/>
      <c r="AC223" s="95"/>
    </row>
    <row r="224" spans="1:29" x14ac:dyDescent="0.25">
      <c r="A224" s="36" t="s">
        <v>109</v>
      </c>
      <c r="B224" t="s">
        <v>110</v>
      </c>
      <c r="C224" s="36" t="s">
        <v>51</v>
      </c>
      <c r="D224" s="36" t="s">
        <v>533</v>
      </c>
      <c r="E224" s="37" t="s">
        <v>303</v>
      </c>
      <c r="F224" s="41">
        <v>17</v>
      </c>
      <c r="G224" s="41">
        <v>4</v>
      </c>
      <c r="I224" s="131">
        <v>0.20833333333333334</v>
      </c>
      <c r="J224" s="131">
        <v>0.89583333333333337</v>
      </c>
      <c r="K224" s="131">
        <v>0.27083333333333331</v>
      </c>
      <c r="L224" s="131">
        <v>0.55902777777777779</v>
      </c>
      <c r="M224" s="33" t="s">
        <v>46</v>
      </c>
      <c r="N224" s="33">
        <v>80</v>
      </c>
      <c r="O224" s="123">
        <v>45410</v>
      </c>
      <c r="P224" s="123">
        <v>45410</v>
      </c>
      <c r="Q224" s="34">
        <v>125</v>
      </c>
      <c r="R224" s="33">
        <v>45</v>
      </c>
      <c r="S224" s="34">
        <v>6.5</v>
      </c>
      <c r="T224" s="34">
        <v>1</v>
      </c>
      <c r="U224" s="33">
        <v>292.5</v>
      </c>
      <c r="V224" s="38" t="s">
        <v>827</v>
      </c>
      <c r="W224" s="39">
        <v>0.5625</v>
      </c>
      <c r="X224" s="40" t="s">
        <v>730</v>
      </c>
      <c r="Y224" s="40" t="s">
        <v>284</v>
      </c>
      <c r="Z224" s="40" t="s">
        <v>307</v>
      </c>
      <c r="AA224" s="33" t="s">
        <v>308</v>
      </c>
      <c r="AB224" s="95"/>
      <c r="AC224" s="95"/>
    </row>
    <row r="225" spans="1:29" x14ac:dyDescent="0.25">
      <c r="A225" s="36" t="s">
        <v>265</v>
      </c>
      <c r="B225" t="s">
        <v>38</v>
      </c>
      <c r="C225" s="36" t="s">
        <v>51</v>
      </c>
      <c r="D225" s="36" t="s">
        <v>533</v>
      </c>
      <c r="E225" s="37" t="s">
        <v>303</v>
      </c>
      <c r="F225" s="41">
        <v>17</v>
      </c>
      <c r="G225" s="41">
        <v>4</v>
      </c>
      <c r="I225" s="131">
        <v>0.1875</v>
      </c>
      <c r="J225" s="131">
        <v>0.85416666666666663</v>
      </c>
      <c r="K225" s="131" t="s">
        <v>148</v>
      </c>
      <c r="L225" s="131" t="s">
        <v>148</v>
      </c>
      <c r="M225" s="33" t="s">
        <v>46</v>
      </c>
      <c r="N225" s="33">
        <v>75</v>
      </c>
      <c r="O225" s="123">
        <v>45410</v>
      </c>
      <c r="P225" s="123">
        <v>45410</v>
      </c>
      <c r="Q225" s="34">
        <v>125</v>
      </c>
      <c r="R225" s="33">
        <v>50</v>
      </c>
      <c r="S225" s="34">
        <v>14</v>
      </c>
      <c r="T225" s="34">
        <v>1</v>
      </c>
      <c r="U225" s="33">
        <v>700</v>
      </c>
      <c r="V225" s="38" t="s">
        <v>827</v>
      </c>
      <c r="W225" s="39">
        <v>0.66666666666666663</v>
      </c>
      <c r="X225" s="40" t="s">
        <v>730</v>
      </c>
      <c r="Y225" s="40" t="s">
        <v>284</v>
      </c>
      <c r="Z225" s="40" t="s">
        <v>307</v>
      </c>
      <c r="AA225" s="33" t="s">
        <v>308</v>
      </c>
      <c r="AB225" s="95"/>
      <c r="AC225" s="95"/>
    </row>
  </sheetData>
  <conditionalFormatting sqref="M2:M225">
    <cfRule type="containsText" dxfId="5" priority="4" operator="containsText" text="Hiver">
      <formula>NOT(ISERROR(SEARCH(("Hiver"),(M2))))</formula>
    </cfRule>
    <cfRule type="containsText" dxfId="4" priority="5" operator="containsText" text="Mi-saison">
      <formula>NOT(ISERROR(SEARCH(("Mi-saison"),(M2))))</formula>
    </cfRule>
    <cfRule type="containsText" dxfId="3" priority="6" operator="containsText" text="Eté">
      <formula>NOT(ISERROR(SEARCH(("Eté"),(M2))))</formula>
    </cfRule>
  </conditionalFormatting>
  <conditionalFormatting sqref="V2:W225">
    <cfRule type="cellIs" dxfId="2" priority="1" operator="lessThan">
      <formula>0.3</formula>
    </cfRule>
    <cfRule type="cellIs" dxfId="1" priority="2" operator="between">
      <formula>0.3</formula>
      <formula>0.5</formula>
    </cfRule>
    <cfRule type="cellIs" dxfId="0" priority="3" operator="greaterThan">
      <formula>0.5</formula>
    </cfRule>
  </conditionalFormatting>
  <dataValidations count="5">
    <dataValidation type="list" allowBlank="1" showInputMessage="1" showErrorMessage="1" sqref="E2:E225" xr:uid="{9249FB1B-D26D-4A79-80F9-1A1568144000}">
      <formula1>"Electricité,Gaz"</formula1>
    </dataValidation>
    <dataValidation type="list" allowBlank="1" showErrorMessage="1" sqref="M2:M225" xr:uid="{087705AD-2F90-448D-968D-3FE1AFB0E784}">
      <formula1>"Hiver,Mi-saison,Eté"</formula1>
    </dataValidation>
    <dataValidation type="list" allowBlank="1" showInputMessage="1" showErrorMessage="1" sqref="X2:X225" xr:uid="{B03501E1-1912-4D57-A010-E97DF223CA08}">
      <formula1>"Nuit,Dim,Jour,JF,Jour/Nuit"</formula1>
    </dataValidation>
    <dataValidation type="list" allowBlank="1" showInputMessage="1" showErrorMessage="1" sqref="V2:V225" xr:uid="{90A2140A-F6CF-4ECE-B187-163D59DC88C4}">
      <formula1>"Ponctuel,Récurrent,Permanent,-"</formula1>
    </dataValidation>
    <dataValidation type="list" allowBlank="1" showInputMessage="1" showErrorMessage="1" sqref="Y2:Y225" xr:uid="{AE137504-5511-4CEA-B687-A4D1B767ABAF}">
      <formula1>"A définir,Impact Client,Exploitation,Impact GY"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7D9B165-DDCC-4126-B997-8B1A31F5BBC5}">
          <x14:formula1>
            <xm:f>Index!$B$2:$B$41</xm:f>
          </x14:formula1>
          <xm:sqref>Z1</xm:sqref>
        </x14:dataValidation>
        <x14:dataValidation type="list" allowBlank="1" showInputMessage="1" showErrorMessage="1" xr:uid="{D361E69E-EE34-4B4F-8234-F5F852489C6A}">
          <x14:formula1>
            <xm:f>Index!$C$2:$C$41</xm:f>
          </x14:formula1>
          <xm:sqref>AA1</xm:sqref>
        </x14:dataValidation>
        <x14:dataValidation type="list" allowBlank="1" showInputMessage="1" showErrorMessage="1" xr:uid="{D9B2E2F7-0D0F-4862-A2CE-DC010E4A2B96}">
          <x14:formula1>
            <xm:f>Index!$A$2:$A$47</xm:f>
          </x14:formula1>
          <xm:sqref>AA2:AA225</xm:sqref>
        </x14:dataValidation>
        <x14:dataValidation type="list" allowBlank="1" showInputMessage="1" showErrorMessage="1" xr:uid="{E711EFCE-6EAB-4F42-A973-849721A807B3}">
          <x14:formula1>
            <xm:f>Index!$G$2:$G$10</xm:f>
          </x14:formula1>
          <xm:sqref>Z2:Z225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G44"/>
  <sheetViews>
    <sheetView topLeftCell="A28" workbookViewId="0">
      <selection activeCell="A45" sqref="A45"/>
    </sheetView>
  </sheetViews>
  <sheetFormatPr baseColWidth="10" defaultColWidth="11.42578125" defaultRowHeight="15" x14ac:dyDescent="0.25"/>
  <cols>
    <col min="1" max="1" width="25.140625" style="118" customWidth="1"/>
    <col min="2" max="2" width="36.28515625" style="118" customWidth="1"/>
    <col min="3" max="3" width="24.28515625" customWidth="1"/>
    <col min="6" max="6" width="20.5703125" bestFit="1" customWidth="1"/>
    <col min="7" max="7" width="25.7109375" bestFit="1" customWidth="1"/>
  </cols>
  <sheetData>
    <row r="1" spans="1:7" x14ac:dyDescent="0.25">
      <c r="A1" s="97" t="s">
        <v>301</v>
      </c>
      <c r="B1" s="98" t="s">
        <v>747</v>
      </c>
      <c r="C1" s="99" t="s">
        <v>748</v>
      </c>
      <c r="D1" s="100" t="s">
        <v>300</v>
      </c>
      <c r="E1" s="101" t="s">
        <v>319</v>
      </c>
      <c r="G1" s="102" t="s">
        <v>300</v>
      </c>
    </row>
    <row r="2" spans="1:7" ht="45" x14ac:dyDescent="0.25">
      <c r="A2" s="103" t="s">
        <v>749</v>
      </c>
      <c r="B2" s="104" t="s">
        <v>750</v>
      </c>
      <c r="C2" s="95"/>
      <c r="D2" s="105"/>
      <c r="E2" s="106" t="s">
        <v>285</v>
      </c>
      <c r="G2" s="107" t="s">
        <v>312</v>
      </c>
    </row>
    <row r="3" spans="1:7" ht="30" x14ac:dyDescent="0.25">
      <c r="A3" s="103" t="s">
        <v>751</v>
      </c>
      <c r="B3" s="104" t="s">
        <v>752</v>
      </c>
      <c r="C3" s="95"/>
      <c r="D3" s="105"/>
      <c r="E3" s="106" t="s">
        <v>314</v>
      </c>
      <c r="G3" s="107" t="s">
        <v>305</v>
      </c>
    </row>
    <row r="4" spans="1:7" ht="30" x14ac:dyDescent="0.25">
      <c r="A4" s="103" t="s">
        <v>753</v>
      </c>
      <c r="B4" s="104" t="s">
        <v>752</v>
      </c>
      <c r="C4" s="95"/>
      <c r="D4" s="105"/>
      <c r="E4" s="106" t="s">
        <v>283</v>
      </c>
      <c r="G4" s="107" t="s">
        <v>311</v>
      </c>
    </row>
    <row r="5" spans="1:7" ht="30" x14ac:dyDescent="0.25">
      <c r="A5" s="103" t="s">
        <v>754</v>
      </c>
      <c r="B5" s="104" t="s">
        <v>752</v>
      </c>
      <c r="C5" s="95"/>
      <c r="D5" s="105"/>
      <c r="E5" s="106" t="s">
        <v>284</v>
      </c>
      <c r="G5" s="107" t="s">
        <v>309</v>
      </c>
    </row>
    <row r="6" spans="1:7" ht="30" x14ac:dyDescent="0.25">
      <c r="A6" s="103" t="s">
        <v>755</v>
      </c>
      <c r="B6" s="104" t="s">
        <v>752</v>
      </c>
      <c r="C6" s="95"/>
      <c r="D6" s="105"/>
      <c r="E6" s="108"/>
      <c r="G6" s="107" t="s">
        <v>322</v>
      </c>
    </row>
    <row r="7" spans="1:7" ht="25.5" x14ac:dyDescent="0.25">
      <c r="A7" s="109" t="s">
        <v>310</v>
      </c>
      <c r="B7" s="104" t="s">
        <v>756</v>
      </c>
      <c r="C7" s="95" t="s">
        <v>314</v>
      </c>
      <c r="D7" s="105"/>
      <c r="E7" s="108"/>
      <c r="G7" s="107" t="s">
        <v>307</v>
      </c>
    </row>
    <row r="8" spans="1:7" ht="30" x14ac:dyDescent="0.25">
      <c r="A8" s="109" t="s">
        <v>757</v>
      </c>
      <c r="B8" s="104" t="s">
        <v>758</v>
      </c>
      <c r="C8" s="95"/>
      <c r="D8" s="105"/>
      <c r="E8" s="108"/>
      <c r="G8" s="107" t="s">
        <v>759</v>
      </c>
    </row>
    <row r="9" spans="1:7" ht="30" x14ac:dyDescent="0.25">
      <c r="A9" s="103" t="s">
        <v>321</v>
      </c>
      <c r="B9" s="110" t="s">
        <v>760</v>
      </c>
      <c r="C9" s="95"/>
      <c r="D9" s="105"/>
      <c r="E9" s="108"/>
      <c r="G9" s="107" t="s">
        <v>761</v>
      </c>
    </row>
    <row r="10" spans="1:7" ht="45" x14ac:dyDescent="0.25">
      <c r="A10" s="103" t="s">
        <v>762</v>
      </c>
      <c r="B10" s="104" t="s">
        <v>763</v>
      </c>
      <c r="C10" s="95"/>
      <c r="D10" s="105"/>
      <c r="E10" s="108"/>
      <c r="G10" s="111" t="s">
        <v>749</v>
      </c>
    </row>
    <row r="11" spans="1:7" x14ac:dyDescent="0.25">
      <c r="A11" s="103" t="s">
        <v>315</v>
      </c>
      <c r="B11" s="104" t="s">
        <v>764</v>
      </c>
      <c r="C11" s="111" t="s">
        <v>314</v>
      </c>
      <c r="D11" s="112"/>
      <c r="E11" s="108"/>
    </row>
    <row r="12" spans="1:7" x14ac:dyDescent="0.25">
      <c r="A12" s="103" t="s">
        <v>318</v>
      </c>
      <c r="B12" s="104" t="s">
        <v>764</v>
      </c>
      <c r="C12" s="111" t="s">
        <v>314</v>
      </c>
      <c r="D12" s="112"/>
      <c r="E12" s="108"/>
    </row>
    <row r="13" spans="1:7" x14ac:dyDescent="0.25">
      <c r="A13" s="103" t="s">
        <v>765</v>
      </c>
      <c r="B13" s="104" t="s">
        <v>764</v>
      </c>
      <c r="C13" s="111" t="s">
        <v>314</v>
      </c>
      <c r="D13" s="112"/>
      <c r="E13" s="108"/>
    </row>
    <row r="14" spans="1:7" x14ac:dyDescent="0.25">
      <c r="A14" s="103" t="s">
        <v>317</v>
      </c>
      <c r="B14" s="104" t="s">
        <v>764</v>
      </c>
      <c r="C14" s="111" t="s">
        <v>314</v>
      </c>
      <c r="D14" s="112"/>
      <c r="E14" s="108"/>
    </row>
    <row r="15" spans="1:7" x14ac:dyDescent="0.25">
      <c r="A15" s="103" t="s">
        <v>320</v>
      </c>
      <c r="B15" s="96"/>
      <c r="C15" s="95" t="s">
        <v>285</v>
      </c>
      <c r="D15" s="105"/>
      <c r="E15" s="108"/>
      <c r="G15" s="113"/>
    </row>
    <row r="16" spans="1:7" x14ac:dyDescent="0.25">
      <c r="A16" s="103" t="s">
        <v>766</v>
      </c>
      <c r="B16" s="96"/>
      <c r="C16" s="95"/>
      <c r="D16" s="105"/>
      <c r="E16" s="108"/>
      <c r="G16" s="113"/>
    </row>
    <row r="17" spans="1:7" x14ac:dyDescent="0.25">
      <c r="A17" s="103" t="s">
        <v>767</v>
      </c>
      <c r="B17" s="96"/>
      <c r="C17" s="95"/>
      <c r="D17" s="105"/>
      <c r="E17" s="108"/>
      <c r="G17" s="113"/>
    </row>
    <row r="18" spans="1:7" x14ac:dyDescent="0.25">
      <c r="A18" s="109" t="s">
        <v>316</v>
      </c>
      <c r="B18" s="96"/>
      <c r="C18" s="95"/>
      <c r="D18" s="105"/>
      <c r="E18" s="108"/>
      <c r="G18" s="113"/>
    </row>
    <row r="19" spans="1:7" x14ac:dyDescent="0.25">
      <c r="A19" s="103" t="s">
        <v>768</v>
      </c>
      <c r="B19" s="96"/>
      <c r="C19" s="111" t="s">
        <v>314</v>
      </c>
      <c r="D19" s="112"/>
      <c r="E19" s="108"/>
      <c r="G19" s="113"/>
    </row>
    <row r="20" spans="1:7" x14ac:dyDescent="0.25">
      <c r="A20" s="103" t="s">
        <v>769</v>
      </c>
      <c r="B20" s="96"/>
      <c r="C20" s="95"/>
      <c r="D20" s="105"/>
      <c r="E20" s="108"/>
      <c r="G20" s="113"/>
    </row>
    <row r="21" spans="1:7" x14ac:dyDescent="0.25">
      <c r="A21" s="109" t="s">
        <v>770</v>
      </c>
      <c r="B21" s="96"/>
      <c r="C21" s="95" t="s">
        <v>284</v>
      </c>
      <c r="D21" s="105" t="s">
        <v>312</v>
      </c>
      <c r="E21" s="108"/>
      <c r="G21" s="113"/>
    </row>
    <row r="22" spans="1:7" x14ac:dyDescent="0.25">
      <c r="A22" s="103" t="s">
        <v>771</v>
      </c>
      <c r="B22" s="96"/>
      <c r="C22" s="95"/>
      <c r="D22" s="105"/>
      <c r="E22" s="108"/>
      <c r="G22" s="113"/>
    </row>
    <row r="23" spans="1:7" ht="25.5" x14ac:dyDescent="0.25">
      <c r="A23" s="109" t="s">
        <v>772</v>
      </c>
      <c r="B23" s="96"/>
      <c r="C23" s="95"/>
      <c r="D23" s="105"/>
      <c r="E23" s="108"/>
      <c r="G23" s="113"/>
    </row>
    <row r="24" spans="1:7" ht="25.5" x14ac:dyDescent="0.25">
      <c r="A24" s="103" t="s">
        <v>773</v>
      </c>
      <c r="B24" s="96"/>
      <c r="C24" s="95"/>
      <c r="D24" s="105"/>
      <c r="E24" s="108"/>
      <c r="G24" s="113"/>
    </row>
    <row r="25" spans="1:7" x14ac:dyDescent="0.25">
      <c r="A25" s="103" t="s">
        <v>774</v>
      </c>
      <c r="B25" s="96"/>
      <c r="C25" s="95"/>
      <c r="D25" s="105" t="s">
        <v>322</v>
      </c>
      <c r="E25" s="108"/>
      <c r="G25" s="113"/>
    </row>
    <row r="26" spans="1:7" ht="25.5" x14ac:dyDescent="0.25">
      <c r="A26" s="103" t="s">
        <v>775</v>
      </c>
      <c r="B26" s="96"/>
      <c r="C26" s="95"/>
      <c r="D26" s="105"/>
      <c r="E26" s="108"/>
      <c r="G26" s="113"/>
    </row>
    <row r="27" spans="1:7" ht="25.5" x14ac:dyDescent="0.25">
      <c r="A27" s="103" t="s">
        <v>776</v>
      </c>
      <c r="B27" s="96"/>
      <c r="C27" s="95"/>
      <c r="D27" s="105" t="s">
        <v>309</v>
      </c>
      <c r="E27" s="108"/>
      <c r="G27" s="113"/>
    </row>
    <row r="28" spans="1:7" ht="25.5" x14ac:dyDescent="0.25">
      <c r="A28" s="103" t="s">
        <v>777</v>
      </c>
      <c r="B28" s="96"/>
      <c r="C28" s="95"/>
      <c r="D28" s="105"/>
      <c r="E28" s="108"/>
      <c r="G28" s="113"/>
    </row>
    <row r="29" spans="1:7" x14ac:dyDescent="0.25">
      <c r="A29" s="103" t="s">
        <v>308</v>
      </c>
      <c r="B29" s="96"/>
      <c r="C29" s="95"/>
      <c r="D29" s="105"/>
      <c r="G29" s="113"/>
    </row>
    <row r="30" spans="1:7" x14ac:dyDescent="0.25">
      <c r="A30" s="103" t="s">
        <v>313</v>
      </c>
      <c r="B30" s="96"/>
      <c r="C30" s="95"/>
      <c r="D30" s="105"/>
      <c r="G30" s="113"/>
    </row>
    <row r="31" spans="1:7" x14ac:dyDescent="0.25">
      <c r="A31" s="103" t="s">
        <v>414</v>
      </c>
      <c r="B31" s="96"/>
      <c r="C31" s="95"/>
      <c r="D31" s="105"/>
      <c r="E31" s="108"/>
      <c r="G31" s="113"/>
    </row>
    <row r="32" spans="1:7" x14ac:dyDescent="0.25">
      <c r="A32" s="103" t="s">
        <v>323</v>
      </c>
      <c r="B32" s="96"/>
      <c r="C32" s="95"/>
      <c r="D32" s="105"/>
      <c r="E32" s="108"/>
      <c r="G32" s="113"/>
    </row>
    <row r="33" spans="1:7" x14ac:dyDescent="0.25">
      <c r="A33" s="103" t="s">
        <v>778</v>
      </c>
      <c r="B33" s="96"/>
      <c r="C33" s="95"/>
      <c r="D33" s="105"/>
      <c r="E33" s="108"/>
      <c r="G33" s="113"/>
    </row>
    <row r="34" spans="1:7" x14ac:dyDescent="0.25">
      <c r="A34" s="103" t="s">
        <v>779</v>
      </c>
      <c r="B34" s="96"/>
      <c r="C34" s="95"/>
      <c r="D34" s="105"/>
      <c r="E34" s="108"/>
      <c r="G34" s="113"/>
    </row>
    <row r="35" spans="1:7" x14ac:dyDescent="0.25">
      <c r="A35" s="103" t="s">
        <v>780</v>
      </c>
      <c r="B35" s="96"/>
      <c r="C35" s="95"/>
      <c r="D35" s="105"/>
      <c r="E35" s="108"/>
      <c r="G35" s="113"/>
    </row>
    <row r="36" spans="1:7" x14ac:dyDescent="0.25">
      <c r="A36" s="103" t="s">
        <v>781</v>
      </c>
      <c r="B36" s="96"/>
      <c r="C36" s="95"/>
      <c r="D36" s="105"/>
      <c r="E36" s="108"/>
      <c r="G36" s="113"/>
    </row>
    <row r="37" spans="1:7" x14ac:dyDescent="0.25">
      <c r="A37" s="103" t="s">
        <v>324</v>
      </c>
      <c r="B37" s="96"/>
      <c r="C37" s="95" t="s">
        <v>782</v>
      </c>
      <c r="D37" s="105"/>
      <c r="G37" s="113"/>
    </row>
    <row r="38" spans="1:7" ht="25.5" x14ac:dyDescent="0.25">
      <c r="A38" s="103" t="s">
        <v>783</v>
      </c>
      <c r="B38" s="96"/>
      <c r="C38" s="95" t="s">
        <v>782</v>
      </c>
      <c r="D38" s="105"/>
      <c r="G38" s="113"/>
    </row>
    <row r="39" spans="1:7" ht="25.5" x14ac:dyDescent="0.25">
      <c r="A39" s="103" t="s">
        <v>784</v>
      </c>
      <c r="B39" s="96"/>
      <c r="C39" s="95" t="s">
        <v>782</v>
      </c>
      <c r="D39" s="105"/>
      <c r="E39" s="108"/>
      <c r="G39" s="113"/>
    </row>
    <row r="40" spans="1:7" x14ac:dyDescent="0.25">
      <c r="A40" s="103" t="s">
        <v>785</v>
      </c>
      <c r="B40" s="96"/>
      <c r="C40" s="95"/>
      <c r="D40" s="105"/>
      <c r="E40" s="108"/>
      <c r="G40" s="113"/>
    </row>
    <row r="41" spans="1:7" x14ac:dyDescent="0.25">
      <c r="A41" s="109" t="s">
        <v>786</v>
      </c>
      <c r="B41" s="96"/>
      <c r="C41" s="95"/>
      <c r="D41" s="105"/>
      <c r="E41" s="108"/>
      <c r="G41" s="113"/>
    </row>
    <row r="42" spans="1:7" x14ac:dyDescent="0.25">
      <c r="A42" s="103" t="s">
        <v>787</v>
      </c>
      <c r="B42" s="96"/>
      <c r="C42" s="95"/>
      <c r="D42" s="105"/>
      <c r="E42" s="108"/>
      <c r="G42" s="113"/>
    </row>
    <row r="43" spans="1:7" ht="25.5" x14ac:dyDescent="0.25">
      <c r="A43" s="114" t="s">
        <v>788</v>
      </c>
      <c r="B43" s="115"/>
      <c r="C43" s="116" t="s">
        <v>789</v>
      </c>
      <c r="D43" s="117"/>
      <c r="E43" s="108"/>
      <c r="G43" s="113"/>
    </row>
    <row r="44" spans="1:7" x14ac:dyDescent="0.25">
      <c r="A44" s="114" t="s">
        <v>817</v>
      </c>
      <c r="B44" s="115"/>
      <c r="C44" s="116"/>
      <c r="D44" s="11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8FDEFB661D7044914D23A80A55BDE7" ma:contentTypeVersion="2" ma:contentTypeDescription="Crée un document." ma:contentTypeScope="" ma:versionID="57a55d9df1f1d91bdaa31875415683f6">
  <xsd:schema xmlns:xsd="http://www.w3.org/2001/XMLSchema" xmlns:xs="http://www.w3.org/2001/XMLSchema" xmlns:p="http://schemas.microsoft.com/office/2006/metadata/properties" xmlns:ns2="1976e416-4739-4541-aaa3-7ccc984f6f3b" targetNamespace="http://schemas.microsoft.com/office/2006/metadata/properties" ma:root="true" ma:fieldsID="b65e3ef67c290dd018c8c99530da5c57" ns2:_="">
    <xsd:import namespace="1976e416-4739-4541-aaa3-7ccc984f6f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76e416-4739-4541-aaa3-7ccc984f6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D95146-B305-4974-9845-83C71FAC96F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39AC999-ACF5-4834-AAF0-3B5D251769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ACF7FF-69D1-4039-8B50-CDE824B30B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76e416-4739-4541-aaa3-7ccc984f6f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Base de données Mono</vt:lpstr>
      <vt:lpstr>Suivi des alertes Monoprix</vt:lpstr>
      <vt:lpstr>Feuil1</vt:lpstr>
      <vt:lpstr>Feuil2</vt:lpstr>
      <vt:lpstr>Index</vt:lpstr>
    </vt:vector>
  </TitlesOfParts>
  <Manager/>
  <Company>Groupe CASINO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GABIN,MELANIE</dc:creator>
  <cp:keywords/>
  <dc:description/>
  <cp:lastModifiedBy>T H I N K P A D</cp:lastModifiedBy>
  <cp:revision/>
  <dcterms:created xsi:type="dcterms:W3CDTF">2020-05-12T15:15:32Z</dcterms:created>
  <dcterms:modified xsi:type="dcterms:W3CDTF">2024-05-30T10:06:01Z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0x010100398FDEFB661D7044914D23A80A55BDE7</vt:lpwstr>
  </property>
</Properties>
</file>